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drawings/drawing21.xml" ContentType="application/vnd.openxmlformats-officedocument.drawing+xml"/>
  <Override PartName="/xl/charts/chart23.xml" ContentType="application/vnd.openxmlformats-officedocument.drawingml.chart+xml"/>
  <Override PartName="/xl/drawings/drawing22.xml" ContentType="application/vnd.openxmlformats-officedocument.drawing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45" windowWidth="12120" windowHeight="8520" tabRatio="598" activeTab="2"/>
  </bookViews>
  <sheets>
    <sheet name="Meta" sheetId="30" r:id="rId1"/>
    <sheet name="PPTest" sheetId="29" r:id="rId2"/>
    <sheet name="Data" sheetId="1" r:id="rId3"/>
    <sheet name="DerVar" sheetId="31" r:id="rId4"/>
    <sheet name="Bat_V" sheetId="25" r:id="rId5"/>
    <sheet name="Solar" sheetId="19" r:id="rId6"/>
    <sheet name="SolCor" sheetId="28" r:id="rId7"/>
    <sheet name="Albedo" sheetId="26" r:id="rId8"/>
    <sheet name="TairAvg" sheetId="23" r:id="rId9"/>
    <sheet name="TsoilAvg" sheetId="24" r:id="rId10"/>
    <sheet name="Tair6" sheetId="7" r:id="rId11"/>
    <sheet name="Tair3" sheetId="8" r:id="rId12"/>
    <sheet name="Tair1.5" sheetId="9" r:id="rId13"/>
    <sheet name="TAir0.25" sheetId="10" r:id="rId14"/>
    <sheet name="Rh" sheetId="11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Snow" sheetId="22" r:id="rId21"/>
    <sheet name="vpdX" sheetId="34" r:id="rId22"/>
    <sheet name="Udir1" sheetId="33" r:id="rId23"/>
    <sheet name="Udir2" sheetId="32" r:id="rId24"/>
  </sheets>
  <calcPr calcId="145621"/>
  <pivotCaches>
    <pivotCache cacheId="15" r:id="rId25"/>
  </pivotCaches>
</workbook>
</file>

<file path=xl/calcChain.xml><?xml version="1.0" encoding="utf-8"?>
<calcChain xmlns="http://schemas.openxmlformats.org/spreadsheetml/2006/main">
  <c r="CM370" i="1" l="1"/>
  <c r="CM369" i="1"/>
  <c r="CM368" i="1"/>
  <c r="CM367" i="1"/>
  <c r="CM366" i="1"/>
  <c r="CM365" i="1"/>
  <c r="CM364" i="1"/>
  <c r="CM363" i="1"/>
  <c r="CM362" i="1"/>
  <c r="CM361" i="1"/>
  <c r="CM360" i="1"/>
  <c r="CM359" i="1"/>
  <c r="CM358" i="1"/>
  <c r="CM357" i="1"/>
  <c r="CM356" i="1"/>
  <c r="CM355" i="1"/>
  <c r="CM354" i="1"/>
  <c r="CM353" i="1"/>
  <c r="CM352" i="1"/>
  <c r="CM351" i="1"/>
  <c r="CM350" i="1"/>
  <c r="CM349" i="1"/>
  <c r="CM348" i="1"/>
  <c r="CM347" i="1"/>
  <c r="CM346" i="1"/>
  <c r="CM345" i="1"/>
  <c r="CM344" i="1"/>
  <c r="CM343" i="1"/>
  <c r="CM342" i="1"/>
  <c r="CM341" i="1"/>
  <c r="CM340" i="1"/>
  <c r="CM339" i="1"/>
  <c r="CM338" i="1"/>
  <c r="CM337" i="1"/>
  <c r="CM336" i="1"/>
  <c r="CM335" i="1"/>
  <c r="CM334" i="1"/>
  <c r="CM333" i="1"/>
  <c r="CM332" i="1"/>
  <c r="CM331" i="1"/>
  <c r="CM330" i="1"/>
  <c r="CM329" i="1"/>
  <c r="CM328" i="1"/>
  <c r="CM327" i="1"/>
  <c r="CM326" i="1"/>
  <c r="CM325" i="1"/>
  <c r="CM324" i="1"/>
  <c r="CM323" i="1"/>
  <c r="CM322" i="1"/>
  <c r="CM321" i="1"/>
  <c r="CM320" i="1"/>
  <c r="CM319" i="1"/>
  <c r="CM318" i="1"/>
  <c r="CM317" i="1"/>
  <c r="CM316" i="1"/>
  <c r="CM315" i="1"/>
  <c r="CM314" i="1"/>
  <c r="CM313" i="1"/>
  <c r="CM312" i="1"/>
  <c r="CM311" i="1"/>
  <c r="CM310" i="1"/>
  <c r="CM309" i="1"/>
  <c r="CM308" i="1"/>
  <c r="CM307" i="1"/>
  <c r="CM306" i="1"/>
  <c r="CM305" i="1"/>
  <c r="CM304" i="1"/>
  <c r="CM303" i="1"/>
  <c r="CM302" i="1"/>
  <c r="CM301" i="1"/>
  <c r="CM300" i="1"/>
  <c r="CM299" i="1"/>
  <c r="CM298" i="1"/>
  <c r="CM297" i="1"/>
  <c r="CM296" i="1"/>
  <c r="CM295" i="1"/>
  <c r="CM294" i="1"/>
  <c r="CM293" i="1"/>
  <c r="CM292" i="1"/>
  <c r="CM291" i="1"/>
  <c r="CM290" i="1"/>
  <c r="CM289" i="1"/>
  <c r="CM288" i="1"/>
  <c r="CM287" i="1"/>
  <c r="CM286" i="1"/>
  <c r="CM285" i="1"/>
  <c r="CM284" i="1"/>
  <c r="CM283" i="1"/>
  <c r="CM282" i="1"/>
  <c r="CM281" i="1"/>
  <c r="CM280" i="1"/>
  <c r="CM279" i="1"/>
  <c r="CM278" i="1"/>
  <c r="CM277" i="1"/>
  <c r="CM276" i="1"/>
  <c r="CM275" i="1"/>
  <c r="CM274" i="1"/>
  <c r="CM273" i="1"/>
  <c r="CM272" i="1"/>
  <c r="CM271" i="1"/>
  <c r="CM270" i="1"/>
  <c r="CM269" i="1"/>
  <c r="CM268" i="1"/>
  <c r="CM267" i="1"/>
  <c r="CM266" i="1"/>
  <c r="CM265" i="1"/>
  <c r="CM264" i="1"/>
  <c r="CM263" i="1"/>
  <c r="CM262" i="1"/>
  <c r="CM261" i="1"/>
  <c r="CM260" i="1"/>
  <c r="CM259" i="1"/>
  <c r="CM258" i="1"/>
  <c r="CM257" i="1"/>
  <c r="CM256" i="1"/>
  <c r="CM255" i="1"/>
  <c r="CM254" i="1"/>
  <c r="CM253" i="1"/>
  <c r="CM252" i="1"/>
  <c r="CM251" i="1"/>
  <c r="CM250" i="1"/>
  <c r="CM249" i="1"/>
  <c r="CM248" i="1"/>
  <c r="CM247" i="1"/>
  <c r="CM246" i="1"/>
  <c r="CM245" i="1"/>
  <c r="CM244" i="1"/>
  <c r="CM243" i="1"/>
  <c r="CM242" i="1"/>
  <c r="CM241" i="1"/>
  <c r="CM240" i="1"/>
  <c r="CM239" i="1"/>
  <c r="CM238" i="1"/>
  <c r="CM237" i="1"/>
  <c r="CM236" i="1"/>
  <c r="CM235" i="1"/>
  <c r="CM234" i="1"/>
  <c r="CM233" i="1"/>
  <c r="CM232" i="1"/>
  <c r="CM231" i="1"/>
  <c r="CM230" i="1"/>
  <c r="CM229" i="1"/>
  <c r="CM228" i="1"/>
  <c r="CM227" i="1"/>
  <c r="CM226" i="1"/>
  <c r="CM225" i="1"/>
  <c r="CM224" i="1"/>
  <c r="CM223" i="1"/>
  <c r="CM222" i="1"/>
  <c r="CM221" i="1"/>
  <c r="CM220" i="1"/>
  <c r="CM219" i="1"/>
  <c r="CM218" i="1"/>
  <c r="CM217" i="1"/>
  <c r="CM216" i="1"/>
  <c r="CM215" i="1"/>
  <c r="CM214" i="1"/>
  <c r="CM213" i="1"/>
  <c r="CM212" i="1"/>
  <c r="CM211" i="1"/>
  <c r="CM210" i="1"/>
  <c r="CM209" i="1"/>
  <c r="CM208" i="1"/>
  <c r="CM207" i="1"/>
  <c r="CM206" i="1"/>
  <c r="CM205" i="1"/>
  <c r="CM204" i="1"/>
  <c r="CM203" i="1"/>
  <c r="CM202" i="1"/>
  <c r="CM201" i="1"/>
  <c r="CM200" i="1"/>
  <c r="CM199" i="1"/>
  <c r="CM198" i="1"/>
  <c r="CM197" i="1"/>
  <c r="CM196" i="1"/>
  <c r="CM195" i="1"/>
  <c r="CM194" i="1"/>
  <c r="CM193" i="1"/>
  <c r="CM192" i="1"/>
  <c r="CM191" i="1"/>
  <c r="CM190" i="1"/>
  <c r="CM189" i="1"/>
  <c r="CM188" i="1"/>
  <c r="CM187" i="1"/>
  <c r="CM186" i="1"/>
  <c r="CM185" i="1"/>
  <c r="CM184" i="1"/>
  <c r="CM183" i="1"/>
  <c r="CM182" i="1"/>
  <c r="CM181" i="1"/>
  <c r="CM180" i="1"/>
  <c r="CM179" i="1"/>
  <c r="CM178" i="1"/>
  <c r="CM177" i="1"/>
  <c r="CM176" i="1"/>
  <c r="CM175" i="1"/>
  <c r="CM174" i="1"/>
  <c r="CM173" i="1"/>
  <c r="CM172" i="1"/>
  <c r="CM171" i="1"/>
  <c r="CM170" i="1"/>
  <c r="CM169" i="1"/>
  <c r="CM168" i="1"/>
  <c r="CM167" i="1"/>
  <c r="CM166" i="1"/>
  <c r="CM165" i="1"/>
  <c r="CM164" i="1"/>
  <c r="CM163" i="1"/>
  <c r="CM162" i="1"/>
  <c r="CM161" i="1"/>
  <c r="CM160" i="1"/>
  <c r="CM159" i="1"/>
  <c r="CM158" i="1"/>
  <c r="CM157" i="1"/>
  <c r="CM156" i="1"/>
  <c r="CM155" i="1"/>
  <c r="CM154" i="1"/>
  <c r="CM153" i="1"/>
  <c r="CM152" i="1"/>
  <c r="CM151" i="1"/>
  <c r="CM150" i="1"/>
  <c r="CM149" i="1"/>
  <c r="CM148" i="1"/>
  <c r="CM147" i="1"/>
  <c r="CM146" i="1"/>
  <c r="CM145" i="1"/>
  <c r="CM144" i="1"/>
  <c r="CM143" i="1"/>
  <c r="CM142" i="1"/>
  <c r="CM141" i="1"/>
  <c r="CM140" i="1"/>
  <c r="CM139" i="1"/>
  <c r="CM138" i="1"/>
  <c r="CM137" i="1"/>
  <c r="CM136" i="1"/>
  <c r="CM135" i="1"/>
  <c r="CM134" i="1"/>
  <c r="CM133" i="1"/>
  <c r="CM132" i="1"/>
  <c r="CM131" i="1"/>
  <c r="CM130" i="1"/>
  <c r="CM129" i="1"/>
  <c r="CM128" i="1"/>
  <c r="CM127" i="1"/>
  <c r="CM126" i="1"/>
  <c r="CM125" i="1"/>
  <c r="CM124" i="1"/>
  <c r="CM123" i="1"/>
  <c r="CM122" i="1"/>
  <c r="CM121" i="1"/>
  <c r="CM120" i="1"/>
  <c r="CM119" i="1"/>
  <c r="CM118" i="1"/>
  <c r="CM117" i="1"/>
  <c r="CM116" i="1"/>
  <c r="CM115" i="1"/>
  <c r="CM114" i="1"/>
  <c r="CM113" i="1"/>
  <c r="CM112" i="1"/>
  <c r="CM111" i="1"/>
  <c r="CM110" i="1"/>
  <c r="CM109" i="1"/>
  <c r="CM108" i="1"/>
  <c r="CM107" i="1"/>
  <c r="CM106" i="1"/>
  <c r="CM105" i="1"/>
  <c r="CM104" i="1"/>
  <c r="CM103" i="1"/>
  <c r="CM102" i="1"/>
  <c r="CM101" i="1"/>
  <c r="CM100" i="1"/>
  <c r="CM99" i="1"/>
  <c r="CM98" i="1"/>
  <c r="CM97" i="1"/>
  <c r="CM96" i="1"/>
  <c r="CM95" i="1"/>
  <c r="CM94" i="1"/>
  <c r="CM93" i="1"/>
  <c r="CM92" i="1"/>
  <c r="CM91" i="1"/>
  <c r="CM90" i="1"/>
  <c r="CM89" i="1"/>
  <c r="CM88" i="1"/>
  <c r="CM87" i="1"/>
  <c r="CM86" i="1"/>
  <c r="CM85" i="1"/>
  <c r="CM84" i="1"/>
  <c r="CM83" i="1"/>
  <c r="CM82" i="1"/>
  <c r="CM81" i="1"/>
  <c r="CM80" i="1"/>
  <c r="CM79" i="1"/>
  <c r="CM78" i="1"/>
  <c r="CM77" i="1"/>
  <c r="CM76" i="1"/>
  <c r="CM75" i="1"/>
  <c r="CM74" i="1"/>
  <c r="CM73" i="1"/>
  <c r="CM72" i="1"/>
  <c r="CM71" i="1"/>
  <c r="CM70" i="1"/>
  <c r="CM69" i="1"/>
  <c r="CM68" i="1"/>
  <c r="CM67" i="1"/>
  <c r="CM66" i="1"/>
  <c r="CM65" i="1"/>
  <c r="CM64" i="1"/>
  <c r="CM63" i="1"/>
  <c r="CM62" i="1"/>
  <c r="CM61" i="1"/>
  <c r="CM60" i="1"/>
  <c r="CM59" i="1"/>
  <c r="CM58" i="1"/>
  <c r="CM57" i="1"/>
  <c r="CM56" i="1"/>
  <c r="CM55" i="1"/>
  <c r="CM54" i="1"/>
  <c r="CM53" i="1"/>
  <c r="CM52" i="1"/>
  <c r="CM51" i="1"/>
  <c r="CM50" i="1"/>
  <c r="CM49" i="1"/>
  <c r="CM48" i="1"/>
  <c r="CM47" i="1"/>
  <c r="CM46" i="1"/>
  <c r="CM45" i="1"/>
  <c r="CM44" i="1"/>
  <c r="CM43" i="1"/>
  <c r="CM42" i="1"/>
  <c r="CM41" i="1"/>
  <c r="CM40" i="1"/>
  <c r="CM39" i="1"/>
  <c r="CM38" i="1"/>
  <c r="CM37" i="1"/>
  <c r="CM36" i="1"/>
  <c r="CM35" i="1"/>
  <c r="CM34" i="1"/>
  <c r="CM33" i="1"/>
  <c r="CM32" i="1"/>
  <c r="CM31" i="1"/>
  <c r="CM30" i="1"/>
  <c r="CM29" i="1"/>
  <c r="CM28" i="1"/>
  <c r="CM27" i="1"/>
  <c r="CM26" i="1"/>
  <c r="CM25" i="1"/>
  <c r="CM24" i="1"/>
  <c r="CM23" i="1"/>
  <c r="CM22" i="1"/>
  <c r="CM21" i="1"/>
  <c r="CM20" i="1"/>
  <c r="CM19" i="1"/>
  <c r="CM18" i="1"/>
  <c r="CM17" i="1"/>
  <c r="CM16" i="1"/>
  <c r="CM15" i="1"/>
  <c r="CM14" i="1"/>
  <c r="CM13" i="1"/>
  <c r="CM12" i="1"/>
  <c r="CM11" i="1"/>
  <c r="CM10" i="1"/>
  <c r="CM9" i="1"/>
  <c r="CM8" i="1"/>
  <c r="CM7" i="1"/>
  <c r="CM6" i="1"/>
  <c r="K314" i="29" l="1"/>
  <c r="K313" i="29"/>
  <c r="K125" i="29"/>
  <c r="K124" i="29"/>
  <c r="K123" i="29"/>
  <c r="CW370" i="1" l="1"/>
  <c r="CW369" i="1"/>
  <c r="CW368" i="1"/>
  <c r="CW367" i="1"/>
  <c r="CW366" i="1"/>
  <c r="CW365" i="1"/>
  <c r="CW364" i="1"/>
  <c r="CW363" i="1"/>
  <c r="CW362" i="1"/>
  <c r="CW361" i="1"/>
  <c r="CW360" i="1"/>
  <c r="CW359" i="1"/>
  <c r="CW358" i="1"/>
  <c r="CW357" i="1"/>
  <c r="CW356" i="1"/>
  <c r="CW355" i="1"/>
  <c r="CW354" i="1"/>
  <c r="CW353" i="1"/>
  <c r="CW352" i="1"/>
  <c r="CW351" i="1"/>
  <c r="CW350" i="1"/>
  <c r="CW349" i="1"/>
  <c r="CW348" i="1"/>
  <c r="CW347" i="1"/>
  <c r="CW346" i="1"/>
  <c r="CW345" i="1"/>
  <c r="CW344" i="1"/>
  <c r="CW343" i="1"/>
  <c r="CW342" i="1"/>
  <c r="CW341" i="1"/>
  <c r="CW340" i="1"/>
  <c r="CW339" i="1"/>
  <c r="CW338" i="1"/>
  <c r="CW337" i="1"/>
  <c r="CW336" i="1"/>
  <c r="CW335" i="1"/>
  <c r="CW334" i="1"/>
  <c r="CW333" i="1"/>
  <c r="CW332" i="1"/>
  <c r="CW331" i="1"/>
  <c r="CW330" i="1"/>
  <c r="CW329" i="1"/>
  <c r="CW328" i="1"/>
  <c r="CW327" i="1"/>
  <c r="CW326" i="1"/>
  <c r="CW325" i="1"/>
  <c r="CW324" i="1"/>
  <c r="CW323" i="1"/>
  <c r="CW322" i="1"/>
  <c r="CW321" i="1"/>
  <c r="CW320" i="1"/>
  <c r="CW319" i="1"/>
  <c r="CW318" i="1"/>
  <c r="CW317" i="1"/>
  <c r="CW316" i="1"/>
  <c r="CW315" i="1"/>
  <c r="CW314" i="1"/>
  <c r="CW313" i="1"/>
  <c r="CW312" i="1"/>
  <c r="CW311" i="1"/>
  <c r="CW310" i="1"/>
  <c r="CW309" i="1"/>
  <c r="CW308" i="1"/>
  <c r="CW307" i="1"/>
  <c r="CW306" i="1"/>
  <c r="CW305" i="1"/>
  <c r="CW304" i="1"/>
  <c r="CW303" i="1"/>
  <c r="CW302" i="1"/>
  <c r="CW301" i="1"/>
  <c r="CW300" i="1"/>
  <c r="CW299" i="1"/>
  <c r="CW298" i="1"/>
  <c r="CW297" i="1"/>
  <c r="CW296" i="1"/>
  <c r="CW295" i="1"/>
  <c r="CW294" i="1"/>
  <c r="CW293" i="1"/>
  <c r="CW292" i="1"/>
  <c r="CW291" i="1"/>
  <c r="CW290" i="1"/>
  <c r="CW289" i="1"/>
  <c r="CW288" i="1"/>
  <c r="CW287" i="1"/>
  <c r="CW286" i="1"/>
  <c r="CW285" i="1"/>
  <c r="CW284" i="1"/>
  <c r="CW283" i="1"/>
  <c r="CW282" i="1"/>
  <c r="CW281" i="1"/>
  <c r="CW280" i="1"/>
  <c r="CW279" i="1"/>
  <c r="CW278" i="1"/>
  <c r="CW277" i="1"/>
  <c r="CW276" i="1"/>
  <c r="CW275" i="1"/>
  <c r="CW274" i="1"/>
  <c r="CW273" i="1"/>
  <c r="CW272" i="1"/>
  <c r="CW271" i="1"/>
  <c r="CW270" i="1"/>
  <c r="CW269" i="1"/>
  <c r="CW268" i="1"/>
  <c r="CW267" i="1"/>
  <c r="CW266" i="1"/>
  <c r="CW265" i="1"/>
  <c r="CW264" i="1"/>
  <c r="CW263" i="1"/>
  <c r="CW262" i="1"/>
  <c r="CW261" i="1"/>
  <c r="CW260" i="1"/>
  <c r="CW259" i="1"/>
  <c r="CW258" i="1"/>
  <c r="CW257" i="1"/>
  <c r="CW256" i="1"/>
  <c r="CW255" i="1"/>
  <c r="CW254" i="1"/>
  <c r="CW253" i="1"/>
  <c r="CW252" i="1"/>
  <c r="CW251" i="1"/>
  <c r="CW250" i="1"/>
  <c r="CW249" i="1"/>
  <c r="CW248" i="1"/>
  <c r="CW247" i="1"/>
  <c r="CW246" i="1"/>
  <c r="CW245" i="1"/>
  <c r="CW244" i="1"/>
  <c r="CW243" i="1"/>
  <c r="CW242" i="1"/>
  <c r="CW241" i="1"/>
  <c r="CW240" i="1"/>
  <c r="CW239" i="1"/>
  <c r="CW238" i="1"/>
  <c r="CW237" i="1"/>
  <c r="CW236" i="1"/>
  <c r="CW235" i="1"/>
  <c r="CW234" i="1"/>
  <c r="CW233" i="1"/>
  <c r="CW232" i="1"/>
  <c r="CW231" i="1"/>
  <c r="CW230" i="1"/>
  <c r="CW229" i="1"/>
  <c r="CW228" i="1"/>
  <c r="CW227" i="1"/>
  <c r="CW226" i="1"/>
  <c r="CW225" i="1"/>
  <c r="CW224" i="1"/>
  <c r="CW223" i="1"/>
  <c r="CW222" i="1"/>
  <c r="CW221" i="1"/>
  <c r="CW220" i="1"/>
  <c r="CW219" i="1"/>
  <c r="CW218" i="1"/>
  <c r="CW217" i="1"/>
  <c r="CW216" i="1"/>
  <c r="CW215" i="1"/>
  <c r="CW214" i="1"/>
  <c r="CW213" i="1"/>
  <c r="CW212" i="1"/>
  <c r="CW211" i="1"/>
  <c r="CW210" i="1"/>
  <c r="CW209" i="1"/>
  <c r="CW208" i="1"/>
  <c r="CW207" i="1"/>
  <c r="CW206" i="1"/>
  <c r="CW205" i="1"/>
  <c r="CW204" i="1"/>
  <c r="CW203" i="1"/>
  <c r="CW202" i="1"/>
  <c r="CW201" i="1"/>
  <c r="CW200" i="1"/>
  <c r="CW199" i="1"/>
  <c r="CW198" i="1"/>
  <c r="CW197" i="1"/>
  <c r="CW196" i="1"/>
  <c r="CW195" i="1"/>
  <c r="CW194" i="1"/>
  <c r="CW193" i="1"/>
  <c r="CW192" i="1"/>
  <c r="CW191" i="1"/>
  <c r="CW190" i="1"/>
  <c r="CW189" i="1"/>
  <c r="CW188" i="1"/>
  <c r="CW187" i="1"/>
  <c r="CW186" i="1"/>
  <c r="CW185" i="1"/>
  <c r="CW184" i="1"/>
  <c r="CW183" i="1"/>
  <c r="CW182" i="1"/>
  <c r="CW181" i="1"/>
  <c r="CW180" i="1"/>
  <c r="CW179" i="1"/>
  <c r="CW178" i="1"/>
  <c r="CW177" i="1"/>
  <c r="CW176" i="1"/>
  <c r="CW175" i="1"/>
  <c r="CW174" i="1"/>
  <c r="CW173" i="1"/>
  <c r="CW172" i="1"/>
  <c r="CW171" i="1"/>
  <c r="CW170" i="1"/>
  <c r="CW169" i="1"/>
  <c r="CW168" i="1"/>
  <c r="CW167" i="1"/>
  <c r="CW166" i="1"/>
  <c r="CW165" i="1"/>
  <c r="CW164" i="1"/>
  <c r="CW163" i="1"/>
  <c r="CW162" i="1"/>
  <c r="CW161" i="1"/>
  <c r="CW160" i="1"/>
  <c r="CW159" i="1"/>
  <c r="CW158" i="1"/>
  <c r="CW157" i="1"/>
  <c r="CW156" i="1"/>
  <c r="CW155" i="1"/>
  <c r="CW154" i="1"/>
  <c r="CW153" i="1"/>
  <c r="CW152" i="1"/>
  <c r="CW151" i="1"/>
  <c r="CW150" i="1"/>
  <c r="CW149" i="1"/>
  <c r="CW148" i="1"/>
  <c r="CW147" i="1"/>
  <c r="CW146" i="1"/>
  <c r="CW145" i="1"/>
  <c r="CW144" i="1"/>
  <c r="CW143" i="1"/>
  <c r="CW142" i="1"/>
  <c r="CW141" i="1"/>
  <c r="CW140" i="1"/>
  <c r="CW139" i="1"/>
  <c r="CW138" i="1"/>
  <c r="CW137" i="1"/>
  <c r="CW136" i="1"/>
  <c r="CW135" i="1"/>
  <c r="CW134" i="1"/>
  <c r="CW133" i="1"/>
  <c r="CW132" i="1"/>
  <c r="CW131" i="1"/>
  <c r="CW130" i="1"/>
  <c r="CW129" i="1"/>
  <c r="CW128" i="1"/>
  <c r="CW127" i="1"/>
  <c r="CW126" i="1"/>
  <c r="CW125" i="1"/>
  <c r="CW124" i="1"/>
  <c r="CW123" i="1"/>
  <c r="CW122" i="1"/>
  <c r="CW121" i="1"/>
  <c r="CW120" i="1"/>
  <c r="CW119" i="1"/>
  <c r="CW118" i="1"/>
  <c r="CW117" i="1"/>
  <c r="CW116" i="1"/>
  <c r="CW115" i="1"/>
  <c r="CW114" i="1"/>
  <c r="CW113" i="1"/>
  <c r="CW112" i="1"/>
  <c r="CW111" i="1"/>
  <c r="CW110" i="1"/>
  <c r="CW109" i="1"/>
  <c r="CW108" i="1"/>
  <c r="CW107" i="1"/>
  <c r="CW106" i="1"/>
  <c r="CW105" i="1"/>
  <c r="CW104" i="1"/>
  <c r="CW103" i="1"/>
  <c r="CW102" i="1"/>
  <c r="CW101" i="1"/>
  <c r="CW100" i="1"/>
  <c r="CW99" i="1"/>
  <c r="CW98" i="1"/>
  <c r="CW97" i="1"/>
  <c r="CW96" i="1"/>
  <c r="CW95" i="1"/>
  <c r="CW94" i="1"/>
  <c r="CW93" i="1"/>
  <c r="CW92" i="1"/>
  <c r="CW91" i="1"/>
  <c r="CW90" i="1"/>
  <c r="CW89" i="1"/>
  <c r="CW88" i="1"/>
  <c r="CW87" i="1"/>
  <c r="CW86" i="1"/>
  <c r="CW85" i="1"/>
  <c r="CW84" i="1"/>
  <c r="CW83" i="1"/>
  <c r="CW82" i="1"/>
  <c r="CW81" i="1"/>
  <c r="CW80" i="1"/>
  <c r="CW79" i="1"/>
  <c r="CW78" i="1"/>
  <c r="CW77" i="1"/>
  <c r="CW76" i="1"/>
  <c r="CW75" i="1"/>
  <c r="CW74" i="1"/>
  <c r="CW73" i="1"/>
  <c r="CW72" i="1"/>
  <c r="CW71" i="1"/>
  <c r="CW70" i="1"/>
  <c r="CW69" i="1"/>
  <c r="CW68" i="1"/>
  <c r="CW67" i="1"/>
  <c r="CW66" i="1"/>
  <c r="CW65" i="1"/>
  <c r="CW64" i="1"/>
  <c r="CW63" i="1"/>
  <c r="CW62" i="1"/>
  <c r="CW61" i="1"/>
  <c r="CW60" i="1"/>
  <c r="CW59" i="1"/>
  <c r="CW58" i="1"/>
  <c r="CW57" i="1"/>
  <c r="CW56" i="1"/>
  <c r="CW55" i="1"/>
  <c r="CW54" i="1"/>
  <c r="CW53" i="1"/>
  <c r="CW52" i="1"/>
  <c r="CW51" i="1"/>
  <c r="CW50" i="1"/>
  <c r="CW49" i="1"/>
  <c r="CW48" i="1"/>
  <c r="CW47" i="1"/>
  <c r="CW46" i="1"/>
  <c r="CW45" i="1"/>
  <c r="CW44" i="1"/>
  <c r="CW43" i="1"/>
  <c r="CW42" i="1"/>
  <c r="CW41" i="1"/>
  <c r="CW40" i="1"/>
  <c r="CW39" i="1"/>
  <c r="CW38" i="1"/>
  <c r="CW37" i="1"/>
  <c r="CW36" i="1"/>
  <c r="CW35" i="1"/>
  <c r="CW34" i="1"/>
  <c r="CW33" i="1"/>
  <c r="CW32" i="1"/>
  <c r="CW31" i="1"/>
  <c r="CW30" i="1"/>
  <c r="CW29" i="1"/>
  <c r="CW28" i="1"/>
  <c r="CW27" i="1"/>
  <c r="CW26" i="1"/>
  <c r="CW25" i="1"/>
  <c r="CW24" i="1"/>
  <c r="CW23" i="1"/>
  <c r="CW22" i="1"/>
  <c r="CW21" i="1"/>
  <c r="CW20" i="1"/>
  <c r="CW19" i="1"/>
  <c r="CW18" i="1"/>
  <c r="CW17" i="1"/>
  <c r="CW16" i="1"/>
  <c r="CW15" i="1"/>
  <c r="CW14" i="1"/>
  <c r="CW13" i="1"/>
  <c r="CW12" i="1"/>
  <c r="CW11" i="1"/>
  <c r="CW10" i="1"/>
  <c r="CW9" i="1"/>
  <c r="CW8" i="1"/>
  <c r="CW7" i="1"/>
  <c r="CW6" i="1"/>
  <c r="CT370" i="1" l="1"/>
  <c r="CS370" i="1"/>
  <c r="CR370" i="1"/>
  <c r="CQ370" i="1"/>
  <c r="CO370" i="1"/>
  <c r="CN370" i="1"/>
  <c r="CL370" i="1"/>
  <c r="CK370" i="1"/>
  <c r="CJ370" i="1"/>
  <c r="CI370" i="1"/>
  <c r="CG370" i="1"/>
  <c r="CT369" i="1"/>
  <c r="CS369" i="1"/>
  <c r="CR369" i="1"/>
  <c r="CQ369" i="1"/>
  <c r="CO369" i="1"/>
  <c r="CN369" i="1"/>
  <c r="CL369" i="1"/>
  <c r="CK369" i="1"/>
  <c r="CJ369" i="1"/>
  <c r="CI369" i="1"/>
  <c r="CG369" i="1"/>
  <c r="CT368" i="1"/>
  <c r="CS368" i="1"/>
  <c r="CR368" i="1"/>
  <c r="CQ368" i="1"/>
  <c r="CO368" i="1"/>
  <c r="CN368" i="1"/>
  <c r="CL368" i="1"/>
  <c r="CK368" i="1"/>
  <c r="CJ368" i="1"/>
  <c r="CI368" i="1"/>
  <c r="CG368" i="1"/>
  <c r="CT367" i="1"/>
  <c r="CS367" i="1"/>
  <c r="CR367" i="1"/>
  <c r="CQ367" i="1"/>
  <c r="CO367" i="1"/>
  <c r="CN367" i="1"/>
  <c r="CL367" i="1"/>
  <c r="CK367" i="1"/>
  <c r="CJ367" i="1"/>
  <c r="CI367" i="1"/>
  <c r="CG367" i="1"/>
  <c r="CT366" i="1"/>
  <c r="CS366" i="1"/>
  <c r="CR366" i="1"/>
  <c r="CQ366" i="1"/>
  <c r="CO366" i="1"/>
  <c r="CN366" i="1"/>
  <c r="CL366" i="1"/>
  <c r="CK366" i="1"/>
  <c r="CJ366" i="1"/>
  <c r="CI366" i="1"/>
  <c r="CG366" i="1"/>
  <c r="CT365" i="1"/>
  <c r="CS365" i="1"/>
  <c r="CR365" i="1"/>
  <c r="CQ365" i="1"/>
  <c r="CO365" i="1"/>
  <c r="CN365" i="1"/>
  <c r="CL365" i="1"/>
  <c r="CK365" i="1"/>
  <c r="CJ365" i="1"/>
  <c r="CI365" i="1"/>
  <c r="CG365" i="1"/>
  <c r="CT364" i="1"/>
  <c r="CS364" i="1"/>
  <c r="CR364" i="1"/>
  <c r="CQ364" i="1"/>
  <c r="CO364" i="1"/>
  <c r="CN364" i="1"/>
  <c r="CL364" i="1"/>
  <c r="CK364" i="1"/>
  <c r="CJ364" i="1"/>
  <c r="CI364" i="1"/>
  <c r="CG364" i="1"/>
  <c r="CT363" i="1"/>
  <c r="CS363" i="1"/>
  <c r="CR363" i="1"/>
  <c r="CQ363" i="1"/>
  <c r="CO363" i="1"/>
  <c r="CN363" i="1"/>
  <c r="CL363" i="1"/>
  <c r="CK363" i="1"/>
  <c r="CJ363" i="1"/>
  <c r="CI363" i="1"/>
  <c r="CG363" i="1"/>
  <c r="CT362" i="1"/>
  <c r="CS362" i="1"/>
  <c r="CR362" i="1"/>
  <c r="CQ362" i="1"/>
  <c r="CO362" i="1"/>
  <c r="CN362" i="1"/>
  <c r="CL362" i="1"/>
  <c r="CK362" i="1"/>
  <c r="CJ362" i="1"/>
  <c r="CI362" i="1"/>
  <c r="CG362" i="1"/>
  <c r="CT361" i="1"/>
  <c r="CS361" i="1"/>
  <c r="CR361" i="1"/>
  <c r="CQ361" i="1"/>
  <c r="CO361" i="1"/>
  <c r="CN361" i="1"/>
  <c r="CL361" i="1"/>
  <c r="CK361" i="1"/>
  <c r="CJ361" i="1"/>
  <c r="CI361" i="1"/>
  <c r="CG361" i="1"/>
  <c r="CT360" i="1"/>
  <c r="CS360" i="1"/>
  <c r="CR360" i="1"/>
  <c r="CQ360" i="1"/>
  <c r="CO360" i="1"/>
  <c r="CN360" i="1"/>
  <c r="CL360" i="1"/>
  <c r="CK360" i="1"/>
  <c r="CJ360" i="1"/>
  <c r="CI360" i="1"/>
  <c r="CG360" i="1"/>
  <c r="CT359" i="1"/>
  <c r="CS359" i="1"/>
  <c r="CR359" i="1"/>
  <c r="CQ359" i="1"/>
  <c r="CO359" i="1"/>
  <c r="CN359" i="1"/>
  <c r="CL359" i="1"/>
  <c r="CK359" i="1"/>
  <c r="CJ359" i="1"/>
  <c r="CI359" i="1"/>
  <c r="CG359" i="1"/>
  <c r="CT358" i="1"/>
  <c r="CS358" i="1"/>
  <c r="CR358" i="1"/>
  <c r="CQ358" i="1"/>
  <c r="CO358" i="1"/>
  <c r="CN358" i="1"/>
  <c r="CL358" i="1"/>
  <c r="CK358" i="1"/>
  <c r="CJ358" i="1"/>
  <c r="CI358" i="1"/>
  <c r="CG358" i="1"/>
  <c r="CT357" i="1"/>
  <c r="CS357" i="1"/>
  <c r="CR357" i="1"/>
  <c r="CQ357" i="1"/>
  <c r="CO357" i="1"/>
  <c r="CN357" i="1"/>
  <c r="CL357" i="1"/>
  <c r="CK357" i="1"/>
  <c r="CJ357" i="1"/>
  <c r="CI357" i="1"/>
  <c r="CG357" i="1"/>
  <c r="CT356" i="1"/>
  <c r="CS356" i="1"/>
  <c r="CR356" i="1"/>
  <c r="CQ356" i="1"/>
  <c r="CO356" i="1"/>
  <c r="CN356" i="1"/>
  <c r="CL356" i="1"/>
  <c r="CK356" i="1"/>
  <c r="CJ356" i="1"/>
  <c r="CI356" i="1"/>
  <c r="CG356" i="1"/>
  <c r="CT355" i="1"/>
  <c r="CS355" i="1"/>
  <c r="CR355" i="1"/>
  <c r="CQ355" i="1"/>
  <c r="CO355" i="1"/>
  <c r="CN355" i="1"/>
  <c r="CL355" i="1"/>
  <c r="CK355" i="1"/>
  <c r="CJ355" i="1"/>
  <c r="CI355" i="1"/>
  <c r="CG355" i="1"/>
  <c r="CT354" i="1"/>
  <c r="CS354" i="1"/>
  <c r="CR354" i="1"/>
  <c r="CQ354" i="1"/>
  <c r="CO354" i="1"/>
  <c r="CN354" i="1"/>
  <c r="CL354" i="1"/>
  <c r="CK354" i="1"/>
  <c r="CJ354" i="1"/>
  <c r="CI354" i="1"/>
  <c r="CG354" i="1"/>
  <c r="CT353" i="1"/>
  <c r="CS353" i="1"/>
  <c r="CR353" i="1"/>
  <c r="CQ353" i="1"/>
  <c r="CO353" i="1"/>
  <c r="CN353" i="1"/>
  <c r="CL353" i="1"/>
  <c r="CK353" i="1"/>
  <c r="CJ353" i="1"/>
  <c r="CI353" i="1"/>
  <c r="CG353" i="1"/>
  <c r="CT352" i="1"/>
  <c r="CS352" i="1"/>
  <c r="CR352" i="1"/>
  <c r="CQ352" i="1"/>
  <c r="CO352" i="1"/>
  <c r="CN352" i="1"/>
  <c r="CL352" i="1"/>
  <c r="CK352" i="1"/>
  <c r="CJ352" i="1"/>
  <c r="CI352" i="1"/>
  <c r="CG352" i="1"/>
  <c r="CT351" i="1"/>
  <c r="CS351" i="1"/>
  <c r="CR351" i="1"/>
  <c r="CQ351" i="1"/>
  <c r="CO351" i="1"/>
  <c r="CN351" i="1"/>
  <c r="CL351" i="1"/>
  <c r="CK351" i="1"/>
  <c r="CJ351" i="1"/>
  <c r="CI351" i="1"/>
  <c r="CG351" i="1"/>
  <c r="CT350" i="1"/>
  <c r="CS350" i="1"/>
  <c r="CR350" i="1"/>
  <c r="CQ350" i="1"/>
  <c r="CO350" i="1"/>
  <c r="CN350" i="1"/>
  <c r="CL350" i="1"/>
  <c r="CK350" i="1"/>
  <c r="CJ350" i="1"/>
  <c r="CI350" i="1"/>
  <c r="CG350" i="1"/>
  <c r="CT349" i="1"/>
  <c r="CS349" i="1"/>
  <c r="CR349" i="1"/>
  <c r="CQ349" i="1"/>
  <c r="CO349" i="1"/>
  <c r="CN349" i="1"/>
  <c r="CL349" i="1"/>
  <c r="CK349" i="1"/>
  <c r="CJ349" i="1"/>
  <c r="CI349" i="1"/>
  <c r="CG349" i="1"/>
  <c r="CT348" i="1"/>
  <c r="CS348" i="1"/>
  <c r="CR348" i="1"/>
  <c r="CQ348" i="1"/>
  <c r="CO348" i="1"/>
  <c r="CN348" i="1"/>
  <c r="CL348" i="1"/>
  <c r="CK348" i="1"/>
  <c r="CJ348" i="1"/>
  <c r="CI348" i="1"/>
  <c r="CG348" i="1"/>
  <c r="CT347" i="1"/>
  <c r="CS347" i="1"/>
  <c r="CR347" i="1"/>
  <c r="CQ347" i="1"/>
  <c r="CO347" i="1"/>
  <c r="CN347" i="1"/>
  <c r="CL347" i="1"/>
  <c r="CK347" i="1"/>
  <c r="CJ347" i="1"/>
  <c r="CI347" i="1"/>
  <c r="CG347" i="1"/>
  <c r="CT346" i="1"/>
  <c r="CS346" i="1"/>
  <c r="CR346" i="1"/>
  <c r="CQ346" i="1"/>
  <c r="CO346" i="1"/>
  <c r="CN346" i="1"/>
  <c r="CL346" i="1"/>
  <c r="CK346" i="1"/>
  <c r="CJ346" i="1"/>
  <c r="CI346" i="1"/>
  <c r="CG346" i="1"/>
  <c r="CT345" i="1"/>
  <c r="CS345" i="1"/>
  <c r="CR345" i="1"/>
  <c r="CQ345" i="1"/>
  <c r="CO345" i="1"/>
  <c r="CN345" i="1"/>
  <c r="CL345" i="1"/>
  <c r="CK345" i="1"/>
  <c r="CJ345" i="1"/>
  <c r="CI345" i="1"/>
  <c r="CG345" i="1"/>
  <c r="CT344" i="1"/>
  <c r="CS344" i="1"/>
  <c r="CR344" i="1"/>
  <c r="CQ344" i="1"/>
  <c r="CO344" i="1"/>
  <c r="CN344" i="1"/>
  <c r="CL344" i="1"/>
  <c r="CK344" i="1"/>
  <c r="CJ344" i="1"/>
  <c r="CI344" i="1"/>
  <c r="CG344" i="1"/>
  <c r="CT343" i="1"/>
  <c r="CS343" i="1"/>
  <c r="CR343" i="1"/>
  <c r="CQ343" i="1"/>
  <c r="CO343" i="1"/>
  <c r="CN343" i="1"/>
  <c r="CL343" i="1"/>
  <c r="CK343" i="1"/>
  <c r="CJ343" i="1"/>
  <c r="CI343" i="1"/>
  <c r="CG343" i="1"/>
  <c r="CT342" i="1"/>
  <c r="CS342" i="1"/>
  <c r="CR342" i="1"/>
  <c r="CQ342" i="1"/>
  <c r="CO342" i="1"/>
  <c r="CN342" i="1"/>
  <c r="CL342" i="1"/>
  <c r="CK342" i="1"/>
  <c r="CJ342" i="1"/>
  <c r="CI342" i="1"/>
  <c r="CG342" i="1"/>
  <c r="CT341" i="1"/>
  <c r="CS341" i="1"/>
  <c r="CR341" i="1"/>
  <c r="CQ341" i="1"/>
  <c r="CO341" i="1"/>
  <c r="CN341" i="1"/>
  <c r="CL341" i="1"/>
  <c r="CK341" i="1"/>
  <c r="CJ341" i="1"/>
  <c r="CI341" i="1"/>
  <c r="CG341" i="1"/>
  <c r="CT340" i="1"/>
  <c r="CS340" i="1"/>
  <c r="CR340" i="1"/>
  <c r="CQ340" i="1"/>
  <c r="CO340" i="1"/>
  <c r="CN340" i="1"/>
  <c r="CL340" i="1"/>
  <c r="CK340" i="1"/>
  <c r="CJ340" i="1"/>
  <c r="CI340" i="1"/>
  <c r="CG340" i="1"/>
  <c r="CT339" i="1"/>
  <c r="CS339" i="1"/>
  <c r="CR339" i="1"/>
  <c r="CQ339" i="1"/>
  <c r="CO339" i="1"/>
  <c r="CN339" i="1"/>
  <c r="CL339" i="1"/>
  <c r="CK339" i="1"/>
  <c r="CJ339" i="1"/>
  <c r="CI339" i="1"/>
  <c r="CG339" i="1"/>
  <c r="CT338" i="1"/>
  <c r="CS338" i="1"/>
  <c r="CR338" i="1"/>
  <c r="CQ338" i="1"/>
  <c r="CO338" i="1"/>
  <c r="CN338" i="1"/>
  <c r="CL338" i="1"/>
  <c r="CK338" i="1"/>
  <c r="CJ338" i="1"/>
  <c r="CI338" i="1"/>
  <c r="CG338" i="1"/>
  <c r="CT337" i="1"/>
  <c r="CS337" i="1"/>
  <c r="CR337" i="1"/>
  <c r="CQ337" i="1"/>
  <c r="CO337" i="1"/>
  <c r="CN337" i="1"/>
  <c r="CL337" i="1"/>
  <c r="CK337" i="1"/>
  <c r="CJ337" i="1"/>
  <c r="CI337" i="1"/>
  <c r="CG337" i="1"/>
  <c r="CT336" i="1"/>
  <c r="CS336" i="1"/>
  <c r="CR336" i="1"/>
  <c r="CQ336" i="1"/>
  <c r="CO336" i="1"/>
  <c r="CN336" i="1"/>
  <c r="CL336" i="1"/>
  <c r="CK336" i="1"/>
  <c r="CJ336" i="1"/>
  <c r="CI336" i="1"/>
  <c r="CG336" i="1"/>
  <c r="CT335" i="1"/>
  <c r="CS335" i="1"/>
  <c r="CR335" i="1"/>
  <c r="CQ335" i="1"/>
  <c r="CO335" i="1"/>
  <c r="CN335" i="1"/>
  <c r="CL335" i="1"/>
  <c r="CK335" i="1"/>
  <c r="CJ335" i="1"/>
  <c r="CI335" i="1"/>
  <c r="CG335" i="1"/>
  <c r="CT334" i="1"/>
  <c r="CS334" i="1"/>
  <c r="CR334" i="1"/>
  <c r="CQ334" i="1"/>
  <c r="CO334" i="1"/>
  <c r="CN334" i="1"/>
  <c r="CL334" i="1"/>
  <c r="CK334" i="1"/>
  <c r="CJ334" i="1"/>
  <c r="CI334" i="1"/>
  <c r="CG334" i="1"/>
  <c r="CT333" i="1"/>
  <c r="CS333" i="1"/>
  <c r="CR333" i="1"/>
  <c r="CQ333" i="1"/>
  <c r="CO333" i="1"/>
  <c r="CN333" i="1"/>
  <c r="CL333" i="1"/>
  <c r="CK333" i="1"/>
  <c r="CJ333" i="1"/>
  <c r="CI333" i="1"/>
  <c r="CG333" i="1"/>
  <c r="CT332" i="1"/>
  <c r="CS332" i="1"/>
  <c r="CR332" i="1"/>
  <c r="CQ332" i="1"/>
  <c r="CO332" i="1"/>
  <c r="CN332" i="1"/>
  <c r="CL332" i="1"/>
  <c r="CK332" i="1"/>
  <c r="CJ332" i="1"/>
  <c r="CI332" i="1"/>
  <c r="CG332" i="1"/>
  <c r="CT331" i="1"/>
  <c r="CS331" i="1"/>
  <c r="CR331" i="1"/>
  <c r="CQ331" i="1"/>
  <c r="CO331" i="1"/>
  <c r="CN331" i="1"/>
  <c r="CL331" i="1"/>
  <c r="CK331" i="1"/>
  <c r="CJ331" i="1"/>
  <c r="CI331" i="1"/>
  <c r="CG331" i="1"/>
  <c r="CT330" i="1"/>
  <c r="CS330" i="1"/>
  <c r="CR330" i="1"/>
  <c r="CQ330" i="1"/>
  <c r="CO330" i="1"/>
  <c r="CN330" i="1"/>
  <c r="CL330" i="1"/>
  <c r="CK330" i="1"/>
  <c r="CJ330" i="1"/>
  <c r="CI330" i="1"/>
  <c r="CG330" i="1"/>
  <c r="CT329" i="1"/>
  <c r="CS329" i="1"/>
  <c r="CR329" i="1"/>
  <c r="CQ329" i="1"/>
  <c r="CO329" i="1"/>
  <c r="CN329" i="1"/>
  <c r="CL329" i="1"/>
  <c r="CK329" i="1"/>
  <c r="CJ329" i="1"/>
  <c r="CI329" i="1"/>
  <c r="CG329" i="1"/>
  <c r="CT328" i="1"/>
  <c r="CS328" i="1"/>
  <c r="CR328" i="1"/>
  <c r="CQ328" i="1"/>
  <c r="CO328" i="1"/>
  <c r="CN328" i="1"/>
  <c r="CL328" i="1"/>
  <c r="CK328" i="1"/>
  <c r="CJ328" i="1"/>
  <c r="CI328" i="1"/>
  <c r="CG328" i="1"/>
  <c r="CT327" i="1"/>
  <c r="CS327" i="1"/>
  <c r="CR327" i="1"/>
  <c r="CQ327" i="1"/>
  <c r="CO327" i="1"/>
  <c r="CN327" i="1"/>
  <c r="CL327" i="1"/>
  <c r="CK327" i="1"/>
  <c r="CJ327" i="1"/>
  <c r="CI327" i="1"/>
  <c r="CG327" i="1"/>
  <c r="CT326" i="1"/>
  <c r="CS326" i="1"/>
  <c r="CR326" i="1"/>
  <c r="CQ326" i="1"/>
  <c r="CO326" i="1"/>
  <c r="CN326" i="1"/>
  <c r="CL326" i="1"/>
  <c r="CK326" i="1"/>
  <c r="CJ326" i="1"/>
  <c r="CI326" i="1"/>
  <c r="CG326" i="1"/>
  <c r="CT325" i="1"/>
  <c r="CS325" i="1"/>
  <c r="CR325" i="1"/>
  <c r="CQ325" i="1"/>
  <c r="CO325" i="1"/>
  <c r="CN325" i="1"/>
  <c r="CL325" i="1"/>
  <c r="CK325" i="1"/>
  <c r="CJ325" i="1"/>
  <c r="CI325" i="1"/>
  <c r="CG325" i="1"/>
  <c r="CT324" i="1"/>
  <c r="CS324" i="1"/>
  <c r="CR324" i="1"/>
  <c r="CQ324" i="1"/>
  <c r="CO324" i="1"/>
  <c r="CN324" i="1"/>
  <c r="CL324" i="1"/>
  <c r="CK324" i="1"/>
  <c r="CJ324" i="1"/>
  <c r="CI324" i="1"/>
  <c r="CG324" i="1"/>
  <c r="CT323" i="1"/>
  <c r="CS323" i="1"/>
  <c r="CR323" i="1"/>
  <c r="CQ323" i="1"/>
  <c r="CO323" i="1"/>
  <c r="CN323" i="1"/>
  <c r="CL323" i="1"/>
  <c r="CK323" i="1"/>
  <c r="CJ323" i="1"/>
  <c r="CI323" i="1"/>
  <c r="CG323" i="1"/>
  <c r="CT322" i="1"/>
  <c r="CS322" i="1"/>
  <c r="CR322" i="1"/>
  <c r="CQ322" i="1"/>
  <c r="CO322" i="1"/>
  <c r="CN322" i="1"/>
  <c r="CL322" i="1"/>
  <c r="CK322" i="1"/>
  <c r="CJ322" i="1"/>
  <c r="CI322" i="1"/>
  <c r="CG322" i="1"/>
  <c r="CT321" i="1"/>
  <c r="CS321" i="1"/>
  <c r="CR321" i="1"/>
  <c r="CQ321" i="1"/>
  <c r="CO321" i="1"/>
  <c r="CN321" i="1"/>
  <c r="CL321" i="1"/>
  <c r="CK321" i="1"/>
  <c r="CJ321" i="1"/>
  <c r="CI321" i="1"/>
  <c r="CG321" i="1"/>
  <c r="CT320" i="1"/>
  <c r="CS320" i="1"/>
  <c r="CR320" i="1"/>
  <c r="CQ320" i="1"/>
  <c r="CO320" i="1"/>
  <c r="CN320" i="1"/>
  <c r="CL320" i="1"/>
  <c r="CK320" i="1"/>
  <c r="CJ320" i="1"/>
  <c r="CI320" i="1"/>
  <c r="CG320" i="1"/>
  <c r="CT319" i="1"/>
  <c r="CS319" i="1"/>
  <c r="CR319" i="1"/>
  <c r="CQ319" i="1"/>
  <c r="CO319" i="1"/>
  <c r="CN319" i="1"/>
  <c r="CL319" i="1"/>
  <c r="CK319" i="1"/>
  <c r="CJ319" i="1"/>
  <c r="CI319" i="1"/>
  <c r="CG319" i="1"/>
  <c r="CT318" i="1"/>
  <c r="CS318" i="1"/>
  <c r="CR318" i="1"/>
  <c r="CQ318" i="1"/>
  <c r="CO318" i="1"/>
  <c r="CN318" i="1"/>
  <c r="CL318" i="1"/>
  <c r="CK318" i="1"/>
  <c r="CJ318" i="1"/>
  <c r="CI318" i="1"/>
  <c r="CG318" i="1"/>
  <c r="CT317" i="1"/>
  <c r="CS317" i="1"/>
  <c r="CR317" i="1"/>
  <c r="CQ317" i="1"/>
  <c r="CO317" i="1"/>
  <c r="CN317" i="1"/>
  <c r="CL317" i="1"/>
  <c r="CK317" i="1"/>
  <c r="CJ317" i="1"/>
  <c r="CI317" i="1"/>
  <c r="CG317" i="1"/>
  <c r="CT316" i="1"/>
  <c r="CS316" i="1"/>
  <c r="CR316" i="1"/>
  <c r="CQ316" i="1"/>
  <c r="CO316" i="1"/>
  <c r="CN316" i="1"/>
  <c r="CL316" i="1"/>
  <c r="CK316" i="1"/>
  <c r="CJ316" i="1"/>
  <c r="CI316" i="1"/>
  <c r="CG316" i="1"/>
  <c r="CT315" i="1"/>
  <c r="CS315" i="1"/>
  <c r="CR315" i="1"/>
  <c r="CQ315" i="1"/>
  <c r="CO315" i="1"/>
  <c r="CN315" i="1"/>
  <c r="CL315" i="1"/>
  <c r="CK315" i="1"/>
  <c r="CJ315" i="1"/>
  <c r="CI315" i="1"/>
  <c r="CG315" i="1"/>
  <c r="CT314" i="1"/>
  <c r="CS314" i="1"/>
  <c r="CR314" i="1"/>
  <c r="CQ314" i="1"/>
  <c r="CO314" i="1"/>
  <c r="CN314" i="1"/>
  <c r="CL314" i="1"/>
  <c r="CK314" i="1"/>
  <c r="CJ314" i="1"/>
  <c r="CI314" i="1"/>
  <c r="CG314" i="1"/>
  <c r="CT313" i="1"/>
  <c r="CS313" i="1"/>
  <c r="CR313" i="1"/>
  <c r="CQ313" i="1"/>
  <c r="CO313" i="1"/>
  <c r="CN313" i="1"/>
  <c r="CL313" i="1"/>
  <c r="CK313" i="1"/>
  <c r="CJ313" i="1"/>
  <c r="CI313" i="1"/>
  <c r="CG313" i="1"/>
  <c r="CT312" i="1"/>
  <c r="CS312" i="1"/>
  <c r="CR312" i="1"/>
  <c r="CQ312" i="1"/>
  <c r="CO312" i="1"/>
  <c r="CN312" i="1"/>
  <c r="CL312" i="1"/>
  <c r="CK312" i="1"/>
  <c r="CJ312" i="1"/>
  <c r="CI312" i="1"/>
  <c r="CG312" i="1"/>
  <c r="CT311" i="1"/>
  <c r="CS311" i="1"/>
  <c r="CR311" i="1"/>
  <c r="CQ311" i="1"/>
  <c r="CO311" i="1"/>
  <c r="CN311" i="1"/>
  <c r="CL311" i="1"/>
  <c r="CK311" i="1"/>
  <c r="CJ311" i="1"/>
  <c r="CI311" i="1"/>
  <c r="CG311" i="1"/>
  <c r="CT310" i="1"/>
  <c r="CS310" i="1"/>
  <c r="CR310" i="1"/>
  <c r="CQ310" i="1"/>
  <c r="CO310" i="1"/>
  <c r="CN310" i="1"/>
  <c r="CL310" i="1"/>
  <c r="CK310" i="1"/>
  <c r="CJ310" i="1"/>
  <c r="CI310" i="1"/>
  <c r="CG310" i="1"/>
  <c r="CT309" i="1"/>
  <c r="CS309" i="1"/>
  <c r="CR309" i="1"/>
  <c r="CQ309" i="1"/>
  <c r="CO309" i="1"/>
  <c r="CN309" i="1"/>
  <c r="CL309" i="1"/>
  <c r="CK309" i="1"/>
  <c r="CJ309" i="1"/>
  <c r="CI309" i="1"/>
  <c r="CG309" i="1"/>
  <c r="CT308" i="1"/>
  <c r="CS308" i="1"/>
  <c r="CR308" i="1"/>
  <c r="CQ308" i="1"/>
  <c r="CO308" i="1"/>
  <c r="CN308" i="1"/>
  <c r="CL308" i="1"/>
  <c r="CK308" i="1"/>
  <c r="CJ308" i="1"/>
  <c r="CI308" i="1"/>
  <c r="CG308" i="1"/>
  <c r="CT307" i="1"/>
  <c r="CS307" i="1"/>
  <c r="CR307" i="1"/>
  <c r="CQ307" i="1"/>
  <c r="CO307" i="1"/>
  <c r="CN307" i="1"/>
  <c r="CL307" i="1"/>
  <c r="CK307" i="1"/>
  <c r="CJ307" i="1"/>
  <c r="CI307" i="1"/>
  <c r="CG307" i="1"/>
  <c r="CT306" i="1"/>
  <c r="CS306" i="1"/>
  <c r="CR306" i="1"/>
  <c r="CQ306" i="1"/>
  <c r="CO306" i="1"/>
  <c r="CN306" i="1"/>
  <c r="CL306" i="1"/>
  <c r="CK306" i="1"/>
  <c r="CJ306" i="1"/>
  <c r="CI306" i="1"/>
  <c r="CG306" i="1"/>
  <c r="CT305" i="1"/>
  <c r="CS305" i="1"/>
  <c r="CR305" i="1"/>
  <c r="CQ305" i="1"/>
  <c r="CO305" i="1"/>
  <c r="CN305" i="1"/>
  <c r="CL305" i="1"/>
  <c r="CK305" i="1"/>
  <c r="CJ305" i="1"/>
  <c r="CI305" i="1"/>
  <c r="CG305" i="1"/>
  <c r="CT304" i="1"/>
  <c r="CS304" i="1"/>
  <c r="CR304" i="1"/>
  <c r="CQ304" i="1"/>
  <c r="CO304" i="1"/>
  <c r="CN304" i="1"/>
  <c r="CL304" i="1"/>
  <c r="CK304" i="1"/>
  <c r="CJ304" i="1"/>
  <c r="CI304" i="1"/>
  <c r="CG304" i="1"/>
  <c r="CT303" i="1"/>
  <c r="CS303" i="1"/>
  <c r="CR303" i="1"/>
  <c r="CQ303" i="1"/>
  <c r="CO303" i="1"/>
  <c r="CN303" i="1"/>
  <c r="CL303" i="1"/>
  <c r="CK303" i="1"/>
  <c r="CJ303" i="1"/>
  <c r="CI303" i="1"/>
  <c r="CG303" i="1"/>
  <c r="CT302" i="1"/>
  <c r="CS302" i="1"/>
  <c r="CR302" i="1"/>
  <c r="CQ302" i="1"/>
  <c r="CO302" i="1"/>
  <c r="CN302" i="1"/>
  <c r="CL302" i="1"/>
  <c r="CK302" i="1"/>
  <c r="CJ302" i="1"/>
  <c r="CI302" i="1"/>
  <c r="CG302" i="1"/>
  <c r="CT301" i="1"/>
  <c r="CS301" i="1"/>
  <c r="CR301" i="1"/>
  <c r="CQ301" i="1"/>
  <c r="CO301" i="1"/>
  <c r="CN301" i="1"/>
  <c r="CL301" i="1"/>
  <c r="CK301" i="1"/>
  <c r="CJ301" i="1"/>
  <c r="CI301" i="1"/>
  <c r="CG301" i="1"/>
  <c r="CT300" i="1"/>
  <c r="CS300" i="1"/>
  <c r="CR300" i="1"/>
  <c r="CQ300" i="1"/>
  <c r="CO300" i="1"/>
  <c r="CN300" i="1"/>
  <c r="CL300" i="1"/>
  <c r="CK300" i="1"/>
  <c r="CJ300" i="1"/>
  <c r="CI300" i="1"/>
  <c r="CG300" i="1"/>
  <c r="CT299" i="1"/>
  <c r="CS299" i="1"/>
  <c r="CR299" i="1"/>
  <c r="CQ299" i="1"/>
  <c r="CO299" i="1"/>
  <c r="CN299" i="1"/>
  <c r="CL299" i="1"/>
  <c r="CK299" i="1"/>
  <c r="CJ299" i="1"/>
  <c r="CI299" i="1"/>
  <c r="CG299" i="1"/>
  <c r="CT298" i="1"/>
  <c r="CS298" i="1"/>
  <c r="CR298" i="1"/>
  <c r="CQ298" i="1"/>
  <c r="CO298" i="1"/>
  <c r="CN298" i="1"/>
  <c r="CL298" i="1"/>
  <c r="CK298" i="1"/>
  <c r="CJ298" i="1"/>
  <c r="CI298" i="1"/>
  <c r="CG298" i="1"/>
  <c r="CT297" i="1"/>
  <c r="CS297" i="1"/>
  <c r="CR297" i="1"/>
  <c r="CQ297" i="1"/>
  <c r="CO297" i="1"/>
  <c r="CN297" i="1"/>
  <c r="CL297" i="1"/>
  <c r="CK297" i="1"/>
  <c r="CJ297" i="1"/>
  <c r="CI297" i="1"/>
  <c r="CG297" i="1"/>
  <c r="CT296" i="1"/>
  <c r="CS296" i="1"/>
  <c r="CR296" i="1"/>
  <c r="CQ296" i="1"/>
  <c r="CO296" i="1"/>
  <c r="CN296" i="1"/>
  <c r="CL296" i="1"/>
  <c r="CK296" i="1"/>
  <c r="CJ296" i="1"/>
  <c r="CI296" i="1"/>
  <c r="CG296" i="1"/>
  <c r="CT295" i="1"/>
  <c r="CS295" i="1"/>
  <c r="CR295" i="1"/>
  <c r="CQ295" i="1"/>
  <c r="CO295" i="1"/>
  <c r="CN295" i="1"/>
  <c r="CL295" i="1"/>
  <c r="CK295" i="1"/>
  <c r="CJ295" i="1"/>
  <c r="CI295" i="1"/>
  <c r="CG295" i="1"/>
  <c r="CT294" i="1"/>
  <c r="CS294" i="1"/>
  <c r="CR294" i="1"/>
  <c r="CQ294" i="1"/>
  <c r="CO294" i="1"/>
  <c r="CN294" i="1"/>
  <c r="CL294" i="1"/>
  <c r="CK294" i="1"/>
  <c r="CJ294" i="1"/>
  <c r="CI294" i="1"/>
  <c r="CG294" i="1"/>
  <c r="CT293" i="1"/>
  <c r="CS293" i="1"/>
  <c r="CR293" i="1"/>
  <c r="CQ293" i="1"/>
  <c r="CO293" i="1"/>
  <c r="CN293" i="1"/>
  <c r="CL293" i="1"/>
  <c r="CK293" i="1"/>
  <c r="CJ293" i="1"/>
  <c r="CI293" i="1"/>
  <c r="CG293" i="1"/>
  <c r="CT292" i="1"/>
  <c r="CS292" i="1"/>
  <c r="CR292" i="1"/>
  <c r="CQ292" i="1"/>
  <c r="CO292" i="1"/>
  <c r="CN292" i="1"/>
  <c r="CL292" i="1"/>
  <c r="CK292" i="1"/>
  <c r="CJ292" i="1"/>
  <c r="CI292" i="1"/>
  <c r="CG292" i="1"/>
  <c r="CT291" i="1"/>
  <c r="CS291" i="1"/>
  <c r="CR291" i="1"/>
  <c r="CQ291" i="1"/>
  <c r="CO291" i="1"/>
  <c r="CN291" i="1"/>
  <c r="CL291" i="1"/>
  <c r="CK291" i="1"/>
  <c r="CJ291" i="1"/>
  <c r="CI291" i="1"/>
  <c r="CG291" i="1"/>
  <c r="CT290" i="1"/>
  <c r="CS290" i="1"/>
  <c r="CR290" i="1"/>
  <c r="CQ290" i="1"/>
  <c r="CO290" i="1"/>
  <c r="CN290" i="1"/>
  <c r="CL290" i="1"/>
  <c r="CK290" i="1"/>
  <c r="CJ290" i="1"/>
  <c r="CI290" i="1"/>
  <c r="CG290" i="1"/>
  <c r="CT289" i="1"/>
  <c r="CS289" i="1"/>
  <c r="CR289" i="1"/>
  <c r="CQ289" i="1"/>
  <c r="CO289" i="1"/>
  <c r="CN289" i="1"/>
  <c r="CL289" i="1"/>
  <c r="CK289" i="1"/>
  <c r="CJ289" i="1"/>
  <c r="CI289" i="1"/>
  <c r="CG289" i="1"/>
  <c r="CT288" i="1"/>
  <c r="CS288" i="1"/>
  <c r="CR288" i="1"/>
  <c r="CQ288" i="1"/>
  <c r="CO288" i="1"/>
  <c r="CN288" i="1"/>
  <c r="CL288" i="1"/>
  <c r="CK288" i="1"/>
  <c r="CJ288" i="1"/>
  <c r="CI288" i="1"/>
  <c r="CG288" i="1"/>
  <c r="CT287" i="1"/>
  <c r="CS287" i="1"/>
  <c r="CR287" i="1"/>
  <c r="CQ287" i="1"/>
  <c r="CO287" i="1"/>
  <c r="CN287" i="1"/>
  <c r="CL287" i="1"/>
  <c r="CK287" i="1"/>
  <c r="CJ287" i="1"/>
  <c r="CI287" i="1"/>
  <c r="CG287" i="1"/>
  <c r="CT286" i="1"/>
  <c r="CS286" i="1"/>
  <c r="CR286" i="1"/>
  <c r="CQ286" i="1"/>
  <c r="CO286" i="1"/>
  <c r="CN286" i="1"/>
  <c r="CL286" i="1"/>
  <c r="CK286" i="1"/>
  <c r="CJ286" i="1"/>
  <c r="CI286" i="1"/>
  <c r="CG286" i="1"/>
  <c r="CT285" i="1"/>
  <c r="CS285" i="1"/>
  <c r="CR285" i="1"/>
  <c r="CQ285" i="1"/>
  <c r="CO285" i="1"/>
  <c r="CN285" i="1"/>
  <c r="CL285" i="1"/>
  <c r="CK285" i="1"/>
  <c r="CJ285" i="1"/>
  <c r="CI285" i="1"/>
  <c r="CG285" i="1"/>
  <c r="CT284" i="1"/>
  <c r="CS284" i="1"/>
  <c r="CR284" i="1"/>
  <c r="CQ284" i="1"/>
  <c r="CO284" i="1"/>
  <c r="CN284" i="1"/>
  <c r="CL284" i="1"/>
  <c r="CK284" i="1"/>
  <c r="CJ284" i="1"/>
  <c r="CI284" i="1"/>
  <c r="CG284" i="1"/>
  <c r="CT283" i="1"/>
  <c r="CS283" i="1"/>
  <c r="CR283" i="1"/>
  <c r="CQ283" i="1"/>
  <c r="CO283" i="1"/>
  <c r="CN283" i="1"/>
  <c r="CL283" i="1"/>
  <c r="CK283" i="1"/>
  <c r="CJ283" i="1"/>
  <c r="CI283" i="1"/>
  <c r="CG283" i="1"/>
  <c r="CT282" i="1"/>
  <c r="CS282" i="1"/>
  <c r="CR282" i="1"/>
  <c r="CQ282" i="1"/>
  <c r="CO282" i="1"/>
  <c r="CN282" i="1"/>
  <c r="CL282" i="1"/>
  <c r="CK282" i="1"/>
  <c r="CJ282" i="1"/>
  <c r="CI282" i="1"/>
  <c r="CG282" i="1"/>
  <c r="CT281" i="1"/>
  <c r="CS281" i="1"/>
  <c r="CR281" i="1"/>
  <c r="CQ281" i="1"/>
  <c r="CO281" i="1"/>
  <c r="CN281" i="1"/>
  <c r="CL281" i="1"/>
  <c r="CK281" i="1"/>
  <c r="CJ281" i="1"/>
  <c r="CI281" i="1"/>
  <c r="CG281" i="1"/>
  <c r="CT280" i="1"/>
  <c r="CS280" i="1"/>
  <c r="CR280" i="1"/>
  <c r="CQ280" i="1"/>
  <c r="CO280" i="1"/>
  <c r="CN280" i="1"/>
  <c r="CL280" i="1"/>
  <c r="CK280" i="1"/>
  <c r="CJ280" i="1"/>
  <c r="CI280" i="1"/>
  <c r="CG280" i="1"/>
  <c r="CT279" i="1"/>
  <c r="CS279" i="1"/>
  <c r="CR279" i="1"/>
  <c r="CQ279" i="1"/>
  <c r="CO279" i="1"/>
  <c r="CN279" i="1"/>
  <c r="CL279" i="1"/>
  <c r="CK279" i="1"/>
  <c r="CJ279" i="1"/>
  <c r="CI279" i="1"/>
  <c r="CG279" i="1"/>
  <c r="CT278" i="1"/>
  <c r="CS278" i="1"/>
  <c r="CR278" i="1"/>
  <c r="CQ278" i="1"/>
  <c r="CO278" i="1"/>
  <c r="CN278" i="1"/>
  <c r="CL278" i="1"/>
  <c r="CK278" i="1"/>
  <c r="CJ278" i="1"/>
  <c r="CI278" i="1"/>
  <c r="CG278" i="1"/>
  <c r="CT277" i="1"/>
  <c r="CS277" i="1"/>
  <c r="CR277" i="1"/>
  <c r="CQ277" i="1"/>
  <c r="CO277" i="1"/>
  <c r="CN277" i="1"/>
  <c r="CL277" i="1"/>
  <c r="CK277" i="1"/>
  <c r="CJ277" i="1"/>
  <c r="CI277" i="1"/>
  <c r="CG277" i="1"/>
  <c r="CT276" i="1"/>
  <c r="CS276" i="1"/>
  <c r="CR276" i="1"/>
  <c r="CQ276" i="1"/>
  <c r="CO276" i="1"/>
  <c r="CN276" i="1"/>
  <c r="CL276" i="1"/>
  <c r="CK276" i="1"/>
  <c r="CJ276" i="1"/>
  <c r="CI276" i="1"/>
  <c r="CG276" i="1"/>
  <c r="CT275" i="1"/>
  <c r="CS275" i="1"/>
  <c r="CR275" i="1"/>
  <c r="CQ275" i="1"/>
  <c r="CO275" i="1"/>
  <c r="CN275" i="1"/>
  <c r="CL275" i="1"/>
  <c r="CK275" i="1"/>
  <c r="CJ275" i="1"/>
  <c r="CI275" i="1"/>
  <c r="CG275" i="1"/>
  <c r="CT274" i="1"/>
  <c r="CS274" i="1"/>
  <c r="CR274" i="1"/>
  <c r="CQ274" i="1"/>
  <c r="CO274" i="1"/>
  <c r="CN274" i="1"/>
  <c r="CL274" i="1"/>
  <c r="CK274" i="1"/>
  <c r="CJ274" i="1"/>
  <c r="CI274" i="1"/>
  <c r="CG274" i="1"/>
  <c r="CT273" i="1"/>
  <c r="CS273" i="1"/>
  <c r="CR273" i="1"/>
  <c r="CQ273" i="1"/>
  <c r="CO273" i="1"/>
  <c r="CN273" i="1"/>
  <c r="CL273" i="1"/>
  <c r="CK273" i="1"/>
  <c r="CJ273" i="1"/>
  <c r="CI273" i="1"/>
  <c r="CG273" i="1"/>
  <c r="CT272" i="1"/>
  <c r="CS272" i="1"/>
  <c r="CR272" i="1"/>
  <c r="CQ272" i="1"/>
  <c r="CO272" i="1"/>
  <c r="CN272" i="1"/>
  <c r="CL272" i="1"/>
  <c r="CK272" i="1"/>
  <c r="CJ272" i="1"/>
  <c r="CI272" i="1"/>
  <c r="CG272" i="1"/>
  <c r="CT271" i="1"/>
  <c r="CS271" i="1"/>
  <c r="CR271" i="1"/>
  <c r="CQ271" i="1"/>
  <c r="CO271" i="1"/>
  <c r="CN271" i="1"/>
  <c r="CL271" i="1"/>
  <c r="CK271" i="1"/>
  <c r="CJ271" i="1"/>
  <c r="CI271" i="1"/>
  <c r="CG271" i="1"/>
  <c r="CT270" i="1"/>
  <c r="CS270" i="1"/>
  <c r="CR270" i="1"/>
  <c r="CQ270" i="1"/>
  <c r="CO270" i="1"/>
  <c r="CN270" i="1"/>
  <c r="CL270" i="1"/>
  <c r="CK270" i="1"/>
  <c r="CJ270" i="1"/>
  <c r="CI270" i="1"/>
  <c r="CG270" i="1"/>
  <c r="CT269" i="1"/>
  <c r="CS269" i="1"/>
  <c r="CR269" i="1"/>
  <c r="CQ269" i="1"/>
  <c r="CO269" i="1"/>
  <c r="CN269" i="1"/>
  <c r="CL269" i="1"/>
  <c r="CK269" i="1"/>
  <c r="CJ269" i="1"/>
  <c r="CI269" i="1"/>
  <c r="CG269" i="1"/>
  <c r="CT268" i="1"/>
  <c r="CS268" i="1"/>
  <c r="CR268" i="1"/>
  <c r="CQ268" i="1"/>
  <c r="CO268" i="1"/>
  <c r="CN268" i="1"/>
  <c r="CL268" i="1"/>
  <c r="CK268" i="1"/>
  <c r="CJ268" i="1"/>
  <c r="CI268" i="1"/>
  <c r="CG268" i="1"/>
  <c r="CT267" i="1"/>
  <c r="CS267" i="1"/>
  <c r="CR267" i="1"/>
  <c r="CQ267" i="1"/>
  <c r="CO267" i="1"/>
  <c r="CN267" i="1"/>
  <c r="CL267" i="1"/>
  <c r="CK267" i="1"/>
  <c r="CJ267" i="1"/>
  <c r="CI267" i="1"/>
  <c r="CG267" i="1"/>
  <c r="CT266" i="1"/>
  <c r="CS266" i="1"/>
  <c r="CR266" i="1"/>
  <c r="CQ266" i="1"/>
  <c r="CO266" i="1"/>
  <c r="CN266" i="1"/>
  <c r="CL266" i="1"/>
  <c r="CK266" i="1"/>
  <c r="CJ266" i="1"/>
  <c r="CI266" i="1"/>
  <c r="CG266" i="1"/>
  <c r="CT265" i="1"/>
  <c r="CS265" i="1"/>
  <c r="CR265" i="1"/>
  <c r="CQ265" i="1"/>
  <c r="CO265" i="1"/>
  <c r="CN265" i="1"/>
  <c r="CL265" i="1"/>
  <c r="CK265" i="1"/>
  <c r="CJ265" i="1"/>
  <c r="CI265" i="1"/>
  <c r="CG265" i="1"/>
  <c r="CT264" i="1"/>
  <c r="CS264" i="1"/>
  <c r="CR264" i="1"/>
  <c r="CQ264" i="1"/>
  <c r="CO264" i="1"/>
  <c r="CN264" i="1"/>
  <c r="CL264" i="1"/>
  <c r="CK264" i="1"/>
  <c r="CJ264" i="1"/>
  <c r="CI264" i="1"/>
  <c r="CG264" i="1"/>
  <c r="CT263" i="1"/>
  <c r="CS263" i="1"/>
  <c r="CR263" i="1"/>
  <c r="CQ263" i="1"/>
  <c r="CO263" i="1"/>
  <c r="CN263" i="1"/>
  <c r="CL263" i="1"/>
  <c r="CK263" i="1"/>
  <c r="CJ263" i="1"/>
  <c r="CI263" i="1"/>
  <c r="CG263" i="1"/>
  <c r="CT262" i="1"/>
  <c r="CS262" i="1"/>
  <c r="CR262" i="1"/>
  <c r="CQ262" i="1"/>
  <c r="CO262" i="1"/>
  <c r="CN262" i="1"/>
  <c r="CL262" i="1"/>
  <c r="CK262" i="1"/>
  <c r="CJ262" i="1"/>
  <c r="CI262" i="1"/>
  <c r="CG262" i="1"/>
  <c r="CT261" i="1"/>
  <c r="CS261" i="1"/>
  <c r="CR261" i="1"/>
  <c r="CQ261" i="1"/>
  <c r="CO261" i="1"/>
  <c r="CN261" i="1"/>
  <c r="CL261" i="1"/>
  <c r="CK261" i="1"/>
  <c r="CJ261" i="1"/>
  <c r="CI261" i="1"/>
  <c r="CG261" i="1"/>
  <c r="CT260" i="1"/>
  <c r="CS260" i="1"/>
  <c r="CR260" i="1"/>
  <c r="CQ260" i="1"/>
  <c r="CO260" i="1"/>
  <c r="CN260" i="1"/>
  <c r="CL260" i="1"/>
  <c r="CK260" i="1"/>
  <c r="CJ260" i="1"/>
  <c r="CI260" i="1"/>
  <c r="CG260" i="1"/>
  <c r="CT259" i="1"/>
  <c r="CS259" i="1"/>
  <c r="CR259" i="1"/>
  <c r="CQ259" i="1"/>
  <c r="CO259" i="1"/>
  <c r="CN259" i="1"/>
  <c r="CL259" i="1"/>
  <c r="CK259" i="1"/>
  <c r="CJ259" i="1"/>
  <c r="CI259" i="1"/>
  <c r="CG259" i="1"/>
  <c r="CT258" i="1"/>
  <c r="CS258" i="1"/>
  <c r="CR258" i="1"/>
  <c r="CQ258" i="1"/>
  <c r="CO258" i="1"/>
  <c r="CN258" i="1"/>
  <c r="CL258" i="1"/>
  <c r="CK258" i="1"/>
  <c r="CJ258" i="1"/>
  <c r="CI258" i="1"/>
  <c r="CG258" i="1"/>
  <c r="CT257" i="1"/>
  <c r="CS257" i="1"/>
  <c r="CR257" i="1"/>
  <c r="CQ257" i="1"/>
  <c r="CO257" i="1"/>
  <c r="CN257" i="1"/>
  <c r="CL257" i="1"/>
  <c r="CK257" i="1"/>
  <c r="CJ257" i="1"/>
  <c r="CI257" i="1"/>
  <c r="CG257" i="1"/>
  <c r="CT256" i="1"/>
  <c r="CS256" i="1"/>
  <c r="CR256" i="1"/>
  <c r="CQ256" i="1"/>
  <c r="CO256" i="1"/>
  <c r="CN256" i="1"/>
  <c r="CL256" i="1"/>
  <c r="CK256" i="1"/>
  <c r="CJ256" i="1"/>
  <c r="CI256" i="1"/>
  <c r="CG256" i="1"/>
  <c r="CT255" i="1"/>
  <c r="CS255" i="1"/>
  <c r="CR255" i="1"/>
  <c r="CQ255" i="1"/>
  <c r="CO255" i="1"/>
  <c r="CN255" i="1"/>
  <c r="CL255" i="1"/>
  <c r="CK255" i="1"/>
  <c r="CJ255" i="1"/>
  <c r="CI255" i="1"/>
  <c r="CG255" i="1"/>
  <c r="CT254" i="1"/>
  <c r="CS254" i="1"/>
  <c r="CR254" i="1"/>
  <c r="CQ254" i="1"/>
  <c r="CO254" i="1"/>
  <c r="CN254" i="1"/>
  <c r="CL254" i="1"/>
  <c r="CK254" i="1"/>
  <c r="CJ254" i="1"/>
  <c r="CI254" i="1"/>
  <c r="CG254" i="1"/>
  <c r="CT253" i="1"/>
  <c r="CS253" i="1"/>
  <c r="CR253" i="1"/>
  <c r="CQ253" i="1"/>
  <c r="CO253" i="1"/>
  <c r="CN253" i="1"/>
  <c r="CL253" i="1"/>
  <c r="CK253" i="1"/>
  <c r="CJ253" i="1"/>
  <c r="CI253" i="1"/>
  <c r="CG253" i="1"/>
  <c r="CT252" i="1"/>
  <c r="CS252" i="1"/>
  <c r="CR252" i="1"/>
  <c r="CQ252" i="1"/>
  <c r="CO252" i="1"/>
  <c r="CN252" i="1"/>
  <c r="CL252" i="1"/>
  <c r="CK252" i="1"/>
  <c r="CJ252" i="1"/>
  <c r="CI252" i="1"/>
  <c r="CG252" i="1"/>
  <c r="CT251" i="1"/>
  <c r="CS251" i="1"/>
  <c r="CR251" i="1"/>
  <c r="CQ251" i="1"/>
  <c r="CO251" i="1"/>
  <c r="CN251" i="1"/>
  <c r="CL251" i="1"/>
  <c r="CK251" i="1"/>
  <c r="CJ251" i="1"/>
  <c r="CI251" i="1"/>
  <c r="CG251" i="1"/>
  <c r="CT250" i="1"/>
  <c r="CS250" i="1"/>
  <c r="CR250" i="1"/>
  <c r="CQ250" i="1"/>
  <c r="CO250" i="1"/>
  <c r="CN250" i="1"/>
  <c r="CL250" i="1"/>
  <c r="CK250" i="1"/>
  <c r="CJ250" i="1"/>
  <c r="CI250" i="1"/>
  <c r="CG250" i="1"/>
  <c r="CT249" i="1"/>
  <c r="CS249" i="1"/>
  <c r="CR249" i="1"/>
  <c r="CQ249" i="1"/>
  <c r="CO249" i="1"/>
  <c r="CN249" i="1"/>
  <c r="CL249" i="1"/>
  <c r="CK249" i="1"/>
  <c r="CJ249" i="1"/>
  <c r="CI249" i="1"/>
  <c r="CG249" i="1"/>
  <c r="CT248" i="1"/>
  <c r="CS248" i="1"/>
  <c r="CR248" i="1"/>
  <c r="CQ248" i="1"/>
  <c r="CO248" i="1"/>
  <c r="CN248" i="1"/>
  <c r="CL248" i="1"/>
  <c r="CK248" i="1"/>
  <c r="CJ248" i="1"/>
  <c r="CI248" i="1"/>
  <c r="CG248" i="1"/>
  <c r="CT247" i="1"/>
  <c r="CS247" i="1"/>
  <c r="CR247" i="1"/>
  <c r="CQ247" i="1"/>
  <c r="CO247" i="1"/>
  <c r="CN247" i="1"/>
  <c r="CL247" i="1"/>
  <c r="CK247" i="1"/>
  <c r="CJ247" i="1"/>
  <c r="CI247" i="1"/>
  <c r="CG247" i="1"/>
  <c r="CT246" i="1"/>
  <c r="CS246" i="1"/>
  <c r="CR246" i="1"/>
  <c r="CQ246" i="1"/>
  <c r="CO246" i="1"/>
  <c r="CN246" i="1"/>
  <c r="CL246" i="1"/>
  <c r="CK246" i="1"/>
  <c r="CJ246" i="1"/>
  <c r="CI246" i="1"/>
  <c r="CG246" i="1"/>
  <c r="CT245" i="1"/>
  <c r="CS245" i="1"/>
  <c r="CR245" i="1"/>
  <c r="CQ245" i="1"/>
  <c r="CO245" i="1"/>
  <c r="CN245" i="1"/>
  <c r="CL245" i="1"/>
  <c r="CK245" i="1"/>
  <c r="CJ245" i="1"/>
  <c r="CI245" i="1"/>
  <c r="CG245" i="1"/>
  <c r="CT244" i="1"/>
  <c r="CS244" i="1"/>
  <c r="CR244" i="1"/>
  <c r="CQ244" i="1"/>
  <c r="CO244" i="1"/>
  <c r="CN244" i="1"/>
  <c r="CL244" i="1"/>
  <c r="CK244" i="1"/>
  <c r="CJ244" i="1"/>
  <c r="CI244" i="1"/>
  <c r="CG244" i="1"/>
  <c r="CT243" i="1"/>
  <c r="CS243" i="1"/>
  <c r="CR243" i="1"/>
  <c r="CQ243" i="1"/>
  <c r="CO243" i="1"/>
  <c r="CN243" i="1"/>
  <c r="CL243" i="1"/>
  <c r="CK243" i="1"/>
  <c r="CJ243" i="1"/>
  <c r="CI243" i="1"/>
  <c r="CG243" i="1"/>
  <c r="CT242" i="1"/>
  <c r="CS242" i="1"/>
  <c r="CR242" i="1"/>
  <c r="CQ242" i="1"/>
  <c r="CO242" i="1"/>
  <c r="CN242" i="1"/>
  <c r="CL242" i="1"/>
  <c r="CK242" i="1"/>
  <c r="CJ242" i="1"/>
  <c r="CI242" i="1"/>
  <c r="CG242" i="1"/>
  <c r="CT241" i="1"/>
  <c r="CS241" i="1"/>
  <c r="CR241" i="1"/>
  <c r="CQ241" i="1"/>
  <c r="CO241" i="1"/>
  <c r="CN241" i="1"/>
  <c r="CL241" i="1"/>
  <c r="CK241" i="1"/>
  <c r="CJ241" i="1"/>
  <c r="CI241" i="1"/>
  <c r="CG241" i="1"/>
  <c r="CT240" i="1"/>
  <c r="CS240" i="1"/>
  <c r="CR240" i="1"/>
  <c r="CQ240" i="1"/>
  <c r="CO240" i="1"/>
  <c r="CN240" i="1"/>
  <c r="CL240" i="1"/>
  <c r="CK240" i="1"/>
  <c r="CJ240" i="1"/>
  <c r="CI240" i="1"/>
  <c r="CG240" i="1"/>
  <c r="CT239" i="1"/>
  <c r="CS239" i="1"/>
  <c r="CR239" i="1"/>
  <c r="CQ239" i="1"/>
  <c r="CO239" i="1"/>
  <c r="CN239" i="1"/>
  <c r="CL239" i="1"/>
  <c r="CK239" i="1"/>
  <c r="CJ239" i="1"/>
  <c r="CI239" i="1"/>
  <c r="CG239" i="1"/>
  <c r="CT238" i="1"/>
  <c r="CS238" i="1"/>
  <c r="CR238" i="1"/>
  <c r="CQ238" i="1"/>
  <c r="CO238" i="1"/>
  <c r="CN238" i="1"/>
  <c r="CL238" i="1"/>
  <c r="CK238" i="1"/>
  <c r="CJ238" i="1"/>
  <c r="CI238" i="1"/>
  <c r="CG238" i="1"/>
  <c r="CT237" i="1"/>
  <c r="CS237" i="1"/>
  <c r="CR237" i="1"/>
  <c r="CQ237" i="1"/>
  <c r="CO237" i="1"/>
  <c r="CN237" i="1"/>
  <c r="CL237" i="1"/>
  <c r="CK237" i="1"/>
  <c r="CJ237" i="1"/>
  <c r="CI237" i="1"/>
  <c r="CG237" i="1"/>
  <c r="CT236" i="1"/>
  <c r="CS236" i="1"/>
  <c r="CR236" i="1"/>
  <c r="CQ236" i="1"/>
  <c r="CO236" i="1"/>
  <c r="CN236" i="1"/>
  <c r="CL236" i="1"/>
  <c r="CK236" i="1"/>
  <c r="CJ236" i="1"/>
  <c r="CI236" i="1"/>
  <c r="CG236" i="1"/>
  <c r="CT235" i="1"/>
  <c r="CS235" i="1"/>
  <c r="CR235" i="1"/>
  <c r="CQ235" i="1"/>
  <c r="CO235" i="1"/>
  <c r="CN235" i="1"/>
  <c r="CL235" i="1"/>
  <c r="CK235" i="1"/>
  <c r="CJ235" i="1"/>
  <c r="CI235" i="1"/>
  <c r="CG235" i="1"/>
  <c r="CT234" i="1"/>
  <c r="CS234" i="1"/>
  <c r="CR234" i="1"/>
  <c r="CQ234" i="1"/>
  <c r="CO234" i="1"/>
  <c r="CN234" i="1"/>
  <c r="CL234" i="1"/>
  <c r="CK234" i="1"/>
  <c r="CJ234" i="1"/>
  <c r="CI234" i="1"/>
  <c r="CG234" i="1"/>
  <c r="CT233" i="1"/>
  <c r="CS233" i="1"/>
  <c r="CR233" i="1"/>
  <c r="CQ233" i="1"/>
  <c r="CO233" i="1"/>
  <c r="CN233" i="1"/>
  <c r="CL233" i="1"/>
  <c r="CK233" i="1"/>
  <c r="CJ233" i="1"/>
  <c r="CI233" i="1"/>
  <c r="CG233" i="1"/>
  <c r="CT232" i="1"/>
  <c r="CS232" i="1"/>
  <c r="CR232" i="1"/>
  <c r="CQ232" i="1"/>
  <c r="CO232" i="1"/>
  <c r="CN232" i="1"/>
  <c r="CL232" i="1"/>
  <c r="CK232" i="1"/>
  <c r="CJ232" i="1"/>
  <c r="CI232" i="1"/>
  <c r="CG232" i="1"/>
  <c r="CT231" i="1"/>
  <c r="CS231" i="1"/>
  <c r="CR231" i="1"/>
  <c r="CQ231" i="1"/>
  <c r="CO231" i="1"/>
  <c r="CN231" i="1"/>
  <c r="CL231" i="1"/>
  <c r="CK231" i="1"/>
  <c r="CJ231" i="1"/>
  <c r="CI231" i="1"/>
  <c r="CG231" i="1"/>
  <c r="CT230" i="1"/>
  <c r="CS230" i="1"/>
  <c r="CR230" i="1"/>
  <c r="CQ230" i="1"/>
  <c r="CO230" i="1"/>
  <c r="CN230" i="1"/>
  <c r="CL230" i="1"/>
  <c r="CK230" i="1"/>
  <c r="CJ230" i="1"/>
  <c r="CI230" i="1"/>
  <c r="CG230" i="1"/>
  <c r="CT229" i="1"/>
  <c r="CS229" i="1"/>
  <c r="CR229" i="1"/>
  <c r="CQ229" i="1"/>
  <c r="CO229" i="1"/>
  <c r="CN229" i="1"/>
  <c r="CL229" i="1"/>
  <c r="CK229" i="1"/>
  <c r="CJ229" i="1"/>
  <c r="CI229" i="1"/>
  <c r="CG229" i="1"/>
  <c r="CT228" i="1"/>
  <c r="CS228" i="1"/>
  <c r="CR228" i="1"/>
  <c r="CQ228" i="1"/>
  <c r="CO228" i="1"/>
  <c r="CN228" i="1"/>
  <c r="CL228" i="1"/>
  <c r="CK228" i="1"/>
  <c r="CJ228" i="1"/>
  <c r="CI228" i="1"/>
  <c r="CG228" i="1"/>
  <c r="CT227" i="1"/>
  <c r="CS227" i="1"/>
  <c r="CR227" i="1"/>
  <c r="CQ227" i="1"/>
  <c r="CO227" i="1"/>
  <c r="CN227" i="1"/>
  <c r="CL227" i="1"/>
  <c r="CK227" i="1"/>
  <c r="CJ227" i="1"/>
  <c r="CI227" i="1"/>
  <c r="CG227" i="1"/>
  <c r="CT226" i="1"/>
  <c r="CS226" i="1"/>
  <c r="CR226" i="1"/>
  <c r="CQ226" i="1"/>
  <c r="CO226" i="1"/>
  <c r="CN226" i="1"/>
  <c r="CL226" i="1"/>
  <c r="CK226" i="1"/>
  <c r="CJ226" i="1"/>
  <c r="CI226" i="1"/>
  <c r="CG226" i="1"/>
  <c r="CT225" i="1"/>
  <c r="CS225" i="1"/>
  <c r="CR225" i="1"/>
  <c r="CQ225" i="1"/>
  <c r="CO225" i="1"/>
  <c r="CN225" i="1"/>
  <c r="CL225" i="1"/>
  <c r="CK225" i="1"/>
  <c r="CJ225" i="1"/>
  <c r="CI225" i="1"/>
  <c r="CG225" i="1"/>
  <c r="CT224" i="1"/>
  <c r="CS224" i="1"/>
  <c r="CR224" i="1"/>
  <c r="CQ224" i="1"/>
  <c r="CO224" i="1"/>
  <c r="CN224" i="1"/>
  <c r="CL224" i="1"/>
  <c r="CK224" i="1"/>
  <c r="CJ224" i="1"/>
  <c r="CI224" i="1"/>
  <c r="CG224" i="1"/>
  <c r="CT223" i="1"/>
  <c r="CS223" i="1"/>
  <c r="CR223" i="1"/>
  <c r="CQ223" i="1"/>
  <c r="CO223" i="1"/>
  <c r="CN223" i="1"/>
  <c r="CL223" i="1"/>
  <c r="CK223" i="1"/>
  <c r="CJ223" i="1"/>
  <c r="CI223" i="1"/>
  <c r="CG223" i="1"/>
  <c r="CT222" i="1"/>
  <c r="CS222" i="1"/>
  <c r="CR222" i="1"/>
  <c r="CQ222" i="1"/>
  <c r="CO222" i="1"/>
  <c r="CN222" i="1"/>
  <c r="CL222" i="1"/>
  <c r="CK222" i="1"/>
  <c r="CJ222" i="1"/>
  <c r="CI222" i="1"/>
  <c r="CG222" i="1"/>
  <c r="CT221" i="1"/>
  <c r="CS221" i="1"/>
  <c r="CR221" i="1"/>
  <c r="CQ221" i="1"/>
  <c r="CO221" i="1"/>
  <c r="CN221" i="1"/>
  <c r="CL221" i="1"/>
  <c r="CK221" i="1"/>
  <c r="CJ221" i="1"/>
  <c r="CI221" i="1"/>
  <c r="CG221" i="1"/>
  <c r="CT220" i="1"/>
  <c r="CS220" i="1"/>
  <c r="CR220" i="1"/>
  <c r="CQ220" i="1"/>
  <c r="CO220" i="1"/>
  <c r="CN220" i="1"/>
  <c r="CL220" i="1"/>
  <c r="CK220" i="1"/>
  <c r="CJ220" i="1"/>
  <c r="CI220" i="1"/>
  <c r="CG220" i="1"/>
  <c r="CT219" i="1"/>
  <c r="CS219" i="1"/>
  <c r="CR219" i="1"/>
  <c r="CQ219" i="1"/>
  <c r="CO219" i="1"/>
  <c r="CN219" i="1"/>
  <c r="CL219" i="1"/>
  <c r="CK219" i="1"/>
  <c r="CJ219" i="1"/>
  <c r="CI219" i="1"/>
  <c r="CG219" i="1"/>
  <c r="CT218" i="1"/>
  <c r="CS218" i="1"/>
  <c r="CR218" i="1"/>
  <c r="CQ218" i="1"/>
  <c r="CO218" i="1"/>
  <c r="CN218" i="1"/>
  <c r="CL218" i="1"/>
  <c r="CK218" i="1"/>
  <c r="CJ218" i="1"/>
  <c r="CI218" i="1"/>
  <c r="CG218" i="1"/>
  <c r="CT217" i="1"/>
  <c r="CS217" i="1"/>
  <c r="CR217" i="1"/>
  <c r="CQ217" i="1"/>
  <c r="CO217" i="1"/>
  <c r="CN217" i="1"/>
  <c r="CL217" i="1"/>
  <c r="CK217" i="1"/>
  <c r="CJ217" i="1"/>
  <c r="CI217" i="1"/>
  <c r="CG217" i="1"/>
  <c r="CT216" i="1"/>
  <c r="CS216" i="1"/>
  <c r="CR216" i="1"/>
  <c r="CQ216" i="1"/>
  <c r="CO216" i="1"/>
  <c r="CN216" i="1"/>
  <c r="CL216" i="1"/>
  <c r="CK216" i="1"/>
  <c r="CJ216" i="1"/>
  <c r="CI216" i="1"/>
  <c r="CG216" i="1"/>
  <c r="CT215" i="1"/>
  <c r="CS215" i="1"/>
  <c r="CR215" i="1"/>
  <c r="CQ215" i="1"/>
  <c r="CO215" i="1"/>
  <c r="CN215" i="1"/>
  <c r="CL215" i="1"/>
  <c r="CK215" i="1"/>
  <c r="CJ215" i="1"/>
  <c r="CI215" i="1"/>
  <c r="CG215" i="1"/>
  <c r="CT214" i="1"/>
  <c r="CS214" i="1"/>
  <c r="CR214" i="1"/>
  <c r="CQ214" i="1"/>
  <c r="CO214" i="1"/>
  <c r="CN214" i="1"/>
  <c r="CL214" i="1"/>
  <c r="CK214" i="1"/>
  <c r="CJ214" i="1"/>
  <c r="CI214" i="1"/>
  <c r="CG214" i="1"/>
  <c r="CT213" i="1"/>
  <c r="CS213" i="1"/>
  <c r="CR213" i="1"/>
  <c r="CQ213" i="1"/>
  <c r="CO213" i="1"/>
  <c r="CN213" i="1"/>
  <c r="CL213" i="1"/>
  <c r="CK213" i="1"/>
  <c r="CJ213" i="1"/>
  <c r="CI213" i="1"/>
  <c r="CG213" i="1"/>
  <c r="CT212" i="1"/>
  <c r="CS212" i="1"/>
  <c r="CR212" i="1"/>
  <c r="CQ212" i="1"/>
  <c r="CO212" i="1"/>
  <c r="CN212" i="1"/>
  <c r="CL212" i="1"/>
  <c r="CK212" i="1"/>
  <c r="CJ212" i="1"/>
  <c r="CI212" i="1"/>
  <c r="CG212" i="1"/>
  <c r="CT211" i="1"/>
  <c r="CS211" i="1"/>
  <c r="CR211" i="1"/>
  <c r="CQ211" i="1"/>
  <c r="CO211" i="1"/>
  <c r="CN211" i="1"/>
  <c r="CL211" i="1"/>
  <c r="CK211" i="1"/>
  <c r="CJ211" i="1"/>
  <c r="CI211" i="1"/>
  <c r="CG211" i="1"/>
  <c r="CT210" i="1"/>
  <c r="CS210" i="1"/>
  <c r="CR210" i="1"/>
  <c r="CQ210" i="1"/>
  <c r="CO210" i="1"/>
  <c r="CN210" i="1"/>
  <c r="CL210" i="1"/>
  <c r="CK210" i="1"/>
  <c r="CJ210" i="1"/>
  <c r="CI210" i="1"/>
  <c r="CG210" i="1"/>
  <c r="CT209" i="1"/>
  <c r="CS209" i="1"/>
  <c r="CR209" i="1"/>
  <c r="CQ209" i="1"/>
  <c r="CO209" i="1"/>
  <c r="CN209" i="1"/>
  <c r="CL209" i="1"/>
  <c r="CK209" i="1"/>
  <c r="CJ209" i="1"/>
  <c r="CI209" i="1"/>
  <c r="CG209" i="1"/>
  <c r="CT208" i="1"/>
  <c r="CS208" i="1"/>
  <c r="CR208" i="1"/>
  <c r="CQ208" i="1"/>
  <c r="CO208" i="1"/>
  <c r="CN208" i="1"/>
  <c r="CL208" i="1"/>
  <c r="CK208" i="1"/>
  <c r="CJ208" i="1"/>
  <c r="CI208" i="1"/>
  <c r="CG208" i="1"/>
  <c r="CT207" i="1"/>
  <c r="CS207" i="1"/>
  <c r="CR207" i="1"/>
  <c r="CQ207" i="1"/>
  <c r="CO207" i="1"/>
  <c r="CN207" i="1"/>
  <c r="CL207" i="1"/>
  <c r="CK207" i="1"/>
  <c r="CJ207" i="1"/>
  <c r="CI207" i="1"/>
  <c r="CG207" i="1"/>
  <c r="CT206" i="1"/>
  <c r="CS206" i="1"/>
  <c r="CR206" i="1"/>
  <c r="CQ206" i="1"/>
  <c r="CO206" i="1"/>
  <c r="CN206" i="1"/>
  <c r="CL206" i="1"/>
  <c r="CK206" i="1"/>
  <c r="CJ206" i="1"/>
  <c r="CI206" i="1"/>
  <c r="CG206" i="1"/>
  <c r="CT205" i="1"/>
  <c r="CS205" i="1"/>
  <c r="CR205" i="1"/>
  <c r="CQ205" i="1"/>
  <c r="CO205" i="1"/>
  <c r="CN205" i="1"/>
  <c r="CL205" i="1"/>
  <c r="CK205" i="1"/>
  <c r="CJ205" i="1"/>
  <c r="CI205" i="1"/>
  <c r="CG205" i="1"/>
  <c r="CT204" i="1"/>
  <c r="CS204" i="1"/>
  <c r="CR204" i="1"/>
  <c r="CQ204" i="1"/>
  <c r="CO204" i="1"/>
  <c r="CN204" i="1"/>
  <c r="CL204" i="1"/>
  <c r="CK204" i="1"/>
  <c r="CJ204" i="1"/>
  <c r="CI204" i="1"/>
  <c r="CG204" i="1"/>
  <c r="CT203" i="1"/>
  <c r="CS203" i="1"/>
  <c r="CR203" i="1"/>
  <c r="CQ203" i="1"/>
  <c r="CO203" i="1"/>
  <c r="CN203" i="1"/>
  <c r="CL203" i="1"/>
  <c r="CK203" i="1"/>
  <c r="CJ203" i="1"/>
  <c r="CI203" i="1"/>
  <c r="CG203" i="1"/>
  <c r="CT202" i="1"/>
  <c r="CS202" i="1"/>
  <c r="CR202" i="1"/>
  <c r="CQ202" i="1"/>
  <c r="CO202" i="1"/>
  <c r="CN202" i="1"/>
  <c r="CL202" i="1"/>
  <c r="CK202" i="1"/>
  <c r="CJ202" i="1"/>
  <c r="CI202" i="1"/>
  <c r="CG202" i="1"/>
  <c r="CT201" i="1"/>
  <c r="CS201" i="1"/>
  <c r="CR201" i="1"/>
  <c r="CQ201" i="1"/>
  <c r="CO201" i="1"/>
  <c r="CN201" i="1"/>
  <c r="CL201" i="1"/>
  <c r="CK201" i="1"/>
  <c r="CJ201" i="1"/>
  <c r="CI201" i="1"/>
  <c r="CG201" i="1"/>
  <c r="CT200" i="1"/>
  <c r="CS200" i="1"/>
  <c r="CR200" i="1"/>
  <c r="CQ200" i="1"/>
  <c r="CO200" i="1"/>
  <c r="CN200" i="1"/>
  <c r="CL200" i="1"/>
  <c r="CK200" i="1"/>
  <c r="CJ200" i="1"/>
  <c r="CI200" i="1"/>
  <c r="CG200" i="1"/>
  <c r="CT199" i="1"/>
  <c r="CS199" i="1"/>
  <c r="CR199" i="1"/>
  <c r="CQ199" i="1"/>
  <c r="CO199" i="1"/>
  <c r="CN199" i="1"/>
  <c r="CL199" i="1"/>
  <c r="CK199" i="1"/>
  <c r="CJ199" i="1"/>
  <c r="CI199" i="1"/>
  <c r="CG199" i="1"/>
  <c r="CT198" i="1"/>
  <c r="CS198" i="1"/>
  <c r="CR198" i="1"/>
  <c r="CQ198" i="1"/>
  <c r="CO198" i="1"/>
  <c r="CN198" i="1"/>
  <c r="CL198" i="1"/>
  <c r="CK198" i="1"/>
  <c r="CJ198" i="1"/>
  <c r="CI198" i="1"/>
  <c r="CG198" i="1"/>
  <c r="CT197" i="1"/>
  <c r="CS197" i="1"/>
  <c r="CR197" i="1"/>
  <c r="CQ197" i="1"/>
  <c r="CO197" i="1"/>
  <c r="CN197" i="1"/>
  <c r="CL197" i="1"/>
  <c r="CK197" i="1"/>
  <c r="CJ197" i="1"/>
  <c r="CI197" i="1"/>
  <c r="CG197" i="1"/>
  <c r="CT196" i="1"/>
  <c r="CS196" i="1"/>
  <c r="CR196" i="1"/>
  <c r="CQ196" i="1"/>
  <c r="CO196" i="1"/>
  <c r="CN196" i="1"/>
  <c r="CL196" i="1"/>
  <c r="CK196" i="1"/>
  <c r="CJ196" i="1"/>
  <c r="CI196" i="1"/>
  <c r="CG196" i="1"/>
  <c r="CT195" i="1"/>
  <c r="CS195" i="1"/>
  <c r="CR195" i="1"/>
  <c r="CQ195" i="1"/>
  <c r="CO195" i="1"/>
  <c r="CN195" i="1"/>
  <c r="CL195" i="1"/>
  <c r="CK195" i="1"/>
  <c r="CJ195" i="1"/>
  <c r="CI195" i="1"/>
  <c r="CG195" i="1"/>
  <c r="CT194" i="1"/>
  <c r="CS194" i="1"/>
  <c r="CR194" i="1"/>
  <c r="CQ194" i="1"/>
  <c r="CO194" i="1"/>
  <c r="CN194" i="1"/>
  <c r="CL194" i="1"/>
  <c r="CK194" i="1"/>
  <c r="CJ194" i="1"/>
  <c r="CI194" i="1"/>
  <c r="CG194" i="1"/>
  <c r="CT193" i="1"/>
  <c r="CS193" i="1"/>
  <c r="CR193" i="1"/>
  <c r="CQ193" i="1"/>
  <c r="CO193" i="1"/>
  <c r="CN193" i="1"/>
  <c r="CL193" i="1"/>
  <c r="CK193" i="1"/>
  <c r="CJ193" i="1"/>
  <c r="CI193" i="1"/>
  <c r="CG193" i="1"/>
  <c r="CT192" i="1"/>
  <c r="CS192" i="1"/>
  <c r="CR192" i="1"/>
  <c r="CQ192" i="1"/>
  <c r="CO192" i="1"/>
  <c r="CN192" i="1"/>
  <c r="CL192" i="1"/>
  <c r="CK192" i="1"/>
  <c r="CJ192" i="1"/>
  <c r="CI192" i="1"/>
  <c r="CG192" i="1"/>
  <c r="CT191" i="1"/>
  <c r="CS191" i="1"/>
  <c r="CR191" i="1"/>
  <c r="CQ191" i="1"/>
  <c r="CO191" i="1"/>
  <c r="CN191" i="1"/>
  <c r="CL191" i="1"/>
  <c r="CK191" i="1"/>
  <c r="CJ191" i="1"/>
  <c r="CI191" i="1"/>
  <c r="CG191" i="1"/>
  <c r="CT190" i="1"/>
  <c r="CS190" i="1"/>
  <c r="CR190" i="1"/>
  <c r="CQ190" i="1"/>
  <c r="CO190" i="1"/>
  <c r="CN190" i="1"/>
  <c r="CL190" i="1"/>
  <c r="CK190" i="1"/>
  <c r="CJ190" i="1"/>
  <c r="CI190" i="1"/>
  <c r="CG190" i="1"/>
  <c r="CT189" i="1"/>
  <c r="CS189" i="1"/>
  <c r="CR189" i="1"/>
  <c r="CQ189" i="1"/>
  <c r="CO189" i="1"/>
  <c r="CN189" i="1"/>
  <c r="CL189" i="1"/>
  <c r="CK189" i="1"/>
  <c r="CJ189" i="1"/>
  <c r="CI189" i="1"/>
  <c r="CG189" i="1"/>
  <c r="CT188" i="1"/>
  <c r="CS188" i="1"/>
  <c r="CR188" i="1"/>
  <c r="CQ188" i="1"/>
  <c r="CO188" i="1"/>
  <c r="CN188" i="1"/>
  <c r="CL188" i="1"/>
  <c r="CK188" i="1"/>
  <c r="CJ188" i="1"/>
  <c r="CI188" i="1"/>
  <c r="CG188" i="1"/>
  <c r="CT187" i="1"/>
  <c r="CS187" i="1"/>
  <c r="CR187" i="1"/>
  <c r="CQ187" i="1"/>
  <c r="CO187" i="1"/>
  <c r="CN187" i="1"/>
  <c r="CL187" i="1"/>
  <c r="CK187" i="1"/>
  <c r="CJ187" i="1"/>
  <c r="CI187" i="1"/>
  <c r="CG187" i="1"/>
  <c r="CT186" i="1"/>
  <c r="CS186" i="1"/>
  <c r="CR186" i="1"/>
  <c r="CQ186" i="1"/>
  <c r="CO186" i="1"/>
  <c r="CN186" i="1"/>
  <c r="CL186" i="1"/>
  <c r="CK186" i="1"/>
  <c r="CJ186" i="1"/>
  <c r="CI186" i="1"/>
  <c r="CG186" i="1"/>
  <c r="CT185" i="1"/>
  <c r="CS185" i="1"/>
  <c r="CR185" i="1"/>
  <c r="CQ185" i="1"/>
  <c r="CO185" i="1"/>
  <c r="CN185" i="1"/>
  <c r="CL185" i="1"/>
  <c r="CK185" i="1"/>
  <c r="CJ185" i="1"/>
  <c r="CI185" i="1"/>
  <c r="CG185" i="1"/>
  <c r="CT184" i="1"/>
  <c r="CS184" i="1"/>
  <c r="CR184" i="1"/>
  <c r="CQ184" i="1"/>
  <c r="CO184" i="1"/>
  <c r="CN184" i="1"/>
  <c r="CL184" i="1"/>
  <c r="CK184" i="1"/>
  <c r="CJ184" i="1"/>
  <c r="CI184" i="1"/>
  <c r="CG184" i="1"/>
  <c r="CT183" i="1"/>
  <c r="CS183" i="1"/>
  <c r="CR183" i="1"/>
  <c r="CQ183" i="1"/>
  <c r="CO183" i="1"/>
  <c r="CN183" i="1"/>
  <c r="CL183" i="1"/>
  <c r="CK183" i="1"/>
  <c r="CJ183" i="1"/>
  <c r="CI183" i="1"/>
  <c r="CG183" i="1"/>
  <c r="CT182" i="1"/>
  <c r="CS182" i="1"/>
  <c r="CR182" i="1"/>
  <c r="CQ182" i="1"/>
  <c r="CO182" i="1"/>
  <c r="CN182" i="1"/>
  <c r="CL182" i="1"/>
  <c r="CK182" i="1"/>
  <c r="CJ182" i="1"/>
  <c r="CI182" i="1"/>
  <c r="CG182" i="1"/>
  <c r="CT181" i="1"/>
  <c r="CS181" i="1"/>
  <c r="CR181" i="1"/>
  <c r="CQ181" i="1"/>
  <c r="CO181" i="1"/>
  <c r="CN181" i="1"/>
  <c r="CL181" i="1"/>
  <c r="CK181" i="1"/>
  <c r="CJ181" i="1"/>
  <c r="CI181" i="1"/>
  <c r="CG181" i="1"/>
  <c r="CT180" i="1"/>
  <c r="CS180" i="1"/>
  <c r="CR180" i="1"/>
  <c r="CQ180" i="1"/>
  <c r="CO180" i="1"/>
  <c r="CN180" i="1"/>
  <c r="CL180" i="1"/>
  <c r="CK180" i="1"/>
  <c r="CJ180" i="1"/>
  <c r="CI180" i="1"/>
  <c r="CG180" i="1"/>
  <c r="CT179" i="1"/>
  <c r="CS179" i="1"/>
  <c r="CR179" i="1"/>
  <c r="CQ179" i="1"/>
  <c r="CO179" i="1"/>
  <c r="CN179" i="1"/>
  <c r="CL179" i="1"/>
  <c r="CK179" i="1"/>
  <c r="CJ179" i="1"/>
  <c r="CI179" i="1"/>
  <c r="CG179" i="1"/>
  <c r="CT178" i="1"/>
  <c r="CS178" i="1"/>
  <c r="CR178" i="1"/>
  <c r="CQ178" i="1"/>
  <c r="CO178" i="1"/>
  <c r="CN178" i="1"/>
  <c r="CL178" i="1"/>
  <c r="CK178" i="1"/>
  <c r="CJ178" i="1"/>
  <c r="CI178" i="1"/>
  <c r="CG178" i="1"/>
  <c r="CT177" i="1"/>
  <c r="CS177" i="1"/>
  <c r="CR177" i="1"/>
  <c r="CQ177" i="1"/>
  <c r="CO177" i="1"/>
  <c r="CN177" i="1"/>
  <c r="CL177" i="1"/>
  <c r="CK177" i="1"/>
  <c r="CJ177" i="1"/>
  <c r="CI177" i="1"/>
  <c r="CG177" i="1"/>
  <c r="CT176" i="1"/>
  <c r="CS176" i="1"/>
  <c r="CR176" i="1"/>
  <c r="CQ176" i="1"/>
  <c r="CO176" i="1"/>
  <c r="CN176" i="1"/>
  <c r="CL176" i="1"/>
  <c r="CK176" i="1"/>
  <c r="CJ176" i="1"/>
  <c r="CI176" i="1"/>
  <c r="CG176" i="1"/>
  <c r="CT175" i="1"/>
  <c r="CS175" i="1"/>
  <c r="CR175" i="1"/>
  <c r="CQ175" i="1"/>
  <c r="CO175" i="1"/>
  <c r="CN175" i="1"/>
  <c r="CL175" i="1"/>
  <c r="CK175" i="1"/>
  <c r="CJ175" i="1"/>
  <c r="CI175" i="1"/>
  <c r="CG175" i="1"/>
  <c r="CT174" i="1"/>
  <c r="CS174" i="1"/>
  <c r="CR174" i="1"/>
  <c r="CQ174" i="1"/>
  <c r="CO174" i="1"/>
  <c r="CN174" i="1"/>
  <c r="CL174" i="1"/>
  <c r="CK174" i="1"/>
  <c r="CJ174" i="1"/>
  <c r="CI174" i="1"/>
  <c r="CG174" i="1"/>
  <c r="CT173" i="1"/>
  <c r="CS173" i="1"/>
  <c r="CR173" i="1"/>
  <c r="CQ173" i="1"/>
  <c r="CO173" i="1"/>
  <c r="CN173" i="1"/>
  <c r="CL173" i="1"/>
  <c r="CK173" i="1"/>
  <c r="CJ173" i="1"/>
  <c r="CI173" i="1"/>
  <c r="CG173" i="1"/>
  <c r="CT172" i="1"/>
  <c r="CS172" i="1"/>
  <c r="CR172" i="1"/>
  <c r="CQ172" i="1"/>
  <c r="CO172" i="1"/>
  <c r="CN172" i="1"/>
  <c r="CL172" i="1"/>
  <c r="CK172" i="1"/>
  <c r="CJ172" i="1"/>
  <c r="CI172" i="1"/>
  <c r="CG172" i="1"/>
  <c r="CT171" i="1"/>
  <c r="CS171" i="1"/>
  <c r="CR171" i="1"/>
  <c r="CQ171" i="1"/>
  <c r="CO171" i="1"/>
  <c r="CN171" i="1"/>
  <c r="CL171" i="1"/>
  <c r="CK171" i="1"/>
  <c r="CJ171" i="1"/>
  <c r="CI171" i="1"/>
  <c r="CG171" i="1"/>
  <c r="CT170" i="1"/>
  <c r="CS170" i="1"/>
  <c r="CR170" i="1"/>
  <c r="CQ170" i="1"/>
  <c r="CO170" i="1"/>
  <c r="CN170" i="1"/>
  <c r="CL170" i="1"/>
  <c r="CK170" i="1"/>
  <c r="CJ170" i="1"/>
  <c r="CI170" i="1"/>
  <c r="CG170" i="1"/>
  <c r="CT169" i="1"/>
  <c r="CS169" i="1"/>
  <c r="CR169" i="1"/>
  <c r="CQ169" i="1"/>
  <c r="CO169" i="1"/>
  <c r="CN169" i="1"/>
  <c r="CL169" i="1"/>
  <c r="CK169" i="1"/>
  <c r="CJ169" i="1"/>
  <c r="CI169" i="1"/>
  <c r="CG169" i="1"/>
  <c r="CT168" i="1"/>
  <c r="CS168" i="1"/>
  <c r="CR168" i="1"/>
  <c r="CQ168" i="1"/>
  <c r="CO168" i="1"/>
  <c r="CN168" i="1"/>
  <c r="CL168" i="1"/>
  <c r="CK168" i="1"/>
  <c r="CJ168" i="1"/>
  <c r="CI168" i="1"/>
  <c r="CG168" i="1"/>
  <c r="CT167" i="1"/>
  <c r="CS167" i="1"/>
  <c r="CR167" i="1"/>
  <c r="CQ167" i="1"/>
  <c r="CO167" i="1"/>
  <c r="CN167" i="1"/>
  <c r="CL167" i="1"/>
  <c r="CK167" i="1"/>
  <c r="CJ167" i="1"/>
  <c r="CI167" i="1"/>
  <c r="CG167" i="1"/>
  <c r="CT166" i="1"/>
  <c r="CS166" i="1"/>
  <c r="CR166" i="1"/>
  <c r="CQ166" i="1"/>
  <c r="CO166" i="1"/>
  <c r="CN166" i="1"/>
  <c r="CL166" i="1"/>
  <c r="CK166" i="1"/>
  <c r="CJ166" i="1"/>
  <c r="CI166" i="1"/>
  <c r="CG166" i="1"/>
  <c r="CT165" i="1"/>
  <c r="CS165" i="1"/>
  <c r="CR165" i="1"/>
  <c r="CQ165" i="1"/>
  <c r="CO165" i="1"/>
  <c r="CN165" i="1"/>
  <c r="CL165" i="1"/>
  <c r="CK165" i="1"/>
  <c r="CJ165" i="1"/>
  <c r="CI165" i="1"/>
  <c r="CG165" i="1"/>
  <c r="CT164" i="1"/>
  <c r="CS164" i="1"/>
  <c r="CR164" i="1"/>
  <c r="CQ164" i="1"/>
  <c r="CO164" i="1"/>
  <c r="CN164" i="1"/>
  <c r="CL164" i="1"/>
  <c r="CK164" i="1"/>
  <c r="CJ164" i="1"/>
  <c r="CI164" i="1"/>
  <c r="CG164" i="1"/>
  <c r="CT163" i="1"/>
  <c r="CS163" i="1"/>
  <c r="CR163" i="1"/>
  <c r="CQ163" i="1"/>
  <c r="CO163" i="1"/>
  <c r="CN163" i="1"/>
  <c r="CL163" i="1"/>
  <c r="CK163" i="1"/>
  <c r="CJ163" i="1"/>
  <c r="CI163" i="1"/>
  <c r="CG163" i="1"/>
  <c r="CT162" i="1"/>
  <c r="CS162" i="1"/>
  <c r="CR162" i="1"/>
  <c r="CQ162" i="1"/>
  <c r="CO162" i="1"/>
  <c r="CN162" i="1"/>
  <c r="CL162" i="1"/>
  <c r="CK162" i="1"/>
  <c r="CJ162" i="1"/>
  <c r="CI162" i="1"/>
  <c r="CG162" i="1"/>
  <c r="CT161" i="1"/>
  <c r="CS161" i="1"/>
  <c r="CR161" i="1"/>
  <c r="CQ161" i="1"/>
  <c r="CO161" i="1"/>
  <c r="CN161" i="1"/>
  <c r="CL161" i="1"/>
  <c r="CK161" i="1"/>
  <c r="CJ161" i="1"/>
  <c r="CI161" i="1"/>
  <c r="CG161" i="1"/>
  <c r="CT160" i="1"/>
  <c r="CS160" i="1"/>
  <c r="CR160" i="1"/>
  <c r="CQ160" i="1"/>
  <c r="CO160" i="1"/>
  <c r="CN160" i="1"/>
  <c r="CL160" i="1"/>
  <c r="CK160" i="1"/>
  <c r="CJ160" i="1"/>
  <c r="CI160" i="1"/>
  <c r="CG160" i="1"/>
  <c r="CT159" i="1"/>
  <c r="CS159" i="1"/>
  <c r="CR159" i="1"/>
  <c r="CQ159" i="1"/>
  <c r="CO159" i="1"/>
  <c r="CN159" i="1"/>
  <c r="CL159" i="1"/>
  <c r="CK159" i="1"/>
  <c r="CJ159" i="1"/>
  <c r="CI159" i="1"/>
  <c r="CG159" i="1"/>
  <c r="CT158" i="1"/>
  <c r="CS158" i="1"/>
  <c r="CR158" i="1"/>
  <c r="CQ158" i="1"/>
  <c r="CO158" i="1"/>
  <c r="CN158" i="1"/>
  <c r="CL158" i="1"/>
  <c r="CK158" i="1"/>
  <c r="CJ158" i="1"/>
  <c r="CI158" i="1"/>
  <c r="CG158" i="1"/>
  <c r="CT157" i="1"/>
  <c r="CS157" i="1"/>
  <c r="CR157" i="1"/>
  <c r="CQ157" i="1"/>
  <c r="CO157" i="1"/>
  <c r="CN157" i="1"/>
  <c r="CL157" i="1"/>
  <c r="CK157" i="1"/>
  <c r="CJ157" i="1"/>
  <c r="CI157" i="1"/>
  <c r="CG157" i="1"/>
  <c r="CT156" i="1"/>
  <c r="CS156" i="1"/>
  <c r="CR156" i="1"/>
  <c r="CQ156" i="1"/>
  <c r="CO156" i="1"/>
  <c r="CN156" i="1"/>
  <c r="CL156" i="1"/>
  <c r="CK156" i="1"/>
  <c r="CJ156" i="1"/>
  <c r="CI156" i="1"/>
  <c r="CG156" i="1"/>
  <c r="CT155" i="1"/>
  <c r="CS155" i="1"/>
  <c r="CR155" i="1"/>
  <c r="CQ155" i="1"/>
  <c r="CO155" i="1"/>
  <c r="CN155" i="1"/>
  <c r="CL155" i="1"/>
  <c r="CK155" i="1"/>
  <c r="CJ155" i="1"/>
  <c r="CI155" i="1"/>
  <c r="CG155" i="1"/>
  <c r="CT154" i="1"/>
  <c r="CS154" i="1"/>
  <c r="CR154" i="1"/>
  <c r="CQ154" i="1"/>
  <c r="CO154" i="1"/>
  <c r="CN154" i="1"/>
  <c r="CL154" i="1"/>
  <c r="CK154" i="1"/>
  <c r="CJ154" i="1"/>
  <c r="CI154" i="1"/>
  <c r="CG154" i="1"/>
  <c r="CT153" i="1"/>
  <c r="CS153" i="1"/>
  <c r="CR153" i="1"/>
  <c r="CQ153" i="1"/>
  <c r="CO153" i="1"/>
  <c r="CN153" i="1"/>
  <c r="CL153" i="1"/>
  <c r="CK153" i="1"/>
  <c r="CJ153" i="1"/>
  <c r="CI153" i="1"/>
  <c r="CG153" i="1"/>
  <c r="CT152" i="1"/>
  <c r="CS152" i="1"/>
  <c r="CR152" i="1"/>
  <c r="CQ152" i="1"/>
  <c r="CO152" i="1"/>
  <c r="CN152" i="1"/>
  <c r="CL152" i="1"/>
  <c r="CK152" i="1"/>
  <c r="CJ152" i="1"/>
  <c r="CI152" i="1"/>
  <c r="CG152" i="1"/>
  <c r="CT151" i="1"/>
  <c r="CS151" i="1"/>
  <c r="CR151" i="1"/>
  <c r="CQ151" i="1"/>
  <c r="CO151" i="1"/>
  <c r="CN151" i="1"/>
  <c r="CL151" i="1"/>
  <c r="CK151" i="1"/>
  <c r="CJ151" i="1"/>
  <c r="CI151" i="1"/>
  <c r="CG151" i="1"/>
  <c r="CT150" i="1"/>
  <c r="CS150" i="1"/>
  <c r="CR150" i="1"/>
  <c r="CQ150" i="1"/>
  <c r="CO150" i="1"/>
  <c r="CN150" i="1"/>
  <c r="CL150" i="1"/>
  <c r="CK150" i="1"/>
  <c r="CJ150" i="1"/>
  <c r="CI150" i="1"/>
  <c r="CG150" i="1"/>
  <c r="CT149" i="1"/>
  <c r="CS149" i="1"/>
  <c r="CR149" i="1"/>
  <c r="CQ149" i="1"/>
  <c r="CO149" i="1"/>
  <c r="CN149" i="1"/>
  <c r="CL149" i="1"/>
  <c r="CK149" i="1"/>
  <c r="CJ149" i="1"/>
  <c r="CI149" i="1"/>
  <c r="CG149" i="1"/>
  <c r="CT148" i="1"/>
  <c r="CS148" i="1"/>
  <c r="CR148" i="1"/>
  <c r="CQ148" i="1"/>
  <c r="CO148" i="1"/>
  <c r="CN148" i="1"/>
  <c r="CL148" i="1"/>
  <c r="CK148" i="1"/>
  <c r="CJ148" i="1"/>
  <c r="CI148" i="1"/>
  <c r="CG148" i="1"/>
  <c r="CT147" i="1"/>
  <c r="CS147" i="1"/>
  <c r="CR147" i="1"/>
  <c r="CQ147" i="1"/>
  <c r="CO147" i="1"/>
  <c r="CN147" i="1"/>
  <c r="CL147" i="1"/>
  <c r="CK147" i="1"/>
  <c r="CJ147" i="1"/>
  <c r="CI147" i="1"/>
  <c r="CG147" i="1"/>
  <c r="CT146" i="1"/>
  <c r="CS146" i="1"/>
  <c r="CR146" i="1"/>
  <c r="CQ146" i="1"/>
  <c r="CO146" i="1"/>
  <c r="CN146" i="1"/>
  <c r="CL146" i="1"/>
  <c r="CK146" i="1"/>
  <c r="CJ146" i="1"/>
  <c r="CI146" i="1"/>
  <c r="CG146" i="1"/>
  <c r="CT145" i="1"/>
  <c r="CS145" i="1"/>
  <c r="CR145" i="1"/>
  <c r="CQ145" i="1"/>
  <c r="CO145" i="1"/>
  <c r="CN145" i="1"/>
  <c r="CL145" i="1"/>
  <c r="CK145" i="1"/>
  <c r="CJ145" i="1"/>
  <c r="CI145" i="1"/>
  <c r="CG145" i="1"/>
  <c r="CT144" i="1"/>
  <c r="CS144" i="1"/>
  <c r="CR144" i="1"/>
  <c r="CQ144" i="1"/>
  <c r="CO144" i="1"/>
  <c r="CN144" i="1"/>
  <c r="CL144" i="1"/>
  <c r="CK144" i="1"/>
  <c r="CJ144" i="1"/>
  <c r="CI144" i="1"/>
  <c r="CG144" i="1"/>
  <c r="CT143" i="1"/>
  <c r="CS143" i="1"/>
  <c r="CR143" i="1"/>
  <c r="CQ143" i="1"/>
  <c r="CO143" i="1"/>
  <c r="CN143" i="1"/>
  <c r="CL143" i="1"/>
  <c r="CK143" i="1"/>
  <c r="CJ143" i="1"/>
  <c r="CI143" i="1"/>
  <c r="CG143" i="1"/>
  <c r="CT142" i="1"/>
  <c r="CS142" i="1"/>
  <c r="CR142" i="1"/>
  <c r="CQ142" i="1"/>
  <c r="CO142" i="1"/>
  <c r="CN142" i="1"/>
  <c r="CL142" i="1"/>
  <c r="CK142" i="1"/>
  <c r="CJ142" i="1"/>
  <c r="CI142" i="1"/>
  <c r="CG142" i="1"/>
  <c r="CT141" i="1"/>
  <c r="CS141" i="1"/>
  <c r="CR141" i="1"/>
  <c r="CQ141" i="1"/>
  <c r="CO141" i="1"/>
  <c r="CN141" i="1"/>
  <c r="CL141" i="1"/>
  <c r="CK141" i="1"/>
  <c r="CJ141" i="1"/>
  <c r="CI141" i="1"/>
  <c r="CG141" i="1"/>
  <c r="CT140" i="1"/>
  <c r="CS140" i="1"/>
  <c r="CR140" i="1"/>
  <c r="CQ140" i="1"/>
  <c r="CO140" i="1"/>
  <c r="CN140" i="1"/>
  <c r="CL140" i="1"/>
  <c r="CK140" i="1"/>
  <c r="CJ140" i="1"/>
  <c r="CI140" i="1"/>
  <c r="CG140" i="1"/>
  <c r="CT139" i="1"/>
  <c r="CS139" i="1"/>
  <c r="CR139" i="1"/>
  <c r="CQ139" i="1"/>
  <c r="CO139" i="1"/>
  <c r="CN139" i="1"/>
  <c r="CL139" i="1"/>
  <c r="CK139" i="1"/>
  <c r="CJ139" i="1"/>
  <c r="CI139" i="1"/>
  <c r="CG139" i="1"/>
  <c r="CT138" i="1"/>
  <c r="CS138" i="1"/>
  <c r="CR138" i="1"/>
  <c r="CQ138" i="1"/>
  <c r="CO138" i="1"/>
  <c r="CN138" i="1"/>
  <c r="CL138" i="1"/>
  <c r="CK138" i="1"/>
  <c r="CJ138" i="1"/>
  <c r="CI138" i="1"/>
  <c r="CG138" i="1"/>
  <c r="CT137" i="1"/>
  <c r="CS137" i="1"/>
  <c r="CR137" i="1"/>
  <c r="CQ137" i="1"/>
  <c r="CO137" i="1"/>
  <c r="CN137" i="1"/>
  <c r="CL137" i="1"/>
  <c r="CK137" i="1"/>
  <c r="CJ137" i="1"/>
  <c r="CI137" i="1"/>
  <c r="CG137" i="1"/>
  <c r="CT136" i="1"/>
  <c r="CS136" i="1"/>
  <c r="CR136" i="1"/>
  <c r="CQ136" i="1"/>
  <c r="CO136" i="1"/>
  <c r="CN136" i="1"/>
  <c r="CL136" i="1"/>
  <c r="CK136" i="1"/>
  <c r="CJ136" i="1"/>
  <c r="CI136" i="1"/>
  <c r="CG136" i="1"/>
  <c r="CT135" i="1"/>
  <c r="CS135" i="1"/>
  <c r="CR135" i="1"/>
  <c r="CQ135" i="1"/>
  <c r="CO135" i="1"/>
  <c r="CN135" i="1"/>
  <c r="CL135" i="1"/>
  <c r="CK135" i="1"/>
  <c r="CJ135" i="1"/>
  <c r="CI135" i="1"/>
  <c r="CG135" i="1"/>
  <c r="CT134" i="1"/>
  <c r="CS134" i="1"/>
  <c r="CR134" i="1"/>
  <c r="CQ134" i="1"/>
  <c r="CO134" i="1"/>
  <c r="CN134" i="1"/>
  <c r="CL134" i="1"/>
  <c r="CK134" i="1"/>
  <c r="CJ134" i="1"/>
  <c r="CI134" i="1"/>
  <c r="CG134" i="1"/>
  <c r="CT133" i="1"/>
  <c r="CS133" i="1"/>
  <c r="CR133" i="1"/>
  <c r="CQ133" i="1"/>
  <c r="CO133" i="1"/>
  <c r="CN133" i="1"/>
  <c r="CL133" i="1"/>
  <c r="CK133" i="1"/>
  <c r="CJ133" i="1"/>
  <c r="CI133" i="1"/>
  <c r="CG133" i="1"/>
  <c r="CT132" i="1"/>
  <c r="CS132" i="1"/>
  <c r="CR132" i="1"/>
  <c r="CQ132" i="1"/>
  <c r="CO132" i="1"/>
  <c r="CN132" i="1"/>
  <c r="CL132" i="1"/>
  <c r="CK132" i="1"/>
  <c r="CJ132" i="1"/>
  <c r="CI132" i="1"/>
  <c r="CG132" i="1"/>
  <c r="CT131" i="1"/>
  <c r="CS131" i="1"/>
  <c r="CR131" i="1"/>
  <c r="CQ131" i="1"/>
  <c r="CO131" i="1"/>
  <c r="CN131" i="1"/>
  <c r="CL131" i="1"/>
  <c r="CK131" i="1"/>
  <c r="CJ131" i="1"/>
  <c r="CI131" i="1"/>
  <c r="CG131" i="1"/>
  <c r="CT130" i="1"/>
  <c r="CS130" i="1"/>
  <c r="CR130" i="1"/>
  <c r="CQ130" i="1"/>
  <c r="CO130" i="1"/>
  <c r="CN130" i="1"/>
  <c r="CL130" i="1"/>
  <c r="CK130" i="1"/>
  <c r="CJ130" i="1"/>
  <c r="CI130" i="1"/>
  <c r="CG130" i="1"/>
  <c r="CT129" i="1"/>
  <c r="CS129" i="1"/>
  <c r="CR129" i="1"/>
  <c r="CQ129" i="1"/>
  <c r="CO129" i="1"/>
  <c r="CN129" i="1"/>
  <c r="CL129" i="1"/>
  <c r="CK129" i="1"/>
  <c r="CJ129" i="1"/>
  <c r="CI129" i="1"/>
  <c r="CG129" i="1"/>
  <c r="CT128" i="1"/>
  <c r="CS128" i="1"/>
  <c r="CR128" i="1"/>
  <c r="CQ128" i="1"/>
  <c r="CO128" i="1"/>
  <c r="CN128" i="1"/>
  <c r="CL128" i="1"/>
  <c r="CK128" i="1"/>
  <c r="CJ128" i="1"/>
  <c r="CI128" i="1"/>
  <c r="CG128" i="1"/>
  <c r="CT127" i="1"/>
  <c r="CS127" i="1"/>
  <c r="CR127" i="1"/>
  <c r="CQ127" i="1"/>
  <c r="CO127" i="1"/>
  <c r="CN127" i="1"/>
  <c r="CL127" i="1"/>
  <c r="CK127" i="1"/>
  <c r="CJ127" i="1"/>
  <c r="CI127" i="1"/>
  <c r="CG127" i="1"/>
  <c r="CT126" i="1"/>
  <c r="CS126" i="1"/>
  <c r="CR126" i="1"/>
  <c r="CQ126" i="1"/>
  <c r="CO126" i="1"/>
  <c r="CN126" i="1"/>
  <c r="CL126" i="1"/>
  <c r="CK126" i="1"/>
  <c r="CJ126" i="1"/>
  <c r="CI126" i="1"/>
  <c r="CG126" i="1"/>
  <c r="CT125" i="1"/>
  <c r="CS125" i="1"/>
  <c r="CR125" i="1"/>
  <c r="CQ125" i="1"/>
  <c r="CO125" i="1"/>
  <c r="CN125" i="1"/>
  <c r="CL125" i="1"/>
  <c r="CK125" i="1"/>
  <c r="CJ125" i="1"/>
  <c r="CI125" i="1"/>
  <c r="CG125" i="1"/>
  <c r="CT124" i="1"/>
  <c r="CS124" i="1"/>
  <c r="CR124" i="1"/>
  <c r="CQ124" i="1"/>
  <c r="CO124" i="1"/>
  <c r="CN124" i="1"/>
  <c r="CL124" i="1"/>
  <c r="CK124" i="1"/>
  <c r="CJ124" i="1"/>
  <c r="CI124" i="1"/>
  <c r="CG124" i="1"/>
  <c r="CT123" i="1"/>
  <c r="CS123" i="1"/>
  <c r="CR123" i="1"/>
  <c r="CQ123" i="1"/>
  <c r="CO123" i="1"/>
  <c r="CN123" i="1"/>
  <c r="CL123" i="1"/>
  <c r="CK123" i="1"/>
  <c r="CJ123" i="1"/>
  <c r="CI123" i="1"/>
  <c r="CG123" i="1"/>
  <c r="CT122" i="1"/>
  <c r="CS122" i="1"/>
  <c r="CR122" i="1"/>
  <c r="CQ122" i="1"/>
  <c r="CO122" i="1"/>
  <c r="CN122" i="1"/>
  <c r="CL122" i="1"/>
  <c r="CK122" i="1"/>
  <c r="CJ122" i="1"/>
  <c r="CI122" i="1"/>
  <c r="CG122" i="1"/>
  <c r="CT121" i="1"/>
  <c r="CS121" i="1"/>
  <c r="CR121" i="1"/>
  <c r="CQ121" i="1"/>
  <c r="CO121" i="1"/>
  <c r="CN121" i="1"/>
  <c r="CL121" i="1"/>
  <c r="CK121" i="1"/>
  <c r="CJ121" i="1"/>
  <c r="CI121" i="1"/>
  <c r="CG121" i="1"/>
  <c r="CT120" i="1"/>
  <c r="CS120" i="1"/>
  <c r="CR120" i="1"/>
  <c r="CQ120" i="1"/>
  <c r="CO120" i="1"/>
  <c r="CN120" i="1"/>
  <c r="CL120" i="1"/>
  <c r="CK120" i="1"/>
  <c r="CJ120" i="1"/>
  <c r="CI120" i="1"/>
  <c r="CG120" i="1"/>
  <c r="CT119" i="1"/>
  <c r="CS119" i="1"/>
  <c r="CR119" i="1"/>
  <c r="CQ119" i="1"/>
  <c r="CO119" i="1"/>
  <c r="CN119" i="1"/>
  <c r="CL119" i="1"/>
  <c r="CK119" i="1"/>
  <c r="CJ119" i="1"/>
  <c r="CI119" i="1"/>
  <c r="CG119" i="1"/>
  <c r="CT118" i="1"/>
  <c r="CS118" i="1"/>
  <c r="CR118" i="1"/>
  <c r="CQ118" i="1"/>
  <c r="CO118" i="1"/>
  <c r="CN118" i="1"/>
  <c r="CL118" i="1"/>
  <c r="CK118" i="1"/>
  <c r="CJ118" i="1"/>
  <c r="CI118" i="1"/>
  <c r="CG118" i="1"/>
  <c r="CT117" i="1"/>
  <c r="CS117" i="1"/>
  <c r="CR117" i="1"/>
  <c r="CQ117" i="1"/>
  <c r="CO117" i="1"/>
  <c r="CN117" i="1"/>
  <c r="CL117" i="1"/>
  <c r="CK117" i="1"/>
  <c r="CJ117" i="1"/>
  <c r="CI117" i="1"/>
  <c r="CG117" i="1"/>
  <c r="CT116" i="1"/>
  <c r="CS116" i="1"/>
  <c r="CR116" i="1"/>
  <c r="CQ116" i="1"/>
  <c r="CO116" i="1"/>
  <c r="CN116" i="1"/>
  <c r="CL116" i="1"/>
  <c r="CK116" i="1"/>
  <c r="CJ116" i="1"/>
  <c r="CI116" i="1"/>
  <c r="CG116" i="1"/>
  <c r="CT115" i="1"/>
  <c r="CS115" i="1"/>
  <c r="CR115" i="1"/>
  <c r="CQ115" i="1"/>
  <c r="CO115" i="1"/>
  <c r="CN115" i="1"/>
  <c r="CL115" i="1"/>
  <c r="CK115" i="1"/>
  <c r="CJ115" i="1"/>
  <c r="CI115" i="1"/>
  <c r="CG115" i="1"/>
  <c r="CT114" i="1"/>
  <c r="CS114" i="1"/>
  <c r="CR114" i="1"/>
  <c r="CQ114" i="1"/>
  <c r="CO114" i="1"/>
  <c r="CN114" i="1"/>
  <c r="CL114" i="1"/>
  <c r="CK114" i="1"/>
  <c r="CJ114" i="1"/>
  <c r="CI114" i="1"/>
  <c r="CG114" i="1"/>
  <c r="CT113" i="1"/>
  <c r="CS113" i="1"/>
  <c r="CR113" i="1"/>
  <c r="CQ113" i="1"/>
  <c r="CO113" i="1"/>
  <c r="CN113" i="1"/>
  <c r="CL113" i="1"/>
  <c r="CK113" i="1"/>
  <c r="CJ113" i="1"/>
  <c r="CI113" i="1"/>
  <c r="CG113" i="1"/>
  <c r="CT112" i="1"/>
  <c r="CS112" i="1"/>
  <c r="CR112" i="1"/>
  <c r="CQ112" i="1"/>
  <c r="CO112" i="1"/>
  <c r="CN112" i="1"/>
  <c r="CL112" i="1"/>
  <c r="CK112" i="1"/>
  <c r="CJ112" i="1"/>
  <c r="CI112" i="1"/>
  <c r="CG112" i="1"/>
  <c r="CT111" i="1"/>
  <c r="CS111" i="1"/>
  <c r="CR111" i="1"/>
  <c r="CQ111" i="1"/>
  <c r="CO111" i="1"/>
  <c r="CN111" i="1"/>
  <c r="CL111" i="1"/>
  <c r="CK111" i="1"/>
  <c r="CJ111" i="1"/>
  <c r="CI111" i="1"/>
  <c r="CG111" i="1"/>
  <c r="CT110" i="1"/>
  <c r="CS110" i="1"/>
  <c r="CR110" i="1"/>
  <c r="CQ110" i="1"/>
  <c r="CO110" i="1"/>
  <c r="CN110" i="1"/>
  <c r="CL110" i="1"/>
  <c r="CK110" i="1"/>
  <c r="CJ110" i="1"/>
  <c r="CI110" i="1"/>
  <c r="CG110" i="1"/>
  <c r="CT109" i="1"/>
  <c r="CS109" i="1"/>
  <c r="CR109" i="1"/>
  <c r="CQ109" i="1"/>
  <c r="CO109" i="1"/>
  <c r="CN109" i="1"/>
  <c r="CL109" i="1"/>
  <c r="CK109" i="1"/>
  <c r="CJ109" i="1"/>
  <c r="CI109" i="1"/>
  <c r="CG109" i="1"/>
  <c r="CT108" i="1"/>
  <c r="CS108" i="1"/>
  <c r="CR108" i="1"/>
  <c r="CQ108" i="1"/>
  <c r="CO108" i="1"/>
  <c r="CN108" i="1"/>
  <c r="CL108" i="1"/>
  <c r="CK108" i="1"/>
  <c r="CJ108" i="1"/>
  <c r="CI108" i="1"/>
  <c r="CG108" i="1"/>
  <c r="CT107" i="1"/>
  <c r="CS107" i="1"/>
  <c r="CR107" i="1"/>
  <c r="CQ107" i="1"/>
  <c r="CO107" i="1"/>
  <c r="CN107" i="1"/>
  <c r="CL107" i="1"/>
  <c r="CK107" i="1"/>
  <c r="CJ107" i="1"/>
  <c r="CI107" i="1"/>
  <c r="CG107" i="1"/>
  <c r="CT106" i="1"/>
  <c r="CS106" i="1"/>
  <c r="CR106" i="1"/>
  <c r="CQ106" i="1"/>
  <c r="CO106" i="1"/>
  <c r="CN106" i="1"/>
  <c r="CL106" i="1"/>
  <c r="CK106" i="1"/>
  <c r="CJ106" i="1"/>
  <c r="CI106" i="1"/>
  <c r="CG106" i="1"/>
  <c r="CT105" i="1"/>
  <c r="CS105" i="1"/>
  <c r="CR105" i="1"/>
  <c r="CQ105" i="1"/>
  <c r="CO105" i="1"/>
  <c r="CN105" i="1"/>
  <c r="CL105" i="1"/>
  <c r="CK105" i="1"/>
  <c r="CJ105" i="1"/>
  <c r="CI105" i="1"/>
  <c r="CG105" i="1"/>
  <c r="CT104" i="1"/>
  <c r="CS104" i="1"/>
  <c r="CR104" i="1"/>
  <c r="CQ104" i="1"/>
  <c r="CO104" i="1"/>
  <c r="CN104" i="1"/>
  <c r="CL104" i="1"/>
  <c r="CK104" i="1"/>
  <c r="CJ104" i="1"/>
  <c r="CI104" i="1"/>
  <c r="CG104" i="1"/>
  <c r="CT103" i="1"/>
  <c r="CS103" i="1"/>
  <c r="CR103" i="1"/>
  <c r="CQ103" i="1"/>
  <c r="CO103" i="1"/>
  <c r="CN103" i="1"/>
  <c r="CL103" i="1"/>
  <c r="CK103" i="1"/>
  <c r="CJ103" i="1"/>
  <c r="CI103" i="1"/>
  <c r="CG103" i="1"/>
  <c r="CT102" i="1"/>
  <c r="CS102" i="1"/>
  <c r="CR102" i="1"/>
  <c r="CQ102" i="1"/>
  <c r="CO102" i="1"/>
  <c r="CN102" i="1"/>
  <c r="CL102" i="1"/>
  <c r="CK102" i="1"/>
  <c r="CJ102" i="1"/>
  <c r="CI102" i="1"/>
  <c r="CG102" i="1"/>
  <c r="CT101" i="1"/>
  <c r="CS101" i="1"/>
  <c r="CR101" i="1"/>
  <c r="CQ101" i="1"/>
  <c r="CO101" i="1"/>
  <c r="CN101" i="1"/>
  <c r="CL101" i="1"/>
  <c r="CK101" i="1"/>
  <c r="CJ101" i="1"/>
  <c r="CI101" i="1"/>
  <c r="CG101" i="1"/>
  <c r="CT100" i="1"/>
  <c r="CS100" i="1"/>
  <c r="CR100" i="1"/>
  <c r="CQ100" i="1"/>
  <c r="CO100" i="1"/>
  <c r="CN100" i="1"/>
  <c r="CL100" i="1"/>
  <c r="CK100" i="1"/>
  <c r="CJ100" i="1"/>
  <c r="CI100" i="1"/>
  <c r="CG100" i="1"/>
  <c r="CT99" i="1"/>
  <c r="CS99" i="1"/>
  <c r="CR99" i="1"/>
  <c r="CQ99" i="1"/>
  <c r="CO99" i="1"/>
  <c r="CN99" i="1"/>
  <c r="CL99" i="1"/>
  <c r="CK99" i="1"/>
  <c r="CJ99" i="1"/>
  <c r="CI99" i="1"/>
  <c r="CG99" i="1"/>
  <c r="CT98" i="1"/>
  <c r="CS98" i="1"/>
  <c r="CR98" i="1"/>
  <c r="CQ98" i="1"/>
  <c r="CO98" i="1"/>
  <c r="CN98" i="1"/>
  <c r="CL98" i="1"/>
  <c r="CK98" i="1"/>
  <c r="CJ98" i="1"/>
  <c r="CI98" i="1"/>
  <c r="CG98" i="1"/>
  <c r="CT97" i="1"/>
  <c r="CS97" i="1"/>
  <c r="CR97" i="1"/>
  <c r="CQ97" i="1"/>
  <c r="CO97" i="1"/>
  <c r="CN97" i="1"/>
  <c r="CL97" i="1"/>
  <c r="CK97" i="1"/>
  <c r="CJ97" i="1"/>
  <c r="CI97" i="1"/>
  <c r="CG97" i="1"/>
  <c r="CT96" i="1"/>
  <c r="CS96" i="1"/>
  <c r="CR96" i="1"/>
  <c r="CQ96" i="1"/>
  <c r="CO96" i="1"/>
  <c r="CN96" i="1"/>
  <c r="CL96" i="1"/>
  <c r="CK96" i="1"/>
  <c r="CJ96" i="1"/>
  <c r="CI96" i="1"/>
  <c r="CG96" i="1"/>
  <c r="CT95" i="1"/>
  <c r="CS95" i="1"/>
  <c r="CR95" i="1"/>
  <c r="CQ95" i="1"/>
  <c r="CO95" i="1"/>
  <c r="CN95" i="1"/>
  <c r="CL95" i="1"/>
  <c r="CK95" i="1"/>
  <c r="CJ95" i="1"/>
  <c r="CI95" i="1"/>
  <c r="CG95" i="1"/>
  <c r="CT94" i="1"/>
  <c r="CS94" i="1"/>
  <c r="CR94" i="1"/>
  <c r="CQ94" i="1"/>
  <c r="CO94" i="1"/>
  <c r="CN94" i="1"/>
  <c r="CL94" i="1"/>
  <c r="CK94" i="1"/>
  <c r="CJ94" i="1"/>
  <c r="CI94" i="1"/>
  <c r="CG94" i="1"/>
  <c r="CT93" i="1"/>
  <c r="CS93" i="1"/>
  <c r="CR93" i="1"/>
  <c r="CQ93" i="1"/>
  <c r="CO93" i="1"/>
  <c r="CN93" i="1"/>
  <c r="CL93" i="1"/>
  <c r="CK93" i="1"/>
  <c r="CJ93" i="1"/>
  <c r="CI93" i="1"/>
  <c r="CG93" i="1"/>
  <c r="CT92" i="1"/>
  <c r="CS92" i="1"/>
  <c r="CR92" i="1"/>
  <c r="CQ92" i="1"/>
  <c r="CO92" i="1"/>
  <c r="CN92" i="1"/>
  <c r="CL92" i="1"/>
  <c r="CK92" i="1"/>
  <c r="CJ92" i="1"/>
  <c r="CI92" i="1"/>
  <c r="CG92" i="1"/>
  <c r="CT91" i="1"/>
  <c r="CS91" i="1"/>
  <c r="CR91" i="1"/>
  <c r="CQ91" i="1"/>
  <c r="CO91" i="1"/>
  <c r="CN91" i="1"/>
  <c r="CL91" i="1"/>
  <c r="CK91" i="1"/>
  <c r="CJ91" i="1"/>
  <c r="CI91" i="1"/>
  <c r="CG91" i="1"/>
  <c r="CT90" i="1"/>
  <c r="CS90" i="1"/>
  <c r="CR90" i="1"/>
  <c r="CQ90" i="1"/>
  <c r="CO90" i="1"/>
  <c r="CN90" i="1"/>
  <c r="CL90" i="1"/>
  <c r="CK90" i="1"/>
  <c r="CJ90" i="1"/>
  <c r="CI90" i="1"/>
  <c r="CG90" i="1"/>
  <c r="CT89" i="1"/>
  <c r="CS89" i="1"/>
  <c r="CR89" i="1"/>
  <c r="CQ89" i="1"/>
  <c r="CO89" i="1"/>
  <c r="CN89" i="1"/>
  <c r="CL89" i="1"/>
  <c r="CK89" i="1"/>
  <c r="CJ89" i="1"/>
  <c r="CI89" i="1"/>
  <c r="CG89" i="1"/>
  <c r="CT88" i="1"/>
  <c r="CS88" i="1"/>
  <c r="CR88" i="1"/>
  <c r="CQ88" i="1"/>
  <c r="CO88" i="1"/>
  <c r="CN88" i="1"/>
  <c r="CL88" i="1"/>
  <c r="CK88" i="1"/>
  <c r="CJ88" i="1"/>
  <c r="CI88" i="1"/>
  <c r="CG88" i="1"/>
  <c r="CT87" i="1"/>
  <c r="CS87" i="1"/>
  <c r="CR87" i="1"/>
  <c r="CQ87" i="1"/>
  <c r="CO87" i="1"/>
  <c r="CN87" i="1"/>
  <c r="CL87" i="1"/>
  <c r="CK87" i="1"/>
  <c r="CJ87" i="1"/>
  <c r="CI87" i="1"/>
  <c r="CG87" i="1"/>
  <c r="CT86" i="1"/>
  <c r="CS86" i="1"/>
  <c r="CR86" i="1"/>
  <c r="CQ86" i="1"/>
  <c r="CO86" i="1"/>
  <c r="CN86" i="1"/>
  <c r="CL86" i="1"/>
  <c r="CK86" i="1"/>
  <c r="CJ86" i="1"/>
  <c r="CI86" i="1"/>
  <c r="CG86" i="1"/>
  <c r="CT85" i="1"/>
  <c r="CS85" i="1"/>
  <c r="CR85" i="1"/>
  <c r="CQ85" i="1"/>
  <c r="CO85" i="1"/>
  <c r="CN85" i="1"/>
  <c r="CL85" i="1"/>
  <c r="CK85" i="1"/>
  <c r="CJ85" i="1"/>
  <c r="CI85" i="1"/>
  <c r="CG85" i="1"/>
  <c r="CT84" i="1"/>
  <c r="CS84" i="1"/>
  <c r="CR84" i="1"/>
  <c r="CQ84" i="1"/>
  <c r="CO84" i="1"/>
  <c r="CN84" i="1"/>
  <c r="CL84" i="1"/>
  <c r="CK84" i="1"/>
  <c r="CJ84" i="1"/>
  <c r="CI84" i="1"/>
  <c r="CG84" i="1"/>
  <c r="CT83" i="1"/>
  <c r="CS83" i="1"/>
  <c r="CR83" i="1"/>
  <c r="CQ83" i="1"/>
  <c r="CO83" i="1"/>
  <c r="CN83" i="1"/>
  <c r="CL83" i="1"/>
  <c r="CK83" i="1"/>
  <c r="CJ83" i="1"/>
  <c r="CI83" i="1"/>
  <c r="CG83" i="1"/>
  <c r="CT82" i="1"/>
  <c r="CS82" i="1"/>
  <c r="CR82" i="1"/>
  <c r="CQ82" i="1"/>
  <c r="CO82" i="1"/>
  <c r="CN82" i="1"/>
  <c r="CL82" i="1"/>
  <c r="CK82" i="1"/>
  <c r="CJ82" i="1"/>
  <c r="CI82" i="1"/>
  <c r="CG82" i="1"/>
  <c r="CT81" i="1"/>
  <c r="CS81" i="1"/>
  <c r="CR81" i="1"/>
  <c r="CQ81" i="1"/>
  <c r="CO81" i="1"/>
  <c r="CN81" i="1"/>
  <c r="CL81" i="1"/>
  <c r="CK81" i="1"/>
  <c r="CJ81" i="1"/>
  <c r="CI81" i="1"/>
  <c r="CG81" i="1"/>
  <c r="CT80" i="1"/>
  <c r="CS80" i="1"/>
  <c r="CR80" i="1"/>
  <c r="CQ80" i="1"/>
  <c r="CO80" i="1"/>
  <c r="CN80" i="1"/>
  <c r="CL80" i="1"/>
  <c r="CK80" i="1"/>
  <c r="CJ80" i="1"/>
  <c r="CI80" i="1"/>
  <c r="CG80" i="1"/>
  <c r="CT79" i="1"/>
  <c r="CS79" i="1"/>
  <c r="CR79" i="1"/>
  <c r="CQ79" i="1"/>
  <c r="CO79" i="1"/>
  <c r="CN79" i="1"/>
  <c r="CL79" i="1"/>
  <c r="CK79" i="1"/>
  <c r="CJ79" i="1"/>
  <c r="CI79" i="1"/>
  <c r="CG79" i="1"/>
  <c r="CT78" i="1"/>
  <c r="CS78" i="1"/>
  <c r="CR78" i="1"/>
  <c r="CQ78" i="1"/>
  <c r="CO78" i="1"/>
  <c r="CN78" i="1"/>
  <c r="CL78" i="1"/>
  <c r="CK78" i="1"/>
  <c r="CJ78" i="1"/>
  <c r="CI78" i="1"/>
  <c r="CG78" i="1"/>
  <c r="CT77" i="1"/>
  <c r="CS77" i="1"/>
  <c r="CR77" i="1"/>
  <c r="CQ77" i="1"/>
  <c r="CO77" i="1"/>
  <c r="CN77" i="1"/>
  <c r="CL77" i="1"/>
  <c r="CK77" i="1"/>
  <c r="CJ77" i="1"/>
  <c r="CI77" i="1"/>
  <c r="CG77" i="1"/>
  <c r="CT76" i="1"/>
  <c r="CS76" i="1"/>
  <c r="CR76" i="1"/>
  <c r="CQ76" i="1"/>
  <c r="CO76" i="1"/>
  <c r="CN76" i="1"/>
  <c r="CL76" i="1"/>
  <c r="CK76" i="1"/>
  <c r="CJ76" i="1"/>
  <c r="CI76" i="1"/>
  <c r="CG76" i="1"/>
  <c r="CT75" i="1"/>
  <c r="CS75" i="1"/>
  <c r="CR75" i="1"/>
  <c r="CQ75" i="1"/>
  <c r="CO75" i="1"/>
  <c r="CN75" i="1"/>
  <c r="CL75" i="1"/>
  <c r="CK75" i="1"/>
  <c r="CJ75" i="1"/>
  <c r="CI75" i="1"/>
  <c r="CG75" i="1"/>
  <c r="CT74" i="1"/>
  <c r="CS74" i="1"/>
  <c r="CR74" i="1"/>
  <c r="CQ74" i="1"/>
  <c r="CO74" i="1"/>
  <c r="CN74" i="1"/>
  <c r="CL74" i="1"/>
  <c r="CK74" i="1"/>
  <c r="CJ74" i="1"/>
  <c r="CI74" i="1"/>
  <c r="CG74" i="1"/>
  <c r="CT73" i="1"/>
  <c r="CS73" i="1"/>
  <c r="CR73" i="1"/>
  <c r="CQ73" i="1"/>
  <c r="CO73" i="1"/>
  <c r="CN73" i="1"/>
  <c r="CL73" i="1"/>
  <c r="CK73" i="1"/>
  <c r="CJ73" i="1"/>
  <c r="CI73" i="1"/>
  <c r="CG73" i="1"/>
  <c r="CT72" i="1"/>
  <c r="CS72" i="1"/>
  <c r="CR72" i="1"/>
  <c r="CQ72" i="1"/>
  <c r="CO72" i="1"/>
  <c r="CN72" i="1"/>
  <c r="CL72" i="1"/>
  <c r="CK72" i="1"/>
  <c r="CJ72" i="1"/>
  <c r="CI72" i="1"/>
  <c r="CG72" i="1"/>
  <c r="CT71" i="1"/>
  <c r="CS71" i="1"/>
  <c r="CR71" i="1"/>
  <c r="CQ71" i="1"/>
  <c r="CO71" i="1"/>
  <c r="CN71" i="1"/>
  <c r="CL71" i="1"/>
  <c r="CK71" i="1"/>
  <c r="CJ71" i="1"/>
  <c r="CI71" i="1"/>
  <c r="CG71" i="1"/>
  <c r="CT70" i="1"/>
  <c r="CS70" i="1"/>
  <c r="CR70" i="1"/>
  <c r="CQ70" i="1"/>
  <c r="CO70" i="1"/>
  <c r="CN70" i="1"/>
  <c r="CL70" i="1"/>
  <c r="CK70" i="1"/>
  <c r="CJ70" i="1"/>
  <c r="CI70" i="1"/>
  <c r="CG70" i="1"/>
  <c r="CT69" i="1"/>
  <c r="CS69" i="1"/>
  <c r="CR69" i="1"/>
  <c r="CQ69" i="1"/>
  <c r="CO69" i="1"/>
  <c r="CN69" i="1"/>
  <c r="CL69" i="1"/>
  <c r="CK69" i="1"/>
  <c r="CJ69" i="1"/>
  <c r="CI69" i="1"/>
  <c r="CG69" i="1"/>
  <c r="CT68" i="1"/>
  <c r="CS68" i="1"/>
  <c r="CR68" i="1"/>
  <c r="CQ68" i="1"/>
  <c r="CO68" i="1"/>
  <c r="CN68" i="1"/>
  <c r="CL68" i="1"/>
  <c r="CK68" i="1"/>
  <c r="CJ68" i="1"/>
  <c r="CI68" i="1"/>
  <c r="CG68" i="1"/>
  <c r="CT67" i="1"/>
  <c r="CS67" i="1"/>
  <c r="CR67" i="1"/>
  <c r="CQ67" i="1"/>
  <c r="CO67" i="1"/>
  <c r="CN67" i="1"/>
  <c r="CL67" i="1"/>
  <c r="CK67" i="1"/>
  <c r="CJ67" i="1"/>
  <c r="CI67" i="1"/>
  <c r="CG67" i="1"/>
  <c r="CT66" i="1"/>
  <c r="CS66" i="1"/>
  <c r="CR66" i="1"/>
  <c r="CQ66" i="1"/>
  <c r="CO66" i="1"/>
  <c r="CN66" i="1"/>
  <c r="CL66" i="1"/>
  <c r="CK66" i="1"/>
  <c r="CJ66" i="1"/>
  <c r="CI66" i="1"/>
  <c r="CG66" i="1"/>
  <c r="CT65" i="1"/>
  <c r="CS65" i="1"/>
  <c r="CR65" i="1"/>
  <c r="CQ65" i="1"/>
  <c r="CO65" i="1"/>
  <c r="CN65" i="1"/>
  <c r="CL65" i="1"/>
  <c r="CK65" i="1"/>
  <c r="CJ65" i="1"/>
  <c r="CI65" i="1"/>
  <c r="CG65" i="1"/>
  <c r="CT64" i="1"/>
  <c r="CS64" i="1"/>
  <c r="CR64" i="1"/>
  <c r="CQ64" i="1"/>
  <c r="CO64" i="1"/>
  <c r="CN64" i="1"/>
  <c r="CL64" i="1"/>
  <c r="CK64" i="1"/>
  <c r="CJ64" i="1"/>
  <c r="CI64" i="1"/>
  <c r="CG64" i="1"/>
  <c r="CT63" i="1"/>
  <c r="CS63" i="1"/>
  <c r="CR63" i="1"/>
  <c r="CQ63" i="1"/>
  <c r="CO63" i="1"/>
  <c r="CN63" i="1"/>
  <c r="CL63" i="1"/>
  <c r="CK63" i="1"/>
  <c r="CJ63" i="1"/>
  <c r="CI63" i="1"/>
  <c r="CG63" i="1"/>
  <c r="CT62" i="1"/>
  <c r="CS62" i="1"/>
  <c r="CR62" i="1"/>
  <c r="CQ62" i="1"/>
  <c r="CO62" i="1"/>
  <c r="CN62" i="1"/>
  <c r="CL62" i="1"/>
  <c r="CK62" i="1"/>
  <c r="CJ62" i="1"/>
  <c r="CI62" i="1"/>
  <c r="CG62" i="1"/>
  <c r="CT61" i="1"/>
  <c r="CS61" i="1"/>
  <c r="CR61" i="1"/>
  <c r="CQ61" i="1"/>
  <c r="CO61" i="1"/>
  <c r="CN61" i="1"/>
  <c r="CL61" i="1"/>
  <c r="CK61" i="1"/>
  <c r="CJ61" i="1"/>
  <c r="CI61" i="1"/>
  <c r="CG61" i="1"/>
  <c r="CT60" i="1"/>
  <c r="CS60" i="1"/>
  <c r="CR60" i="1"/>
  <c r="CQ60" i="1"/>
  <c r="CO60" i="1"/>
  <c r="CN60" i="1"/>
  <c r="CL60" i="1"/>
  <c r="CK60" i="1"/>
  <c r="CJ60" i="1"/>
  <c r="CI60" i="1"/>
  <c r="CG60" i="1"/>
  <c r="CT59" i="1"/>
  <c r="CS59" i="1"/>
  <c r="CR59" i="1"/>
  <c r="CQ59" i="1"/>
  <c r="CO59" i="1"/>
  <c r="CN59" i="1"/>
  <c r="CL59" i="1"/>
  <c r="CK59" i="1"/>
  <c r="CJ59" i="1"/>
  <c r="CI59" i="1"/>
  <c r="CG59" i="1"/>
  <c r="CT58" i="1"/>
  <c r="CS58" i="1"/>
  <c r="CR58" i="1"/>
  <c r="CQ58" i="1"/>
  <c r="CO58" i="1"/>
  <c r="CN58" i="1"/>
  <c r="CL58" i="1"/>
  <c r="CK58" i="1"/>
  <c r="CJ58" i="1"/>
  <c r="CI58" i="1"/>
  <c r="CG58" i="1"/>
  <c r="CT57" i="1"/>
  <c r="CS57" i="1"/>
  <c r="CR57" i="1"/>
  <c r="CQ57" i="1"/>
  <c r="CO57" i="1"/>
  <c r="CN57" i="1"/>
  <c r="CL57" i="1"/>
  <c r="CK57" i="1"/>
  <c r="CJ57" i="1"/>
  <c r="CI57" i="1"/>
  <c r="CG57" i="1"/>
  <c r="CT56" i="1"/>
  <c r="CS56" i="1"/>
  <c r="CR56" i="1"/>
  <c r="CQ56" i="1"/>
  <c r="CO56" i="1"/>
  <c r="CN56" i="1"/>
  <c r="CL56" i="1"/>
  <c r="CK56" i="1"/>
  <c r="CJ56" i="1"/>
  <c r="CI56" i="1"/>
  <c r="CG56" i="1"/>
  <c r="CT55" i="1"/>
  <c r="CS55" i="1"/>
  <c r="CR55" i="1"/>
  <c r="CQ55" i="1"/>
  <c r="CO55" i="1"/>
  <c r="CN55" i="1"/>
  <c r="CL55" i="1"/>
  <c r="CK55" i="1"/>
  <c r="CJ55" i="1"/>
  <c r="CI55" i="1"/>
  <c r="CG55" i="1"/>
  <c r="CT54" i="1"/>
  <c r="CS54" i="1"/>
  <c r="CR54" i="1"/>
  <c r="CQ54" i="1"/>
  <c r="CO54" i="1"/>
  <c r="CN54" i="1"/>
  <c r="CL54" i="1"/>
  <c r="CK54" i="1"/>
  <c r="CJ54" i="1"/>
  <c r="CI54" i="1"/>
  <c r="CG54" i="1"/>
  <c r="CT53" i="1"/>
  <c r="CS53" i="1"/>
  <c r="CR53" i="1"/>
  <c r="CQ53" i="1"/>
  <c r="CO53" i="1"/>
  <c r="CN53" i="1"/>
  <c r="CL53" i="1"/>
  <c r="CK53" i="1"/>
  <c r="CJ53" i="1"/>
  <c r="CI53" i="1"/>
  <c r="CG53" i="1"/>
  <c r="CT52" i="1"/>
  <c r="CS52" i="1"/>
  <c r="CR52" i="1"/>
  <c r="CQ52" i="1"/>
  <c r="CO52" i="1"/>
  <c r="CN52" i="1"/>
  <c r="CL52" i="1"/>
  <c r="CK52" i="1"/>
  <c r="CJ52" i="1"/>
  <c r="CI52" i="1"/>
  <c r="CG52" i="1"/>
  <c r="CT51" i="1"/>
  <c r="CS51" i="1"/>
  <c r="CR51" i="1"/>
  <c r="CQ51" i="1"/>
  <c r="CO51" i="1"/>
  <c r="CN51" i="1"/>
  <c r="CL51" i="1"/>
  <c r="CK51" i="1"/>
  <c r="CJ51" i="1"/>
  <c r="CI51" i="1"/>
  <c r="CG51" i="1"/>
  <c r="CT50" i="1"/>
  <c r="CS50" i="1"/>
  <c r="CR50" i="1"/>
  <c r="CQ50" i="1"/>
  <c r="CO50" i="1"/>
  <c r="CN50" i="1"/>
  <c r="CL50" i="1"/>
  <c r="CK50" i="1"/>
  <c r="CJ50" i="1"/>
  <c r="CI50" i="1"/>
  <c r="CG50" i="1"/>
  <c r="CT49" i="1"/>
  <c r="CS49" i="1"/>
  <c r="CR49" i="1"/>
  <c r="CQ49" i="1"/>
  <c r="CO49" i="1"/>
  <c r="CN49" i="1"/>
  <c r="CL49" i="1"/>
  <c r="CK49" i="1"/>
  <c r="CJ49" i="1"/>
  <c r="CI49" i="1"/>
  <c r="CG49" i="1"/>
  <c r="CT48" i="1"/>
  <c r="CS48" i="1"/>
  <c r="CR48" i="1"/>
  <c r="CQ48" i="1"/>
  <c r="CO48" i="1"/>
  <c r="CN48" i="1"/>
  <c r="CL48" i="1"/>
  <c r="CK48" i="1"/>
  <c r="CJ48" i="1"/>
  <c r="CI48" i="1"/>
  <c r="CG48" i="1"/>
  <c r="CT47" i="1"/>
  <c r="CS47" i="1"/>
  <c r="CR47" i="1"/>
  <c r="CQ47" i="1"/>
  <c r="CO47" i="1"/>
  <c r="CN47" i="1"/>
  <c r="CL47" i="1"/>
  <c r="CK47" i="1"/>
  <c r="CJ47" i="1"/>
  <c r="CI47" i="1"/>
  <c r="CG47" i="1"/>
  <c r="CT46" i="1"/>
  <c r="CS46" i="1"/>
  <c r="CR46" i="1"/>
  <c r="CQ46" i="1"/>
  <c r="CO46" i="1"/>
  <c r="CN46" i="1"/>
  <c r="CL46" i="1"/>
  <c r="CK46" i="1"/>
  <c r="CJ46" i="1"/>
  <c r="CI46" i="1"/>
  <c r="CG46" i="1"/>
  <c r="CT45" i="1"/>
  <c r="CS45" i="1"/>
  <c r="CR45" i="1"/>
  <c r="CQ45" i="1"/>
  <c r="CO45" i="1"/>
  <c r="CN45" i="1"/>
  <c r="CL45" i="1"/>
  <c r="CK45" i="1"/>
  <c r="CJ45" i="1"/>
  <c r="CI45" i="1"/>
  <c r="CG45" i="1"/>
  <c r="CT44" i="1"/>
  <c r="CS44" i="1"/>
  <c r="CR44" i="1"/>
  <c r="CQ44" i="1"/>
  <c r="CO44" i="1"/>
  <c r="CN44" i="1"/>
  <c r="CL44" i="1"/>
  <c r="CK44" i="1"/>
  <c r="CJ44" i="1"/>
  <c r="CI44" i="1"/>
  <c r="CG44" i="1"/>
  <c r="CT43" i="1"/>
  <c r="CS43" i="1"/>
  <c r="CR43" i="1"/>
  <c r="CQ43" i="1"/>
  <c r="CO43" i="1"/>
  <c r="CN43" i="1"/>
  <c r="CL43" i="1"/>
  <c r="CK43" i="1"/>
  <c r="CJ43" i="1"/>
  <c r="CI43" i="1"/>
  <c r="CG43" i="1"/>
  <c r="CT42" i="1"/>
  <c r="CS42" i="1"/>
  <c r="CR42" i="1"/>
  <c r="CQ42" i="1"/>
  <c r="CO42" i="1"/>
  <c r="CN42" i="1"/>
  <c r="CL42" i="1"/>
  <c r="CK42" i="1"/>
  <c r="CJ42" i="1"/>
  <c r="CI42" i="1"/>
  <c r="CG42" i="1"/>
  <c r="CT41" i="1"/>
  <c r="CS41" i="1"/>
  <c r="CR41" i="1"/>
  <c r="CQ41" i="1"/>
  <c r="CO41" i="1"/>
  <c r="CN41" i="1"/>
  <c r="CL41" i="1"/>
  <c r="CK41" i="1"/>
  <c r="CJ41" i="1"/>
  <c r="CI41" i="1"/>
  <c r="CG41" i="1"/>
  <c r="CT40" i="1"/>
  <c r="CS40" i="1"/>
  <c r="CR40" i="1"/>
  <c r="CQ40" i="1"/>
  <c r="CO40" i="1"/>
  <c r="CN40" i="1"/>
  <c r="CL40" i="1"/>
  <c r="CK40" i="1"/>
  <c r="CJ40" i="1"/>
  <c r="CI40" i="1"/>
  <c r="CG40" i="1"/>
  <c r="CT39" i="1"/>
  <c r="CS39" i="1"/>
  <c r="CR39" i="1"/>
  <c r="CQ39" i="1"/>
  <c r="CO39" i="1"/>
  <c r="CN39" i="1"/>
  <c r="CL39" i="1"/>
  <c r="CK39" i="1"/>
  <c r="CJ39" i="1"/>
  <c r="CI39" i="1"/>
  <c r="CG39" i="1"/>
  <c r="CT38" i="1"/>
  <c r="CS38" i="1"/>
  <c r="CR38" i="1"/>
  <c r="CQ38" i="1"/>
  <c r="CO38" i="1"/>
  <c r="CN38" i="1"/>
  <c r="CL38" i="1"/>
  <c r="CK38" i="1"/>
  <c r="CJ38" i="1"/>
  <c r="CI38" i="1"/>
  <c r="CG38" i="1"/>
  <c r="CT37" i="1"/>
  <c r="CS37" i="1"/>
  <c r="CR37" i="1"/>
  <c r="CQ37" i="1"/>
  <c r="CO37" i="1"/>
  <c r="CN37" i="1"/>
  <c r="CL37" i="1"/>
  <c r="CK37" i="1"/>
  <c r="CJ37" i="1"/>
  <c r="CI37" i="1"/>
  <c r="CG37" i="1"/>
  <c r="CT36" i="1"/>
  <c r="CS36" i="1"/>
  <c r="CR36" i="1"/>
  <c r="CQ36" i="1"/>
  <c r="CO36" i="1"/>
  <c r="CN36" i="1"/>
  <c r="CL36" i="1"/>
  <c r="CK36" i="1"/>
  <c r="CJ36" i="1"/>
  <c r="CI36" i="1"/>
  <c r="CG36" i="1"/>
  <c r="CT35" i="1"/>
  <c r="CS35" i="1"/>
  <c r="CR35" i="1"/>
  <c r="CQ35" i="1"/>
  <c r="CO35" i="1"/>
  <c r="CN35" i="1"/>
  <c r="CL35" i="1"/>
  <c r="CK35" i="1"/>
  <c r="CJ35" i="1"/>
  <c r="CI35" i="1"/>
  <c r="CG35" i="1"/>
  <c r="CT34" i="1"/>
  <c r="CS34" i="1"/>
  <c r="CR34" i="1"/>
  <c r="CQ34" i="1"/>
  <c r="CO34" i="1"/>
  <c r="CN34" i="1"/>
  <c r="CL34" i="1"/>
  <c r="CK34" i="1"/>
  <c r="CJ34" i="1"/>
  <c r="CI34" i="1"/>
  <c r="CG34" i="1"/>
  <c r="CT33" i="1"/>
  <c r="CS33" i="1"/>
  <c r="CR33" i="1"/>
  <c r="CQ33" i="1"/>
  <c r="CO33" i="1"/>
  <c r="CN33" i="1"/>
  <c r="CL33" i="1"/>
  <c r="CK33" i="1"/>
  <c r="CJ33" i="1"/>
  <c r="CI33" i="1"/>
  <c r="CG33" i="1"/>
  <c r="CT32" i="1"/>
  <c r="CS32" i="1"/>
  <c r="CR32" i="1"/>
  <c r="CQ32" i="1"/>
  <c r="CO32" i="1"/>
  <c r="CN32" i="1"/>
  <c r="CL32" i="1"/>
  <c r="CK32" i="1"/>
  <c r="CJ32" i="1"/>
  <c r="CI32" i="1"/>
  <c r="CG32" i="1"/>
  <c r="CT31" i="1"/>
  <c r="CS31" i="1"/>
  <c r="CR31" i="1"/>
  <c r="CQ31" i="1"/>
  <c r="CO31" i="1"/>
  <c r="CN31" i="1"/>
  <c r="CL31" i="1"/>
  <c r="CK31" i="1"/>
  <c r="CJ31" i="1"/>
  <c r="CI31" i="1"/>
  <c r="CG31" i="1"/>
  <c r="CT30" i="1"/>
  <c r="CS30" i="1"/>
  <c r="CR30" i="1"/>
  <c r="CQ30" i="1"/>
  <c r="CO30" i="1"/>
  <c r="CN30" i="1"/>
  <c r="CL30" i="1"/>
  <c r="CK30" i="1"/>
  <c r="CJ30" i="1"/>
  <c r="CI30" i="1"/>
  <c r="CG30" i="1"/>
  <c r="CT29" i="1"/>
  <c r="CS29" i="1"/>
  <c r="CR29" i="1"/>
  <c r="CQ29" i="1"/>
  <c r="CO29" i="1"/>
  <c r="CN29" i="1"/>
  <c r="CL29" i="1"/>
  <c r="CK29" i="1"/>
  <c r="CJ29" i="1"/>
  <c r="CI29" i="1"/>
  <c r="CG29" i="1"/>
  <c r="CT28" i="1"/>
  <c r="CS28" i="1"/>
  <c r="CR28" i="1"/>
  <c r="CQ28" i="1"/>
  <c r="CO28" i="1"/>
  <c r="CN28" i="1"/>
  <c r="CL28" i="1"/>
  <c r="CK28" i="1"/>
  <c r="CJ28" i="1"/>
  <c r="CI28" i="1"/>
  <c r="CG28" i="1"/>
  <c r="CT27" i="1"/>
  <c r="CS27" i="1"/>
  <c r="CR27" i="1"/>
  <c r="CQ27" i="1"/>
  <c r="CO27" i="1"/>
  <c r="CN27" i="1"/>
  <c r="CL27" i="1"/>
  <c r="CK27" i="1"/>
  <c r="CJ27" i="1"/>
  <c r="CI27" i="1"/>
  <c r="CG27" i="1"/>
  <c r="CT26" i="1"/>
  <c r="CS26" i="1"/>
  <c r="CR26" i="1"/>
  <c r="CQ26" i="1"/>
  <c r="CO26" i="1"/>
  <c r="CN26" i="1"/>
  <c r="CL26" i="1"/>
  <c r="CK26" i="1"/>
  <c r="CJ26" i="1"/>
  <c r="CI26" i="1"/>
  <c r="CG26" i="1"/>
  <c r="CT25" i="1"/>
  <c r="CS25" i="1"/>
  <c r="CR25" i="1"/>
  <c r="CQ25" i="1"/>
  <c r="CO25" i="1"/>
  <c r="CN25" i="1"/>
  <c r="CL25" i="1"/>
  <c r="CK25" i="1"/>
  <c r="CJ25" i="1"/>
  <c r="CI25" i="1"/>
  <c r="CG25" i="1"/>
  <c r="CT24" i="1"/>
  <c r="CS24" i="1"/>
  <c r="CR24" i="1"/>
  <c r="CQ24" i="1"/>
  <c r="CO24" i="1"/>
  <c r="CN24" i="1"/>
  <c r="CL24" i="1"/>
  <c r="CK24" i="1"/>
  <c r="CJ24" i="1"/>
  <c r="CI24" i="1"/>
  <c r="CG24" i="1"/>
  <c r="CT23" i="1"/>
  <c r="CS23" i="1"/>
  <c r="CR23" i="1"/>
  <c r="CQ23" i="1"/>
  <c r="CO23" i="1"/>
  <c r="CN23" i="1"/>
  <c r="CL23" i="1"/>
  <c r="CK23" i="1"/>
  <c r="CJ23" i="1"/>
  <c r="CI23" i="1"/>
  <c r="CG23" i="1"/>
  <c r="CT22" i="1"/>
  <c r="CS22" i="1"/>
  <c r="CR22" i="1"/>
  <c r="CQ22" i="1"/>
  <c r="CO22" i="1"/>
  <c r="CN22" i="1"/>
  <c r="CL22" i="1"/>
  <c r="CK22" i="1"/>
  <c r="CJ22" i="1"/>
  <c r="CI22" i="1"/>
  <c r="CG22" i="1"/>
  <c r="CT21" i="1"/>
  <c r="CS21" i="1"/>
  <c r="CR21" i="1"/>
  <c r="CQ21" i="1"/>
  <c r="CO21" i="1"/>
  <c r="CN21" i="1"/>
  <c r="CL21" i="1"/>
  <c r="CK21" i="1"/>
  <c r="CJ21" i="1"/>
  <c r="CI21" i="1"/>
  <c r="CG21" i="1"/>
  <c r="CT20" i="1"/>
  <c r="CS20" i="1"/>
  <c r="CR20" i="1"/>
  <c r="CQ20" i="1"/>
  <c r="CO20" i="1"/>
  <c r="CN20" i="1"/>
  <c r="CL20" i="1"/>
  <c r="CK20" i="1"/>
  <c r="CJ20" i="1"/>
  <c r="CI20" i="1"/>
  <c r="CG20" i="1"/>
  <c r="CT19" i="1"/>
  <c r="CS19" i="1"/>
  <c r="CR19" i="1"/>
  <c r="CQ19" i="1"/>
  <c r="CO19" i="1"/>
  <c r="CN19" i="1"/>
  <c r="CL19" i="1"/>
  <c r="CK19" i="1"/>
  <c r="CJ19" i="1"/>
  <c r="CI19" i="1"/>
  <c r="CG19" i="1"/>
  <c r="CT18" i="1"/>
  <c r="CS18" i="1"/>
  <c r="CR18" i="1"/>
  <c r="CQ18" i="1"/>
  <c r="CO18" i="1"/>
  <c r="CN18" i="1"/>
  <c r="CL18" i="1"/>
  <c r="CK18" i="1"/>
  <c r="CJ18" i="1"/>
  <c r="CI18" i="1"/>
  <c r="CG18" i="1"/>
  <c r="CT17" i="1"/>
  <c r="CS17" i="1"/>
  <c r="CR17" i="1"/>
  <c r="CQ17" i="1"/>
  <c r="CO17" i="1"/>
  <c r="CN17" i="1"/>
  <c r="CL17" i="1"/>
  <c r="CK17" i="1"/>
  <c r="CJ17" i="1"/>
  <c r="CI17" i="1"/>
  <c r="CG17" i="1"/>
  <c r="CT16" i="1"/>
  <c r="CS16" i="1"/>
  <c r="CR16" i="1"/>
  <c r="CQ16" i="1"/>
  <c r="CO16" i="1"/>
  <c r="CN16" i="1"/>
  <c r="CL16" i="1"/>
  <c r="CK16" i="1"/>
  <c r="CJ16" i="1"/>
  <c r="CI16" i="1"/>
  <c r="CG16" i="1"/>
  <c r="CT15" i="1"/>
  <c r="CS15" i="1"/>
  <c r="CR15" i="1"/>
  <c r="CQ15" i="1"/>
  <c r="CO15" i="1"/>
  <c r="CN15" i="1"/>
  <c r="CL15" i="1"/>
  <c r="CK15" i="1"/>
  <c r="CJ15" i="1"/>
  <c r="CI15" i="1"/>
  <c r="CG15" i="1"/>
  <c r="CT14" i="1"/>
  <c r="CS14" i="1"/>
  <c r="CR14" i="1"/>
  <c r="CQ14" i="1"/>
  <c r="CO14" i="1"/>
  <c r="CN14" i="1"/>
  <c r="CL14" i="1"/>
  <c r="CK14" i="1"/>
  <c r="CJ14" i="1"/>
  <c r="CI14" i="1"/>
  <c r="CG14" i="1"/>
  <c r="CT13" i="1"/>
  <c r="CS13" i="1"/>
  <c r="CR13" i="1"/>
  <c r="CQ13" i="1"/>
  <c r="CO13" i="1"/>
  <c r="CN13" i="1"/>
  <c r="CL13" i="1"/>
  <c r="CK13" i="1"/>
  <c r="CJ13" i="1"/>
  <c r="CI13" i="1"/>
  <c r="CG13" i="1"/>
  <c r="CT12" i="1"/>
  <c r="CS12" i="1"/>
  <c r="CR12" i="1"/>
  <c r="CQ12" i="1"/>
  <c r="CO12" i="1"/>
  <c r="CN12" i="1"/>
  <c r="CL12" i="1"/>
  <c r="CK12" i="1"/>
  <c r="CJ12" i="1"/>
  <c r="CI12" i="1"/>
  <c r="CG12" i="1"/>
  <c r="CT11" i="1"/>
  <c r="CS11" i="1"/>
  <c r="CR11" i="1"/>
  <c r="CQ11" i="1"/>
  <c r="CO11" i="1"/>
  <c r="CN11" i="1"/>
  <c r="CL11" i="1"/>
  <c r="CK11" i="1"/>
  <c r="CJ11" i="1"/>
  <c r="CI11" i="1"/>
  <c r="CG11" i="1"/>
  <c r="CT10" i="1"/>
  <c r="CS10" i="1"/>
  <c r="CR10" i="1"/>
  <c r="CQ10" i="1"/>
  <c r="CO10" i="1"/>
  <c r="CN10" i="1"/>
  <c r="CL10" i="1"/>
  <c r="CK10" i="1"/>
  <c r="CJ10" i="1"/>
  <c r="CI10" i="1"/>
  <c r="CG10" i="1"/>
  <c r="CT9" i="1"/>
  <c r="CS9" i="1"/>
  <c r="CR9" i="1"/>
  <c r="CQ9" i="1"/>
  <c r="CO9" i="1"/>
  <c r="CN9" i="1"/>
  <c r="CL9" i="1"/>
  <c r="CK9" i="1"/>
  <c r="CJ9" i="1"/>
  <c r="CI9" i="1"/>
  <c r="CG9" i="1"/>
  <c r="CT8" i="1"/>
  <c r="CS8" i="1"/>
  <c r="CR8" i="1"/>
  <c r="CQ8" i="1"/>
  <c r="CO8" i="1"/>
  <c r="CN8" i="1"/>
  <c r="CL8" i="1"/>
  <c r="CK8" i="1"/>
  <c r="CJ8" i="1"/>
  <c r="CI8" i="1"/>
  <c r="CG8" i="1"/>
  <c r="CT7" i="1"/>
  <c r="CS7" i="1"/>
  <c r="CR7" i="1"/>
  <c r="CQ7" i="1"/>
  <c r="CO7" i="1"/>
  <c r="CN7" i="1"/>
  <c r="CL7" i="1"/>
  <c r="CK7" i="1"/>
  <c r="CJ7" i="1"/>
  <c r="CI7" i="1"/>
  <c r="CG7" i="1"/>
  <c r="CU6" i="1"/>
  <c r="CT6" i="1"/>
  <c r="CS6" i="1"/>
  <c r="CR6" i="1"/>
  <c r="CQ6" i="1"/>
  <c r="CO6" i="1"/>
  <c r="CN6" i="1"/>
  <c r="CL6" i="1"/>
  <c r="CK6" i="1"/>
  <c r="CJ6" i="1"/>
  <c r="CI6" i="1"/>
  <c r="CG6" i="1"/>
  <c r="CF6" i="1"/>
  <c r="BH370" i="1"/>
  <c r="BG370" i="1"/>
  <c r="BF370" i="1"/>
  <c r="BH369" i="1"/>
  <c r="BG369" i="1"/>
  <c r="BF369" i="1"/>
  <c r="BH368" i="1"/>
  <c r="BG368" i="1"/>
  <c r="BF368" i="1"/>
  <c r="BH367" i="1"/>
  <c r="BG367" i="1"/>
  <c r="BF367" i="1"/>
  <c r="BH366" i="1"/>
  <c r="BG366" i="1"/>
  <c r="BF366" i="1"/>
  <c r="BH365" i="1"/>
  <c r="BG365" i="1"/>
  <c r="BF365" i="1"/>
  <c r="BH364" i="1"/>
  <c r="BG364" i="1"/>
  <c r="BF364" i="1"/>
  <c r="BH363" i="1"/>
  <c r="BG363" i="1"/>
  <c r="BF363" i="1"/>
  <c r="BH362" i="1"/>
  <c r="BG362" i="1"/>
  <c r="BF362" i="1"/>
  <c r="BH361" i="1"/>
  <c r="BG361" i="1"/>
  <c r="BF361" i="1"/>
  <c r="BH360" i="1"/>
  <c r="BG360" i="1"/>
  <c r="BF360" i="1"/>
  <c r="BH359" i="1"/>
  <c r="BG359" i="1"/>
  <c r="BF359" i="1"/>
  <c r="BH358" i="1"/>
  <c r="BG358" i="1"/>
  <c r="BF358" i="1"/>
  <c r="BH357" i="1"/>
  <c r="BG357" i="1"/>
  <c r="BF357" i="1"/>
  <c r="BH356" i="1"/>
  <c r="BG356" i="1"/>
  <c r="BF356" i="1"/>
  <c r="BH355" i="1"/>
  <c r="BG355" i="1"/>
  <c r="BF355" i="1"/>
  <c r="BH354" i="1"/>
  <c r="BG354" i="1"/>
  <c r="BF354" i="1"/>
  <c r="BH353" i="1"/>
  <c r="BG353" i="1"/>
  <c r="BF353" i="1"/>
  <c r="BH352" i="1"/>
  <c r="BG352" i="1"/>
  <c r="BF352" i="1"/>
  <c r="BH351" i="1"/>
  <c r="BG351" i="1"/>
  <c r="BF351" i="1"/>
  <c r="BH350" i="1"/>
  <c r="BG350" i="1"/>
  <c r="BF350" i="1"/>
  <c r="BH349" i="1"/>
  <c r="BG349" i="1"/>
  <c r="BF349" i="1"/>
  <c r="BH348" i="1"/>
  <c r="BG348" i="1"/>
  <c r="BF348" i="1"/>
  <c r="BH347" i="1"/>
  <c r="BG347" i="1"/>
  <c r="BF347" i="1"/>
  <c r="BH346" i="1"/>
  <c r="BG346" i="1"/>
  <c r="BF346" i="1"/>
  <c r="BH345" i="1"/>
  <c r="BG345" i="1"/>
  <c r="BF345" i="1"/>
  <c r="BH344" i="1"/>
  <c r="BG344" i="1"/>
  <c r="BF344" i="1"/>
  <c r="BH343" i="1"/>
  <c r="BG343" i="1"/>
  <c r="BF343" i="1"/>
  <c r="BH342" i="1"/>
  <c r="BG342" i="1"/>
  <c r="BF342" i="1"/>
  <c r="BH341" i="1"/>
  <c r="BG341" i="1"/>
  <c r="BF341" i="1"/>
  <c r="BH340" i="1"/>
  <c r="BG340" i="1"/>
  <c r="BF340" i="1"/>
  <c r="BH339" i="1"/>
  <c r="BG339" i="1"/>
  <c r="BF339" i="1"/>
  <c r="BH338" i="1"/>
  <c r="BG338" i="1"/>
  <c r="BF338" i="1"/>
  <c r="BH337" i="1"/>
  <c r="BG337" i="1"/>
  <c r="BF337" i="1"/>
  <c r="BH336" i="1"/>
  <c r="BG336" i="1"/>
  <c r="BF336" i="1"/>
  <c r="BH335" i="1"/>
  <c r="BG335" i="1"/>
  <c r="BF335" i="1"/>
  <c r="BH334" i="1"/>
  <c r="BG334" i="1"/>
  <c r="BF334" i="1"/>
  <c r="BH333" i="1"/>
  <c r="BG333" i="1"/>
  <c r="BF333" i="1"/>
  <c r="BH332" i="1"/>
  <c r="BG332" i="1"/>
  <c r="BF332" i="1"/>
  <c r="BH331" i="1"/>
  <c r="BG331" i="1"/>
  <c r="BF331" i="1"/>
  <c r="BH330" i="1"/>
  <c r="BG330" i="1"/>
  <c r="BF330" i="1"/>
  <c r="BH329" i="1"/>
  <c r="BG329" i="1"/>
  <c r="BF329" i="1"/>
  <c r="BH328" i="1"/>
  <c r="BG328" i="1"/>
  <c r="BF328" i="1"/>
  <c r="BH327" i="1"/>
  <c r="BG327" i="1"/>
  <c r="BF327" i="1"/>
  <c r="BH326" i="1"/>
  <c r="BG326" i="1"/>
  <c r="BF326" i="1"/>
  <c r="BH325" i="1"/>
  <c r="BG325" i="1"/>
  <c r="BF325" i="1"/>
  <c r="BH324" i="1"/>
  <c r="BG324" i="1"/>
  <c r="BF324" i="1"/>
  <c r="BH323" i="1"/>
  <c r="BG323" i="1"/>
  <c r="BF323" i="1"/>
  <c r="BH322" i="1"/>
  <c r="BG322" i="1"/>
  <c r="BF322" i="1"/>
  <c r="BH321" i="1"/>
  <c r="BG321" i="1"/>
  <c r="BF321" i="1"/>
  <c r="BH320" i="1"/>
  <c r="BG320" i="1"/>
  <c r="BF320" i="1"/>
  <c r="BH319" i="1"/>
  <c r="BG319" i="1"/>
  <c r="BF319" i="1"/>
  <c r="BH318" i="1"/>
  <c r="BG318" i="1"/>
  <c r="BF318" i="1"/>
  <c r="BH317" i="1"/>
  <c r="BG317" i="1"/>
  <c r="BF317" i="1"/>
  <c r="BH316" i="1"/>
  <c r="BG316" i="1"/>
  <c r="BF316" i="1"/>
  <c r="BH315" i="1"/>
  <c r="BG315" i="1"/>
  <c r="BF315" i="1"/>
  <c r="BH314" i="1"/>
  <c r="BG314" i="1"/>
  <c r="BF314" i="1"/>
  <c r="BH313" i="1"/>
  <c r="BG313" i="1"/>
  <c r="BF313" i="1"/>
  <c r="BH312" i="1"/>
  <c r="BG312" i="1"/>
  <c r="BF312" i="1"/>
  <c r="BH311" i="1"/>
  <c r="BG311" i="1"/>
  <c r="BF311" i="1"/>
  <c r="BH310" i="1"/>
  <c r="BG310" i="1"/>
  <c r="BF310" i="1"/>
  <c r="BH309" i="1"/>
  <c r="BG309" i="1"/>
  <c r="BF309" i="1"/>
  <c r="BH308" i="1"/>
  <c r="BG308" i="1"/>
  <c r="BF308" i="1"/>
  <c r="BH307" i="1"/>
  <c r="BG307" i="1"/>
  <c r="BF307" i="1"/>
  <c r="BH306" i="1"/>
  <c r="BG306" i="1"/>
  <c r="BF306" i="1"/>
  <c r="BH305" i="1"/>
  <c r="BG305" i="1"/>
  <c r="BF305" i="1"/>
  <c r="BH304" i="1"/>
  <c r="BG304" i="1"/>
  <c r="BF304" i="1"/>
  <c r="BH303" i="1"/>
  <c r="BG303" i="1"/>
  <c r="BF303" i="1"/>
  <c r="BH302" i="1"/>
  <c r="BG302" i="1"/>
  <c r="BF302" i="1"/>
  <c r="BH301" i="1"/>
  <c r="BG301" i="1"/>
  <c r="BF301" i="1"/>
  <c r="BH300" i="1"/>
  <c r="BG300" i="1"/>
  <c r="BF300" i="1"/>
  <c r="BH299" i="1"/>
  <c r="BG299" i="1"/>
  <c r="BF299" i="1"/>
  <c r="BH298" i="1"/>
  <c r="BG298" i="1"/>
  <c r="BF298" i="1"/>
  <c r="BH297" i="1"/>
  <c r="BG297" i="1"/>
  <c r="BF297" i="1"/>
  <c r="BH296" i="1"/>
  <c r="BG296" i="1"/>
  <c r="BF296" i="1"/>
  <c r="BH295" i="1"/>
  <c r="BG295" i="1"/>
  <c r="BF295" i="1"/>
  <c r="BH294" i="1"/>
  <c r="BG294" i="1"/>
  <c r="BF294" i="1"/>
  <c r="BH293" i="1"/>
  <c r="BG293" i="1"/>
  <c r="BF293" i="1"/>
  <c r="BH292" i="1"/>
  <c r="BG292" i="1"/>
  <c r="BF292" i="1"/>
  <c r="BH291" i="1"/>
  <c r="BG291" i="1"/>
  <c r="BF291" i="1"/>
  <c r="BH290" i="1"/>
  <c r="BG290" i="1"/>
  <c r="BF290" i="1"/>
  <c r="BH289" i="1"/>
  <c r="BG289" i="1"/>
  <c r="BF289" i="1"/>
  <c r="BH288" i="1"/>
  <c r="BG288" i="1"/>
  <c r="BF288" i="1"/>
  <c r="BH287" i="1"/>
  <c r="BG287" i="1"/>
  <c r="BF287" i="1"/>
  <c r="BH286" i="1"/>
  <c r="BG286" i="1"/>
  <c r="BF286" i="1"/>
  <c r="BH285" i="1"/>
  <c r="BG285" i="1"/>
  <c r="BF285" i="1"/>
  <c r="BH284" i="1"/>
  <c r="BG284" i="1"/>
  <c r="BF284" i="1"/>
  <c r="BH283" i="1"/>
  <c r="BG283" i="1"/>
  <c r="BF283" i="1"/>
  <c r="BH282" i="1"/>
  <c r="BG282" i="1"/>
  <c r="BF282" i="1"/>
  <c r="BH281" i="1"/>
  <c r="BG281" i="1"/>
  <c r="BF281" i="1"/>
  <c r="BH280" i="1"/>
  <c r="BG280" i="1"/>
  <c r="BF280" i="1"/>
  <c r="BH279" i="1"/>
  <c r="BG279" i="1"/>
  <c r="BF279" i="1"/>
  <c r="BH278" i="1"/>
  <c r="BG278" i="1"/>
  <c r="BF278" i="1"/>
  <c r="BH277" i="1"/>
  <c r="BG277" i="1"/>
  <c r="BF277" i="1"/>
  <c r="BH276" i="1"/>
  <c r="BG276" i="1"/>
  <c r="BF276" i="1"/>
  <c r="BH275" i="1"/>
  <c r="BG275" i="1"/>
  <c r="BF275" i="1"/>
  <c r="BH274" i="1"/>
  <c r="BG274" i="1"/>
  <c r="BF274" i="1"/>
  <c r="BH273" i="1"/>
  <c r="BG273" i="1"/>
  <c r="BF273" i="1"/>
  <c r="BH272" i="1"/>
  <c r="BG272" i="1"/>
  <c r="BF272" i="1"/>
  <c r="BH271" i="1"/>
  <c r="BG271" i="1"/>
  <c r="BF271" i="1"/>
  <c r="BH270" i="1"/>
  <c r="BG270" i="1"/>
  <c r="BF270" i="1"/>
  <c r="BH269" i="1"/>
  <c r="BG269" i="1"/>
  <c r="BF269" i="1"/>
  <c r="BH268" i="1"/>
  <c r="BG268" i="1"/>
  <c r="BF268" i="1"/>
  <c r="BH267" i="1"/>
  <c r="BG267" i="1"/>
  <c r="BF267" i="1"/>
  <c r="BH266" i="1"/>
  <c r="BG266" i="1"/>
  <c r="BF266" i="1"/>
  <c r="BH265" i="1"/>
  <c r="BG265" i="1"/>
  <c r="BF265" i="1"/>
  <c r="BH264" i="1"/>
  <c r="BG264" i="1"/>
  <c r="BF264" i="1"/>
  <c r="BH263" i="1"/>
  <c r="BG263" i="1"/>
  <c r="BF263" i="1"/>
  <c r="BH262" i="1"/>
  <c r="BG262" i="1"/>
  <c r="BF262" i="1"/>
  <c r="BH261" i="1"/>
  <c r="BG261" i="1"/>
  <c r="BF261" i="1"/>
  <c r="BH260" i="1"/>
  <c r="BG260" i="1"/>
  <c r="BF260" i="1"/>
  <c r="BH259" i="1"/>
  <c r="BG259" i="1"/>
  <c r="BF259" i="1"/>
  <c r="BH258" i="1"/>
  <c r="BG258" i="1"/>
  <c r="BF258" i="1"/>
  <c r="BH257" i="1"/>
  <c r="BG257" i="1"/>
  <c r="BF257" i="1"/>
  <c r="BH256" i="1"/>
  <c r="BG256" i="1"/>
  <c r="BF256" i="1"/>
  <c r="BH255" i="1"/>
  <c r="BG255" i="1"/>
  <c r="BF255" i="1"/>
  <c r="BH254" i="1"/>
  <c r="BG254" i="1"/>
  <c r="BF254" i="1"/>
  <c r="BH253" i="1"/>
  <c r="BG253" i="1"/>
  <c r="BF253" i="1"/>
  <c r="BH252" i="1"/>
  <c r="BG252" i="1"/>
  <c r="BF252" i="1"/>
  <c r="BH251" i="1"/>
  <c r="BG251" i="1"/>
  <c r="BF251" i="1"/>
  <c r="BH250" i="1"/>
  <c r="BG250" i="1"/>
  <c r="BF250" i="1"/>
  <c r="BH249" i="1"/>
  <c r="BG249" i="1"/>
  <c r="BF249" i="1"/>
  <c r="BH248" i="1"/>
  <c r="BG248" i="1"/>
  <c r="BF248" i="1"/>
  <c r="BH247" i="1"/>
  <c r="BG247" i="1"/>
  <c r="BF247" i="1"/>
  <c r="BH246" i="1"/>
  <c r="BG246" i="1"/>
  <c r="BF246" i="1"/>
  <c r="BH245" i="1"/>
  <c r="BG245" i="1"/>
  <c r="BF245" i="1"/>
  <c r="BH244" i="1"/>
  <c r="BG244" i="1"/>
  <c r="BF244" i="1"/>
  <c r="BH243" i="1"/>
  <c r="BG243" i="1"/>
  <c r="BF243" i="1"/>
  <c r="BH242" i="1"/>
  <c r="BG242" i="1"/>
  <c r="BF242" i="1"/>
  <c r="BH241" i="1"/>
  <c r="BG241" i="1"/>
  <c r="BF241" i="1"/>
  <c r="BH240" i="1"/>
  <c r="BG240" i="1"/>
  <c r="BF240" i="1"/>
  <c r="BH239" i="1"/>
  <c r="BG239" i="1"/>
  <c r="BF239" i="1"/>
  <c r="BH238" i="1"/>
  <c r="BG238" i="1"/>
  <c r="BF238" i="1"/>
  <c r="BH237" i="1"/>
  <c r="BG237" i="1"/>
  <c r="BF237" i="1"/>
  <c r="BH236" i="1"/>
  <c r="BG236" i="1"/>
  <c r="BF236" i="1"/>
  <c r="BH235" i="1"/>
  <c r="BG235" i="1"/>
  <c r="BF235" i="1"/>
  <c r="BH234" i="1"/>
  <c r="BG234" i="1"/>
  <c r="BF234" i="1"/>
  <c r="BH233" i="1"/>
  <c r="BG233" i="1"/>
  <c r="BF233" i="1"/>
  <c r="BH232" i="1"/>
  <c r="BG232" i="1"/>
  <c r="BF232" i="1"/>
  <c r="BH231" i="1"/>
  <c r="BG231" i="1"/>
  <c r="BF231" i="1"/>
  <c r="BH230" i="1"/>
  <c r="BG230" i="1"/>
  <c r="BF230" i="1"/>
  <c r="BH229" i="1"/>
  <c r="BG229" i="1"/>
  <c r="BF229" i="1"/>
  <c r="BH228" i="1"/>
  <c r="BG228" i="1"/>
  <c r="BF228" i="1"/>
  <c r="BH227" i="1"/>
  <c r="BG227" i="1"/>
  <c r="BF227" i="1"/>
  <c r="BH226" i="1"/>
  <c r="BG226" i="1"/>
  <c r="BF226" i="1"/>
  <c r="BH225" i="1"/>
  <c r="BG225" i="1"/>
  <c r="BF225" i="1"/>
  <c r="BH224" i="1"/>
  <c r="BG224" i="1"/>
  <c r="BF224" i="1"/>
  <c r="BH223" i="1"/>
  <c r="BG223" i="1"/>
  <c r="BF223" i="1"/>
  <c r="BH222" i="1"/>
  <c r="BG222" i="1"/>
  <c r="BF222" i="1"/>
  <c r="BH221" i="1"/>
  <c r="BG221" i="1"/>
  <c r="BF221" i="1"/>
  <c r="BH220" i="1"/>
  <c r="BG220" i="1"/>
  <c r="BF220" i="1"/>
  <c r="BH219" i="1"/>
  <c r="BG219" i="1"/>
  <c r="BF219" i="1"/>
  <c r="BH218" i="1"/>
  <c r="BG218" i="1"/>
  <c r="BF218" i="1"/>
  <c r="BH217" i="1"/>
  <c r="BG217" i="1"/>
  <c r="BF217" i="1"/>
  <c r="BH216" i="1"/>
  <c r="BG216" i="1"/>
  <c r="BF216" i="1"/>
  <c r="BH215" i="1"/>
  <c r="BG215" i="1"/>
  <c r="BF215" i="1"/>
  <c r="BH214" i="1"/>
  <c r="BG214" i="1"/>
  <c r="BF214" i="1"/>
  <c r="BH213" i="1"/>
  <c r="BG213" i="1"/>
  <c r="BF213" i="1"/>
  <c r="BH212" i="1"/>
  <c r="BG212" i="1"/>
  <c r="BF212" i="1"/>
  <c r="BH211" i="1"/>
  <c r="BG211" i="1"/>
  <c r="BF211" i="1"/>
  <c r="BH210" i="1"/>
  <c r="BG210" i="1"/>
  <c r="BF210" i="1"/>
  <c r="BH209" i="1"/>
  <c r="BG209" i="1"/>
  <c r="BF209" i="1"/>
  <c r="BH208" i="1"/>
  <c r="BG208" i="1"/>
  <c r="BF208" i="1"/>
  <c r="BH207" i="1"/>
  <c r="BG207" i="1"/>
  <c r="BF207" i="1"/>
  <c r="BH206" i="1"/>
  <c r="BG206" i="1"/>
  <c r="BF206" i="1"/>
  <c r="BH205" i="1"/>
  <c r="BG205" i="1"/>
  <c r="BF205" i="1"/>
  <c r="BH204" i="1"/>
  <c r="BG204" i="1"/>
  <c r="BF204" i="1"/>
  <c r="BH203" i="1"/>
  <c r="BG203" i="1"/>
  <c r="BF203" i="1"/>
  <c r="BH202" i="1"/>
  <c r="BG202" i="1"/>
  <c r="BF202" i="1"/>
  <c r="BH201" i="1"/>
  <c r="BG201" i="1"/>
  <c r="BF201" i="1"/>
  <c r="BH200" i="1"/>
  <c r="BG200" i="1"/>
  <c r="BF200" i="1"/>
  <c r="BH199" i="1"/>
  <c r="BG199" i="1"/>
  <c r="BF199" i="1"/>
  <c r="BH198" i="1"/>
  <c r="BG198" i="1"/>
  <c r="BF198" i="1"/>
  <c r="BH197" i="1"/>
  <c r="BG197" i="1"/>
  <c r="BF197" i="1"/>
  <c r="BH196" i="1"/>
  <c r="BG196" i="1"/>
  <c r="BF196" i="1"/>
  <c r="BH195" i="1"/>
  <c r="BG195" i="1"/>
  <c r="BF195" i="1"/>
  <c r="BH194" i="1"/>
  <c r="BG194" i="1"/>
  <c r="BF194" i="1"/>
  <c r="BH193" i="1"/>
  <c r="BG193" i="1"/>
  <c r="BF193" i="1"/>
  <c r="BH192" i="1"/>
  <c r="BG192" i="1"/>
  <c r="BF192" i="1"/>
  <c r="BH191" i="1"/>
  <c r="BG191" i="1"/>
  <c r="BF191" i="1"/>
  <c r="BH190" i="1"/>
  <c r="BG190" i="1"/>
  <c r="BF190" i="1"/>
  <c r="BH189" i="1"/>
  <c r="BG189" i="1"/>
  <c r="BF189" i="1"/>
  <c r="BH188" i="1"/>
  <c r="BG188" i="1"/>
  <c r="BF188" i="1"/>
  <c r="BH187" i="1"/>
  <c r="BG187" i="1"/>
  <c r="BF187" i="1"/>
  <c r="BH186" i="1"/>
  <c r="BG186" i="1"/>
  <c r="BF186" i="1"/>
  <c r="BH185" i="1"/>
  <c r="BG185" i="1"/>
  <c r="BF185" i="1"/>
  <c r="BH184" i="1"/>
  <c r="BG184" i="1"/>
  <c r="BF184" i="1"/>
  <c r="BH183" i="1"/>
  <c r="BG183" i="1"/>
  <c r="BF183" i="1"/>
  <c r="BH182" i="1"/>
  <c r="BG182" i="1"/>
  <c r="BF182" i="1"/>
  <c r="BH181" i="1"/>
  <c r="BG181" i="1"/>
  <c r="BF181" i="1"/>
  <c r="BH180" i="1"/>
  <c r="BG180" i="1"/>
  <c r="BF180" i="1"/>
  <c r="BH179" i="1"/>
  <c r="BG179" i="1"/>
  <c r="BF179" i="1"/>
  <c r="BH178" i="1"/>
  <c r="BG178" i="1"/>
  <c r="BF178" i="1"/>
  <c r="BH177" i="1"/>
  <c r="BG177" i="1"/>
  <c r="BF177" i="1"/>
  <c r="BH176" i="1"/>
  <c r="BG176" i="1"/>
  <c r="BF176" i="1"/>
  <c r="BH175" i="1"/>
  <c r="BG175" i="1"/>
  <c r="BF175" i="1"/>
  <c r="BH174" i="1"/>
  <c r="BG174" i="1"/>
  <c r="BF174" i="1"/>
  <c r="BH173" i="1"/>
  <c r="BG173" i="1"/>
  <c r="BF173" i="1"/>
  <c r="BH172" i="1"/>
  <c r="BG172" i="1"/>
  <c r="BF172" i="1"/>
  <c r="BH171" i="1"/>
  <c r="BG171" i="1"/>
  <c r="BF171" i="1"/>
  <c r="BH170" i="1"/>
  <c r="BG170" i="1"/>
  <c r="BF170" i="1"/>
  <c r="BH169" i="1"/>
  <c r="BG169" i="1"/>
  <c r="BF169" i="1"/>
  <c r="BH168" i="1"/>
  <c r="BG168" i="1"/>
  <c r="BF168" i="1"/>
  <c r="BH167" i="1"/>
  <c r="BG167" i="1"/>
  <c r="BF167" i="1"/>
  <c r="BH166" i="1"/>
  <c r="BG166" i="1"/>
  <c r="BF166" i="1"/>
  <c r="BH165" i="1"/>
  <c r="BG165" i="1"/>
  <c r="BF165" i="1"/>
  <c r="BH164" i="1"/>
  <c r="BG164" i="1"/>
  <c r="BF164" i="1"/>
  <c r="BH163" i="1"/>
  <c r="BG163" i="1"/>
  <c r="BF163" i="1"/>
  <c r="BH162" i="1"/>
  <c r="BG162" i="1"/>
  <c r="BF162" i="1"/>
  <c r="BH161" i="1"/>
  <c r="BG161" i="1"/>
  <c r="BF161" i="1"/>
  <c r="BH160" i="1"/>
  <c r="BG160" i="1"/>
  <c r="BF160" i="1"/>
  <c r="BH159" i="1"/>
  <c r="BG159" i="1"/>
  <c r="BF159" i="1"/>
  <c r="BH158" i="1"/>
  <c r="BG158" i="1"/>
  <c r="BF158" i="1"/>
  <c r="BH157" i="1"/>
  <c r="BG157" i="1"/>
  <c r="BF157" i="1"/>
  <c r="BH156" i="1"/>
  <c r="BG156" i="1"/>
  <c r="BF156" i="1"/>
  <c r="BH155" i="1"/>
  <c r="BG155" i="1"/>
  <c r="BF155" i="1"/>
  <c r="BH154" i="1"/>
  <c r="BG154" i="1"/>
  <c r="BF154" i="1"/>
  <c r="BH153" i="1"/>
  <c r="BG153" i="1"/>
  <c r="BF153" i="1"/>
  <c r="BH152" i="1"/>
  <c r="BG152" i="1"/>
  <c r="BF152" i="1"/>
  <c r="BH151" i="1"/>
  <c r="BG151" i="1"/>
  <c r="BF151" i="1"/>
  <c r="BH150" i="1"/>
  <c r="BG150" i="1"/>
  <c r="BF150" i="1"/>
  <c r="BH149" i="1"/>
  <c r="BG149" i="1"/>
  <c r="BF149" i="1"/>
  <c r="BH148" i="1"/>
  <c r="BG148" i="1"/>
  <c r="BF148" i="1"/>
  <c r="BH147" i="1"/>
  <c r="BG147" i="1"/>
  <c r="BF147" i="1"/>
  <c r="BH146" i="1"/>
  <c r="BG146" i="1"/>
  <c r="BF146" i="1"/>
  <c r="BH145" i="1"/>
  <c r="BG145" i="1"/>
  <c r="BF145" i="1"/>
  <c r="BH144" i="1"/>
  <c r="BG144" i="1"/>
  <c r="BF144" i="1"/>
  <c r="BH143" i="1"/>
  <c r="BG143" i="1"/>
  <c r="BF143" i="1"/>
  <c r="BH142" i="1"/>
  <c r="BG142" i="1"/>
  <c r="BF142" i="1"/>
  <c r="BH141" i="1"/>
  <c r="BG141" i="1"/>
  <c r="BF141" i="1"/>
  <c r="BH140" i="1"/>
  <c r="BG140" i="1"/>
  <c r="BF140" i="1"/>
  <c r="BH139" i="1"/>
  <c r="BG139" i="1"/>
  <c r="BF139" i="1"/>
  <c r="BH138" i="1"/>
  <c r="BG138" i="1"/>
  <c r="BF138" i="1"/>
  <c r="BH137" i="1"/>
  <c r="BG137" i="1"/>
  <c r="BF137" i="1"/>
  <c r="BH136" i="1"/>
  <c r="BG136" i="1"/>
  <c r="BF136" i="1"/>
  <c r="BH135" i="1"/>
  <c r="BG135" i="1"/>
  <c r="BF135" i="1"/>
  <c r="BH134" i="1"/>
  <c r="BG134" i="1"/>
  <c r="BF134" i="1"/>
  <c r="BH133" i="1"/>
  <c r="BG133" i="1"/>
  <c r="BF133" i="1"/>
  <c r="BH132" i="1"/>
  <c r="BG132" i="1"/>
  <c r="BF132" i="1"/>
  <c r="BH131" i="1"/>
  <c r="BG131" i="1"/>
  <c r="BF131" i="1"/>
  <c r="BH130" i="1"/>
  <c r="BG130" i="1"/>
  <c r="BF130" i="1"/>
  <c r="BH129" i="1"/>
  <c r="BG129" i="1"/>
  <c r="BF129" i="1"/>
  <c r="BH128" i="1"/>
  <c r="BG128" i="1"/>
  <c r="BF128" i="1"/>
  <c r="BH127" i="1"/>
  <c r="BG127" i="1"/>
  <c r="BF127" i="1"/>
  <c r="BH126" i="1"/>
  <c r="BG126" i="1"/>
  <c r="BF126" i="1"/>
  <c r="BH125" i="1"/>
  <c r="BG125" i="1"/>
  <c r="BF125" i="1"/>
  <c r="BH124" i="1"/>
  <c r="BG124" i="1"/>
  <c r="BF124" i="1"/>
  <c r="BH123" i="1"/>
  <c r="BG123" i="1"/>
  <c r="BF123" i="1"/>
  <c r="BH122" i="1"/>
  <c r="BG122" i="1"/>
  <c r="BF122" i="1"/>
  <c r="BH121" i="1"/>
  <c r="BG121" i="1"/>
  <c r="BF121" i="1"/>
  <c r="BH120" i="1"/>
  <c r="BG120" i="1"/>
  <c r="BF120" i="1"/>
  <c r="BH119" i="1"/>
  <c r="BG119" i="1"/>
  <c r="BF119" i="1"/>
  <c r="BH118" i="1"/>
  <c r="BG118" i="1"/>
  <c r="BF118" i="1"/>
  <c r="BH117" i="1"/>
  <c r="BG117" i="1"/>
  <c r="BF117" i="1"/>
  <c r="BH116" i="1"/>
  <c r="BG116" i="1"/>
  <c r="BF116" i="1"/>
  <c r="BH115" i="1"/>
  <c r="BG115" i="1"/>
  <c r="BF115" i="1"/>
  <c r="BH114" i="1"/>
  <c r="BG114" i="1"/>
  <c r="BF114" i="1"/>
  <c r="BH113" i="1"/>
  <c r="BG113" i="1"/>
  <c r="BF113" i="1"/>
  <c r="BH112" i="1"/>
  <c r="BG112" i="1"/>
  <c r="BF112" i="1"/>
  <c r="BH111" i="1"/>
  <c r="BG111" i="1"/>
  <c r="BF111" i="1"/>
  <c r="BH110" i="1"/>
  <c r="BG110" i="1"/>
  <c r="BF110" i="1"/>
  <c r="BH109" i="1"/>
  <c r="BG109" i="1"/>
  <c r="BF109" i="1"/>
  <c r="BH108" i="1"/>
  <c r="BG108" i="1"/>
  <c r="BF108" i="1"/>
  <c r="BH107" i="1"/>
  <c r="BG107" i="1"/>
  <c r="BF107" i="1"/>
  <c r="BH106" i="1"/>
  <c r="BG106" i="1"/>
  <c r="BF106" i="1"/>
  <c r="BH105" i="1"/>
  <c r="BG105" i="1"/>
  <c r="BF105" i="1"/>
  <c r="BH104" i="1"/>
  <c r="BG104" i="1"/>
  <c r="BF104" i="1"/>
  <c r="BH103" i="1"/>
  <c r="BG103" i="1"/>
  <c r="BF103" i="1"/>
  <c r="BH102" i="1"/>
  <c r="BG102" i="1"/>
  <c r="BF102" i="1"/>
  <c r="BH101" i="1"/>
  <c r="BG101" i="1"/>
  <c r="BF101" i="1"/>
  <c r="BH100" i="1"/>
  <c r="BG100" i="1"/>
  <c r="BF100" i="1"/>
  <c r="BH99" i="1"/>
  <c r="BG99" i="1"/>
  <c r="BF99" i="1"/>
  <c r="BH98" i="1"/>
  <c r="BG98" i="1"/>
  <c r="BF98" i="1"/>
  <c r="BH97" i="1"/>
  <c r="BG97" i="1"/>
  <c r="BF97" i="1"/>
  <c r="BH96" i="1"/>
  <c r="BG96" i="1"/>
  <c r="BF96" i="1"/>
  <c r="BH95" i="1"/>
  <c r="BG95" i="1"/>
  <c r="BF95" i="1"/>
  <c r="BH94" i="1"/>
  <c r="BG94" i="1"/>
  <c r="BF94" i="1"/>
  <c r="BH93" i="1"/>
  <c r="BG93" i="1"/>
  <c r="BF93" i="1"/>
  <c r="BH92" i="1"/>
  <c r="BG92" i="1"/>
  <c r="BF92" i="1"/>
  <c r="BH91" i="1"/>
  <c r="BG91" i="1"/>
  <c r="BF91" i="1"/>
  <c r="BH90" i="1"/>
  <c r="BG90" i="1"/>
  <c r="BF90" i="1"/>
  <c r="BH89" i="1"/>
  <c r="BG89" i="1"/>
  <c r="BF89" i="1"/>
  <c r="BH88" i="1"/>
  <c r="BG88" i="1"/>
  <c r="BF88" i="1"/>
  <c r="BH87" i="1"/>
  <c r="BG87" i="1"/>
  <c r="BF87" i="1"/>
  <c r="BH86" i="1"/>
  <c r="BG86" i="1"/>
  <c r="BF86" i="1"/>
  <c r="BH85" i="1"/>
  <c r="BG85" i="1"/>
  <c r="BF85" i="1"/>
  <c r="BH84" i="1"/>
  <c r="BG84" i="1"/>
  <c r="BF84" i="1"/>
  <c r="BH83" i="1"/>
  <c r="BG83" i="1"/>
  <c r="BF83" i="1"/>
  <c r="BH82" i="1"/>
  <c r="BG82" i="1"/>
  <c r="BF82" i="1"/>
  <c r="BH81" i="1"/>
  <c r="BG81" i="1"/>
  <c r="BF81" i="1"/>
  <c r="BH80" i="1"/>
  <c r="BG80" i="1"/>
  <c r="BF80" i="1"/>
  <c r="BH79" i="1"/>
  <c r="BG79" i="1"/>
  <c r="BF79" i="1"/>
  <c r="BH78" i="1"/>
  <c r="BG78" i="1"/>
  <c r="BF78" i="1"/>
  <c r="BH77" i="1"/>
  <c r="BG77" i="1"/>
  <c r="BF77" i="1"/>
  <c r="BH76" i="1"/>
  <c r="BG76" i="1"/>
  <c r="BF76" i="1"/>
  <c r="BH75" i="1"/>
  <c r="BG75" i="1"/>
  <c r="BF75" i="1"/>
  <c r="BH74" i="1"/>
  <c r="BG74" i="1"/>
  <c r="BF74" i="1"/>
  <c r="BH73" i="1"/>
  <c r="BG73" i="1"/>
  <c r="BF73" i="1"/>
  <c r="BH72" i="1"/>
  <c r="BG72" i="1"/>
  <c r="BF72" i="1"/>
  <c r="BH71" i="1"/>
  <c r="BG71" i="1"/>
  <c r="BF71" i="1"/>
  <c r="BH70" i="1"/>
  <c r="BG70" i="1"/>
  <c r="BF70" i="1"/>
  <c r="BH69" i="1"/>
  <c r="BG69" i="1"/>
  <c r="BF69" i="1"/>
  <c r="BH68" i="1"/>
  <c r="BG68" i="1"/>
  <c r="BF68" i="1"/>
  <c r="BH67" i="1"/>
  <c r="BG67" i="1"/>
  <c r="BF67" i="1"/>
  <c r="BH66" i="1"/>
  <c r="BG66" i="1"/>
  <c r="BF66" i="1"/>
  <c r="BH65" i="1"/>
  <c r="BG65" i="1"/>
  <c r="BF65" i="1"/>
  <c r="BH64" i="1"/>
  <c r="BG64" i="1"/>
  <c r="BF64" i="1"/>
  <c r="BH63" i="1"/>
  <c r="BG63" i="1"/>
  <c r="BF63" i="1"/>
  <c r="BH62" i="1"/>
  <c r="BG62" i="1"/>
  <c r="BF62" i="1"/>
  <c r="BH61" i="1"/>
  <c r="BG61" i="1"/>
  <c r="BF61" i="1"/>
  <c r="BH60" i="1"/>
  <c r="BG60" i="1"/>
  <c r="BF60" i="1"/>
  <c r="BH59" i="1"/>
  <c r="BG59" i="1"/>
  <c r="BF59" i="1"/>
  <c r="BH58" i="1"/>
  <c r="BG58" i="1"/>
  <c r="BF58" i="1"/>
  <c r="BH57" i="1"/>
  <c r="BG57" i="1"/>
  <c r="BF57" i="1"/>
  <c r="BH56" i="1"/>
  <c r="BG56" i="1"/>
  <c r="BF56" i="1"/>
  <c r="BH55" i="1"/>
  <c r="BG55" i="1"/>
  <c r="BF55" i="1"/>
  <c r="BH54" i="1"/>
  <c r="BG54" i="1"/>
  <c r="BF54" i="1"/>
  <c r="BH53" i="1"/>
  <c r="BG53" i="1"/>
  <c r="BF53" i="1"/>
  <c r="BH52" i="1"/>
  <c r="BG52" i="1"/>
  <c r="BF52" i="1"/>
  <c r="BH51" i="1"/>
  <c r="BG51" i="1"/>
  <c r="BF51" i="1"/>
  <c r="BH50" i="1"/>
  <c r="BG50" i="1"/>
  <c r="BF50" i="1"/>
  <c r="BH49" i="1"/>
  <c r="BG49" i="1"/>
  <c r="BF49" i="1"/>
  <c r="BH48" i="1"/>
  <c r="BG48" i="1"/>
  <c r="BF48" i="1"/>
  <c r="BH47" i="1"/>
  <c r="BG47" i="1"/>
  <c r="BF47" i="1"/>
  <c r="BH46" i="1"/>
  <c r="BG46" i="1"/>
  <c r="BF46" i="1"/>
  <c r="BH45" i="1"/>
  <c r="BG45" i="1"/>
  <c r="BF45" i="1"/>
  <c r="BH44" i="1"/>
  <c r="BG44" i="1"/>
  <c r="BF44" i="1"/>
  <c r="BH43" i="1"/>
  <c r="BG43" i="1"/>
  <c r="BF43" i="1"/>
  <c r="BH42" i="1"/>
  <c r="BG42" i="1"/>
  <c r="BF42" i="1"/>
  <c r="BH41" i="1"/>
  <c r="BG41" i="1"/>
  <c r="BF41" i="1"/>
  <c r="BH40" i="1"/>
  <c r="BG40" i="1"/>
  <c r="BF40" i="1"/>
  <c r="BH39" i="1"/>
  <c r="BG39" i="1"/>
  <c r="BF39" i="1"/>
  <c r="BH38" i="1"/>
  <c r="BG38" i="1"/>
  <c r="BF38" i="1"/>
  <c r="BH37" i="1"/>
  <c r="BG37" i="1"/>
  <c r="BF37" i="1"/>
  <c r="BH36" i="1"/>
  <c r="BG36" i="1"/>
  <c r="BF36" i="1"/>
  <c r="BH35" i="1"/>
  <c r="BG35" i="1"/>
  <c r="BF35" i="1"/>
  <c r="BH34" i="1"/>
  <c r="BG34" i="1"/>
  <c r="BF34" i="1"/>
  <c r="BH33" i="1"/>
  <c r="BG33" i="1"/>
  <c r="BF33" i="1"/>
  <c r="BH32" i="1"/>
  <c r="BG32" i="1"/>
  <c r="BF32" i="1"/>
  <c r="BH31" i="1"/>
  <c r="BG31" i="1"/>
  <c r="BF31" i="1"/>
  <c r="BH30" i="1"/>
  <c r="BG30" i="1"/>
  <c r="BF30" i="1"/>
  <c r="BH29" i="1"/>
  <c r="BG29" i="1"/>
  <c r="BF29" i="1"/>
  <c r="BH28" i="1"/>
  <c r="BG28" i="1"/>
  <c r="BF28" i="1"/>
  <c r="BH27" i="1"/>
  <c r="BG27" i="1"/>
  <c r="BF27" i="1"/>
  <c r="BH26" i="1"/>
  <c r="BG26" i="1"/>
  <c r="BF26" i="1"/>
  <c r="BH25" i="1"/>
  <c r="BG25" i="1"/>
  <c r="BF25" i="1"/>
  <c r="BH24" i="1"/>
  <c r="BG24" i="1"/>
  <c r="BF24" i="1"/>
  <c r="BH23" i="1"/>
  <c r="BG23" i="1"/>
  <c r="BF23" i="1"/>
  <c r="BH22" i="1"/>
  <c r="BG22" i="1"/>
  <c r="BF22" i="1"/>
  <c r="BH21" i="1"/>
  <c r="BG21" i="1"/>
  <c r="BF21" i="1"/>
  <c r="BH20" i="1"/>
  <c r="BG20" i="1"/>
  <c r="BF20" i="1"/>
  <c r="BH19" i="1"/>
  <c r="BG19" i="1"/>
  <c r="BF19" i="1"/>
  <c r="BH18" i="1"/>
  <c r="BG18" i="1"/>
  <c r="BF18" i="1"/>
  <c r="BH17" i="1"/>
  <c r="BG17" i="1"/>
  <c r="BF17" i="1"/>
  <c r="BH16" i="1"/>
  <c r="BG16" i="1"/>
  <c r="BF16" i="1"/>
  <c r="BH15" i="1"/>
  <c r="BG15" i="1"/>
  <c r="BF15" i="1"/>
  <c r="BH14" i="1"/>
  <c r="BG14" i="1"/>
  <c r="BF14" i="1"/>
  <c r="BH13" i="1"/>
  <c r="BG13" i="1"/>
  <c r="BF13" i="1"/>
  <c r="BH12" i="1"/>
  <c r="BG12" i="1"/>
  <c r="BF12" i="1"/>
  <c r="BH11" i="1"/>
  <c r="BG11" i="1"/>
  <c r="BF11" i="1"/>
  <c r="BH10" i="1"/>
  <c r="BG10" i="1"/>
  <c r="BF10" i="1"/>
  <c r="BH9" i="1"/>
  <c r="BG9" i="1"/>
  <c r="BF9" i="1"/>
  <c r="BH8" i="1"/>
  <c r="BG8" i="1"/>
  <c r="BF8" i="1"/>
  <c r="BH7" i="1"/>
  <c r="BG7" i="1"/>
  <c r="BF7" i="1"/>
  <c r="BH6" i="1"/>
  <c r="BG6" i="1"/>
  <c r="DB370" i="1" l="1"/>
  <c r="CY370" i="1"/>
  <c r="CX370" i="1"/>
  <c r="CV370" i="1"/>
  <c r="CF370" i="1"/>
  <c r="CD370" i="1"/>
  <c r="CC370" i="1"/>
  <c r="CB370" i="1"/>
  <c r="CA370" i="1"/>
  <c r="BY370" i="1"/>
  <c r="BX370" i="1"/>
  <c r="BW370" i="1"/>
  <c r="BV370" i="1"/>
  <c r="DB369" i="1"/>
  <c r="CY369" i="1"/>
  <c r="CX369" i="1"/>
  <c r="CV369" i="1"/>
  <c r="CF369" i="1"/>
  <c r="CD369" i="1"/>
  <c r="CC369" i="1"/>
  <c r="CB369" i="1"/>
  <c r="CA369" i="1"/>
  <c r="BY369" i="1"/>
  <c r="BX369" i="1"/>
  <c r="BW369" i="1"/>
  <c r="BV369" i="1"/>
  <c r="DB368" i="1"/>
  <c r="CY368" i="1"/>
  <c r="CX368" i="1"/>
  <c r="CV368" i="1"/>
  <c r="CF368" i="1"/>
  <c r="CD368" i="1"/>
  <c r="CC368" i="1"/>
  <c r="CB368" i="1"/>
  <c r="CA368" i="1"/>
  <c r="BY368" i="1"/>
  <c r="BX368" i="1"/>
  <c r="BW368" i="1"/>
  <c r="BV368" i="1"/>
  <c r="DB367" i="1"/>
  <c r="CY367" i="1"/>
  <c r="CX367" i="1"/>
  <c r="CV367" i="1"/>
  <c r="CF367" i="1"/>
  <c r="CD367" i="1"/>
  <c r="CC367" i="1"/>
  <c r="CB367" i="1"/>
  <c r="CA367" i="1"/>
  <c r="BY367" i="1"/>
  <c r="BX367" i="1"/>
  <c r="BW367" i="1"/>
  <c r="BV367" i="1"/>
  <c r="DB366" i="1"/>
  <c r="CY366" i="1"/>
  <c r="CX366" i="1"/>
  <c r="CV366" i="1"/>
  <c r="CF366" i="1"/>
  <c r="CD366" i="1"/>
  <c r="CC366" i="1"/>
  <c r="CB366" i="1"/>
  <c r="CA366" i="1"/>
  <c r="BY366" i="1"/>
  <c r="BX366" i="1"/>
  <c r="BW366" i="1"/>
  <c r="BV366" i="1"/>
  <c r="DB365" i="1"/>
  <c r="CY365" i="1"/>
  <c r="CX365" i="1"/>
  <c r="CV365" i="1"/>
  <c r="CF365" i="1"/>
  <c r="CD365" i="1"/>
  <c r="CC365" i="1"/>
  <c r="CB365" i="1"/>
  <c r="CA365" i="1"/>
  <c r="BY365" i="1"/>
  <c r="BX365" i="1"/>
  <c r="BW365" i="1"/>
  <c r="BV365" i="1"/>
  <c r="DB364" i="1"/>
  <c r="CY364" i="1"/>
  <c r="CX364" i="1"/>
  <c r="CV364" i="1"/>
  <c r="CF364" i="1"/>
  <c r="CD364" i="1"/>
  <c r="CC364" i="1"/>
  <c r="CB364" i="1"/>
  <c r="CA364" i="1"/>
  <c r="BY364" i="1"/>
  <c r="BX364" i="1"/>
  <c r="BW364" i="1"/>
  <c r="BV364" i="1"/>
  <c r="DB363" i="1"/>
  <c r="CY363" i="1"/>
  <c r="CX363" i="1"/>
  <c r="CV363" i="1"/>
  <c r="CF363" i="1"/>
  <c r="CD363" i="1"/>
  <c r="CC363" i="1"/>
  <c r="CB363" i="1"/>
  <c r="CA363" i="1"/>
  <c r="BY363" i="1"/>
  <c r="BX363" i="1"/>
  <c r="BW363" i="1"/>
  <c r="BV363" i="1"/>
  <c r="DB362" i="1"/>
  <c r="CY362" i="1"/>
  <c r="CX362" i="1"/>
  <c r="CV362" i="1"/>
  <c r="CF362" i="1"/>
  <c r="CD362" i="1"/>
  <c r="CC362" i="1"/>
  <c r="CB362" i="1"/>
  <c r="CA362" i="1"/>
  <c r="BY362" i="1"/>
  <c r="BX362" i="1"/>
  <c r="BW362" i="1"/>
  <c r="BV362" i="1"/>
  <c r="DB361" i="1"/>
  <c r="CY361" i="1"/>
  <c r="CX361" i="1"/>
  <c r="CV361" i="1"/>
  <c r="CF361" i="1"/>
  <c r="CD361" i="1"/>
  <c r="CC361" i="1"/>
  <c r="CB361" i="1"/>
  <c r="CA361" i="1"/>
  <c r="BY361" i="1"/>
  <c r="BX361" i="1"/>
  <c r="BW361" i="1"/>
  <c r="BV361" i="1"/>
  <c r="DB360" i="1"/>
  <c r="CY360" i="1"/>
  <c r="CX360" i="1"/>
  <c r="CV360" i="1"/>
  <c r="CF360" i="1"/>
  <c r="CD360" i="1"/>
  <c r="CC360" i="1"/>
  <c r="CB360" i="1"/>
  <c r="CA360" i="1"/>
  <c r="BY360" i="1"/>
  <c r="BX360" i="1"/>
  <c r="BW360" i="1"/>
  <c r="BV360" i="1"/>
  <c r="DB359" i="1"/>
  <c r="CY359" i="1"/>
  <c r="CX359" i="1"/>
  <c r="CV359" i="1"/>
  <c r="CF359" i="1"/>
  <c r="CD359" i="1"/>
  <c r="CC359" i="1"/>
  <c r="CB359" i="1"/>
  <c r="CA359" i="1"/>
  <c r="BY359" i="1"/>
  <c r="BX359" i="1"/>
  <c r="BW359" i="1"/>
  <c r="BV359" i="1"/>
  <c r="DB358" i="1"/>
  <c r="CY358" i="1"/>
  <c r="CX358" i="1"/>
  <c r="CV358" i="1"/>
  <c r="CF358" i="1"/>
  <c r="CD358" i="1"/>
  <c r="CC358" i="1"/>
  <c r="CB358" i="1"/>
  <c r="CA358" i="1"/>
  <c r="BY358" i="1"/>
  <c r="BX358" i="1"/>
  <c r="BW358" i="1"/>
  <c r="BV358" i="1"/>
  <c r="DB357" i="1"/>
  <c r="CY357" i="1"/>
  <c r="CX357" i="1"/>
  <c r="CV357" i="1"/>
  <c r="CF357" i="1"/>
  <c r="CD357" i="1"/>
  <c r="CC357" i="1"/>
  <c r="CB357" i="1"/>
  <c r="CA357" i="1"/>
  <c r="BY357" i="1"/>
  <c r="BX357" i="1"/>
  <c r="BW357" i="1"/>
  <c r="BV357" i="1"/>
  <c r="DB356" i="1"/>
  <c r="CY356" i="1"/>
  <c r="CX356" i="1"/>
  <c r="CV356" i="1"/>
  <c r="CF356" i="1"/>
  <c r="CD356" i="1"/>
  <c r="CC356" i="1"/>
  <c r="CB356" i="1"/>
  <c r="CA356" i="1"/>
  <c r="BY356" i="1"/>
  <c r="BX356" i="1"/>
  <c r="BW356" i="1"/>
  <c r="BV356" i="1"/>
  <c r="DB355" i="1"/>
  <c r="CY355" i="1"/>
  <c r="CX355" i="1"/>
  <c r="CV355" i="1"/>
  <c r="CF355" i="1"/>
  <c r="CD355" i="1"/>
  <c r="CC355" i="1"/>
  <c r="CB355" i="1"/>
  <c r="CA355" i="1"/>
  <c r="BY355" i="1"/>
  <c r="BX355" i="1"/>
  <c r="BW355" i="1"/>
  <c r="BV355" i="1"/>
  <c r="DB354" i="1"/>
  <c r="CY354" i="1"/>
  <c r="CX354" i="1"/>
  <c r="CV354" i="1"/>
  <c r="CF354" i="1"/>
  <c r="CD354" i="1"/>
  <c r="CC354" i="1"/>
  <c r="CB354" i="1"/>
  <c r="CA354" i="1"/>
  <c r="BY354" i="1"/>
  <c r="BX354" i="1"/>
  <c r="BW354" i="1"/>
  <c r="BV354" i="1"/>
  <c r="DB353" i="1"/>
  <c r="CY353" i="1"/>
  <c r="CX353" i="1"/>
  <c r="CV353" i="1"/>
  <c r="CF353" i="1"/>
  <c r="CD353" i="1"/>
  <c r="CC353" i="1"/>
  <c r="CB353" i="1"/>
  <c r="CA353" i="1"/>
  <c r="BY353" i="1"/>
  <c r="BX353" i="1"/>
  <c r="BW353" i="1"/>
  <c r="BV353" i="1"/>
  <c r="DB352" i="1"/>
  <c r="CY352" i="1"/>
  <c r="CX352" i="1"/>
  <c r="CV352" i="1"/>
  <c r="CF352" i="1"/>
  <c r="CD352" i="1"/>
  <c r="CC352" i="1"/>
  <c r="CB352" i="1"/>
  <c r="CA352" i="1"/>
  <c r="BY352" i="1"/>
  <c r="BX352" i="1"/>
  <c r="BW352" i="1"/>
  <c r="BV352" i="1"/>
  <c r="DB351" i="1"/>
  <c r="CY351" i="1"/>
  <c r="CX351" i="1"/>
  <c r="CV351" i="1"/>
  <c r="CF351" i="1"/>
  <c r="CD351" i="1"/>
  <c r="CC351" i="1"/>
  <c r="CB351" i="1"/>
  <c r="CA351" i="1"/>
  <c r="BY351" i="1"/>
  <c r="BX351" i="1"/>
  <c r="BW351" i="1"/>
  <c r="BV351" i="1"/>
  <c r="DB350" i="1"/>
  <c r="CY350" i="1"/>
  <c r="CX350" i="1"/>
  <c r="CV350" i="1"/>
  <c r="CF350" i="1"/>
  <c r="CD350" i="1"/>
  <c r="CC350" i="1"/>
  <c r="CB350" i="1"/>
  <c r="CA350" i="1"/>
  <c r="BY350" i="1"/>
  <c r="BX350" i="1"/>
  <c r="BW350" i="1"/>
  <c r="BV350" i="1"/>
  <c r="DB349" i="1"/>
  <c r="CY349" i="1"/>
  <c r="CX349" i="1"/>
  <c r="CV349" i="1"/>
  <c r="CF349" i="1"/>
  <c r="CD349" i="1"/>
  <c r="CC349" i="1"/>
  <c r="CB349" i="1"/>
  <c r="CA349" i="1"/>
  <c r="BY349" i="1"/>
  <c r="BX349" i="1"/>
  <c r="BW349" i="1"/>
  <c r="BV349" i="1"/>
  <c r="DB348" i="1"/>
  <c r="CY348" i="1"/>
  <c r="CX348" i="1"/>
  <c r="CV348" i="1"/>
  <c r="CF348" i="1"/>
  <c r="CD348" i="1"/>
  <c r="CC348" i="1"/>
  <c r="CB348" i="1"/>
  <c r="CA348" i="1"/>
  <c r="BY348" i="1"/>
  <c r="BX348" i="1"/>
  <c r="BW348" i="1"/>
  <c r="BV348" i="1"/>
  <c r="DB347" i="1"/>
  <c r="CY347" i="1"/>
  <c r="CX347" i="1"/>
  <c r="CV347" i="1"/>
  <c r="CF347" i="1"/>
  <c r="CD347" i="1"/>
  <c r="CC347" i="1"/>
  <c r="CB347" i="1"/>
  <c r="CA347" i="1"/>
  <c r="BY347" i="1"/>
  <c r="BX347" i="1"/>
  <c r="BW347" i="1"/>
  <c r="BV347" i="1"/>
  <c r="DB346" i="1"/>
  <c r="CY346" i="1"/>
  <c r="CX346" i="1"/>
  <c r="CV346" i="1"/>
  <c r="CF346" i="1"/>
  <c r="CD346" i="1"/>
  <c r="CC346" i="1"/>
  <c r="CB346" i="1"/>
  <c r="CA346" i="1"/>
  <c r="BY346" i="1"/>
  <c r="BX346" i="1"/>
  <c r="BW346" i="1"/>
  <c r="BV346" i="1"/>
  <c r="DB345" i="1"/>
  <c r="CY345" i="1"/>
  <c r="CX345" i="1"/>
  <c r="CV345" i="1"/>
  <c r="CF345" i="1"/>
  <c r="CD345" i="1"/>
  <c r="CC345" i="1"/>
  <c r="CB345" i="1"/>
  <c r="CA345" i="1"/>
  <c r="BY345" i="1"/>
  <c r="BX345" i="1"/>
  <c r="BW345" i="1"/>
  <c r="BV345" i="1"/>
  <c r="DB344" i="1"/>
  <c r="CY344" i="1"/>
  <c r="CX344" i="1"/>
  <c r="CV344" i="1"/>
  <c r="CF344" i="1"/>
  <c r="CD344" i="1"/>
  <c r="CC344" i="1"/>
  <c r="CB344" i="1"/>
  <c r="CA344" i="1"/>
  <c r="BY344" i="1"/>
  <c r="BX344" i="1"/>
  <c r="BW344" i="1"/>
  <c r="BV344" i="1"/>
  <c r="DB343" i="1"/>
  <c r="CY343" i="1"/>
  <c r="CX343" i="1"/>
  <c r="CV343" i="1"/>
  <c r="CF343" i="1"/>
  <c r="CD343" i="1"/>
  <c r="CC343" i="1"/>
  <c r="CB343" i="1"/>
  <c r="CA343" i="1"/>
  <c r="BY343" i="1"/>
  <c r="BX343" i="1"/>
  <c r="BW343" i="1"/>
  <c r="BV343" i="1"/>
  <c r="DB342" i="1"/>
  <c r="CY342" i="1"/>
  <c r="CX342" i="1"/>
  <c r="CV342" i="1"/>
  <c r="CF342" i="1"/>
  <c r="CD342" i="1"/>
  <c r="CC342" i="1"/>
  <c r="CB342" i="1"/>
  <c r="CA342" i="1"/>
  <c r="BY342" i="1"/>
  <c r="BX342" i="1"/>
  <c r="BW342" i="1"/>
  <c r="BV342" i="1"/>
  <c r="DB341" i="1"/>
  <c r="CY341" i="1"/>
  <c r="CX341" i="1"/>
  <c r="CV341" i="1"/>
  <c r="CF341" i="1"/>
  <c r="CD341" i="1"/>
  <c r="CC341" i="1"/>
  <c r="CB341" i="1"/>
  <c r="CA341" i="1"/>
  <c r="BY341" i="1"/>
  <c r="BX341" i="1"/>
  <c r="BW341" i="1"/>
  <c r="BV341" i="1"/>
  <c r="DB340" i="1"/>
  <c r="CY340" i="1"/>
  <c r="CX340" i="1"/>
  <c r="CV340" i="1"/>
  <c r="CF340" i="1"/>
  <c r="CD340" i="1"/>
  <c r="CC340" i="1"/>
  <c r="CB340" i="1"/>
  <c r="CA340" i="1"/>
  <c r="BY340" i="1"/>
  <c r="BX340" i="1"/>
  <c r="BW340" i="1"/>
  <c r="BV340" i="1"/>
  <c r="DB339" i="1"/>
  <c r="CY339" i="1"/>
  <c r="CX339" i="1"/>
  <c r="CV339" i="1"/>
  <c r="CF339" i="1"/>
  <c r="CD339" i="1"/>
  <c r="CC339" i="1"/>
  <c r="CB339" i="1"/>
  <c r="CA339" i="1"/>
  <c r="BY339" i="1"/>
  <c r="BX339" i="1"/>
  <c r="BW339" i="1"/>
  <c r="BV339" i="1"/>
  <c r="DB338" i="1"/>
  <c r="CY338" i="1"/>
  <c r="CX338" i="1"/>
  <c r="CV338" i="1"/>
  <c r="CF338" i="1"/>
  <c r="CD338" i="1"/>
  <c r="CC338" i="1"/>
  <c r="CB338" i="1"/>
  <c r="CA338" i="1"/>
  <c r="BY338" i="1"/>
  <c r="BX338" i="1"/>
  <c r="BW338" i="1"/>
  <c r="BV338" i="1"/>
  <c r="DB337" i="1"/>
  <c r="CY337" i="1"/>
  <c r="CX337" i="1"/>
  <c r="CV337" i="1"/>
  <c r="CF337" i="1"/>
  <c r="CD337" i="1"/>
  <c r="CC337" i="1"/>
  <c r="CB337" i="1"/>
  <c r="CA337" i="1"/>
  <c r="BY337" i="1"/>
  <c r="BX337" i="1"/>
  <c r="BW337" i="1"/>
  <c r="BV337" i="1"/>
  <c r="DB336" i="1"/>
  <c r="CY336" i="1"/>
  <c r="CX336" i="1"/>
  <c r="CV336" i="1"/>
  <c r="CF336" i="1"/>
  <c r="CD336" i="1"/>
  <c r="CC336" i="1"/>
  <c r="CB336" i="1"/>
  <c r="CA336" i="1"/>
  <c r="BY336" i="1"/>
  <c r="BX336" i="1"/>
  <c r="BW336" i="1"/>
  <c r="BV336" i="1"/>
  <c r="DB335" i="1"/>
  <c r="CY335" i="1"/>
  <c r="CX335" i="1"/>
  <c r="CV335" i="1"/>
  <c r="CF335" i="1"/>
  <c r="CD335" i="1"/>
  <c r="CC335" i="1"/>
  <c r="CB335" i="1"/>
  <c r="CA335" i="1"/>
  <c r="BY335" i="1"/>
  <c r="BX335" i="1"/>
  <c r="BW335" i="1"/>
  <c r="BV335" i="1"/>
  <c r="DB334" i="1"/>
  <c r="CY334" i="1"/>
  <c r="CX334" i="1"/>
  <c r="CV334" i="1"/>
  <c r="CF334" i="1"/>
  <c r="CD334" i="1"/>
  <c r="CC334" i="1"/>
  <c r="CB334" i="1"/>
  <c r="CA334" i="1"/>
  <c r="BY334" i="1"/>
  <c r="BX334" i="1"/>
  <c r="BW334" i="1"/>
  <c r="BV334" i="1"/>
  <c r="DB333" i="1"/>
  <c r="CY333" i="1"/>
  <c r="CX333" i="1"/>
  <c r="CV333" i="1"/>
  <c r="CF333" i="1"/>
  <c r="CD333" i="1"/>
  <c r="CC333" i="1"/>
  <c r="CB333" i="1"/>
  <c r="CA333" i="1"/>
  <c r="BY333" i="1"/>
  <c r="BX333" i="1"/>
  <c r="BW333" i="1"/>
  <c r="BV333" i="1"/>
  <c r="DB332" i="1"/>
  <c r="CY332" i="1"/>
  <c r="CX332" i="1"/>
  <c r="CV332" i="1"/>
  <c r="CF332" i="1"/>
  <c r="CD332" i="1"/>
  <c r="CC332" i="1"/>
  <c r="CB332" i="1"/>
  <c r="CA332" i="1"/>
  <c r="BY332" i="1"/>
  <c r="BX332" i="1"/>
  <c r="BW332" i="1"/>
  <c r="BV332" i="1"/>
  <c r="DB331" i="1"/>
  <c r="CY331" i="1"/>
  <c r="CX331" i="1"/>
  <c r="CV331" i="1"/>
  <c r="CF331" i="1"/>
  <c r="CD331" i="1"/>
  <c r="CC331" i="1"/>
  <c r="CB331" i="1"/>
  <c r="CA331" i="1"/>
  <c r="BY331" i="1"/>
  <c r="BX331" i="1"/>
  <c r="BW331" i="1"/>
  <c r="BV331" i="1"/>
  <c r="DB330" i="1"/>
  <c r="CY330" i="1"/>
  <c r="CX330" i="1"/>
  <c r="CV330" i="1"/>
  <c r="CF330" i="1"/>
  <c r="CD330" i="1"/>
  <c r="CC330" i="1"/>
  <c r="CB330" i="1"/>
  <c r="CA330" i="1"/>
  <c r="BY330" i="1"/>
  <c r="BX330" i="1"/>
  <c r="BW330" i="1"/>
  <c r="BV330" i="1"/>
  <c r="DB329" i="1"/>
  <c r="CY329" i="1"/>
  <c r="CX329" i="1"/>
  <c r="CV329" i="1"/>
  <c r="CF329" i="1"/>
  <c r="CD329" i="1"/>
  <c r="CC329" i="1"/>
  <c r="CB329" i="1"/>
  <c r="CA329" i="1"/>
  <c r="BY329" i="1"/>
  <c r="BX329" i="1"/>
  <c r="BW329" i="1"/>
  <c r="BV329" i="1"/>
  <c r="DB328" i="1"/>
  <c r="CY328" i="1"/>
  <c r="CX328" i="1"/>
  <c r="CV328" i="1"/>
  <c r="CF328" i="1"/>
  <c r="CD328" i="1"/>
  <c r="CC328" i="1"/>
  <c r="CB328" i="1"/>
  <c r="CA328" i="1"/>
  <c r="BY328" i="1"/>
  <c r="BX328" i="1"/>
  <c r="BW328" i="1"/>
  <c r="BV328" i="1"/>
  <c r="DB327" i="1"/>
  <c r="CY327" i="1"/>
  <c r="CX327" i="1"/>
  <c r="CV327" i="1"/>
  <c r="CF327" i="1"/>
  <c r="CD327" i="1"/>
  <c r="CC327" i="1"/>
  <c r="CB327" i="1"/>
  <c r="CA327" i="1"/>
  <c r="BY327" i="1"/>
  <c r="BX327" i="1"/>
  <c r="BW327" i="1"/>
  <c r="BV327" i="1"/>
  <c r="DB326" i="1"/>
  <c r="CY326" i="1"/>
  <c r="CX326" i="1"/>
  <c r="CV326" i="1"/>
  <c r="CF326" i="1"/>
  <c r="CD326" i="1"/>
  <c r="CC326" i="1"/>
  <c r="CB326" i="1"/>
  <c r="CA326" i="1"/>
  <c r="BY326" i="1"/>
  <c r="BX326" i="1"/>
  <c r="BW326" i="1"/>
  <c r="BV326" i="1"/>
  <c r="DB325" i="1"/>
  <c r="CY325" i="1"/>
  <c r="CX325" i="1"/>
  <c r="CV325" i="1"/>
  <c r="CF325" i="1"/>
  <c r="CD325" i="1"/>
  <c r="CC325" i="1"/>
  <c r="CB325" i="1"/>
  <c r="CA325" i="1"/>
  <c r="BY325" i="1"/>
  <c r="BX325" i="1"/>
  <c r="BW325" i="1"/>
  <c r="BV325" i="1"/>
  <c r="DB324" i="1"/>
  <c r="CY324" i="1"/>
  <c r="CX324" i="1"/>
  <c r="CV324" i="1"/>
  <c r="CF324" i="1"/>
  <c r="CD324" i="1"/>
  <c r="CC324" i="1"/>
  <c r="CB324" i="1"/>
  <c r="CA324" i="1"/>
  <c r="BY324" i="1"/>
  <c r="BX324" i="1"/>
  <c r="BW324" i="1"/>
  <c r="BV324" i="1"/>
  <c r="DB323" i="1"/>
  <c r="CY323" i="1"/>
  <c r="CX323" i="1"/>
  <c r="CV323" i="1"/>
  <c r="CF323" i="1"/>
  <c r="CD323" i="1"/>
  <c r="CC323" i="1"/>
  <c r="CB323" i="1"/>
  <c r="CA323" i="1"/>
  <c r="BY323" i="1"/>
  <c r="BX323" i="1"/>
  <c r="BW323" i="1"/>
  <c r="BV323" i="1"/>
  <c r="DB322" i="1"/>
  <c r="CY322" i="1"/>
  <c r="CX322" i="1"/>
  <c r="CV322" i="1"/>
  <c r="CF322" i="1"/>
  <c r="CD322" i="1"/>
  <c r="CC322" i="1"/>
  <c r="CB322" i="1"/>
  <c r="CA322" i="1"/>
  <c r="BY322" i="1"/>
  <c r="BX322" i="1"/>
  <c r="BW322" i="1"/>
  <c r="BV322" i="1"/>
  <c r="DB321" i="1"/>
  <c r="CY321" i="1"/>
  <c r="CX321" i="1"/>
  <c r="CV321" i="1"/>
  <c r="CF321" i="1"/>
  <c r="CD321" i="1"/>
  <c r="CC321" i="1"/>
  <c r="CB321" i="1"/>
  <c r="CA321" i="1"/>
  <c r="BY321" i="1"/>
  <c r="BX321" i="1"/>
  <c r="BW321" i="1"/>
  <c r="BV321" i="1"/>
  <c r="DB320" i="1"/>
  <c r="CY320" i="1"/>
  <c r="CX320" i="1"/>
  <c r="CV320" i="1"/>
  <c r="CF320" i="1"/>
  <c r="CD320" i="1"/>
  <c r="CC320" i="1"/>
  <c r="CB320" i="1"/>
  <c r="CA320" i="1"/>
  <c r="BY320" i="1"/>
  <c r="BX320" i="1"/>
  <c r="BW320" i="1"/>
  <c r="BV320" i="1"/>
  <c r="DB319" i="1"/>
  <c r="CY319" i="1"/>
  <c r="CX319" i="1"/>
  <c r="CV319" i="1"/>
  <c r="CF319" i="1"/>
  <c r="CD319" i="1"/>
  <c r="CC319" i="1"/>
  <c r="CB319" i="1"/>
  <c r="CA319" i="1"/>
  <c r="BY319" i="1"/>
  <c r="BX319" i="1"/>
  <c r="BW319" i="1"/>
  <c r="BV319" i="1"/>
  <c r="DB318" i="1"/>
  <c r="CY318" i="1"/>
  <c r="CX318" i="1"/>
  <c r="CV318" i="1"/>
  <c r="CF318" i="1"/>
  <c r="CD318" i="1"/>
  <c r="CC318" i="1"/>
  <c r="CB318" i="1"/>
  <c r="CA318" i="1"/>
  <c r="BY318" i="1"/>
  <c r="BX318" i="1"/>
  <c r="BW318" i="1"/>
  <c r="BV318" i="1"/>
  <c r="DB317" i="1"/>
  <c r="CY317" i="1"/>
  <c r="CX317" i="1"/>
  <c r="CV317" i="1"/>
  <c r="CF317" i="1"/>
  <c r="CD317" i="1"/>
  <c r="CC317" i="1"/>
  <c r="CB317" i="1"/>
  <c r="CA317" i="1"/>
  <c r="BY317" i="1"/>
  <c r="BX317" i="1"/>
  <c r="BW317" i="1"/>
  <c r="BV317" i="1"/>
  <c r="DB316" i="1"/>
  <c r="CY316" i="1"/>
  <c r="CX316" i="1"/>
  <c r="CV316" i="1"/>
  <c r="CF316" i="1"/>
  <c r="CD316" i="1"/>
  <c r="CC316" i="1"/>
  <c r="CB316" i="1"/>
  <c r="CA316" i="1"/>
  <c r="BY316" i="1"/>
  <c r="BX316" i="1"/>
  <c r="BW316" i="1"/>
  <c r="BV316" i="1"/>
  <c r="DB315" i="1"/>
  <c r="CY315" i="1"/>
  <c r="CX315" i="1"/>
  <c r="CV315" i="1"/>
  <c r="CF315" i="1"/>
  <c r="CD315" i="1"/>
  <c r="CC315" i="1"/>
  <c r="CB315" i="1"/>
  <c r="CA315" i="1"/>
  <c r="BY315" i="1"/>
  <c r="BX315" i="1"/>
  <c r="BW315" i="1"/>
  <c r="BV315" i="1"/>
  <c r="DB314" i="1"/>
  <c r="CY314" i="1"/>
  <c r="CX314" i="1"/>
  <c r="CV314" i="1"/>
  <c r="CF314" i="1"/>
  <c r="CD314" i="1"/>
  <c r="CC314" i="1"/>
  <c r="CB314" i="1"/>
  <c r="CA314" i="1"/>
  <c r="BY314" i="1"/>
  <c r="BX314" i="1"/>
  <c r="BW314" i="1"/>
  <c r="BV314" i="1"/>
  <c r="DB313" i="1"/>
  <c r="CY313" i="1"/>
  <c r="CX313" i="1"/>
  <c r="CV313" i="1"/>
  <c r="CF313" i="1"/>
  <c r="CD313" i="1"/>
  <c r="CC313" i="1"/>
  <c r="CB313" i="1"/>
  <c r="CA313" i="1"/>
  <c r="BY313" i="1"/>
  <c r="BX313" i="1"/>
  <c r="BW313" i="1"/>
  <c r="BV313" i="1"/>
  <c r="DB312" i="1"/>
  <c r="CY312" i="1"/>
  <c r="CX312" i="1"/>
  <c r="CV312" i="1"/>
  <c r="CF312" i="1"/>
  <c r="CD312" i="1"/>
  <c r="CC312" i="1"/>
  <c r="CB312" i="1"/>
  <c r="CA312" i="1"/>
  <c r="BY312" i="1"/>
  <c r="BX312" i="1"/>
  <c r="BW312" i="1"/>
  <c r="BV312" i="1"/>
  <c r="DB311" i="1"/>
  <c r="CY311" i="1"/>
  <c r="CX311" i="1"/>
  <c r="CV311" i="1"/>
  <c r="CF311" i="1"/>
  <c r="CD311" i="1"/>
  <c r="CC311" i="1"/>
  <c r="CB311" i="1"/>
  <c r="CA311" i="1"/>
  <c r="BY311" i="1"/>
  <c r="BX311" i="1"/>
  <c r="BW311" i="1"/>
  <c r="BV311" i="1"/>
  <c r="DB310" i="1"/>
  <c r="CY310" i="1"/>
  <c r="CX310" i="1"/>
  <c r="CV310" i="1"/>
  <c r="CF310" i="1"/>
  <c r="CD310" i="1"/>
  <c r="CC310" i="1"/>
  <c r="CB310" i="1"/>
  <c r="CA310" i="1"/>
  <c r="BY310" i="1"/>
  <c r="BX310" i="1"/>
  <c r="BW310" i="1"/>
  <c r="BV310" i="1"/>
  <c r="DB309" i="1"/>
  <c r="CY309" i="1"/>
  <c r="CX309" i="1"/>
  <c r="CV309" i="1"/>
  <c r="CF309" i="1"/>
  <c r="CD309" i="1"/>
  <c r="CC309" i="1"/>
  <c r="CB309" i="1"/>
  <c r="CA309" i="1"/>
  <c r="BY309" i="1"/>
  <c r="BX309" i="1"/>
  <c r="BW309" i="1"/>
  <c r="BV309" i="1"/>
  <c r="DB308" i="1"/>
  <c r="CY308" i="1"/>
  <c r="CX308" i="1"/>
  <c r="CV308" i="1"/>
  <c r="CF308" i="1"/>
  <c r="CD308" i="1"/>
  <c r="CC308" i="1"/>
  <c r="CB308" i="1"/>
  <c r="CA308" i="1"/>
  <c r="BY308" i="1"/>
  <c r="BX308" i="1"/>
  <c r="BW308" i="1"/>
  <c r="BV308" i="1"/>
  <c r="DB307" i="1"/>
  <c r="CY307" i="1"/>
  <c r="CX307" i="1"/>
  <c r="CV307" i="1"/>
  <c r="CF307" i="1"/>
  <c r="CD307" i="1"/>
  <c r="CC307" i="1"/>
  <c r="CB307" i="1"/>
  <c r="CA307" i="1"/>
  <c r="BY307" i="1"/>
  <c r="BX307" i="1"/>
  <c r="BW307" i="1"/>
  <c r="BV307" i="1"/>
  <c r="DB306" i="1"/>
  <c r="CY306" i="1"/>
  <c r="CX306" i="1"/>
  <c r="CV306" i="1"/>
  <c r="CF306" i="1"/>
  <c r="CD306" i="1"/>
  <c r="CC306" i="1"/>
  <c r="CB306" i="1"/>
  <c r="CA306" i="1"/>
  <c r="BY306" i="1"/>
  <c r="BX306" i="1"/>
  <c r="BW306" i="1"/>
  <c r="BV306" i="1"/>
  <c r="DB305" i="1"/>
  <c r="CY305" i="1"/>
  <c r="CX305" i="1"/>
  <c r="CV305" i="1"/>
  <c r="CF305" i="1"/>
  <c r="CD305" i="1"/>
  <c r="CC305" i="1"/>
  <c r="CB305" i="1"/>
  <c r="CA305" i="1"/>
  <c r="BY305" i="1"/>
  <c r="BX305" i="1"/>
  <c r="BW305" i="1"/>
  <c r="BV305" i="1"/>
  <c r="DB304" i="1"/>
  <c r="CY304" i="1"/>
  <c r="CX304" i="1"/>
  <c r="CV304" i="1"/>
  <c r="CF304" i="1"/>
  <c r="CD304" i="1"/>
  <c r="CC304" i="1"/>
  <c r="CB304" i="1"/>
  <c r="CA304" i="1"/>
  <c r="BY304" i="1"/>
  <c r="BX304" i="1"/>
  <c r="BW304" i="1"/>
  <c r="BV304" i="1"/>
  <c r="DB303" i="1"/>
  <c r="CY303" i="1"/>
  <c r="CX303" i="1"/>
  <c r="CV303" i="1"/>
  <c r="CF303" i="1"/>
  <c r="CD303" i="1"/>
  <c r="CC303" i="1"/>
  <c r="CB303" i="1"/>
  <c r="CA303" i="1"/>
  <c r="BY303" i="1"/>
  <c r="BX303" i="1"/>
  <c r="BW303" i="1"/>
  <c r="BV303" i="1"/>
  <c r="DB302" i="1"/>
  <c r="CY302" i="1"/>
  <c r="CX302" i="1"/>
  <c r="CV302" i="1"/>
  <c r="CF302" i="1"/>
  <c r="CD302" i="1"/>
  <c r="CC302" i="1"/>
  <c r="CB302" i="1"/>
  <c r="CA302" i="1"/>
  <c r="BY302" i="1"/>
  <c r="BX302" i="1"/>
  <c r="BW302" i="1"/>
  <c r="BV302" i="1"/>
  <c r="DB301" i="1"/>
  <c r="CY301" i="1"/>
  <c r="CX301" i="1"/>
  <c r="CV301" i="1"/>
  <c r="CF301" i="1"/>
  <c r="CD301" i="1"/>
  <c r="CC301" i="1"/>
  <c r="CB301" i="1"/>
  <c r="CA301" i="1"/>
  <c r="BY301" i="1"/>
  <c r="BX301" i="1"/>
  <c r="BW301" i="1"/>
  <c r="BV301" i="1"/>
  <c r="DB300" i="1"/>
  <c r="CY300" i="1"/>
  <c r="CX300" i="1"/>
  <c r="CV300" i="1"/>
  <c r="CF300" i="1"/>
  <c r="CD300" i="1"/>
  <c r="CC300" i="1"/>
  <c r="CB300" i="1"/>
  <c r="CA300" i="1"/>
  <c r="BY300" i="1"/>
  <c r="BX300" i="1"/>
  <c r="BW300" i="1"/>
  <c r="BV300" i="1"/>
  <c r="DB299" i="1"/>
  <c r="CY299" i="1"/>
  <c r="CX299" i="1"/>
  <c r="CV299" i="1"/>
  <c r="CF299" i="1"/>
  <c r="CD299" i="1"/>
  <c r="CC299" i="1"/>
  <c r="CB299" i="1"/>
  <c r="CA299" i="1"/>
  <c r="BY299" i="1"/>
  <c r="BX299" i="1"/>
  <c r="BW299" i="1"/>
  <c r="BV299" i="1"/>
  <c r="DB298" i="1"/>
  <c r="CY298" i="1"/>
  <c r="CX298" i="1"/>
  <c r="CV298" i="1"/>
  <c r="CF298" i="1"/>
  <c r="CD298" i="1"/>
  <c r="CC298" i="1"/>
  <c r="CB298" i="1"/>
  <c r="CA298" i="1"/>
  <c r="BY298" i="1"/>
  <c r="BX298" i="1"/>
  <c r="BW298" i="1"/>
  <c r="BV298" i="1"/>
  <c r="DB297" i="1"/>
  <c r="CY297" i="1"/>
  <c r="CX297" i="1"/>
  <c r="CV297" i="1"/>
  <c r="CF297" i="1"/>
  <c r="CD297" i="1"/>
  <c r="CC297" i="1"/>
  <c r="CB297" i="1"/>
  <c r="CA297" i="1"/>
  <c r="BY297" i="1"/>
  <c r="BX297" i="1"/>
  <c r="BW297" i="1"/>
  <c r="BV297" i="1"/>
  <c r="DB296" i="1"/>
  <c r="CY296" i="1"/>
  <c r="CX296" i="1"/>
  <c r="CV296" i="1"/>
  <c r="CF296" i="1"/>
  <c r="CD296" i="1"/>
  <c r="CC296" i="1"/>
  <c r="CB296" i="1"/>
  <c r="CA296" i="1"/>
  <c r="BY296" i="1"/>
  <c r="BX296" i="1"/>
  <c r="BW296" i="1"/>
  <c r="BV296" i="1"/>
  <c r="DB295" i="1"/>
  <c r="CY295" i="1"/>
  <c r="CX295" i="1"/>
  <c r="CV295" i="1"/>
  <c r="CF295" i="1"/>
  <c r="CD295" i="1"/>
  <c r="CC295" i="1"/>
  <c r="CB295" i="1"/>
  <c r="CA295" i="1"/>
  <c r="BY295" i="1"/>
  <c r="BX295" i="1"/>
  <c r="BW295" i="1"/>
  <c r="BV295" i="1"/>
  <c r="DB294" i="1"/>
  <c r="CY294" i="1"/>
  <c r="CX294" i="1"/>
  <c r="CV294" i="1"/>
  <c r="CF294" i="1"/>
  <c r="CD294" i="1"/>
  <c r="CC294" i="1"/>
  <c r="CB294" i="1"/>
  <c r="CA294" i="1"/>
  <c r="BY294" i="1"/>
  <c r="BX294" i="1"/>
  <c r="BW294" i="1"/>
  <c r="BV294" i="1"/>
  <c r="DB293" i="1"/>
  <c r="CY293" i="1"/>
  <c r="CX293" i="1"/>
  <c r="CV293" i="1"/>
  <c r="CF293" i="1"/>
  <c r="CD293" i="1"/>
  <c r="CC293" i="1"/>
  <c r="CB293" i="1"/>
  <c r="CA293" i="1"/>
  <c r="BY293" i="1"/>
  <c r="BX293" i="1"/>
  <c r="BW293" i="1"/>
  <c r="BV293" i="1"/>
  <c r="DB292" i="1"/>
  <c r="CY292" i="1"/>
  <c r="CX292" i="1"/>
  <c r="CV292" i="1"/>
  <c r="CF292" i="1"/>
  <c r="CD292" i="1"/>
  <c r="CC292" i="1"/>
  <c r="CB292" i="1"/>
  <c r="CA292" i="1"/>
  <c r="BY292" i="1"/>
  <c r="BX292" i="1"/>
  <c r="BW292" i="1"/>
  <c r="BV292" i="1"/>
  <c r="DB291" i="1"/>
  <c r="CY291" i="1"/>
  <c r="CX291" i="1"/>
  <c r="CV291" i="1"/>
  <c r="CF291" i="1"/>
  <c r="CD291" i="1"/>
  <c r="CC291" i="1"/>
  <c r="CB291" i="1"/>
  <c r="CA291" i="1"/>
  <c r="BY291" i="1"/>
  <c r="BX291" i="1"/>
  <c r="BW291" i="1"/>
  <c r="BV291" i="1"/>
  <c r="DB290" i="1"/>
  <c r="CY290" i="1"/>
  <c r="CX290" i="1"/>
  <c r="CV290" i="1"/>
  <c r="CF290" i="1"/>
  <c r="CD290" i="1"/>
  <c r="CC290" i="1"/>
  <c r="CB290" i="1"/>
  <c r="CA290" i="1"/>
  <c r="BY290" i="1"/>
  <c r="BX290" i="1"/>
  <c r="BW290" i="1"/>
  <c r="BV290" i="1"/>
  <c r="DB289" i="1"/>
  <c r="CY289" i="1"/>
  <c r="CX289" i="1"/>
  <c r="CV289" i="1"/>
  <c r="CF289" i="1"/>
  <c r="CD289" i="1"/>
  <c r="CC289" i="1"/>
  <c r="CB289" i="1"/>
  <c r="CA289" i="1"/>
  <c r="BY289" i="1"/>
  <c r="BX289" i="1"/>
  <c r="BW289" i="1"/>
  <c r="BV289" i="1"/>
  <c r="DB288" i="1"/>
  <c r="CY288" i="1"/>
  <c r="CX288" i="1"/>
  <c r="CV288" i="1"/>
  <c r="CF288" i="1"/>
  <c r="CD288" i="1"/>
  <c r="CC288" i="1"/>
  <c r="CB288" i="1"/>
  <c r="CA288" i="1"/>
  <c r="BY288" i="1"/>
  <c r="BX288" i="1"/>
  <c r="BW288" i="1"/>
  <c r="BV288" i="1"/>
  <c r="DB287" i="1"/>
  <c r="CY287" i="1"/>
  <c r="CX287" i="1"/>
  <c r="CV287" i="1"/>
  <c r="CF287" i="1"/>
  <c r="CD287" i="1"/>
  <c r="CC287" i="1"/>
  <c r="CB287" i="1"/>
  <c r="CA287" i="1"/>
  <c r="BY287" i="1"/>
  <c r="BX287" i="1"/>
  <c r="BW287" i="1"/>
  <c r="BV287" i="1"/>
  <c r="DB286" i="1"/>
  <c r="CY286" i="1"/>
  <c r="CX286" i="1"/>
  <c r="CV286" i="1"/>
  <c r="CF286" i="1"/>
  <c r="CD286" i="1"/>
  <c r="CC286" i="1"/>
  <c r="CB286" i="1"/>
  <c r="CA286" i="1"/>
  <c r="BY286" i="1"/>
  <c r="BX286" i="1"/>
  <c r="BW286" i="1"/>
  <c r="BV286" i="1"/>
  <c r="DB285" i="1"/>
  <c r="CY285" i="1"/>
  <c r="CX285" i="1"/>
  <c r="CV285" i="1"/>
  <c r="CF285" i="1"/>
  <c r="CD285" i="1"/>
  <c r="CC285" i="1"/>
  <c r="CB285" i="1"/>
  <c r="CA285" i="1"/>
  <c r="BY285" i="1"/>
  <c r="BX285" i="1"/>
  <c r="BW285" i="1"/>
  <c r="BV285" i="1"/>
  <c r="DB284" i="1"/>
  <c r="CY284" i="1"/>
  <c r="CX284" i="1"/>
  <c r="CV284" i="1"/>
  <c r="CF284" i="1"/>
  <c r="CD284" i="1"/>
  <c r="CC284" i="1"/>
  <c r="CB284" i="1"/>
  <c r="CA284" i="1"/>
  <c r="BY284" i="1"/>
  <c r="BX284" i="1"/>
  <c r="BW284" i="1"/>
  <c r="BV284" i="1"/>
  <c r="DB283" i="1"/>
  <c r="CY283" i="1"/>
  <c r="CX283" i="1"/>
  <c r="CV283" i="1"/>
  <c r="CF283" i="1"/>
  <c r="CD283" i="1"/>
  <c r="CC283" i="1"/>
  <c r="CB283" i="1"/>
  <c r="CA283" i="1"/>
  <c r="BY283" i="1"/>
  <c r="BX283" i="1"/>
  <c r="BW283" i="1"/>
  <c r="BV283" i="1"/>
  <c r="DB282" i="1"/>
  <c r="CY282" i="1"/>
  <c r="CX282" i="1"/>
  <c r="CV282" i="1"/>
  <c r="CF282" i="1"/>
  <c r="CD282" i="1"/>
  <c r="CC282" i="1"/>
  <c r="CB282" i="1"/>
  <c r="CA282" i="1"/>
  <c r="BY282" i="1"/>
  <c r="BX282" i="1"/>
  <c r="BW282" i="1"/>
  <c r="BV282" i="1"/>
  <c r="DB281" i="1"/>
  <c r="CY281" i="1"/>
  <c r="CX281" i="1"/>
  <c r="CV281" i="1"/>
  <c r="CF281" i="1"/>
  <c r="CD281" i="1"/>
  <c r="CC281" i="1"/>
  <c r="CB281" i="1"/>
  <c r="CA281" i="1"/>
  <c r="BY281" i="1"/>
  <c r="BX281" i="1"/>
  <c r="BW281" i="1"/>
  <c r="BV281" i="1"/>
  <c r="DB280" i="1"/>
  <c r="CY280" i="1"/>
  <c r="CX280" i="1"/>
  <c r="CV280" i="1"/>
  <c r="CF280" i="1"/>
  <c r="CD280" i="1"/>
  <c r="CC280" i="1"/>
  <c r="CB280" i="1"/>
  <c r="CA280" i="1"/>
  <c r="BY280" i="1"/>
  <c r="BX280" i="1"/>
  <c r="BW280" i="1"/>
  <c r="BV280" i="1"/>
  <c r="DB279" i="1"/>
  <c r="CY279" i="1"/>
  <c r="CX279" i="1"/>
  <c r="CV279" i="1"/>
  <c r="CF279" i="1"/>
  <c r="CD279" i="1"/>
  <c r="CC279" i="1"/>
  <c r="CB279" i="1"/>
  <c r="CA279" i="1"/>
  <c r="BY279" i="1"/>
  <c r="BX279" i="1"/>
  <c r="BW279" i="1"/>
  <c r="BV279" i="1"/>
  <c r="DB278" i="1"/>
  <c r="CY278" i="1"/>
  <c r="CX278" i="1"/>
  <c r="CV278" i="1"/>
  <c r="CF278" i="1"/>
  <c r="CD278" i="1"/>
  <c r="CC278" i="1"/>
  <c r="CB278" i="1"/>
  <c r="CA278" i="1"/>
  <c r="BY278" i="1"/>
  <c r="BX278" i="1"/>
  <c r="BW278" i="1"/>
  <c r="BV278" i="1"/>
  <c r="DB277" i="1"/>
  <c r="CY277" i="1"/>
  <c r="CX277" i="1"/>
  <c r="CV277" i="1"/>
  <c r="CF277" i="1"/>
  <c r="CD277" i="1"/>
  <c r="CC277" i="1"/>
  <c r="CB277" i="1"/>
  <c r="CA277" i="1"/>
  <c r="BY277" i="1"/>
  <c r="BX277" i="1"/>
  <c r="BW277" i="1"/>
  <c r="BV277" i="1"/>
  <c r="DB276" i="1"/>
  <c r="CY276" i="1"/>
  <c r="CX276" i="1"/>
  <c r="CV276" i="1"/>
  <c r="CF276" i="1"/>
  <c r="CD276" i="1"/>
  <c r="CC276" i="1"/>
  <c r="CB276" i="1"/>
  <c r="CA276" i="1"/>
  <c r="BY276" i="1"/>
  <c r="BX276" i="1"/>
  <c r="BW276" i="1"/>
  <c r="BV276" i="1"/>
  <c r="DB275" i="1"/>
  <c r="CY275" i="1"/>
  <c r="CX275" i="1"/>
  <c r="CV275" i="1"/>
  <c r="CF275" i="1"/>
  <c r="CD275" i="1"/>
  <c r="CC275" i="1"/>
  <c r="CB275" i="1"/>
  <c r="CA275" i="1"/>
  <c r="BY275" i="1"/>
  <c r="BX275" i="1"/>
  <c r="BW275" i="1"/>
  <c r="BV275" i="1"/>
  <c r="DB274" i="1"/>
  <c r="CY274" i="1"/>
  <c r="CX274" i="1"/>
  <c r="CV274" i="1"/>
  <c r="CF274" i="1"/>
  <c r="CD274" i="1"/>
  <c r="CC274" i="1"/>
  <c r="CB274" i="1"/>
  <c r="CA274" i="1"/>
  <c r="BY274" i="1"/>
  <c r="BX274" i="1"/>
  <c r="BW274" i="1"/>
  <c r="BV274" i="1"/>
  <c r="DB273" i="1"/>
  <c r="CY273" i="1"/>
  <c r="CX273" i="1"/>
  <c r="CV273" i="1"/>
  <c r="CF273" i="1"/>
  <c r="CD273" i="1"/>
  <c r="CC273" i="1"/>
  <c r="CB273" i="1"/>
  <c r="CA273" i="1"/>
  <c r="BY273" i="1"/>
  <c r="BX273" i="1"/>
  <c r="BW273" i="1"/>
  <c r="BV273" i="1"/>
  <c r="DB272" i="1"/>
  <c r="CY272" i="1"/>
  <c r="CX272" i="1"/>
  <c r="CV272" i="1"/>
  <c r="CF272" i="1"/>
  <c r="CD272" i="1"/>
  <c r="CC272" i="1"/>
  <c r="CB272" i="1"/>
  <c r="CA272" i="1"/>
  <c r="BY272" i="1"/>
  <c r="BX272" i="1"/>
  <c r="BW272" i="1"/>
  <c r="BV272" i="1"/>
  <c r="DB271" i="1"/>
  <c r="CY271" i="1"/>
  <c r="CX271" i="1"/>
  <c r="CV271" i="1"/>
  <c r="CF271" i="1"/>
  <c r="CD271" i="1"/>
  <c r="CC271" i="1"/>
  <c r="CB271" i="1"/>
  <c r="CA271" i="1"/>
  <c r="BY271" i="1"/>
  <c r="BX271" i="1"/>
  <c r="BW271" i="1"/>
  <c r="BV271" i="1"/>
  <c r="DB270" i="1"/>
  <c r="CY270" i="1"/>
  <c r="CX270" i="1"/>
  <c r="CV270" i="1"/>
  <c r="CF270" i="1"/>
  <c r="CD270" i="1"/>
  <c r="CC270" i="1"/>
  <c r="CB270" i="1"/>
  <c r="CA270" i="1"/>
  <c r="BY270" i="1"/>
  <c r="BX270" i="1"/>
  <c r="BW270" i="1"/>
  <c r="BV270" i="1"/>
  <c r="DB269" i="1"/>
  <c r="CY269" i="1"/>
  <c r="CX269" i="1"/>
  <c r="CV269" i="1"/>
  <c r="CF269" i="1"/>
  <c r="CD269" i="1"/>
  <c r="CC269" i="1"/>
  <c r="CB269" i="1"/>
  <c r="CA269" i="1"/>
  <c r="BY269" i="1"/>
  <c r="BX269" i="1"/>
  <c r="BW269" i="1"/>
  <c r="BV269" i="1"/>
  <c r="DB268" i="1"/>
  <c r="CY268" i="1"/>
  <c r="CX268" i="1"/>
  <c r="CV268" i="1"/>
  <c r="CF268" i="1"/>
  <c r="CD268" i="1"/>
  <c r="CC268" i="1"/>
  <c r="CB268" i="1"/>
  <c r="CA268" i="1"/>
  <c r="BY268" i="1"/>
  <c r="BX268" i="1"/>
  <c r="BW268" i="1"/>
  <c r="BV268" i="1"/>
  <c r="DB267" i="1"/>
  <c r="CY267" i="1"/>
  <c r="CX267" i="1"/>
  <c r="CV267" i="1"/>
  <c r="CF267" i="1"/>
  <c r="CD267" i="1"/>
  <c r="CC267" i="1"/>
  <c r="CB267" i="1"/>
  <c r="CA267" i="1"/>
  <c r="BY267" i="1"/>
  <c r="BX267" i="1"/>
  <c r="BW267" i="1"/>
  <c r="BV267" i="1"/>
  <c r="DB266" i="1"/>
  <c r="CY266" i="1"/>
  <c r="CX266" i="1"/>
  <c r="CV266" i="1"/>
  <c r="CF266" i="1"/>
  <c r="CD266" i="1"/>
  <c r="CC266" i="1"/>
  <c r="CB266" i="1"/>
  <c r="CA266" i="1"/>
  <c r="BY266" i="1"/>
  <c r="BX266" i="1"/>
  <c r="BW266" i="1"/>
  <c r="BV266" i="1"/>
  <c r="DB265" i="1"/>
  <c r="CY265" i="1"/>
  <c r="CX265" i="1"/>
  <c r="CV265" i="1"/>
  <c r="CF265" i="1"/>
  <c r="CD265" i="1"/>
  <c r="CC265" i="1"/>
  <c r="CB265" i="1"/>
  <c r="CA265" i="1"/>
  <c r="BY265" i="1"/>
  <c r="BX265" i="1"/>
  <c r="BW265" i="1"/>
  <c r="BV265" i="1"/>
  <c r="DB264" i="1"/>
  <c r="CY264" i="1"/>
  <c r="CX264" i="1"/>
  <c r="CV264" i="1"/>
  <c r="CF264" i="1"/>
  <c r="CD264" i="1"/>
  <c r="CC264" i="1"/>
  <c r="CB264" i="1"/>
  <c r="CA264" i="1"/>
  <c r="BY264" i="1"/>
  <c r="BX264" i="1"/>
  <c r="BW264" i="1"/>
  <c r="BV264" i="1"/>
  <c r="DB263" i="1"/>
  <c r="CY263" i="1"/>
  <c r="CX263" i="1"/>
  <c r="CV263" i="1"/>
  <c r="CF263" i="1"/>
  <c r="CD263" i="1"/>
  <c r="CC263" i="1"/>
  <c r="CB263" i="1"/>
  <c r="CA263" i="1"/>
  <c r="BY263" i="1"/>
  <c r="BX263" i="1"/>
  <c r="BW263" i="1"/>
  <c r="BV263" i="1"/>
  <c r="DB262" i="1"/>
  <c r="CY262" i="1"/>
  <c r="CX262" i="1"/>
  <c r="CV262" i="1"/>
  <c r="CF262" i="1"/>
  <c r="CD262" i="1"/>
  <c r="CC262" i="1"/>
  <c r="CB262" i="1"/>
  <c r="CA262" i="1"/>
  <c r="BY262" i="1"/>
  <c r="BX262" i="1"/>
  <c r="BW262" i="1"/>
  <c r="BV262" i="1"/>
  <c r="DB261" i="1"/>
  <c r="CY261" i="1"/>
  <c r="CX261" i="1"/>
  <c r="CV261" i="1"/>
  <c r="CF261" i="1"/>
  <c r="CD261" i="1"/>
  <c r="CC261" i="1"/>
  <c r="CB261" i="1"/>
  <c r="CA261" i="1"/>
  <c r="BY261" i="1"/>
  <c r="BX261" i="1"/>
  <c r="BW261" i="1"/>
  <c r="BV261" i="1"/>
  <c r="DB260" i="1"/>
  <c r="CY260" i="1"/>
  <c r="CX260" i="1"/>
  <c r="CV260" i="1"/>
  <c r="CF260" i="1"/>
  <c r="CD260" i="1"/>
  <c r="CC260" i="1"/>
  <c r="CB260" i="1"/>
  <c r="CA260" i="1"/>
  <c r="BY260" i="1"/>
  <c r="BX260" i="1"/>
  <c r="BW260" i="1"/>
  <c r="BV260" i="1"/>
  <c r="DB259" i="1"/>
  <c r="CY259" i="1"/>
  <c r="CX259" i="1"/>
  <c r="CV259" i="1"/>
  <c r="CF259" i="1"/>
  <c r="CD259" i="1"/>
  <c r="CC259" i="1"/>
  <c r="CB259" i="1"/>
  <c r="CA259" i="1"/>
  <c r="BY259" i="1"/>
  <c r="BX259" i="1"/>
  <c r="BW259" i="1"/>
  <c r="BV259" i="1"/>
  <c r="DB258" i="1"/>
  <c r="CY258" i="1"/>
  <c r="CX258" i="1"/>
  <c r="CV258" i="1"/>
  <c r="CF258" i="1"/>
  <c r="CD258" i="1"/>
  <c r="CC258" i="1"/>
  <c r="CB258" i="1"/>
  <c r="CA258" i="1"/>
  <c r="BY258" i="1"/>
  <c r="BX258" i="1"/>
  <c r="BW258" i="1"/>
  <c r="BV258" i="1"/>
  <c r="DB257" i="1"/>
  <c r="CY257" i="1"/>
  <c r="CX257" i="1"/>
  <c r="CV257" i="1"/>
  <c r="CF257" i="1"/>
  <c r="CD257" i="1"/>
  <c r="CC257" i="1"/>
  <c r="CB257" i="1"/>
  <c r="CA257" i="1"/>
  <c r="BY257" i="1"/>
  <c r="BX257" i="1"/>
  <c r="BW257" i="1"/>
  <c r="BV257" i="1"/>
  <c r="DB256" i="1"/>
  <c r="CY256" i="1"/>
  <c r="CX256" i="1"/>
  <c r="CV256" i="1"/>
  <c r="CF256" i="1"/>
  <c r="CD256" i="1"/>
  <c r="CC256" i="1"/>
  <c r="CB256" i="1"/>
  <c r="CA256" i="1"/>
  <c r="BY256" i="1"/>
  <c r="BX256" i="1"/>
  <c r="BW256" i="1"/>
  <c r="BV256" i="1"/>
  <c r="DB255" i="1"/>
  <c r="CY255" i="1"/>
  <c r="CX255" i="1"/>
  <c r="CV255" i="1"/>
  <c r="CF255" i="1"/>
  <c r="CD255" i="1"/>
  <c r="CC255" i="1"/>
  <c r="CB255" i="1"/>
  <c r="CA255" i="1"/>
  <c r="BY255" i="1"/>
  <c r="BX255" i="1"/>
  <c r="BW255" i="1"/>
  <c r="BV255" i="1"/>
  <c r="DB254" i="1"/>
  <c r="CY254" i="1"/>
  <c r="CX254" i="1"/>
  <c r="CV254" i="1"/>
  <c r="CF254" i="1"/>
  <c r="CD254" i="1"/>
  <c r="CC254" i="1"/>
  <c r="CB254" i="1"/>
  <c r="CA254" i="1"/>
  <c r="BY254" i="1"/>
  <c r="BX254" i="1"/>
  <c r="BW254" i="1"/>
  <c r="BV254" i="1"/>
  <c r="DB253" i="1"/>
  <c r="CY253" i="1"/>
  <c r="CX253" i="1"/>
  <c r="CV253" i="1"/>
  <c r="CF253" i="1"/>
  <c r="CD253" i="1"/>
  <c r="CC253" i="1"/>
  <c r="CB253" i="1"/>
  <c r="CA253" i="1"/>
  <c r="BY253" i="1"/>
  <c r="BX253" i="1"/>
  <c r="BW253" i="1"/>
  <c r="BV253" i="1"/>
  <c r="DB252" i="1"/>
  <c r="CY252" i="1"/>
  <c r="CX252" i="1"/>
  <c r="CV252" i="1"/>
  <c r="CF252" i="1"/>
  <c r="CD252" i="1"/>
  <c r="CC252" i="1"/>
  <c r="CB252" i="1"/>
  <c r="CA252" i="1"/>
  <c r="BY252" i="1"/>
  <c r="BX252" i="1"/>
  <c r="BW252" i="1"/>
  <c r="BV252" i="1"/>
  <c r="DB251" i="1"/>
  <c r="CY251" i="1"/>
  <c r="CX251" i="1"/>
  <c r="CV251" i="1"/>
  <c r="CF251" i="1"/>
  <c r="CD251" i="1"/>
  <c r="CC251" i="1"/>
  <c r="CB251" i="1"/>
  <c r="CA251" i="1"/>
  <c r="BY251" i="1"/>
  <c r="BX251" i="1"/>
  <c r="BW251" i="1"/>
  <c r="BV251" i="1"/>
  <c r="DB250" i="1"/>
  <c r="CY250" i="1"/>
  <c r="CX250" i="1"/>
  <c r="CV250" i="1"/>
  <c r="CF250" i="1"/>
  <c r="CD250" i="1"/>
  <c r="CC250" i="1"/>
  <c r="CB250" i="1"/>
  <c r="CA250" i="1"/>
  <c r="BY250" i="1"/>
  <c r="BX250" i="1"/>
  <c r="BW250" i="1"/>
  <c r="BV250" i="1"/>
  <c r="DB249" i="1"/>
  <c r="CY249" i="1"/>
  <c r="CX249" i="1"/>
  <c r="CV249" i="1"/>
  <c r="CF249" i="1"/>
  <c r="CD249" i="1"/>
  <c r="CC249" i="1"/>
  <c r="CB249" i="1"/>
  <c r="CA249" i="1"/>
  <c r="BY249" i="1"/>
  <c r="BX249" i="1"/>
  <c r="BW249" i="1"/>
  <c r="BV249" i="1"/>
  <c r="DB248" i="1"/>
  <c r="CY248" i="1"/>
  <c r="CX248" i="1"/>
  <c r="CV248" i="1"/>
  <c r="CF248" i="1"/>
  <c r="CD248" i="1"/>
  <c r="CC248" i="1"/>
  <c r="CB248" i="1"/>
  <c r="CA248" i="1"/>
  <c r="BY248" i="1"/>
  <c r="BX248" i="1"/>
  <c r="BW248" i="1"/>
  <c r="BV248" i="1"/>
  <c r="DB247" i="1"/>
  <c r="CY247" i="1"/>
  <c r="CX247" i="1"/>
  <c r="CV247" i="1"/>
  <c r="CF247" i="1"/>
  <c r="CD247" i="1"/>
  <c r="CC247" i="1"/>
  <c r="CB247" i="1"/>
  <c r="CA247" i="1"/>
  <c r="BY247" i="1"/>
  <c r="BX247" i="1"/>
  <c r="BW247" i="1"/>
  <c r="BV247" i="1"/>
  <c r="DB246" i="1"/>
  <c r="CY246" i="1"/>
  <c r="CX246" i="1"/>
  <c r="CV246" i="1"/>
  <c r="CF246" i="1"/>
  <c r="CD246" i="1"/>
  <c r="CC246" i="1"/>
  <c r="CB246" i="1"/>
  <c r="CA246" i="1"/>
  <c r="BY246" i="1"/>
  <c r="BX246" i="1"/>
  <c r="BW246" i="1"/>
  <c r="BV246" i="1"/>
  <c r="DB245" i="1"/>
  <c r="CY245" i="1"/>
  <c r="CX245" i="1"/>
  <c r="CV245" i="1"/>
  <c r="CF245" i="1"/>
  <c r="CD245" i="1"/>
  <c r="CC245" i="1"/>
  <c r="CB245" i="1"/>
  <c r="CA245" i="1"/>
  <c r="BY245" i="1"/>
  <c r="BX245" i="1"/>
  <c r="BW245" i="1"/>
  <c r="BV245" i="1"/>
  <c r="DB244" i="1"/>
  <c r="CY244" i="1"/>
  <c r="CX244" i="1"/>
  <c r="CV244" i="1"/>
  <c r="CF244" i="1"/>
  <c r="CD244" i="1"/>
  <c r="CC244" i="1"/>
  <c r="CB244" i="1"/>
  <c r="CA244" i="1"/>
  <c r="BY244" i="1"/>
  <c r="BX244" i="1"/>
  <c r="BW244" i="1"/>
  <c r="BV244" i="1"/>
  <c r="DB243" i="1"/>
  <c r="CY243" i="1"/>
  <c r="CX243" i="1"/>
  <c r="CV243" i="1"/>
  <c r="CF243" i="1"/>
  <c r="CD243" i="1"/>
  <c r="CC243" i="1"/>
  <c r="CB243" i="1"/>
  <c r="CA243" i="1"/>
  <c r="BY243" i="1"/>
  <c r="BX243" i="1"/>
  <c r="BW243" i="1"/>
  <c r="BV243" i="1"/>
  <c r="DB242" i="1"/>
  <c r="CY242" i="1"/>
  <c r="CX242" i="1"/>
  <c r="CV242" i="1"/>
  <c r="CF242" i="1"/>
  <c r="CD242" i="1"/>
  <c r="CC242" i="1"/>
  <c r="CB242" i="1"/>
  <c r="CA242" i="1"/>
  <c r="BY242" i="1"/>
  <c r="BX242" i="1"/>
  <c r="BW242" i="1"/>
  <c r="BV242" i="1"/>
  <c r="DB241" i="1"/>
  <c r="CY241" i="1"/>
  <c r="CX241" i="1"/>
  <c r="CV241" i="1"/>
  <c r="CF241" i="1"/>
  <c r="CD241" i="1"/>
  <c r="CC241" i="1"/>
  <c r="CB241" i="1"/>
  <c r="CA241" i="1"/>
  <c r="BY241" i="1"/>
  <c r="BX241" i="1"/>
  <c r="BW241" i="1"/>
  <c r="BV241" i="1"/>
  <c r="DB240" i="1"/>
  <c r="CY240" i="1"/>
  <c r="CX240" i="1"/>
  <c r="CV240" i="1"/>
  <c r="CF240" i="1"/>
  <c r="CD240" i="1"/>
  <c r="CC240" i="1"/>
  <c r="CB240" i="1"/>
  <c r="CA240" i="1"/>
  <c r="BY240" i="1"/>
  <c r="BX240" i="1"/>
  <c r="BW240" i="1"/>
  <c r="BV240" i="1"/>
  <c r="DB239" i="1"/>
  <c r="CY239" i="1"/>
  <c r="CX239" i="1"/>
  <c r="CV239" i="1"/>
  <c r="CF239" i="1"/>
  <c r="CD239" i="1"/>
  <c r="CC239" i="1"/>
  <c r="CB239" i="1"/>
  <c r="CA239" i="1"/>
  <c r="BY239" i="1"/>
  <c r="BX239" i="1"/>
  <c r="BW239" i="1"/>
  <c r="BV239" i="1"/>
  <c r="DB238" i="1"/>
  <c r="CY238" i="1"/>
  <c r="CX238" i="1"/>
  <c r="CV238" i="1"/>
  <c r="CF238" i="1"/>
  <c r="CD238" i="1"/>
  <c r="CC238" i="1"/>
  <c r="CB238" i="1"/>
  <c r="CA238" i="1"/>
  <c r="BY238" i="1"/>
  <c r="BX238" i="1"/>
  <c r="BW238" i="1"/>
  <c r="BV238" i="1"/>
  <c r="DB237" i="1"/>
  <c r="CY237" i="1"/>
  <c r="CX237" i="1"/>
  <c r="CV237" i="1"/>
  <c r="CF237" i="1"/>
  <c r="CD237" i="1"/>
  <c r="CC237" i="1"/>
  <c r="CB237" i="1"/>
  <c r="CA237" i="1"/>
  <c r="BY237" i="1"/>
  <c r="BX237" i="1"/>
  <c r="BW237" i="1"/>
  <c r="BV237" i="1"/>
  <c r="DB236" i="1"/>
  <c r="CY236" i="1"/>
  <c r="CX236" i="1"/>
  <c r="CV236" i="1"/>
  <c r="CF236" i="1"/>
  <c r="CD236" i="1"/>
  <c r="CC236" i="1"/>
  <c r="CB236" i="1"/>
  <c r="CA236" i="1"/>
  <c r="BY236" i="1"/>
  <c r="BX236" i="1"/>
  <c r="BW236" i="1"/>
  <c r="BV236" i="1"/>
  <c r="DB235" i="1"/>
  <c r="CY235" i="1"/>
  <c r="CX235" i="1"/>
  <c r="CV235" i="1"/>
  <c r="CF235" i="1"/>
  <c r="CD235" i="1"/>
  <c r="CC235" i="1"/>
  <c r="CB235" i="1"/>
  <c r="CA235" i="1"/>
  <c r="BY235" i="1"/>
  <c r="BX235" i="1"/>
  <c r="BW235" i="1"/>
  <c r="BV235" i="1"/>
  <c r="DB234" i="1"/>
  <c r="CY234" i="1"/>
  <c r="CX234" i="1"/>
  <c r="CV234" i="1"/>
  <c r="CF234" i="1"/>
  <c r="CD234" i="1"/>
  <c r="CC234" i="1"/>
  <c r="CB234" i="1"/>
  <c r="CA234" i="1"/>
  <c r="BY234" i="1"/>
  <c r="BX234" i="1"/>
  <c r="BW234" i="1"/>
  <c r="BV234" i="1"/>
  <c r="DB233" i="1"/>
  <c r="CY233" i="1"/>
  <c r="CX233" i="1"/>
  <c r="CV233" i="1"/>
  <c r="CF233" i="1"/>
  <c r="CD233" i="1"/>
  <c r="CC233" i="1"/>
  <c r="CB233" i="1"/>
  <c r="CA233" i="1"/>
  <c r="BY233" i="1"/>
  <c r="BX233" i="1"/>
  <c r="BW233" i="1"/>
  <c r="BV233" i="1"/>
  <c r="DB232" i="1"/>
  <c r="CY232" i="1"/>
  <c r="CX232" i="1"/>
  <c r="CV232" i="1"/>
  <c r="CF232" i="1"/>
  <c r="CD232" i="1"/>
  <c r="CC232" i="1"/>
  <c r="CB232" i="1"/>
  <c r="CA232" i="1"/>
  <c r="BY232" i="1"/>
  <c r="BX232" i="1"/>
  <c r="BW232" i="1"/>
  <c r="BV232" i="1"/>
  <c r="DB231" i="1"/>
  <c r="CY231" i="1"/>
  <c r="CX231" i="1"/>
  <c r="CV231" i="1"/>
  <c r="CF231" i="1"/>
  <c r="CD231" i="1"/>
  <c r="CC231" i="1"/>
  <c r="CB231" i="1"/>
  <c r="CA231" i="1"/>
  <c r="BY231" i="1"/>
  <c r="BX231" i="1"/>
  <c r="BW231" i="1"/>
  <c r="BV231" i="1"/>
  <c r="DB230" i="1"/>
  <c r="CY230" i="1"/>
  <c r="CX230" i="1"/>
  <c r="CV230" i="1"/>
  <c r="CF230" i="1"/>
  <c r="CD230" i="1"/>
  <c r="CC230" i="1"/>
  <c r="CB230" i="1"/>
  <c r="CA230" i="1"/>
  <c r="BY230" i="1"/>
  <c r="BX230" i="1"/>
  <c r="BW230" i="1"/>
  <c r="BV230" i="1"/>
  <c r="DB229" i="1"/>
  <c r="CY229" i="1"/>
  <c r="CX229" i="1"/>
  <c r="CV229" i="1"/>
  <c r="CF229" i="1"/>
  <c r="CD229" i="1"/>
  <c r="CC229" i="1"/>
  <c r="CB229" i="1"/>
  <c r="CA229" i="1"/>
  <c r="BY229" i="1"/>
  <c r="BX229" i="1"/>
  <c r="BW229" i="1"/>
  <c r="BV229" i="1"/>
  <c r="DB228" i="1"/>
  <c r="CY228" i="1"/>
  <c r="CX228" i="1"/>
  <c r="CV228" i="1"/>
  <c r="CF228" i="1"/>
  <c r="CD228" i="1"/>
  <c r="CC228" i="1"/>
  <c r="CB228" i="1"/>
  <c r="CA228" i="1"/>
  <c r="BY228" i="1"/>
  <c r="BX228" i="1"/>
  <c r="BW228" i="1"/>
  <c r="BV228" i="1"/>
  <c r="DB227" i="1"/>
  <c r="CY227" i="1"/>
  <c r="CX227" i="1"/>
  <c r="CV227" i="1"/>
  <c r="CF227" i="1"/>
  <c r="CD227" i="1"/>
  <c r="CC227" i="1"/>
  <c r="CB227" i="1"/>
  <c r="CA227" i="1"/>
  <c r="BY227" i="1"/>
  <c r="BX227" i="1"/>
  <c r="BW227" i="1"/>
  <c r="BV227" i="1"/>
  <c r="DB226" i="1"/>
  <c r="CY226" i="1"/>
  <c r="CX226" i="1"/>
  <c r="CV226" i="1"/>
  <c r="CF226" i="1"/>
  <c r="CD226" i="1"/>
  <c r="CC226" i="1"/>
  <c r="CB226" i="1"/>
  <c r="CA226" i="1"/>
  <c r="BY226" i="1"/>
  <c r="BX226" i="1"/>
  <c r="BW226" i="1"/>
  <c r="BV226" i="1"/>
  <c r="DB225" i="1"/>
  <c r="CY225" i="1"/>
  <c r="CX225" i="1"/>
  <c r="CV225" i="1"/>
  <c r="CF225" i="1"/>
  <c r="CD225" i="1"/>
  <c r="CC225" i="1"/>
  <c r="CB225" i="1"/>
  <c r="CA225" i="1"/>
  <c r="BY225" i="1"/>
  <c r="BX225" i="1"/>
  <c r="BW225" i="1"/>
  <c r="BV225" i="1"/>
  <c r="DB224" i="1"/>
  <c r="CY224" i="1"/>
  <c r="CX224" i="1"/>
  <c r="CV224" i="1"/>
  <c r="CF224" i="1"/>
  <c r="CD224" i="1"/>
  <c r="CC224" i="1"/>
  <c r="CB224" i="1"/>
  <c r="CA224" i="1"/>
  <c r="BY224" i="1"/>
  <c r="BX224" i="1"/>
  <c r="BW224" i="1"/>
  <c r="BV224" i="1"/>
  <c r="DB223" i="1"/>
  <c r="CY223" i="1"/>
  <c r="CX223" i="1"/>
  <c r="CV223" i="1"/>
  <c r="CF223" i="1"/>
  <c r="CD223" i="1"/>
  <c r="CC223" i="1"/>
  <c r="CB223" i="1"/>
  <c r="CA223" i="1"/>
  <c r="BY223" i="1"/>
  <c r="BX223" i="1"/>
  <c r="BW223" i="1"/>
  <c r="BV223" i="1"/>
  <c r="DB222" i="1"/>
  <c r="CY222" i="1"/>
  <c r="CX222" i="1"/>
  <c r="CV222" i="1"/>
  <c r="CF222" i="1"/>
  <c r="CD222" i="1"/>
  <c r="CC222" i="1"/>
  <c r="CB222" i="1"/>
  <c r="CA222" i="1"/>
  <c r="BY222" i="1"/>
  <c r="BX222" i="1"/>
  <c r="BW222" i="1"/>
  <c r="BV222" i="1"/>
  <c r="DB221" i="1"/>
  <c r="CY221" i="1"/>
  <c r="CX221" i="1"/>
  <c r="CV221" i="1"/>
  <c r="CF221" i="1"/>
  <c r="CD221" i="1"/>
  <c r="CC221" i="1"/>
  <c r="CB221" i="1"/>
  <c r="CA221" i="1"/>
  <c r="BY221" i="1"/>
  <c r="BX221" i="1"/>
  <c r="BW221" i="1"/>
  <c r="BV221" i="1"/>
  <c r="DB220" i="1"/>
  <c r="CY220" i="1"/>
  <c r="CX220" i="1"/>
  <c r="CV220" i="1"/>
  <c r="CF220" i="1"/>
  <c r="CD220" i="1"/>
  <c r="CC220" i="1"/>
  <c r="CB220" i="1"/>
  <c r="CA220" i="1"/>
  <c r="BY220" i="1"/>
  <c r="BX220" i="1"/>
  <c r="BW220" i="1"/>
  <c r="BV220" i="1"/>
  <c r="DB219" i="1"/>
  <c r="CY219" i="1"/>
  <c r="CX219" i="1"/>
  <c r="CV219" i="1"/>
  <c r="CF219" i="1"/>
  <c r="CD219" i="1"/>
  <c r="CC219" i="1"/>
  <c r="CB219" i="1"/>
  <c r="CA219" i="1"/>
  <c r="BY219" i="1"/>
  <c r="BX219" i="1"/>
  <c r="BW219" i="1"/>
  <c r="BV219" i="1"/>
  <c r="DB218" i="1"/>
  <c r="CY218" i="1"/>
  <c r="CX218" i="1"/>
  <c r="CV218" i="1"/>
  <c r="CF218" i="1"/>
  <c r="CD218" i="1"/>
  <c r="CC218" i="1"/>
  <c r="CB218" i="1"/>
  <c r="CA218" i="1"/>
  <c r="BY218" i="1"/>
  <c r="BX218" i="1"/>
  <c r="BW218" i="1"/>
  <c r="BV218" i="1"/>
  <c r="DB217" i="1"/>
  <c r="CY217" i="1"/>
  <c r="CX217" i="1"/>
  <c r="CV217" i="1"/>
  <c r="CF217" i="1"/>
  <c r="CD217" i="1"/>
  <c r="CC217" i="1"/>
  <c r="CB217" i="1"/>
  <c r="CA217" i="1"/>
  <c r="BY217" i="1"/>
  <c r="BX217" i="1"/>
  <c r="BW217" i="1"/>
  <c r="BV217" i="1"/>
  <c r="DB216" i="1"/>
  <c r="CY216" i="1"/>
  <c r="CX216" i="1"/>
  <c r="CV216" i="1"/>
  <c r="CF216" i="1"/>
  <c r="CD216" i="1"/>
  <c r="CC216" i="1"/>
  <c r="CB216" i="1"/>
  <c r="CA216" i="1"/>
  <c r="BY216" i="1"/>
  <c r="BX216" i="1"/>
  <c r="BW216" i="1"/>
  <c r="BV216" i="1"/>
  <c r="DB215" i="1"/>
  <c r="CY215" i="1"/>
  <c r="CX215" i="1"/>
  <c r="CV215" i="1"/>
  <c r="CF215" i="1"/>
  <c r="CD215" i="1"/>
  <c r="CC215" i="1"/>
  <c r="CB215" i="1"/>
  <c r="CA215" i="1"/>
  <c r="BY215" i="1"/>
  <c r="BX215" i="1"/>
  <c r="BW215" i="1"/>
  <c r="BV215" i="1"/>
  <c r="DB214" i="1"/>
  <c r="CY214" i="1"/>
  <c r="CX214" i="1"/>
  <c r="CV214" i="1"/>
  <c r="CF214" i="1"/>
  <c r="CD214" i="1"/>
  <c r="CC214" i="1"/>
  <c r="CB214" i="1"/>
  <c r="CA214" i="1"/>
  <c r="BY214" i="1"/>
  <c r="BX214" i="1"/>
  <c r="BW214" i="1"/>
  <c r="BV214" i="1"/>
  <c r="DB213" i="1"/>
  <c r="CY213" i="1"/>
  <c r="CX213" i="1"/>
  <c r="CV213" i="1"/>
  <c r="CF213" i="1"/>
  <c r="CD213" i="1"/>
  <c r="CC213" i="1"/>
  <c r="CB213" i="1"/>
  <c r="CA213" i="1"/>
  <c r="BY213" i="1"/>
  <c r="BX213" i="1"/>
  <c r="BW213" i="1"/>
  <c r="BV213" i="1"/>
  <c r="DB212" i="1"/>
  <c r="CY212" i="1"/>
  <c r="CX212" i="1"/>
  <c r="CV212" i="1"/>
  <c r="CF212" i="1"/>
  <c r="CD212" i="1"/>
  <c r="CC212" i="1"/>
  <c r="CB212" i="1"/>
  <c r="CA212" i="1"/>
  <c r="BY212" i="1"/>
  <c r="BX212" i="1"/>
  <c r="BW212" i="1"/>
  <c r="BV212" i="1"/>
  <c r="DB211" i="1"/>
  <c r="CY211" i="1"/>
  <c r="CX211" i="1"/>
  <c r="CV211" i="1"/>
  <c r="CF211" i="1"/>
  <c r="CD211" i="1"/>
  <c r="CC211" i="1"/>
  <c r="CB211" i="1"/>
  <c r="CA211" i="1"/>
  <c r="BY211" i="1"/>
  <c r="BX211" i="1"/>
  <c r="BW211" i="1"/>
  <c r="BV211" i="1"/>
  <c r="DB210" i="1"/>
  <c r="CY210" i="1"/>
  <c r="CX210" i="1"/>
  <c r="CV210" i="1"/>
  <c r="CF210" i="1"/>
  <c r="CD210" i="1"/>
  <c r="CC210" i="1"/>
  <c r="CB210" i="1"/>
  <c r="CA210" i="1"/>
  <c r="BY210" i="1"/>
  <c r="BX210" i="1"/>
  <c r="BW210" i="1"/>
  <c r="BV210" i="1"/>
  <c r="DB209" i="1"/>
  <c r="CY209" i="1"/>
  <c r="CX209" i="1"/>
  <c r="CV209" i="1"/>
  <c r="CF209" i="1"/>
  <c r="CD209" i="1"/>
  <c r="CC209" i="1"/>
  <c r="CB209" i="1"/>
  <c r="CA209" i="1"/>
  <c r="BY209" i="1"/>
  <c r="BX209" i="1"/>
  <c r="BW209" i="1"/>
  <c r="BV209" i="1"/>
  <c r="DB208" i="1"/>
  <c r="CY208" i="1"/>
  <c r="CX208" i="1"/>
  <c r="CV208" i="1"/>
  <c r="CF208" i="1"/>
  <c r="CD208" i="1"/>
  <c r="CC208" i="1"/>
  <c r="CB208" i="1"/>
  <c r="CA208" i="1"/>
  <c r="BY208" i="1"/>
  <c r="BX208" i="1"/>
  <c r="BW208" i="1"/>
  <c r="BV208" i="1"/>
  <c r="DB207" i="1"/>
  <c r="CY207" i="1"/>
  <c r="CX207" i="1"/>
  <c r="CV207" i="1"/>
  <c r="CF207" i="1"/>
  <c r="CD207" i="1"/>
  <c r="CC207" i="1"/>
  <c r="CB207" i="1"/>
  <c r="CA207" i="1"/>
  <c r="BY207" i="1"/>
  <c r="BX207" i="1"/>
  <c r="BW207" i="1"/>
  <c r="BV207" i="1"/>
  <c r="DB206" i="1"/>
  <c r="CY206" i="1"/>
  <c r="CX206" i="1"/>
  <c r="CV206" i="1"/>
  <c r="CF206" i="1"/>
  <c r="CD206" i="1"/>
  <c r="CC206" i="1"/>
  <c r="CB206" i="1"/>
  <c r="CA206" i="1"/>
  <c r="BY206" i="1"/>
  <c r="BX206" i="1"/>
  <c r="BW206" i="1"/>
  <c r="BV206" i="1"/>
  <c r="DB205" i="1"/>
  <c r="CY205" i="1"/>
  <c r="CX205" i="1"/>
  <c r="CV205" i="1"/>
  <c r="CF205" i="1"/>
  <c r="CD205" i="1"/>
  <c r="CC205" i="1"/>
  <c r="CB205" i="1"/>
  <c r="CA205" i="1"/>
  <c r="BY205" i="1"/>
  <c r="BX205" i="1"/>
  <c r="BW205" i="1"/>
  <c r="BV205" i="1"/>
  <c r="DB204" i="1"/>
  <c r="CY204" i="1"/>
  <c r="CX204" i="1"/>
  <c r="CV204" i="1"/>
  <c r="CF204" i="1"/>
  <c r="CD204" i="1"/>
  <c r="CC204" i="1"/>
  <c r="CB204" i="1"/>
  <c r="CA204" i="1"/>
  <c r="BY204" i="1"/>
  <c r="BX204" i="1"/>
  <c r="BW204" i="1"/>
  <c r="BV204" i="1"/>
  <c r="DB203" i="1"/>
  <c r="CY203" i="1"/>
  <c r="CX203" i="1"/>
  <c r="CV203" i="1"/>
  <c r="CF203" i="1"/>
  <c r="CD203" i="1"/>
  <c r="CC203" i="1"/>
  <c r="CB203" i="1"/>
  <c r="CA203" i="1"/>
  <c r="BY203" i="1"/>
  <c r="BX203" i="1"/>
  <c r="BW203" i="1"/>
  <c r="BV203" i="1"/>
  <c r="DB202" i="1"/>
  <c r="CY202" i="1"/>
  <c r="CX202" i="1"/>
  <c r="CV202" i="1"/>
  <c r="CF202" i="1"/>
  <c r="CD202" i="1"/>
  <c r="CC202" i="1"/>
  <c r="CB202" i="1"/>
  <c r="CA202" i="1"/>
  <c r="BY202" i="1"/>
  <c r="BX202" i="1"/>
  <c r="BW202" i="1"/>
  <c r="BV202" i="1"/>
  <c r="DB201" i="1"/>
  <c r="CY201" i="1"/>
  <c r="CX201" i="1"/>
  <c r="CV201" i="1"/>
  <c r="CF201" i="1"/>
  <c r="CD201" i="1"/>
  <c r="CC201" i="1"/>
  <c r="CB201" i="1"/>
  <c r="CA201" i="1"/>
  <c r="BY201" i="1"/>
  <c r="BX201" i="1"/>
  <c r="BW201" i="1"/>
  <c r="BV201" i="1"/>
  <c r="DB200" i="1"/>
  <c r="CY200" i="1"/>
  <c r="CX200" i="1"/>
  <c r="CV200" i="1"/>
  <c r="CF200" i="1"/>
  <c r="CD200" i="1"/>
  <c r="CC200" i="1"/>
  <c r="CB200" i="1"/>
  <c r="CA200" i="1"/>
  <c r="BY200" i="1"/>
  <c r="BX200" i="1"/>
  <c r="BW200" i="1"/>
  <c r="BV200" i="1"/>
  <c r="DB199" i="1"/>
  <c r="CY199" i="1"/>
  <c r="CX199" i="1"/>
  <c r="CV199" i="1"/>
  <c r="CF199" i="1"/>
  <c r="CD199" i="1"/>
  <c r="CC199" i="1"/>
  <c r="CB199" i="1"/>
  <c r="CA199" i="1"/>
  <c r="BY199" i="1"/>
  <c r="BX199" i="1"/>
  <c r="BW199" i="1"/>
  <c r="BV199" i="1"/>
  <c r="DB198" i="1"/>
  <c r="CY198" i="1"/>
  <c r="CX198" i="1"/>
  <c r="CV198" i="1"/>
  <c r="CF198" i="1"/>
  <c r="CD198" i="1"/>
  <c r="CC198" i="1"/>
  <c r="CB198" i="1"/>
  <c r="CA198" i="1"/>
  <c r="BY198" i="1"/>
  <c r="BX198" i="1"/>
  <c r="BW198" i="1"/>
  <c r="BV198" i="1"/>
  <c r="DB197" i="1"/>
  <c r="CY197" i="1"/>
  <c r="CX197" i="1"/>
  <c r="CV197" i="1"/>
  <c r="CF197" i="1"/>
  <c r="CD197" i="1"/>
  <c r="CC197" i="1"/>
  <c r="CB197" i="1"/>
  <c r="CA197" i="1"/>
  <c r="BY197" i="1"/>
  <c r="BX197" i="1"/>
  <c r="BW197" i="1"/>
  <c r="BV197" i="1"/>
  <c r="DB196" i="1"/>
  <c r="CY196" i="1"/>
  <c r="CX196" i="1"/>
  <c r="CV196" i="1"/>
  <c r="CF196" i="1"/>
  <c r="CD196" i="1"/>
  <c r="CC196" i="1"/>
  <c r="CB196" i="1"/>
  <c r="CA196" i="1"/>
  <c r="BY196" i="1"/>
  <c r="BX196" i="1"/>
  <c r="BW196" i="1"/>
  <c r="BV196" i="1"/>
  <c r="DB195" i="1"/>
  <c r="CY195" i="1"/>
  <c r="CX195" i="1"/>
  <c r="CV195" i="1"/>
  <c r="CF195" i="1"/>
  <c r="CD195" i="1"/>
  <c r="CC195" i="1"/>
  <c r="CB195" i="1"/>
  <c r="CA195" i="1"/>
  <c r="BY195" i="1"/>
  <c r="BX195" i="1"/>
  <c r="BW195" i="1"/>
  <c r="BV195" i="1"/>
  <c r="DB194" i="1"/>
  <c r="CY194" i="1"/>
  <c r="CX194" i="1"/>
  <c r="CV194" i="1"/>
  <c r="CF194" i="1"/>
  <c r="CD194" i="1"/>
  <c r="CC194" i="1"/>
  <c r="CB194" i="1"/>
  <c r="CA194" i="1"/>
  <c r="BY194" i="1"/>
  <c r="BX194" i="1"/>
  <c r="BW194" i="1"/>
  <c r="BV194" i="1"/>
  <c r="DB193" i="1"/>
  <c r="CY193" i="1"/>
  <c r="CX193" i="1"/>
  <c r="CV193" i="1"/>
  <c r="CF193" i="1"/>
  <c r="CD193" i="1"/>
  <c r="CC193" i="1"/>
  <c r="CB193" i="1"/>
  <c r="CA193" i="1"/>
  <c r="BY193" i="1"/>
  <c r="BX193" i="1"/>
  <c r="BW193" i="1"/>
  <c r="BV193" i="1"/>
  <c r="DB192" i="1"/>
  <c r="CY192" i="1"/>
  <c r="CX192" i="1"/>
  <c r="CV192" i="1"/>
  <c r="CF192" i="1"/>
  <c r="CD192" i="1"/>
  <c r="CC192" i="1"/>
  <c r="CB192" i="1"/>
  <c r="CA192" i="1"/>
  <c r="BY192" i="1"/>
  <c r="BX192" i="1"/>
  <c r="BW192" i="1"/>
  <c r="BV192" i="1"/>
  <c r="DB191" i="1"/>
  <c r="CY191" i="1"/>
  <c r="CX191" i="1"/>
  <c r="CV191" i="1"/>
  <c r="CF191" i="1"/>
  <c r="CD191" i="1"/>
  <c r="CC191" i="1"/>
  <c r="CB191" i="1"/>
  <c r="CA191" i="1"/>
  <c r="BY191" i="1"/>
  <c r="BX191" i="1"/>
  <c r="BW191" i="1"/>
  <c r="BV191" i="1"/>
  <c r="DB190" i="1"/>
  <c r="CY190" i="1"/>
  <c r="CX190" i="1"/>
  <c r="CV190" i="1"/>
  <c r="CF190" i="1"/>
  <c r="CD190" i="1"/>
  <c r="CC190" i="1"/>
  <c r="CB190" i="1"/>
  <c r="CA190" i="1"/>
  <c r="BY190" i="1"/>
  <c r="BX190" i="1"/>
  <c r="BW190" i="1"/>
  <c r="BV190" i="1"/>
  <c r="DB189" i="1"/>
  <c r="CY189" i="1"/>
  <c r="CX189" i="1"/>
  <c r="CV189" i="1"/>
  <c r="CF189" i="1"/>
  <c r="CD189" i="1"/>
  <c r="CC189" i="1"/>
  <c r="CB189" i="1"/>
  <c r="CA189" i="1"/>
  <c r="BY189" i="1"/>
  <c r="BX189" i="1"/>
  <c r="BW189" i="1"/>
  <c r="BV189" i="1"/>
  <c r="DB188" i="1"/>
  <c r="CY188" i="1"/>
  <c r="CX188" i="1"/>
  <c r="CV188" i="1"/>
  <c r="CF188" i="1"/>
  <c r="CD188" i="1"/>
  <c r="CC188" i="1"/>
  <c r="CB188" i="1"/>
  <c r="CA188" i="1"/>
  <c r="BY188" i="1"/>
  <c r="BX188" i="1"/>
  <c r="BW188" i="1"/>
  <c r="BV188" i="1"/>
  <c r="DB187" i="1"/>
  <c r="CY187" i="1"/>
  <c r="CX187" i="1"/>
  <c r="CV187" i="1"/>
  <c r="CF187" i="1"/>
  <c r="CD187" i="1"/>
  <c r="CC187" i="1"/>
  <c r="CB187" i="1"/>
  <c r="CA187" i="1"/>
  <c r="BY187" i="1"/>
  <c r="BX187" i="1"/>
  <c r="BW187" i="1"/>
  <c r="BV187" i="1"/>
  <c r="DB186" i="1"/>
  <c r="CY186" i="1"/>
  <c r="CX186" i="1"/>
  <c r="CV186" i="1"/>
  <c r="CF186" i="1"/>
  <c r="CD186" i="1"/>
  <c r="CC186" i="1"/>
  <c r="CB186" i="1"/>
  <c r="CA186" i="1"/>
  <c r="BY186" i="1"/>
  <c r="BX186" i="1"/>
  <c r="BW186" i="1"/>
  <c r="BV186" i="1"/>
  <c r="DB185" i="1"/>
  <c r="CY185" i="1"/>
  <c r="CX185" i="1"/>
  <c r="CV185" i="1"/>
  <c r="CF185" i="1"/>
  <c r="CD185" i="1"/>
  <c r="CC185" i="1"/>
  <c r="CB185" i="1"/>
  <c r="CA185" i="1"/>
  <c r="BY185" i="1"/>
  <c r="BX185" i="1"/>
  <c r="BW185" i="1"/>
  <c r="BV185" i="1"/>
  <c r="DB184" i="1"/>
  <c r="CY184" i="1"/>
  <c r="CX184" i="1"/>
  <c r="CV184" i="1"/>
  <c r="CF184" i="1"/>
  <c r="CD184" i="1"/>
  <c r="CC184" i="1"/>
  <c r="CB184" i="1"/>
  <c r="CA184" i="1"/>
  <c r="BY184" i="1"/>
  <c r="BX184" i="1"/>
  <c r="BW184" i="1"/>
  <c r="BV184" i="1"/>
  <c r="DB183" i="1"/>
  <c r="CY183" i="1"/>
  <c r="CX183" i="1"/>
  <c r="CV183" i="1"/>
  <c r="CF183" i="1"/>
  <c r="CD183" i="1"/>
  <c r="CC183" i="1"/>
  <c r="CB183" i="1"/>
  <c r="CA183" i="1"/>
  <c r="BY183" i="1"/>
  <c r="BX183" i="1"/>
  <c r="BW183" i="1"/>
  <c r="BV183" i="1"/>
  <c r="DB182" i="1"/>
  <c r="CY182" i="1"/>
  <c r="CX182" i="1"/>
  <c r="CV182" i="1"/>
  <c r="CF182" i="1"/>
  <c r="CD182" i="1"/>
  <c r="CC182" i="1"/>
  <c r="CB182" i="1"/>
  <c r="CA182" i="1"/>
  <c r="BY182" i="1"/>
  <c r="BX182" i="1"/>
  <c r="BW182" i="1"/>
  <c r="BV182" i="1"/>
  <c r="DB181" i="1"/>
  <c r="CY181" i="1"/>
  <c r="CX181" i="1"/>
  <c r="CV181" i="1"/>
  <c r="CF181" i="1"/>
  <c r="CD181" i="1"/>
  <c r="CC181" i="1"/>
  <c r="CB181" i="1"/>
  <c r="CA181" i="1"/>
  <c r="BY181" i="1"/>
  <c r="BX181" i="1"/>
  <c r="BW181" i="1"/>
  <c r="BV181" i="1"/>
  <c r="DB180" i="1"/>
  <c r="CY180" i="1"/>
  <c r="CX180" i="1"/>
  <c r="CV180" i="1"/>
  <c r="CF180" i="1"/>
  <c r="CD180" i="1"/>
  <c r="CC180" i="1"/>
  <c r="CB180" i="1"/>
  <c r="CA180" i="1"/>
  <c r="BY180" i="1"/>
  <c r="BX180" i="1"/>
  <c r="BW180" i="1"/>
  <c r="BV180" i="1"/>
  <c r="DB179" i="1"/>
  <c r="CY179" i="1"/>
  <c r="CX179" i="1"/>
  <c r="CV179" i="1"/>
  <c r="CF179" i="1"/>
  <c r="CD179" i="1"/>
  <c r="CC179" i="1"/>
  <c r="CB179" i="1"/>
  <c r="CA179" i="1"/>
  <c r="BY179" i="1"/>
  <c r="BX179" i="1"/>
  <c r="BW179" i="1"/>
  <c r="BV179" i="1"/>
  <c r="DB178" i="1"/>
  <c r="CY178" i="1"/>
  <c r="CX178" i="1"/>
  <c r="CV178" i="1"/>
  <c r="CF178" i="1"/>
  <c r="CD178" i="1"/>
  <c r="CC178" i="1"/>
  <c r="CB178" i="1"/>
  <c r="CA178" i="1"/>
  <c r="BY178" i="1"/>
  <c r="BX178" i="1"/>
  <c r="BW178" i="1"/>
  <c r="BV178" i="1"/>
  <c r="DB177" i="1"/>
  <c r="CY177" i="1"/>
  <c r="CX177" i="1"/>
  <c r="CV177" i="1"/>
  <c r="CF177" i="1"/>
  <c r="CD177" i="1"/>
  <c r="CC177" i="1"/>
  <c r="CB177" i="1"/>
  <c r="CA177" i="1"/>
  <c r="BY177" i="1"/>
  <c r="BX177" i="1"/>
  <c r="BW177" i="1"/>
  <c r="BV177" i="1"/>
  <c r="DB176" i="1"/>
  <c r="CY176" i="1"/>
  <c r="CX176" i="1"/>
  <c r="CV176" i="1"/>
  <c r="CF176" i="1"/>
  <c r="CD176" i="1"/>
  <c r="CC176" i="1"/>
  <c r="CB176" i="1"/>
  <c r="CA176" i="1"/>
  <c r="BY176" i="1"/>
  <c r="BX176" i="1"/>
  <c r="BW176" i="1"/>
  <c r="BV176" i="1"/>
  <c r="DB175" i="1"/>
  <c r="CY175" i="1"/>
  <c r="CX175" i="1"/>
  <c r="CV175" i="1"/>
  <c r="CF175" i="1"/>
  <c r="CD175" i="1"/>
  <c r="CC175" i="1"/>
  <c r="CB175" i="1"/>
  <c r="CA175" i="1"/>
  <c r="BY175" i="1"/>
  <c r="BX175" i="1"/>
  <c r="BW175" i="1"/>
  <c r="BV175" i="1"/>
  <c r="DB174" i="1"/>
  <c r="CY174" i="1"/>
  <c r="CX174" i="1"/>
  <c r="CV174" i="1"/>
  <c r="CF174" i="1"/>
  <c r="CD174" i="1"/>
  <c r="CC174" i="1"/>
  <c r="CB174" i="1"/>
  <c r="CA174" i="1"/>
  <c r="BY174" i="1"/>
  <c r="BX174" i="1"/>
  <c r="BW174" i="1"/>
  <c r="BV174" i="1"/>
  <c r="DB173" i="1"/>
  <c r="CY173" i="1"/>
  <c r="CX173" i="1"/>
  <c r="CV173" i="1"/>
  <c r="CF173" i="1"/>
  <c r="CD173" i="1"/>
  <c r="CC173" i="1"/>
  <c r="CB173" i="1"/>
  <c r="CA173" i="1"/>
  <c r="BY173" i="1"/>
  <c r="BX173" i="1"/>
  <c r="BW173" i="1"/>
  <c r="BV173" i="1"/>
  <c r="DB172" i="1"/>
  <c r="CY172" i="1"/>
  <c r="CX172" i="1"/>
  <c r="CV172" i="1"/>
  <c r="CF172" i="1"/>
  <c r="CD172" i="1"/>
  <c r="CC172" i="1"/>
  <c r="CB172" i="1"/>
  <c r="CA172" i="1"/>
  <c r="BY172" i="1"/>
  <c r="BX172" i="1"/>
  <c r="BW172" i="1"/>
  <c r="BV172" i="1"/>
  <c r="DB171" i="1"/>
  <c r="CY171" i="1"/>
  <c r="CX171" i="1"/>
  <c r="CV171" i="1"/>
  <c r="CF171" i="1"/>
  <c r="CD171" i="1"/>
  <c r="CC171" i="1"/>
  <c r="CB171" i="1"/>
  <c r="CA171" i="1"/>
  <c r="BY171" i="1"/>
  <c r="BX171" i="1"/>
  <c r="BW171" i="1"/>
  <c r="BV171" i="1"/>
  <c r="DB170" i="1"/>
  <c r="CY170" i="1"/>
  <c r="CX170" i="1"/>
  <c r="CV170" i="1"/>
  <c r="CF170" i="1"/>
  <c r="CD170" i="1"/>
  <c r="CC170" i="1"/>
  <c r="CB170" i="1"/>
  <c r="CA170" i="1"/>
  <c r="BY170" i="1"/>
  <c r="BX170" i="1"/>
  <c r="BW170" i="1"/>
  <c r="BV170" i="1"/>
  <c r="DB169" i="1"/>
  <c r="CY169" i="1"/>
  <c r="CX169" i="1"/>
  <c r="CV169" i="1"/>
  <c r="CF169" i="1"/>
  <c r="CD169" i="1"/>
  <c r="CC169" i="1"/>
  <c r="CB169" i="1"/>
  <c r="CA169" i="1"/>
  <c r="BY169" i="1"/>
  <c r="BX169" i="1"/>
  <c r="BW169" i="1"/>
  <c r="BV169" i="1"/>
  <c r="DB168" i="1"/>
  <c r="CY168" i="1"/>
  <c r="CX168" i="1"/>
  <c r="CV168" i="1"/>
  <c r="CF168" i="1"/>
  <c r="CD168" i="1"/>
  <c r="CC168" i="1"/>
  <c r="CB168" i="1"/>
  <c r="CA168" i="1"/>
  <c r="BY168" i="1"/>
  <c r="BX168" i="1"/>
  <c r="BW168" i="1"/>
  <c r="BV168" i="1"/>
  <c r="DB167" i="1"/>
  <c r="CY167" i="1"/>
  <c r="CX167" i="1"/>
  <c r="CV167" i="1"/>
  <c r="CF167" i="1"/>
  <c r="CD167" i="1"/>
  <c r="CC167" i="1"/>
  <c r="CB167" i="1"/>
  <c r="CA167" i="1"/>
  <c r="BY167" i="1"/>
  <c r="BX167" i="1"/>
  <c r="BW167" i="1"/>
  <c r="BV167" i="1"/>
  <c r="DB166" i="1"/>
  <c r="CY166" i="1"/>
  <c r="CX166" i="1"/>
  <c r="CV166" i="1"/>
  <c r="CF166" i="1"/>
  <c r="CD166" i="1"/>
  <c r="CC166" i="1"/>
  <c r="CB166" i="1"/>
  <c r="CA166" i="1"/>
  <c r="BY166" i="1"/>
  <c r="BX166" i="1"/>
  <c r="BW166" i="1"/>
  <c r="BV166" i="1"/>
  <c r="DB165" i="1"/>
  <c r="CY165" i="1"/>
  <c r="CX165" i="1"/>
  <c r="CV165" i="1"/>
  <c r="CF165" i="1"/>
  <c r="CD165" i="1"/>
  <c r="CC165" i="1"/>
  <c r="CB165" i="1"/>
  <c r="CA165" i="1"/>
  <c r="BY165" i="1"/>
  <c r="BX165" i="1"/>
  <c r="BW165" i="1"/>
  <c r="BV165" i="1"/>
  <c r="DB164" i="1"/>
  <c r="CY164" i="1"/>
  <c r="CX164" i="1"/>
  <c r="CV164" i="1"/>
  <c r="CF164" i="1"/>
  <c r="CD164" i="1"/>
  <c r="CC164" i="1"/>
  <c r="CB164" i="1"/>
  <c r="CA164" i="1"/>
  <c r="BY164" i="1"/>
  <c r="BX164" i="1"/>
  <c r="BW164" i="1"/>
  <c r="BV164" i="1"/>
  <c r="DB163" i="1"/>
  <c r="CY163" i="1"/>
  <c r="CX163" i="1"/>
  <c r="CV163" i="1"/>
  <c r="CF163" i="1"/>
  <c r="CD163" i="1"/>
  <c r="CC163" i="1"/>
  <c r="CB163" i="1"/>
  <c r="CA163" i="1"/>
  <c r="BY163" i="1"/>
  <c r="BX163" i="1"/>
  <c r="BW163" i="1"/>
  <c r="BV163" i="1"/>
  <c r="DB162" i="1"/>
  <c r="CY162" i="1"/>
  <c r="CX162" i="1"/>
  <c r="CV162" i="1"/>
  <c r="CF162" i="1"/>
  <c r="CD162" i="1"/>
  <c r="CC162" i="1"/>
  <c r="CB162" i="1"/>
  <c r="CA162" i="1"/>
  <c r="BY162" i="1"/>
  <c r="BX162" i="1"/>
  <c r="BW162" i="1"/>
  <c r="BV162" i="1"/>
  <c r="DB161" i="1"/>
  <c r="CY161" i="1"/>
  <c r="CX161" i="1"/>
  <c r="CV161" i="1"/>
  <c r="CF161" i="1"/>
  <c r="CD161" i="1"/>
  <c r="CC161" i="1"/>
  <c r="CB161" i="1"/>
  <c r="CA161" i="1"/>
  <c r="BY161" i="1"/>
  <c r="BX161" i="1"/>
  <c r="BW161" i="1"/>
  <c r="BV161" i="1"/>
  <c r="DB160" i="1"/>
  <c r="CY160" i="1"/>
  <c r="CX160" i="1"/>
  <c r="CV160" i="1"/>
  <c r="CF160" i="1"/>
  <c r="CD160" i="1"/>
  <c r="CC160" i="1"/>
  <c r="CB160" i="1"/>
  <c r="CA160" i="1"/>
  <c r="BY160" i="1"/>
  <c r="BX160" i="1"/>
  <c r="BW160" i="1"/>
  <c r="BV160" i="1"/>
  <c r="DB159" i="1"/>
  <c r="CY159" i="1"/>
  <c r="CX159" i="1"/>
  <c r="CV159" i="1"/>
  <c r="CF159" i="1"/>
  <c r="CD159" i="1"/>
  <c r="CC159" i="1"/>
  <c r="CB159" i="1"/>
  <c r="CA159" i="1"/>
  <c r="BY159" i="1"/>
  <c r="BX159" i="1"/>
  <c r="BW159" i="1"/>
  <c r="BV159" i="1"/>
  <c r="DB158" i="1"/>
  <c r="CY158" i="1"/>
  <c r="CX158" i="1"/>
  <c r="CV158" i="1"/>
  <c r="CF158" i="1"/>
  <c r="CD158" i="1"/>
  <c r="CC158" i="1"/>
  <c r="CB158" i="1"/>
  <c r="CA158" i="1"/>
  <c r="BY158" i="1"/>
  <c r="BX158" i="1"/>
  <c r="BW158" i="1"/>
  <c r="BV158" i="1"/>
  <c r="DB157" i="1"/>
  <c r="CY157" i="1"/>
  <c r="CX157" i="1"/>
  <c r="CV157" i="1"/>
  <c r="CF157" i="1"/>
  <c r="CD157" i="1"/>
  <c r="CC157" i="1"/>
  <c r="CB157" i="1"/>
  <c r="CA157" i="1"/>
  <c r="BY157" i="1"/>
  <c r="BX157" i="1"/>
  <c r="BW157" i="1"/>
  <c r="BV157" i="1"/>
  <c r="DB156" i="1"/>
  <c r="CY156" i="1"/>
  <c r="CX156" i="1"/>
  <c r="CV156" i="1"/>
  <c r="CF156" i="1"/>
  <c r="CD156" i="1"/>
  <c r="CC156" i="1"/>
  <c r="CB156" i="1"/>
  <c r="CA156" i="1"/>
  <c r="BY156" i="1"/>
  <c r="BX156" i="1"/>
  <c r="BW156" i="1"/>
  <c r="BV156" i="1"/>
  <c r="DB155" i="1"/>
  <c r="CY155" i="1"/>
  <c r="CX155" i="1"/>
  <c r="CV155" i="1"/>
  <c r="CF155" i="1"/>
  <c r="CD155" i="1"/>
  <c r="CC155" i="1"/>
  <c r="CB155" i="1"/>
  <c r="CA155" i="1"/>
  <c r="BY155" i="1"/>
  <c r="BX155" i="1"/>
  <c r="BW155" i="1"/>
  <c r="BV155" i="1"/>
  <c r="DB154" i="1"/>
  <c r="CY154" i="1"/>
  <c r="CX154" i="1"/>
  <c r="CV154" i="1"/>
  <c r="CF154" i="1"/>
  <c r="CD154" i="1"/>
  <c r="CC154" i="1"/>
  <c r="CB154" i="1"/>
  <c r="CA154" i="1"/>
  <c r="BY154" i="1"/>
  <c r="BX154" i="1"/>
  <c r="BW154" i="1"/>
  <c r="BV154" i="1"/>
  <c r="DB153" i="1"/>
  <c r="CY153" i="1"/>
  <c r="CX153" i="1"/>
  <c r="CV153" i="1"/>
  <c r="CF153" i="1"/>
  <c r="CD153" i="1"/>
  <c r="CC153" i="1"/>
  <c r="CB153" i="1"/>
  <c r="CA153" i="1"/>
  <c r="BY153" i="1"/>
  <c r="BX153" i="1"/>
  <c r="BW153" i="1"/>
  <c r="BV153" i="1"/>
  <c r="DB152" i="1"/>
  <c r="CY152" i="1"/>
  <c r="CX152" i="1"/>
  <c r="CV152" i="1"/>
  <c r="CF152" i="1"/>
  <c r="CD152" i="1"/>
  <c r="CC152" i="1"/>
  <c r="CB152" i="1"/>
  <c r="CA152" i="1"/>
  <c r="BY152" i="1"/>
  <c r="BX152" i="1"/>
  <c r="BW152" i="1"/>
  <c r="BV152" i="1"/>
  <c r="DB151" i="1"/>
  <c r="CY151" i="1"/>
  <c r="CX151" i="1"/>
  <c r="CV151" i="1"/>
  <c r="CF151" i="1"/>
  <c r="CD151" i="1"/>
  <c r="CC151" i="1"/>
  <c r="CB151" i="1"/>
  <c r="CA151" i="1"/>
  <c r="BY151" i="1"/>
  <c r="BX151" i="1"/>
  <c r="BW151" i="1"/>
  <c r="BV151" i="1"/>
  <c r="DB150" i="1"/>
  <c r="CY150" i="1"/>
  <c r="CX150" i="1"/>
  <c r="CV150" i="1"/>
  <c r="CF150" i="1"/>
  <c r="CD150" i="1"/>
  <c r="CC150" i="1"/>
  <c r="CB150" i="1"/>
  <c r="CA150" i="1"/>
  <c r="BY150" i="1"/>
  <c r="BX150" i="1"/>
  <c r="BW150" i="1"/>
  <c r="BV150" i="1"/>
  <c r="DB149" i="1"/>
  <c r="CY149" i="1"/>
  <c r="CX149" i="1"/>
  <c r="CV149" i="1"/>
  <c r="CF149" i="1"/>
  <c r="CD149" i="1"/>
  <c r="CC149" i="1"/>
  <c r="CB149" i="1"/>
  <c r="CA149" i="1"/>
  <c r="BY149" i="1"/>
  <c r="BX149" i="1"/>
  <c r="BW149" i="1"/>
  <c r="BV149" i="1"/>
  <c r="DB148" i="1"/>
  <c r="CY148" i="1"/>
  <c r="CX148" i="1"/>
  <c r="CV148" i="1"/>
  <c r="CF148" i="1"/>
  <c r="CD148" i="1"/>
  <c r="CC148" i="1"/>
  <c r="CB148" i="1"/>
  <c r="CA148" i="1"/>
  <c r="BY148" i="1"/>
  <c r="BX148" i="1"/>
  <c r="BW148" i="1"/>
  <c r="BV148" i="1"/>
  <c r="DB147" i="1"/>
  <c r="CY147" i="1"/>
  <c r="CX147" i="1"/>
  <c r="CV147" i="1"/>
  <c r="CF147" i="1"/>
  <c r="CD147" i="1"/>
  <c r="CC147" i="1"/>
  <c r="CB147" i="1"/>
  <c r="CA147" i="1"/>
  <c r="BY147" i="1"/>
  <c r="BX147" i="1"/>
  <c r="BW147" i="1"/>
  <c r="BV147" i="1"/>
  <c r="DB146" i="1"/>
  <c r="CY146" i="1"/>
  <c r="CX146" i="1"/>
  <c r="CV146" i="1"/>
  <c r="CF146" i="1"/>
  <c r="CD146" i="1"/>
  <c r="CC146" i="1"/>
  <c r="CB146" i="1"/>
  <c r="CA146" i="1"/>
  <c r="BY146" i="1"/>
  <c r="BX146" i="1"/>
  <c r="BW146" i="1"/>
  <c r="BV146" i="1"/>
  <c r="DB145" i="1"/>
  <c r="CY145" i="1"/>
  <c r="CX145" i="1"/>
  <c r="CV145" i="1"/>
  <c r="CF145" i="1"/>
  <c r="CD145" i="1"/>
  <c r="CC145" i="1"/>
  <c r="CB145" i="1"/>
  <c r="CA145" i="1"/>
  <c r="BY145" i="1"/>
  <c r="BX145" i="1"/>
  <c r="BW145" i="1"/>
  <c r="BV145" i="1"/>
  <c r="DB144" i="1"/>
  <c r="CY144" i="1"/>
  <c r="CX144" i="1"/>
  <c r="CV144" i="1"/>
  <c r="CF144" i="1"/>
  <c r="CD144" i="1"/>
  <c r="CC144" i="1"/>
  <c r="CB144" i="1"/>
  <c r="CA144" i="1"/>
  <c r="BY144" i="1"/>
  <c r="BX144" i="1"/>
  <c r="BW144" i="1"/>
  <c r="BV144" i="1"/>
  <c r="DB143" i="1"/>
  <c r="CY143" i="1"/>
  <c r="CX143" i="1"/>
  <c r="CV143" i="1"/>
  <c r="CF143" i="1"/>
  <c r="CD143" i="1"/>
  <c r="CC143" i="1"/>
  <c r="CB143" i="1"/>
  <c r="CA143" i="1"/>
  <c r="BY143" i="1"/>
  <c r="BX143" i="1"/>
  <c r="BW143" i="1"/>
  <c r="BV143" i="1"/>
  <c r="DB142" i="1"/>
  <c r="CY142" i="1"/>
  <c r="CX142" i="1"/>
  <c r="CV142" i="1"/>
  <c r="CF142" i="1"/>
  <c r="CD142" i="1"/>
  <c r="CC142" i="1"/>
  <c r="CB142" i="1"/>
  <c r="CA142" i="1"/>
  <c r="BY142" i="1"/>
  <c r="BX142" i="1"/>
  <c r="BW142" i="1"/>
  <c r="BV142" i="1"/>
  <c r="DB141" i="1"/>
  <c r="CY141" i="1"/>
  <c r="CX141" i="1"/>
  <c r="CV141" i="1"/>
  <c r="CF141" i="1"/>
  <c r="CD141" i="1"/>
  <c r="CC141" i="1"/>
  <c r="CB141" i="1"/>
  <c r="CA141" i="1"/>
  <c r="BY141" i="1"/>
  <c r="BX141" i="1"/>
  <c r="BW141" i="1"/>
  <c r="BV141" i="1"/>
  <c r="DB140" i="1"/>
  <c r="CY140" i="1"/>
  <c r="CX140" i="1"/>
  <c r="CV140" i="1"/>
  <c r="CF140" i="1"/>
  <c r="CD140" i="1"/>
  <c r="CC140" i="1"/>
  <c r="CB140" i="1"/>
  <c r="CA140" i="1"/>
  <c r="BY140" i="1"/>
  <c r="BX140" i="1"/>
  <c r="BW140" i="1"/>
  <c r="BV140" i="1"/>
  <c r="DB139" i="1"/>
  <c r="CY139" i="1"/>
  <c r="CX139" i="1"/>
  <c r="CV139" i="1"/>
  <c r="CF139" i="1"/>
  <c r="CD139" i="1"/>
  <c r="CC139" i="1"/>
  <c r="CB139" i="1"/>
  <c r="CA139" i="1"/>
  <c r="BY139" i="1"/>
  <c r="BX139" i="1"/>
  <c r="BW139" i="1"/>
  <c r="BV139" i="1"/>
  <c r="DB138" i="1"/>
  <c r="CY138" i="1"/>
  <c r="CX138" i="1"/>
  <c r="CV138" i="1"/>
  <c r="CF138" i="1"/>
  <c r="CD138" i="1"/>
  <c r="CC138" i="1"/>
  <c r="CB138" i="1"/>
  <c r="CA138" i="1"/>
  <c r="BY138" i="1"/>
  <c r="BX138" i="1"/>
  <c r="BW138" i="1"/>
  <c r="BV138" i="1"/>
  <c r="DB137" i="1"/>
  <c r="CY137" i="1"/>
  <c r="CX137" i="1"/>
  <c r="CV137" i="1"/>
  <c r="CF137" i="1"/>
  <c r="CD137" i="1"/>
  <c r="CC137" i="1"/>
  <c r="CB137" i="1"/>
  <c r="CA137" i="1"/>
  <c r="BY137" i="1"/>
  <c r="BX137" i="1"/>
  <c r="BW137" i="1"/>
  <c r="BV137" i="1"/>
  <c r="DB136" i="1"/>
  <c r="CY136" i="1"/>
  <c r="CX136" i="1"/>
  <c r="CV136" i="1"/>
  <c r="CF136" i="1"/>
  <c r="CD136" i="1"/>
  <c r="CC136" i="1"/>
  <c r="CB136" i="1"/>
  <c r="CA136" i="1"/>
  <c r="BY136" i="1"/>
  <c r="BX136" i="1"/>
  <c r="BW136" i="1"/>
  <c r="BV136" i="1"/>
  <c r="DB135" i="1"/>
  <c r="CY135" i="1"/>
  <c r="CX135" i="1"/>
  <c r="CV135" i="1"/>
  <c r="CF135" i="1"/>
  <c r="CD135" i="1"/>
  <c r="CC135" i="1"/>
  <c r="CB135" i="1"/>
  <c r="CA135" i="1"/>
  <c r="BY135" i="1"/>
  <c r="BX135" i="1"/>
  <c r="BW135" i="1"/>
  <c r="BV135" i="1"/>
  <c r="DB134" i="1"/>
  <c r="CY134" i="1"/>
  <c r="CX134" i="1"/>
  <c r="CV134" i="1"/>
  <c r="CF134" i="1"/>
  <c r="CD134" i="1"/>
  <c r="CC134" i="1"/>
  <c r="CB134" i="1"/>
  <c r="CA134" i="1"/>
  <c r="BY134" i="1"/>
  <c r="BX134" i="1"/>
  <c r="BW134" i="1"/>
  <c r="BV134" i="1"/>
  <c r="DB133" i="1"/>
  <c r="CY133" i="1"/>
  <c r="CX133" i="1"/>
  <c r="CV133" i="1"/>
  <c r="CF133" i="1"/>
  <c r="CD133" i="1"/>
  <c r="CC133" i="1"/>
  <c r="CB133" i="1"/>
  <c r="CA133" i="1"/>
  <c r="BY133" i="1"/>
  <c r="BX133" i="1"/>
  <c r="BW133" i="1"/>
  <c r="BV133" i="1"/>
  <c r="DB132" i="1"/>
  <c r="CY132" i="1"/>
  <c r="CX132" i="1"/>
  <c r="CV132" i="1"/>
  <c r="CF132" i="1"/>
  <c r="CD132" i="1"/>
  <c r="CC132" i="1"/>
  <c r="CB132" i="1"/>
  <c r="CA132" i="1"/>
  <c r="BY132" i="1"/>
  <c r="BX132" i="1"/>
  <c r="BW132" i="1"/>
  <c r="BV132" i="1"/>
  <c r="DB131" i="1"/>
  <c r="CY131" i="1"/>
  <c r="CX131" i="1"/>
  <c r="CV131" i="1"/>
  <c r="CF131" i="1"/>
  <c r="CD131" i="1"/>
  <c r="CC131" i="1"/>
  <c r="CB131" i="1"/>
  <c r="CA131" i="1"/>
  <c r="BY131" i="1"/>
  <c r="BX131" i="1"/>
  <c r="BW131" i="1"/>
  <c r="BV131" i="1"/>
  <c r="DB130" i="1"/>
  <c r="CY130" i="1"/>
  <c r="CX130" i="1"/>
  <c r="CV130" i="1"/>
  <c r="CF130" i="1"/>
  <c r="CD130" i="1"/>
  <c r="CC130" i="1"/>
  <c r="CB130" i="1"/>
  <c r="CA130" i="1"/>
  <c r="BY130" i="1"/>
  <c r="BX130" i="1"/>
  <c r="BW130" i="1"/>
  <c r="BV130" i="1"/>
  <c r="DB129" i="1"/>
  <c r="CY129" i="1"/>
  <c r="CX129" i="1"/>
  <c r="CV129" i="1"/>
  <c r="CF129" i="1"/>
  <c r="CD129" i="1"/>
  <c r="CC129" i="1"/>
  <c r="CB129" i="1"/>
  <c r="CA129" i="1"/>
  <c r="BY129" i="1"/>
  <c r="BX129" i="1"/>
  <c r="BW129" i="1"/>
  <c r="BV129" i="1"/>
  <c r="DB128" i="1"/>
  <c r="CY128" i="1"/>
  <c r="CX128" i="1"/>
  <c r="CV128" i="1"/>
  <c r="CF128" i="1"/>
  <c r="CD128" i="1"/>
  <c r="CC128" i="1"/>
  <c r="CB128" i="1"/>
  <c r="CA128" i="1"/>
  <c r="BY128" i="1"/>
  <c r="BX128" i="1"/>
  <c r="BW128" i="1"/>
  <c r="BV128" i="1"/>
  <c r="DB127" i="1"/>
  <c r="CY127" i="1"/>
  <c r="CX127" i="1"/>
  <c r="CV127" i="1"/>
  <c r="CF127" i="1"/>
  <c r="CD127" i="1"/>
  <c r="CC127" i="1"/>
  <c r="CB127" i="1"/>
  <c r="CA127" i="1"/>
  <c r="BY127" i="1"/>
  <c r="BX127" i="1"/>
  <c r="BW127" i="1"/>
  <c r="BV127" i="1"/>
  <c r="DB126" i="1"/>
  <c r="CY126" i="1"/>
  <c r="CX126" i="1"/>
  <c r="CV126" i="1"/>
  <c r="CF126" i="1"/>
  <c r="CD126" i="1"/>
  <c r="CC126" i="1"/>
  <c r="CB126" i="1"/>
  <c r="CA126" i="1"/>
  <c r="BY126" i="1"/>
  <c r="BX126" i="1"/>
  <c r="BW126" i="1"/>
  <c r="BV126" i="1"/>
  <c r="DB125" i="1"/>
  <c r="CY125" i="1"/>
  <c r="CX125" i="1"/>
  <c r="CV125" i="1"/>
  <c r="CF125" i="1"/>
  <c r="CD125" i="1"/>
  <c r="CC125" i="1"/>
  <c r="CB125" i="1"/>
  <c r="CA125" i="1"/>
  <c r="BY125" i="1"/>
  <c r="BX125" i="1"/>
  <c r="BW125" i="1"/>
  <c r="BV125" i="1"/>
  <c r="DB124" i="1"/>
  <c r="CY124" i="1"/>
  <c r="CX124" i="1"/>
  <c r="CV124" i="1"/>
  <c r="CF124" i="1"/>
  <c r="CD124" i="1"/>
  <c r="CC124" i="1"/>
  <c r="CB124" i="1"/>
  <c r="CA124" i="1"/>
  <c r="BY124" i="1"/>
  <c r="BX124" i="1"/>
  <c r="BW124" i="1"/>
  <c r="BV124" i="1"/>
  <c r="DB123" i="1"/>
  <c r="CY123" i="1"/>
  <c r="CX123" i="1"/>
  <c r="CV123" i="1"/>
  <c r="CF123" i="1"/>
  <c r="CD123" i="1"/>
  <c r="CC123" i="1"/>
  <c r="CB123" i="1"/>
  <c r="CA123" i="1"/>
  <c r="BY123" i="1"/>
  <c r="BX123" i="1"/>
  <c r="BW123" i="1"/>
  <c r="BV123" i="1"/>
  <c r="DB122" i="1"/>
  <c r="CY122" i="1"/>
  <c r="CX122" i="1"/>
  <c r="CV122" i="1"/>
  <c r="CF122" i="1"/>
  <c r="CD122" i="1"/>
  <c r="CC122" i="1"/>
  <c r="CB122" i="1"/>
  <c r="CA122" i="1"/>
  <c r="BY122" i="1"/>
  <c r="BX122" i="1"/>
  <c r="BW122" i="1"/>
  <c r="BV122" i="1"/>
  <c r="DB121" i="1"/>
  <c r="CY121" i="1"/>
  <c r="CX121" i="1"/>
  <c r="CV121" i="1"/>
  <c r="CF121" i="1"/>
  <c r="CD121" i="1"/>
  <c r="CC121" i="1"/>
  <c r="CB121" i="1"/>
  <c r="CA121" i="1"/>
  <c r="BY121" i="1"/>
  <c r="BX121" i="1"/>
  <c r="BW121" i="1"/>
  <c r="BV121" i="1"/>
  <c r="DB120" i="1"/>
  <c r="CY120" i="1"/>
  <c r="CX120" i="1"/>
  <c r="CV120" i="1"/>
  <c r="CF120" i="1"/>
  <c r="CD120" i="1"/>
  <c r="CC120" i="1"/>
  <c r="CB120" i="1"/>
  <c r="CA120" i="1"/>
  <c r="BY120" i="1"/>
  <c r="BX120" i="1"/>
  <c r="BW120" i="1"/>
  <c r="BV120" i="1"/>
  <c r="DB119" i="1"/>
  <c r="CY119" i="1"/>
  <c r="CX119" i="1"/>
  <c r="CV119" i="1"/>
  <c r="CF119" i="1"/>
  <c r="CD119" i="1"/>
  <c r="CC119" i="1"/>
  <c r="CB119" i="1"/>
  <c r="CA119" i="1"/>
  <c r="BY119" i="1"/>
  <c r="BX119" i="1"/>
  <c r="BW119" i="1"/>
  <c r="BV119" i="1"/>
  <c r="DB118" i="1"/>
  <c r="CY118" i="1"/>
  <c r="CX118" i="1"/>
  <c r="CV118" i="1"/>
  <c r="CF118" i="1"/>
  <c r="CD118" i="1"/>
  <c r="CC118" i="1"/>
  <c r="CB118" i="1"/>
  <c r="CA118" i="1"/>
  <c r="BY118" i="1"/>
  <c r="BX118" i="1"/>
  <c r="BW118" i="1"/>
  <c r="BV118" i="1"/>
  <c r="DB117" i="1"/>
  <c r="CY117" i="1"/>
  <c r="CX117" i="1"/>
  <c r="CV117" i="1"/>
  <c r="CF117" i="1"/>
  <c r="CD117" i="1"/>
  <c r="CC117" i="1"/>
  <c r="CB117" i="1"/>
  <c r="CA117" i="1"/>
  <c r="BY117" i="1"/>
  <c r="BX117" i="1"/>
  <c r="BW117" i="1"/>
  <c r="BV117" i="1"/>
  <c r="DB116" i="1"/>
  <c r="CY116" i="1"/>
  <c r="CX116" i="1"/>
  <c r="CV116" i="1"/>
  <c r="CF116" i="1"/>
  <c r="CD116" i="1"/>
  <c r="CC116" i="1"/>
  <c r="CB116" i="1"/>
  <c r="CA116" i="1"/>
  <c r="BY116" i="1"/>
  <c r="BX116" i="1"/>
  <c r="BW116" i="1"/>
  <c r="BV116" i="1"/>
  <c r="DB115" i="1"/>
  <c r="CY115" i="1"/>
  <c r="CX115" i="1"/>
  <c r="CV115" i="1"/>
  <c r="CF115" i="1"/>
  <c r="CD115" i="1"/>
  <c r="CC115" i="1"/>
  <c r="CB115" i="1"/>
  <c r="CA115" i="1"/>
  <c r="BY115" i="1"/>
  <c r="BX115" i="1"/>
  <c r="BW115" i="1"/>
  <c r="BV115" i="1"/>
  <c r="DB114" i="1"/>
  <c r="CY114" i="1"/>
  <c r="CX114" i="1"/>
  <c r="CV114" i="1"/>
  <c r="CF114" i="1"/>
  <c r="CD114" i="1"/>
  <c r="CC114" i="1"/>
  <c r="CB114" i="1"/>
  <c r="CA114" i="1"/>
  <c r="BY114" i="1"/>
  <c r="BX114" i="1"/>
  <c r="BW114" i="1"/>
  <c r="BV114" i="1"/>
  <c r="DB113" i="1"/>
  <c r="CY113" i="1"/>
  <c r="CX113" i="1"/>
  <c r="CV113" i="1"/>
  <c r="CF113" i="1"/>
  <c r="CD113" i="1"/>
  <c r="CC113" i="1"/>
  <c r="CB113" i="1"/>
  <c r="CA113" i="1"/>
  <c r="BY113" i="1"/>
  <c r="BX113" i="1"/>
  <c r="BW113" i="1"/>
  <c r="BV113" i="1"/>
  <c r="DB112" i="1"/>
  <c r="CY112" i="1"/>
  <c r="CX112" i="1"/>
  <c r="CV112" i="1"/>
  <c r="CF112" i="1"/>
  <c r="CD112" i="1"/>
  <c r="CC112" i="1"/>
  <c r="CB112" i="1"/>
  <c r="CA112" i="1"/>
  <c r="BY112" i="1"/>
  <c r="BX112" i="1"/>
  <c r="BW112" i="1"/>
  <c r="BV112" i="1"/>
  <c r="DB111" i="1"/>
  <c r="CY111" i="1"/>
  <c r="CX111" i="1"/>
  <c r="CV111" i="1"/>
  <c r="CF111" i="1"/>
  <c r="CD111" i="1"/>
  <c r="CC111" i="1"/>
  <c r="CB111" i="1"/>
  <c r="CA111" i="1"/>
  <c r="BY111" i="1"/>
  <c r="BX111" i="1"/>
  <c r="BW111" i="1"/>
  <c r="BV111" i="1"/>
  <c r="DB110" i="1"/>
  <c r="CY110" i="1"/>
  <c r="CX110" i="1"/>
  <c r="CV110" i="1"/>
  <c r="CF110" i="1"/>
  <c r="CD110" i="1"/>
  <c r="CC110" i="1"/>
  <c r="CB110" i="1"/>
  <c r="CA110" i="1"/>
  <c r="BY110" i="1"/>
  <c r="BX110" i="1"/>
  <c r="BW110" i="1"/>
  <c r="BV110" i="1"/>
  <c r="DB109" i="1"/>
  <c r="CY109" i="1"/>
  <c r="CX109" i="1"/>
  <c r="CV109" i="1"/>
  <c r="CF109" i="1"/>
  <c r="CD109" i="1"/>
  <c r="CC109" i="1"/>
  <c r="CB109" i="1"/>
  <c r="CA109" i="1"/>
  <c r="BY109" i="1"/>
  <c r="BX109" i="1"/>
  <c r="BW109" i="1"/>
  <c r="BV109" i="1"/>
  <c r="DB108" i="1"/>
  <c r="CY108" i="1"/>
  <c r="CX108" i="1"/>
  <c r="CV108" i="1"/>
  <c r="CF108" i="1"/>
  <c r="CD108" i="1"/>
  <c r="CC108" i="1"/>
  <c r="CB108" i="1"/>
  <c r="CA108" i="1"/>
  <c r="BY108" i="1"/>
  <c r="BX108" i="1"/>
  <c r="BW108" i="1"/>
  <c r="BV108" i="1"/>
  <c r="DB107" i="1"/>
  <c r="CY107" i="1"/>
  <c r="CX107" i="1"/>
  <c r="CV107" i="1"/>
  <c r="CF107" i="1"/>
  <c r="CD107" i="1"/>
  <c r="CC107" i="1"/>
  <c r="CB107" i="1"/>
  <c r="CA107" i="1"/>
  <c r="BY107" i="1"/>
  <c r="BX107" i="1"/>
  <c r="BW107" i="1"/>
  <c r="BV107" i="1"/>
  <c r="DB106" i="1"/>
  <c r="CY106" i="1"/>
  <c r="CX106" i="1"/>
  <c r="CV106" i="1"/>
  <c r="CF106" i="1"/>
  <c r="CD106" i="1"/>
  <c r="CC106" i="1"/>
  <c r="CB106" i="1"/>
  <c r="CA106" i="1"/>
  <c r="BY106" i="1"/>
  <c r="BX106" i="1"/>
  <c r="BW106" i="1"/>
  <c r="BV106" i="1"/>
  <c r="DB105" i="1"/>
  <c r="CY105" i="1"/>
  <c r="CX105" i="1"/>
  <c r="CV105" i="1"/>
  <c r="CF105" i="1"/>
  <c r="CD105" i="1"/>
  <c r="CC105" i="1"/>
  <c r="CB105" i="1"/>
  <c r="CA105" i="1"/>
  <c r="BY105" i="1"/>
  <c r="BX105" i="1"/>
  <c r="BW105" i="1"/>
  <c r="BV105" i="1"/>
  <c r="DB104" i="1"/>
  <c r="CY104" i="1"/>
  <c r="CX104" i="1"/>
  <c r="CV104" i="1"/>
  <c r="CF104" i="1"/>
  <c r="CD104" i="1"/>
  <c r="CC104" i="1"/>
  <c r="CB104" i="1"/>
  <c r="CA104" i="1"/>
  <c r="BY104" i="1"/>
  <c r="BX104" i="1"/>
  <c r="BW104" i="1"/>
  <c r="BV104" i="1"/>
  <c r="DB103" i="1"/>
  <c r="CY103" i="1"/>
  <c r="CX103" i="1"/>
  <c r="CV103" i="1"/>
  <c r="CF103" i="1"/>
  <c r="CD103" i="1"/>
  <c r="CC103" i="1"/>
  <c r="CB103" i="1"/>
  <c r="CA103" i="1"/>
  <c r="BY103" i="1"/>
  <c r="BX103" i="1"/>
  <c r="BW103" i="1"/>
  <c r="BV103" i="1"/>
  <c r="DB102" i="1"/>
  <c r="CY102" i="1"/>
  <c r="CX102" i="1"/>
  <c r="CV102" i="1"/>
  <c r="CF102" i="1"/>
  <c r="CD102" i="1"/>
  <c r="CC102" i="1"/>
  <c r="CB102" i="1"/>
  <c r="CA102" i="1"/>
  <c r="BY102" i="1"/>
  <c r="BX102" i="1"/>
  <c r="BW102" i="1"/>
  <c r="BV102" i="1"/>
  <c r="DB101" i="1"/>
  <c r="CY101" i="1"/>
  <c r="CX101" i="1"/>
  <c r="CV101" i="1"/>
  <c r="CF101" i="1"/>
  <c r="CD101" i="1"/>
  <c r="CC101" i="1"/>
  <c r="CB101" i="1"/>
  <c r="CA101" i="1"/>
  <c r="BY101" i="1"/>
  <c r="BX101" i="1"/>
  <c r="BW101" i="1"/>
  <c r="BV101" i="1"/>
  <c r="DB100" i="1"/>
  <c r="CY100" i="1"/>
  <c r="CX100" i="1"/>
  <c r="CV100" i="1"/>
  <c r="CF100" i="1"/>
  <c r="CD100" i="1"/>
  <c r="CC100" i="1"/>
  <c r="CB100" i="1"/>
  <c r="CA100" i="1"/>
  <c r="BY100" i="1"/>
  <c r="BX100" i="1"/>
  <c r="BW100" i="1"/>
  <c r="BV100" i="1"/>
  <c r="DB99" i="1"/>
  <c r="CY99" i="1"/>
  <c r="CX99" i="1"/>
  <c r="CV99" i="1"/>
  <c r="CF99" i="1"/>
  <c r="CD99" i="1"/>
  <c r="CC99" i="1"/>
  <c r="CB99" i="1"/>
  <c r="CA99" i="1"/>
  <c r="BY99" i="1"/>
  <c r="BX99" i="1"/>
  <c r="BW99" i="1"/>
  <c r="BV99" i="1"/>
  <c r="DB98" i="1"/>
  <c r="CY98" i="1"/>
  <c r="CX98" i="1"/>
  <c r="CV98" i="1"/>
  <c r="CF98" i="1"/>
  <c r="CD98" i="1"/>
  <c r="CC98" i="1"/>
  <c r="CB98" i="1"/>
  <c r="CA98" i="1"/>
  <c r="BY98" i="1"/>
  <c r="BX98" i="1"/>
  <c r="BW98" i="1"/>
  <c r="BV98" i="1"/>
  <c r="DB97" i="1"/>
  <c r="CY97" i="1"/>
  <c r="CX97" i="1"/>
  <c r="CV97" i="1"/>
  <c r="CF97" i="1"/>
  <c r="CD97" i="1"/>
  <c r="CC97" i="1"/>
  <c r="CB97" i="1"/>
  <c r="CA97" i="1"/>
  <c r="BY97" i="1"/>
  <c r="BX97" i="1"/>
  <c r="BW97" i="1"/>
  <c r="BV97" i="1"/>
  <c r="DB96" i="1"/>
  <c r="CY96" i="1"/>
  <c r="CX96" i="1"/>
  <c r="CV96" i="1"/>
  <c r="CF96" i="1"/>
  <c r="CD96" i="1"/>
  <c r="CC96" i="1"/>
  <c r="CB96" i="1"/>
  <c r="CA96" i="1"/>
  <c r="BY96" i="1"/>
  <c r="BX96" i="1"/>
  <c r="BW96" i="1"/>
  <c r="BV96" i="1"/>
  <c r="DB95" i="1"/>
  <c r="CY95" i="1"/>
  <c r="CX95" i="1"/>
  <c r="CV95" i="1"/>
  <c r="CF95" i="1"/>
  <c r="CD95" i="1"/>
  <c r="CC95" i="1"/>
  <c r="CB95" i="1"/>
  <c r="CA95" i="1"/>
  <c r="BY95" i="1"/>
  <c r="BX95" i="1"/>
  <c r="BW95" i="1"/>
  <c r="BV95" i="1"/>
  <c r="DB94" i="1"/>
  <c r="CY94" i="1"/>
  <c r="CX94" i="1"/>
  <c r="CV94" i="1"/>
  <c r="CF94" i="1"/>
  <c r="CD94" i="1"/>
  <c r="CC94" i="1"/>
  <c r="CB94" i="1"/>
  <c r="CA94" i="1"/>
  <c r="BY94" i="1"/>
  <c r="BX94" i="1"/>
  <c r="BW94" i="1"/>
  <c r="BV94" i="1"/>
  <c r="DB93" i="1"/>
  <c r="CY93" i="1"/>
  <c r="CX93" i="1"/>
  <c r="CV93" i="1"/>
  <c r="CF93" i="1"/>
  <c r="CD93" i="1"/>
  <c r="CC93" i="1"/>
  <c r="CB93" i="1"/>
  <c r="CA93" i="1"/>
  <c r="BY93" i="1"/>
  <c r="BX93" i="1"/>
  <c r="BW93" i="1"/>
  <c r="BV93" i="1"/>
  <c r="DB92" i="1"/>
  <c r="CY92" i="1"/>
  <c r="CX92" i="1"/>
  <c r="CV92" i="1"/>
  <c r="CF92" i="1"/>
  <c r="CD92" i="1"/>
  <c r="CC92" i="1"/>
  <c r="CB92" i="1"/>
  <c r="CA92" i="1"/>
  <c r="BY92" i="1"/>
  <c r="BX92" i="1"/>
  <c r="BW92" i="1"/>
  <c r="BV92" i="1"/>
  <c r="DB91" i="1"/>
  <c r="CY91" i="1"/>
  <c r="CX91" i="1"/>
  <c r="CV91" i="1"/>
  <c r="CF91" i="1"/>
  <c r="CD91" i="1"/>
  <c r="CC91" i="1"/>
  <c r="CB91" i="1"/>
  <c r="CA91" i="1"/>
  <c r="BY91" i="1"/>
  <c r="BX91" i="1"/>
  <c r="BW91" i="1"/>
  <c r="BV91" i="1"/>
  <c r="DB90" i="1"/>
  <c r="CY90" i="1"/>
  <c r="CX90" i="1"/>
  <c r="CV90" i="1"/>
  <c r="CF90" i="1"/>
  <c r="CD90" i="1"/>
  <c r="CC90" i="1"/>
  <c r="CB90" i="1"/>
  <c r="CA90" i="1"/>
  <c r="BY90" i="1"/>
  <c r="BX90" i="1"/>
  <c r="BW90" i="1"/>
  <c r="BV90" i="1"/>
  <c r="DB89" i="1"/>
  <c r="CY89" i="1"/>
  <c r="CX89" i="1"/>
  <c r="CV89" i="1"/>
  <c r="CF89" i="1"/>
  <c r="CD89" i="1"/>
  <c r="CC89" i="1"/>
  <c r="CB89" i="1"/>
  <c r="CA89" i="1"/>
  <c r="BY89" i="1"/>
  <c r="BX89" i="1"/>
  <c r="BW89" i="1"/>
  <c r="BV89" i="1"/>
  <c r="DB88" i="1"/>
  <c r="CY88" i="1"/>
  <c r="CX88" i="1"/>
  <c r="CV88" i="1"/>
  <c r="CF88" i="1"/>
  <c r="CD88" i="1"/>
  <c r="CC88" i="1"/>
  <c r="CB88" i="1"/>
  <c r="CA88" i="1"/>
  <c r="BY88" i="1"/>
  <c r="BX88" i="1"/>
  <c r="BW88" i="1"/>
  <c r="BV88" i="1"/>
  <c r="DB87" i="1"/>
  <c r="CY87" i="1"/>
  <c r="CX87" i="1"/>
  <c r="CV87" i="1"/>
  <c r="CF87" i="1"/>
  <c r="CD87" i="1"/>
  <c r="CC87" i="1"/>
  <c r="CB87" i="1"/>
  <c r="CA87" i="1"/>
  <c r="BY87" i="1"/>
  <c r="BX87" i="1"/>
  <c r="BW87" i="1"/>
  <c r="BV87" i="1"/>
  <c r="DB86" i="1"/>
  <c r="CY86" i="1"/>
  <c r="CX86" i="1"/>
  <c r="CV86" i="1"/>
  <c r="CF86" i="1"/>
  <c r="CD86" i="1"/>
  <c r="CC86" i="1"/>
  <c r="CB86" i="1"/>
  <c r="CA86" i="1"/>
  <c r="BY86" i="1"/>
  <c r="BX86" i="1"/>
  <c r="BW86" i="1"/>
  <c r="BV86" i="1"/>
  <c r="DB85" i="1"/>
  <c r="CY85" i="1"/>
  <c r="CX85" i="1"/>
  <c r="CV85" i="1"/>
  <c r="CF85" i="1"/>
  <c r="CD85" i="1"/>
  <c r="CC85" i="1"/>
  <c r="CB85" i="1"/>
  <c r="CA85" i="1"/>
  <c r="BY85" i="1"/>
  <c r="BX85" i="1"/>
  <c r="BW85" i="1"/>
  <c r="BV85" i="1"/>
  <c r="DB84" i="1"/>
  <c r="CY84" i="1"/>
  <c r="CX84" i="1"/>
  <c r="CV84" i="1"/>
  <c r="CF84" i="1"/>
  <c r="CD84" i="1"/>
  <c r="CC84" i="1"/>
  <c r="CB84" i="1"/>
  <c r="CA84" i="1"/>
  <c r="BY84" i="1"/>
  <c r="BX84" i="1"/>
  <c r="BW84" i="1"/>
  <c r="BV84" i="1"/>
  <c r="DB83" i="1"/>
  <c r="CY83" i="1"/>
  <c r="CX83" i="1"/>
  <c r="CV83" i="1"/>
  <c r="CF83" i="1"/>
  <c r="CD83" i="1"/>
  <c r="CC83" i="1"/>
  <c r="CB83" i="1"/>
  <c r="CA83" i="1"/>
  <c r="BY83" i="1"/>
  <c r="BX83" i="1"/>
  <c r="BW83" i="1"/>
  <c r="BV83" i="1"/>
  <c r="DB82" i="1"/>
  <c r="CY82" i="1"/>
  <c r="CX82" i="1"/>
  <c r="CV82" i="1"/>
  <c r="CF82" i="1"/>
  <c r="CD82" i="1"/>
  <c r="CC82" i="1"/>
  <c r="CB82" i="1"/>
  <c r="CA82" i="1"/>
  <c r="BY82" i="1"/>
  <c r="BX82" i="1"/>
  <c r="BW82" i="1"/>
  <c r="BV82" i="1"/>
  <c r="DB81" i="1"/>
  <c r="CY81" i="1"/>
  <c r="CX81" i="1"/>
  <c r="CV81" i="1"/>
  <c r="CF81" i="1"/>
  <c r="CD81" i="1"/>
  <c r="CC81" i="1"/>
  <c r="CB81" i="1"/>
  <c r="CA81" i="1"/>
  <c r="BY81" i="1"/>
  <c r="BX81" i="1"/>
  <c r="BW81" i="1"/>
  <c r="BV81" i="1"/>
  <c r="DB80" i="1"/>
  <c r="CY80" i="1"/>
  <c r="CX80" i="1"/>
  <c r="CV80" i="1"/>
  <c r="CF80" i="1"/>
  <c r="CD80" i="1"/>
  <c r="CC80" i="1"/>
  <c r="CB80" i="1"/>
  <c r="CA80" i="1"/>
  <c r="BY80" i="1"/>
  <c r="BX80" i="1"/>
  <c r="BW80" i="1"/>
  <c r="BV80" i="1"/>
  <c r="DB79" i="1"/>
  <c r="CY79" i="1"/>
  <c r="CX79" i="1"/>
  <c r="CV79" i="1"/>
  <c r="CF79" i="1"/>
  <c r="CD79" i="1"/>
  <c r="CC79" i="1"/>
  <c r="CB79" i="1"/>
  <c r="CA79" i="1"/>
  <c r="BY79" i="1"/>
  <c r="BX79" i="1"/>
  <c r="BW79" i="1"/>
  <c r="BV79" i="1"/>
  <c r="DB78" i="1"/>
  <c r="CY78" i="1"/>
  <c r="CX78" i="1"/>
  <c r="CV78" i="1"/>
  <c r="CF78" i="1"/>
  <c r="CD78" i="1"/>
  <c r="CC78" i="1"/>
  <c r="CB78" i="1"/>
  <c r="CA78" i="1"/>
  <c r="BY78" i="1"/>
  <c r="BX78" i="1"/>
  <c r="BW78" i="1"/>
  <c r="BV78" i="1"/>
  <c r="DB77" i="1"/>
  <c r="CY77" i="1"/>
  <c r="CX77" i="1"/>
  <c r="CV77" i="1"/>
  <c r="CF77" i="1"/>
  <c r="CD77" i="1"/>
  <c r="CC77" i="1"/>
  <c r="CB77" i="1"/>
  <c r="CA77" i="1"/>
  <c r="BY77" i="1"/>
  <c r="BX77" i="1"/>
  <c r="BW77" i="1"/>
  <c r="BV77" i="1"/>
  <c r="DB76" i="1"/>
  <c r="CY76" i="1"/>
  <c r="CX76" i="1"/>
  <c r="CV76" i="1"/>
  <c r="CF76" i="1"/>
  <c r="CD76" i="1"/>
  <c r="CC76" i="1"/>
  <c r="CB76" i="1"/>
  <c r="CA76" i="1"/>
  <c r="BY76" i="1"/>
  <c r="BX76" i="1"/>
  <c r="BW76" i="1"/>
  <c r="BV76" i="1"/>
  <c r="DB75" i="1"/>
  <c r="CY75" i="1"/>
  <c r="CX75" i="1"/>
  <c r="CV75" i="1"/>
  <c r="CF75" i="1"/>
  <c r="CD75" i="1"/>
  <c r="CC75" i="1"/>
  <c r="CB75" i="1"/>
  <c r="CA75" i="1"/>
  <c r="BY75" i="1"/>
  <c r="BX75" i="1"/>
  <c r="BW75" i="1"/>
  <c r="BV75" i="1"/>
  <c r="DB74" i="1"/>
  <c r="CY74" i="1"/>
  <c r="CX74" i="1"/>
  <c r="CV74" i="1"/>
  <c r="CF74" i="1"/>
  <c r="CD74" i="1"/>
  <c r="CC74" i="1"/>
  <c r="CB74" i="1"/>
  <c r="CA74" i="1"/>
  <c r="BY74" i="1"/>
  <c r="BX74" i="1"/>
  <c r="BW74" i="1"/>
  <c r="BV74" i="1"/>
  <c r="DB73" i="1"/>
  <c r="CY73" i="1"/>
  <c r="CX73" i="1"/>
  <c r="CV73" i="1"/>
  <c r="CF73" i="1"/>
  <c r="CD73" i="1"/>
  <c r="CC73" i="1"/>
  <c r="CB73" i="1"/>
  <c r="CA73" i="1"/>
  <c r="BY73" i="1"/>
  <c r="BX73" i="1"/>
  <c r="BW73" i="1"/>
  <c r="BV73" i="1"/>
  <c r="DB72" i="1"/>
  <c r="CY72" i="1"/>
  <c r="CX72" i="1"/>
  <c r="CV72" i="1"/>
  <c r="CF72" i="1"/>
  <c r="CD72" i="1"/>
  <c r="CC72" i="1"/>
  <c r="CB72" i="1"/>
  <c r="CA72" i="1"/>
  <c r="BY72" i="1"/>
  <c r="BX72" i="1"/>
  <c r="BW72" i="1"/>
  <c r="BV72" i="1"/>
  <c r="DB71" i="1"/>
  <c r="CY71" i="1"/>
  <c r="CX71" i="1"/>
  <c r="CV71" i="1"/>
  <c r="CF71" i="1"/>
  <c r="CD71" i="1"/>
  <c r="CC71" i="1"/>
  <c r="CB71" i="1"/>
  <c r="CA71" i="1"/>
  <c r="BY71" i="1"/>
  <c r="BX71" i="1"/>
  <c r="BW71" i="1"/>
  <c r="BV71" i="1"/>
  <c r="DB70" i="1"/>
  <c r="CY70" i="1"/>
  <c r="CX70" i="1"/>
  <c r="CV70" i="1"/>
  <c r="CF70" i="1"/>
  <c r="CD70" i="1"/>
  <c r="CC70" i="1"/>
  <c r="CB70" i="1"/>
  <c r="CA70" i="1"/>
  <c r="BY70" i="1"/>
  <c r="BX70" i="1"/>
  <c r="BW70" i="1"/>
  <c r="BV70" i="1"/>
  <c r="DB69" i="1"/>
  <c r="CY69" i="1"/>
  <c r="CX69" i="1"/>
  <c r="CV69" i="1"/>
  <c r="CF69" i="1"/>
  <c r="CD69" i="1"/>
  <c r="CC69" i="1"/>
  <c r="CB69" i="1"/>
  <c r="CA69" i="1"/>
  <c r="BY69" i="1"/>
  <c r="BX69" i="1"/>
  <c r="BW69" i="1"/>
  <c r="BV69" i="1"/>
  <c r="DB68" i="1"/>
  <c r="CY68" i="1"/>
  <c r="CX68" i="1"/>
  <c r="CV68" i="1"/>
  <c r="CF68" i="1"/>
  <c r="CD68" i="1"/>
  <c r="CC68" i="1"/>
  <c r="CB68" i="1"/>
  <c r="CA68" i="1"/>
  <c r="BY68" i="1"/>
  <c r="BX68" i="1"/>
  <c r="BW68" i="1"/>
  <c r="BV68" i="1"/>
  <c r="DB67" i="1"/>
  <c r="CY67" i="1"/>
  <c r="CX67" i="1"/>
  <c r="CV67" i="1"/>
  <c r="CF67" i="1"/>
  <c r="CD67" i="1"/>
  <c r="CC67" i="1"/>
  <c r="CB67" i="1"/>
  <c r="CA67" i="1"/>
  <c r="BY67" i="1"/>
  <c r="BX67" i="1"/>
  <c r="BW67" i="1"/>
  <c r="BV67" i="1"/>
  <c r="DB66" i="1"/>
  <c r="CY66" i="1"/>
  <c r="CX66" i="1"/>
  <c r="CV66" i="1"/>
  <c r="CF66" i="1"/>
  <c r="CD66" i="1"/>
  <c r="CC66" i="1"/>
  <c r="CB66" i="1"/>
  <c r="CA66" i="1"/>
  <c r="BY66" i="1"/>
  <c r="BX66" i="1"/>
  <c r="BW66" i="1"/>
  <c r="BV66" i="1"/>
  <c r="DB65" i="1"/>
  <c r="CY65" i="1"/>
  <c r="CX65" i="1"/>
  <c r="CV65" i="1"/>
  <c r="CF65" i="1"/>
  <c r="CD65" i="1"/>
  <c r="CC65" i="1"/>
  <c r="CB65" i="1"/>
  <c r="CA65" i="1"/>
  <c r="BY65" i="1"/>
  <c r="BX65" i="1"/>
  <c r="BW65" i="1"/>
  <c r="BV65" i="1"/>
  <c r="DB64" i="1"/>
  <c r="CY64" i="1"/>
  <c r="CX64" i="1"/>
  <c r="CV64" i="1"/>
  <c r="CF64" i="1"/>
  <c r="CD64" i="1"/>
  <c r="CC64" i="1"/>
  <c r="CB64" i="1"/>
  <c r="CA64" i="1"/>
  <c r="BY64" i="1"/>
  <c r="BX64" i="1"/>
  <c r="BW64" i="1"/>
  <c r="BV64" i="1"/>
  <c r="DB63" i="1"/>
  <c r="CY63" i="1"/>
  <c r="CX63" i="1"/>
  <c r="CV63" i="1"/>
  <c r="CF63" i="1"/>
  <c r="CD63" i="1"/>
  <c r="CC63" i="1"/>
  <c r="CB63" i="1"/>
  <c r="CA63" i="1"/>
  <c r="BY63" i="1"/>
  <c r="BX63" i="1"/>
  <c r="BW63" i="1"/>
  <c r="BV63" i="1"/>
  <c r="DB62" i="1"/>
  <c r="CY62" i="1"/>
  <c r="CX62" i="1"/>
  <c r="CV62" i="1"/>
  <c r="CF62" i="1"/>
  <c r="CD62" i="1"/>
  <c r="CC62" i="1"/>
  <c r="CB62" i="1"/>
  <c r="CA62" i="1"/>
  <c r="BY62" i="1"/>
  <c r="BX62" i="1"/>
  <c r="BW62" i="1"/>
  <c r="BV62" i="1"/>
  <c r="DB61" i="1"/>
  <c r="CY61" i="1"/>
  <c r="CX61" i="1"/>
  <c r="CV61" i="1"/>
  <c r="CF61" i="1"/>
  <c r="CD61" i="1"/>
  <c r="CC61" i="1"/>
  <c r="CB61" i="1"/>
  <c r="CA61" i="1"/>
  <c r="BY61" i="1"/>
  <c r="BX61" i="1"/>
  <c r="BW61" i="1"/>
  <c r="BV61" i="1"/>
  <c r="DB60" i="1"/>
  <c r="CY60" i="1"/>
  <c r="CX60" i="1"/>
  <c r="CV60" i="1"/>
  <c r="CF60" i="1"/>
  <c r="CD60" i="1"/>
  <c r="CC60" i="1"/>
  <c r="CB60" i="1"/>
  <c r="CA60" i="1"/>
  <c r="BY60" i="1"/>
  <c r="BX60" i="1"/>
  <c r="BW60" i="1"/>
  <c r="BV60" i="1"/>
  <c r="DB59" i="1"/>
  <c r="CY59" i="1"/>
  <c r="CX59" i="1"/>
  <c r="CV59" i="1"/>
  <c r="CF59" i="1"/>
  <c r="CD59" i="1"/>
  <c r="CC59" i="1"/>
  <c r="CB59" i="1"/>
  <c r="CA59" i="1"/>
  <c r="BY59" i="1"/>
  <c r="BX59" i="1"/>
  <c r="BW59" i="1"/>
  <c r="BV59" i="1"/>
  <c r="DB58" i="1"/>
  <c r="CY58" i="1"/>
  <c r="CX58" i="1"/>
  <c r="CV58" i="1"/>
  <c r="CF58" i="1"/>
  <c r="CD58" i="1"/>
  <c r="CC58" i="1"/>
  <c r="CB58" i="1"/>
  <c r="CA58" i="1"/>
  <c r="BY58" i="1"/>
  <c r="BX58" i="1"/>
  <c r="BW58" i="1"/>
  <c r="BV58" i="1"/>
  <c r="DB57" i="1"/>
  <c r="CY57" i="1"/>
  <c r="CX57" i="1"/>
  <c r="CV57" i="1"/>
  <c r="CF57" i="1"/>
  <c r="CD57" i="1"/>
  <c r="CC57" i="1"/>
  <c r="CB57" i="1"/>
  <c r="CA57" i="1"/>
  <c r="BY57" i="1"/>
  <c r="BX57" i="1"/>
  <c r="BW57" i="1"/>
  <c r="BV57" i="1"/>
  <c r="DB56" i="1"/>
  <c r="CY56" i="1"/>
  <c r="CX56" i="1"/>
  <c r="CV56" i="1"/>
  <c r="CF56" i="1"/>
  <c r="CD56" i="1"/>
  <c r="CC56" i="1"/>
  <c r="CB56" i="1"/>
  <c r="CA56" i="1"/>
  <c r="BY56" i="1"/>
  <c r="BX56" i="1"/>
  <c r="BW56" i="1"/>
  <c r="BV56" i="1"/>
  <c r="DB55" i="1"/>
  <c r="CY55" i="1"/>
  <c r="CX55" i="1"/>
  <c r="CV55" i="1"/>
  <c r="CF55" i="1"/>
  <c r="CD55" i="1"/>
  <c r="CC55" i="1"/>
  <c r="CB55" i="1"/>
  <c r="CA55" i="1"/>
  <c r="BY55" i="1"/>
  <c r="BX55" i="1"/>
  <c r="BW55" i="1"/>
  <c r="BV55" i="1"/>
  <c r="DB54" i="1"/>
  <c r="CY54" i="1"/>
  <c r="CX54" i="1"/>
  <c r="CV54" i="1"/>
  <c r="CF54" i="1"/>
  <c r="CD54" i="1"/>
  <c r="CC54" i="1"/>
  <c r="CB54" i="1"/>
  <c r="CA54" i="1"/>
  <c r="BY54" i="1"/>
  <c r="BX54" i="1"/>
  <c r="BW54" i="1"/>
  <c r="BV54" i="1"/>
  <c r="DB53" i="1"/>
  <c r="CY53" i="1"/>
  <c r="CX53" i="1"/>
  <c r="CV53" i="1"/>
  <c r="CF53" i="1"/>
  <c r="CD53" i="1"/>
  <c r="CC53" i="1"/>
  <c r="CB53" i="1"/>
  <c r="CA53" i="1"/>
  <c r="BY53" i="1"/>
  <c r="BX53" i="1"/>
  <c r="BW53" i="1"/>
  <c r="BV53" i="1"/>
  <c r="DB52" i="1"/>
  <c r="CY52" i="1"/>
  <c r="CX52" i="1"/>
  <c r="CV52" i="1"/>
  <c r="CF52" i="1"/>
  <c r="CD52" i="1"/>
  <c r="CC52" i="1"/>
  <c r="CB52" i="1"/>
  <c r="CA52" i="1"/>
  <c r="BY52" i="1"/>
  <c r="BX52" i="1"/>
  <c r="BW52" i="1"/>
  <c r="BV52" i="1"/>
  <c r="DB51" i="1"/>
  <c r="CY51" i="1"/>
  <c r="CX51" i="1"/>
  <c r="CV51" i="1"/>
  <c r="CF51" i="1"/>
  <c r="CD51" i="1"/>
  <c r="CC51" i="1"/>
  <c r="CB51" i="1"/>
  <c r="CA51" i="1"/>
  <c r="BY51" i="1"/>
  <c r="BX51" i="1"/>
  <c r="BW51" i="1"/>
  <c r="BV51" i="1"/>
  <c r="DB50" i="1"/>
  <c r="CY50" i="1"/>
  <c r="CX50" i="1"/>
  <c r="CV50" i="1"/>
  <c r="CF50" i="1"/>
  <c r="CD50" i="1"/>
  <c r="CC50" i="1"/>
  <c r="CB50" i="1"/>
  <c r="CA50" i="1"/>
  <c r="BY50" i="1"/>
  <c r="BX50" i="1"/>
  <c r="BW50" i="1"/>
  <c r="BV50" i="1"/>
  <c r="DB49" i="1"/>
  <c r="CY49" i="1"/>
  <c r="CX49" i="1"/>
  <c r="CV49" i="1"/>
  <c r="CF49" i="1"/>
  <c r="CD49" i="1"/>
  <c r="CC49" i="1"/>
  <c r="CB49" i="1"/>
  <c r="CA49" i="1"/>
  <c r="BY49" i="1"/>
  <c r="BX49" i="1"/>
  <c r="BW49" i="1"/>
  <c r="BV49" i="1"/>
  <c r="DB48" i="1"/>
  <c r="CY48" i="1"/>
  <c r="CX48" i="1"/>
  <c r="CV48" i="1"/>
  <c r="CF48" i="1"/>
  <c r="CD48" i="1"/>
  <c r="CC48" i="1"/>
  <c r="CB48" i="1"/>
  <c r="CA48" i="1"/>
  <c r="BY48" i="1"/>
  <c r="BX48" i="1"/>
  <c r="BW48" i="1"/>
  <c r="BV48" i="1"/>
  <c r="DB47" i="1"/>
  <c r="CY47" i="1"/>
  <c r="CX47" i="1"/>
  <c r="CV47" i="1"/>
  <c r="CF47" i="1"/>
  <c r="CD47" i="1"/>
  <c r="CC47" i="1"/>
  <c r="CB47" i="1"/>
  <c r="CA47" i="1"/>
  <c r="BY47" i="1"/>
  <c r="BX47" i="1"/>
  <c r="BW47" i="1"/>
  <c r="BV47" i="1"/>
  <c r="DB46" i="1"/>
  <c r="CY46" i="1"/>
  <c r="CX46" i="1"/>
  <c r="CV46" i="1"/>
  <c r="CF46" i="1"/>
  <c r="CD46" i="1"/>
  <c r="CC46" i="1"/>
  <c r="CB46" i="1"/>
  <c r="CA46" i="1"/>
  <c r="BY46" i="1"/>
  <c r="BX46" i="1"/>
  <c r="BW46" i="1"/>
  <c r="BV46" i="1"/>
  <c r="DB45" i="1"/>
  <c r="CY45" i="1"/>
  <c r="CX45" i="1"/>
  <c r="CV45" i="1"/>
  <c r="CF45" i="1"/>
  <c r="CD45" i="1"/>
  <c r="CC45" i="1"/>
  <c r="CB45" i="1"/>
  <c r="CA45" i="1"/>
  <c r="BY45" i="1"/>
  <c r="BX45" i="1"/>
  <c r="BW45" i="1"/>
  <c r="BV45" i="1"/>
  <c r="DB44" i="1"/>
  <c r="CY44" i="1"/>
  <c r="CX44" i="1"/>
  <c r="CV44" i="1"/>
  <c r="CF44" i="1"/>
  <c r="CD44" i="1"/>
  <c r="CC44" i="1"/>
  <c r="CB44" i="1"/>
  <c r="CA44" i="1"/>
  <c r="BY44" i="1"/>
  <c r="BX44" i="1"/>
  <c r="BW44" i="1"/>
  <c r="BV44" i="1"/>
  <c r="DB43" i="1"/>
  <c r="CY43" i="1"/>
  <c r="CX43" i="1"/>
  <c r="CV43" i="1"/>
  <c r="CF43" i="1"/>
  <c r="CD43" i="1"/>
  <c r="CC43" i="1"/>
  <c r="CB43" i="1"/>
  <c r="CA43" i="1"/>
  <c r="BY43" i="1"/>
  <c r="BX43" i="1"/>
  <c r="BW43" i="1"/>
  <c r="BV43" i="1"/>
  <c r="DB42" i="1"/>
  <c r="CY42" i="1"/>
  <c r="CX42" i="1"/>
  <c r="CV42" i="1"/>
  <c r="CF42" i="1"/>
  <c r="CD42" i="1"/>
  <c r="CC42" i="1"/>
  <c r="CB42" i="1"/>
  <c r="CA42" i="1"/>
  <c r="BY42" i="1"/>
  <c r="BX42" i="1"/>
  <c r="BW42" i="1"/>
  <c r="BV42" i="1"/>
  <c r="DB41" i="1"/>
  <c r="CY41" i="1"/>
  <c r="CX41" i="1"/>
  <c r="CV41" i="1"/>
  <c r="CF41" i="1"/>
  <c r="CD41" i="1"/>
  <c r="CC41" i="1"/>
  <c r="CB41" i="1"/>
  <c r="CA41" i="1"/>
  <c r="BY41" i="1"/>
  <c r="BX41" i="1"/>
  <c r="BW41" i="1"/>
  <c r="BV41" i="1"/>
  <c r="DB40" i="1"/>
  <c r="CY40" i="1"/>
  <c r="CX40" i="1"/>
  <c r="CV40" i="1"/>
  <c r="CF40" i="1"/>
  <c r="CD40" i="1"/>
  <c r="CC40" i="1"/>
  <c r="CB40" i="1"/>
  <c r="CA40" i="1"/>
  <c r="BY40" i="1"/>
  <c r="BX40" i="1"/>
  <c r="BW40" i="1"/>
  <c r="BV40" i="1"/>
  <c r="DB39" i="1"/>
  <c r="CY39" i="1"/>
  <c r="CX39" i="1"/>
  <c r="CV39" i="1"/>
  <c r="CF39" i="1"/>
  <c r="CD39" i="1"/>
  <c r="CC39" i="1"/>
  <c r="CB39" i="1"/>
  <c r="CA39" i="1"/>
  <c r="BY39" i="1"/>
  <c r="BX39" i="1"/>
  <c r="BW39" i="1"/>
  <c r="BV39" i="1"/>
  <c r="DB38" i="1"/>
  <c r="CY38" i="1"/>
  <c r="CX38" i="1"/>
  <c r="CV38" i="1"/>
  <c r="CF38" i="1"/>
  <c r="CD38" i="1"/>
  <c r="CC38" i="1"/>
  <c r="CB38" i="1"/>
  <c r="CA38" i="1"/>
  <c r="BY38" i="1"/>
  <c r="BX38" i="1"/>
  <c r="BW38" i="1"/>
  <c r="BV38" i="1"/>
  <c r="DB37" i="1"/>
  <c r="CY37" i="1"/>
  <c r="CX37" i="1"/>
  <c r="CV37" i="1"/>
  <c r="CF37" i="1"/>
  <c r="CD37" i="1"/>
  <c r="CC37" i="1"/>
  <c r="CB37" i="1"/>
  <c r="CA37" i="1"/>
  <c r="BY37" i="1"/>
  <c r="BX37" i="1"/>
  <c r="BW37" i="1"/>
  <c r="BV37" i="1"/>
  <c r="DB36" i="1"/>
  <c r="CY36" i="1"/>
  <c r="CX36" i="1"/>
  <c r="CV36" i="1"/>
  <c r="CF36" i="1"/>
  <c r="CD36" i="1"/>
  <c r="CC36" i="1"/>
  <c r="CB36" i="1"/>
  <c r="CA36" i="1"/>
  <c r="BY36" i="1"/>
  <c r="BX36" i="1"/>
  <c r="BW36" i="1"/>
  <c r="BV36" i="1"/>
  <c r="DB35" i="1"/>
  <c r="CY35" i="1"/>
  <c r="CX35" i="1"/>
  <c r="CV35" i="1"/>
  <c r="CF35" i="1"/>
  <c r="CD35" i="1"/>
  <c r="CC35" i="1"/>
  <c r="CB35" i="1"/>
  <c r="CA35" i="1"/>
  <c r="BY35" i="1"/>
  <c r="BX35" i="1"/>
  <c r="BW35" i="1"/>
  <c r="BV35" i="1"/>
  <c r="DB34" i="1"/>
  <c r="CY34" i="1"/>
  <c r="CX34" i="1"/>
  <c r="CV34" i="1"/>
  <c r="CF34" i="1"/>
  <c r="CD34" i="1"/>
  <c r="CC34" i="1"/>
  <c r="CB34" i="1"/>
  <c r="CA34" i="1"/>
  <c r="BY34" i="1"/>
  <c r="BX34" i="1"/>
  <c r="BW34" i="1"/>
  <c r="BV34" i="1"/>
  <c r="DB33" i="1"/>
  <c r="CY33" i="1"/>
  <c r="CX33" i="1"/>
  <c r="CV33" i="1"/>
  <c r="CF33" i="1"/>
  <c r="CD33" i="1"/>
  <c r="CC33" i="1"/>
  <c r="CB33" i="1"/>
  <c r="CA33" i="1"/>
  <c r="BY33" i="1"/>
  <c r="BX33" i="1"/>
  <c r="BW33" i="1"/>
  <c r="BV33" i="1"/>
  <c r="DB32" i="1"/>
  <c r="CY32" i="1"/>
  <c r="CX32" i="1"/>
  <c r="CV32" i="1"/>
  <c r="CF32" i="1"/>
  <c r="CD32" i="1"/>
  <c r="CC32" i="1"/>
  <c r="CB32" i="1"/>
  <c r="CA32" i="1"/>
  <c r="BY32" i="1"/>
  <c r="BX32" i="1"/>
  <c r="BW32" i="1"/>
  <c r="BV32" i="1"/>
  <c r="DB31" i="1"/>
  <c r="CY31" i="1"/>
  <c r="CX31" i="1"/>
  <c r="CV31" i="1"/>
  <c r="CF31" i="1"/>
  <c r="CD31" i="1"/>
  <c r="CC31" i="1"/>
  <c r="CB31" i="1"/>
  <c r="CA31" i="1"/>
  <c r="BY31" i="1"/>
  <c r="BX31" i="1"/>
  <c r="BW31" i="1"/>
  <c r="BV31" i="1"/>
  <c r="DB30" i="1"/>
  <c r="CY30" i="1"/>
  <c r="CX30" i="1"/>
  <c r="CV30" i="1"/>
  <c r="CF30" i="1"/>
  <c r="CD30" i="1"/>
  <c r="CC30" i="1"/>
  <c r="CB30" i="1"/>
  <c r="CA30" i="1"/>
  <c r="BY30" i="1"/>
  <c r="BX30" i="1"/>
  <c r="BW30" i="1"/>
  <c r="BV30" i="1"/>
  <c r="DB29" i="1"/>
  <c r="CY29" i="1"/>
  <c r="CX29" i="1"/>
  <c r="CV29" i="1"/>
  <c r="CF29" i="1"/>
  <c r="CD29" i="1"/>
  <c r="CC29" i="1"/>
  <c r="CB29" i="1"/>
  <c r="CA29" i="1"/>
  <c r="BY29" i="1"/>
  <c r="BX29" i="1"/>
  <c r="BW29" i="1"/>
  <c r="BV29" i="1"/>
  <c r="DB28" i="1"/>
  <c r="CY28" i="1"/>
  <c r="CX28" i="1"/>
  <c r="CV28" i="1"/>
  <c r="CF28" i="1"/>
  <c r="CD28" i="1"/>
  <c r="CC28" i="1"/>
  <c r="CB28" i="1"/>
  <c r="CA28" i="1"/>
  <c r="BY28" i="1"/>
  <c r="BX28" i="1"/>
  <c r="BW28" i="1"/>
  <c r="BV28" i="1"/>
  <c r="DB27" i="1"/>
  <c r="CY27" i="1"/>
  <c r="CX27" i="1"/>
  <c r="CV27" i="1"/>
  <c r="CF27" i="1"/>
  <c r="CD27" i="1"/>
  <c r="CC27" i="1"/>
  <c r="CB27" i="1"/>
  <c r="CA27" i="1"/>
  <c r="BY27" i="1"/>
  <c r="BX27" i="1"/>
  <c r="BW27" i="1"/>
  <c r="BV27" i="1"/>
  <c r="DB26" i="1"/>
  <c r="CY26" i="1"/>
  <c r="CX26" i="1"/>
  <c r="CV26" i="1"/>
  <c r="CF26" i="1"/>
  <c r="CD26" i="1"/>
  <c r="CC26" i="1"/>
  <c r="CB26" i="1"/>
  <c r="CA26" i="1"/>
  <c r="BY26" i="1"/>
  <c r="BX26" i="1"/>
  <c r="BW26" i="1"/>
  <c r="BV26" i="1"/>
  <c r="DB25" i="1"/>
  <c r="CY25" i="1"/>
  <c r="CX25" i="1"/>
  <c r="CV25" i="1"/>
  <c r="CF25" i="1"/>
  <c r="CD25" i="1"/>
  <c r="CC25" i="1"/>
  <c r="CB25" i="1"/>
  <c r="CA25" i="1"/>
  <c r="BY25" i="1"/>
  <c r="BX25" i="1"/>
  <c r="BW25" i="1"/>
  <c r="BV25" i="1"/>
  <c r="DB24" i="1"/>
  <c r="CY24" i="1"/>
  <c r="CX24" i="1"/>
  <c r="CV24" i="1"/>
  <c r="CF24" i="1"/>
  <c r="CD24" i="1"/>
  <c r="CC24" i="1"/>
  <c r="CB24" i="1"/>
  <c r="CA24" i="1"/>
  <c r="BY24" i="1"/>
  <c r="BX24" i="1"/>
  <c r="BW24" i="1"/>
  <c r="BV24" i="1"/>
  <c r="DB23" i="1"/>
  <c r="CY23" i="1"/>
  <c r="CX23" i="1"/>
  <c r="CV23" i="1"/>
  <c r="CF23" i="1"/>
  <c r="CD23" i="1"/>
  <c r="CC23" i="1"/>
  <c r="CB23" i="1"/>
  <c r="CA23" i="1"/>
  <c r="BY23" i="1"/>
  <c r="BX23" i="1"/>
  <c r="BW23" i="1"/>
  <c r="BV23" i="1"/>
  <c r="DB22" i="1"/>
  <c r="CY22" i="1"/>
  <c r="CX22" i="1"/>
  <c r="CV22" i="1"/>
  <c r="CF22" i="1"/>
  <c r="CD22" i="1"/>
  <c r="CC22" i="1"/>
  <c r="CB22" i="1"/>
  <c r="CA22" i="1"/>
  <c r="BY22" i="1"/>
  <c r="BX22" i="1"/>
  <c r="BW22" i="1"/>
  <c r="BV22" i="1"/>
  <c r="DB21" i="1"/>
  <c r="CY21" i="1"/>
  <c r="CX21" i="1"/>
  <c r="CV21" i="1"/>
  <c r="CF21" i="1"/>
  <c r="CD21" i="1"/>
  <c r="CC21" i="1"/>
  <c r="CB21" i="1"/>
  <c r="CA21" i="1"/>
  <c r="BY21" i="1"/>
  <c r="BX21" i="1"/>
  <c r="BW21" i="1"/>
  <c r="BV21" i="1"/>
  <c r="DB20" i="1"/>
  <c r="CY20" i="1"/>
  <c r="CX20" i="1"/>
  <c r="CV20" i="1"/>
  <c r="CF20" i="1"/>
  <c r="CD20" i="1"/>
  <c r="CC20" i="1"/>
  <c r="CB20" i="1"/>
  <c r="CA20" i="1"/>
  <c r="BY20" i="1"/>
  <c r="BX20" i="1"/>
  <c r="BW20" i="1"/>
  <c r="BV20" i="1"/>
  <c r="DB19" i="1"/>
  <c r="CY19" i="1"/>
  <c r="CX19" i="1"/>
  <c r="CV19" i="1"/>
  <c r="CF19" i="1"/>
  <c r="CD19" i="1"/>
  <c r="CC19" i="1"/>
  <c r="CB19" i="1"/>
  <c r="CA19" i="1"/>
  <c r="BY19" i="1"/>
  <c r="BX19" i="1"/>
  <c r="BW19" i="1"/>
  <c r="BV19" i="1"/>
  <c r="DB18" i="1"/>
  <c r="CY18" i="1"/>
  <c r="CX18" i="1"/>
  <c r="CV18" i="1"/>
  <c r="CF18" i="1"/>
  <c r="CD18" i="1"/>
  <c r="CC18" i="1"/>
  <c r="CB18" i="1"/>
  <c r="CA18" i="1"/>
  <c r="BY18" i="1"/>
  <c r="BX18" i="1"/>
  <c r="BW18" i="1"/>
  <c r="BV18" i="1"/>
  <c r="DB17" i="1"/>
  <c r="CY17" i="1"/>
  <c r="CX17" i="1"/>
  <c r="CV17" i="1"/>
  <c r="CF17" i="1"/>
  <c r="CD17" i="1"/>
  <c r="CC17" i="1"/>
  <c r="CB17" i="1"/>
  <c r="CA17" i="1"/>
  <c r="BY17" i="1"/>
  <c r="BX17" i="1"/>
  <c r="BW17" i="1"/>
  <c r="BV17" i="1"/>
  <c r="DB16" i="1"/>
  <c r="CY16" i="1"/>
  <c r="CX16" i="1"/>
  <c r="CV16" i="1"/>
  <c r="CF16" i="1"/>
  <c r="CD16" i="1"/>
  <c r="CC16" i="1"/>
  <c r="CB16" i="1"/>
  <c r="CA16" i="1"/>
  <c r="BY16" i="1"/>
  <c r="BX16" i="1"/>
  <c r="BW16" i="1"/>
  <c r="BV16" i="1"/>
  <c r="DB15" i="1"/>
  <c r="CY15" i="1"/>
  <c r="CX15" i="1"/>
  <c r="CV15" i="1"/>
  <c r="CF15" i="1"/>
  <c r="CD15" i="1"/>
  <c r="CC15" i="1"/>
  <c r="CB15" i="1"/>
  <c r="CA15" i="1"/>
  <c r="BY15" i="1"/>
  <c r="BX15" i="1"/>
  <c r="BW15" i="1"/>
  <c r="BV15" i="1"/>
  <c r="DB14" i="1"/>
  <c r="CY14" i="1"/>
  <c r="CX14" i="1"/>
  <c r="CV14" i="1"/>
  <c r="CF14" i="1"/>
  <c r="CD14" i="1"/>
  <c r="CC14" i="1"/>
  <c r="CB14" i="1"/>
  <c r="CA14" i="1"/>
  <c r="BY14" i="1"/>
  <c r="BX14" i="1"/>
  <c r="BW14" i="1"/>
  <c r="BV14" i="1"/>
  <c r="DB13" i="1"/>
  <c r="CY13" i="1"/>
  <c r="CX13" i="1"/>
  <c r="CV13" i="1"/>
  <c r="CF13" i="1"/>
  <c r="CD13" i="1"/>
  <c r="CC13" i="1"/>
  <c r="CB13" i="1"/>
  <c r="CA13" i="1"/>
  <c r="BY13" i="1"/>
  <c r="BX13" i="1"/>
  <c r="BW13" i="1"/>
  <c r="BV13" i="1"/>
  <c r="DB12" i="1"/>
  <c r="CY12" i="1"/>
  <c r="CX12" i="1"/>
  <c r="CV12" i="1"/>
  <c r="CF12" i="1"/>
  <c r="CD12" i="1"/>
  <c r="CC12" i="1"/>
  <c r="CB12" i="1"/>
  <c r="CA12" i="1"/>
  <c r="BY12" i="1"/>
  <c r="BX12" i="1"/>
  <c r="BW12" i="1"/>
  <c r="BV12" i="1"/>
  <c r="DB11" i="1"/>
  <c r="CY11" i="1"/>
  <c r="CX11" i="1"/>
  <c r="CV11" i="1"/>
  <c r="CF11" i="1"/>
  <c r="CD11" i="1"/>
  <c r="CC11" i="1"/>
  <c r="CB11" i="1"/>
  <c r="CA11" i="1"/>
  <c r="BY11" i="1"/>
  <c r="BX11" i="1"/>
  <c r="BW11" i="1"/>
  <c r="BV11" i="1"/>
  <c r="DB10" i="1"/>
  <c r="CY10" i="1"/>
  <c r="CX10" i="1"/>
  <c r="CV10" i="1"/>
  <c r="CF10" i="1"/>
  <c r="CD10" i="1"/>
  <c r="CC10" i="1"/>
  <c r="CB10" i="1"/>
  <c r="CA10" i="1"/>
  <c r="BY10" i="1"/>
  <c r="BX10" i="1"/>
  <c r="BW10" i="1"/>
  <c r="BV10" i="1"/>
  <c r="DB9" i="1"/>
  <c r="CY9" i="1"/>
  <c r="CX9" i="1"/>
  <c r="CV9" i="1"/>
  <c r="CF9" i="1"/>
  <c r="CD9" i="1"/>
  <c r="CC9" i="1"/>
  <c r="CB9" i="1"/>
  <c r="CA9" i="1"/>
  <c r="BY9" i="1"/>
  <c r="BX9" i="1"/>
  <c r="BW9" i="1"/>
  <c r="BV9" i="1"/>
  <c r="DB8" i="1"/>
  <c r="CY8" i="1"/>
  <c r="CX8" i="1"/>
  <c r="CV8" i="1"/>
  <c r="CF8" i="1"/>
  <c r="CD8" i="1"/>
  <c r="CC8" i="1"/>
  <c r="CB8" i="1"/>
  <c r="CA8" i="1"/>
  <c r="BY8" i="1"/>
  <c r="BX8" i="1"/>
  <c r="BW8" i="1"/>
  <c r="BV8" i="1"/>
  <c r="DB7" i="1"/>
  <c r="CY7" i="1"/>
  <c r="CX7" i="1"/>
  <c r="CV7" i="1"/>
  <c r="CF7" i="1"/>
  <c r="CD7" i="1"/>
  <c r="CC7" i="1"/>
  <c r="CB7" i="1"/>
  <c r="CA7" i="1"/>
  <c r="BY7" i="1"/>
  <c r="BX7" i="1"/>
  <c r="BW7" i="1"/>
  <c r="BV7" i="1"/>
  <c r="DB6" i="1"/>
  <c r="CY6" i="1"/>
  <c r="CX6" i="1"/>
  <c r="CV6" i="1"/>
  <c r="CD6" i="1"/>
  <c r="CC6" i="1"/>
  <c r="CB6" i="1"/>
  <c r="CA6" i="1"/>
  <c r="BY6" i="1"/>
  <c r="BX6" i="1"/>
  <c r="BW6" i="1"/>
  <c r="BV6" i="1"/>
  <c r="Q5" i="29"/>
  <c r="R5" i="29" s="1"/>
  <c r="A2" i="31" l="1"/>
  <c r="D371" i="31"/>
  <c r="D370" i="31"/>
  <c r="D369" i="31"/>
  <c r="D368" i="31"/>
  <c r="D367" i="31"/>
  <c r="D366" i="31"/>
  <c r="D365" i="31"/>
  <c r="D364" i="31"/>
  <c r="D363" i="31"/>
  <c r="D362" i="31"/>
  <c r="D361" i="31"/>
  <c r="D360" i="31"/>
  <c r="D359" i="31"/>
  <c r="D358" i="31"/>
  <c r="D357" i="31"/>
  <c r="D356" i="31"/>
  <c r="D355" i="31"/>
  <c r="D354" i="31"/>
  <c r="D353" i="31"/>
  <c r="D352" i="31"/>
  <c r="D351" i="31"/>
  <c r="D350" i="31"/>
  <c r="D349" i="31"/>
  <c r="D348" i="31"/>
  <c r="D347" i="31"/>
  <c r="D346" i="31"/>
  <c r="D345" i="31"/>
  <c r="D344" i="31"/>
  <c r="D343" i="31"/>
  <c r="D342" i="31"/>
  <c r="D341" i="31"/>
  <c r="D340" i="31"/>
  <c r="D339" i="31"/>
  <c r="D338" i="31"/>
  <c r="D337" i="31"/>
  <c r="D336" i="31"/>
  <c r="D335" i="31"/>
  <c r="D334" i="31"/>
  <c r="D333" i="31"/>
  <c r="D332" i="31"/>
  <c r="D331" i="31"/>
  <c r="D330" i="31"/>
  <c r="D329" i="31"/>
  <c r="D328" i="31"/>
  <c r="D327" i="31"/>
  <c r="D326" i="31"/>
  <c r="D325" i="31"/>
  <c r="D324" i="31"/>
  <c r="D323" i="31"/>
  <c r="D322" i="31"/>
  <c r="D321" i="31"/>
  <c r="D320" i="31"/>
  <c r="D319" i="31"/>
  <c r="D318" i="31"/>
  <c r="D317" i="31"/>
  <c r="D316" i="31"/>
  <c r="D315" i="31"/>
  <c r="D314" i="31"/>
  <c r="D313" i="31"/>
  <c r="D312" i="31"/>
  <c r="D311" i="31"/>
  <c r="D310" i="31"/>
  <c r="D309" i="31"/>
  <c r="D308" i="31"/>
  <c r="D307" i="31"/>
  <c r="D306" i="31"/>
  <c r="D305" i="31"/>
  <c r="D304" i="31"/>
  <c r="D303" i="31"/>
  <c r="D302" i="31"/>
  <c r="D301" i="31"/>
  <c r="D300" i="31"/>
  <c r="D299" i="31"/>
  <c r="D298" i="31"/>
  <c r="D297" i="31"/>
  <c r="D296" i="31"/>
  <c r="D295" i="31"/>
  <c r="D294" i="31"/>
  <c r="D293" i="31"/>
  <c r="D292" i="31"/>
  <c r="D291" i="31"/>
  <c r="D290" i="31"/>
  <c r="D289" i="31"/>
  <c r="D288" i="31"/>
  <c r="D287" i="31"/>
  <c r="D286" i="31"/>
  <c r="D285" i="31"/>
  <c r="D284" i="31"/>
  <c r="D283" i="31"/>
  <c r="D282" i="31"/>
  <c r="D281" i="31"/>
  <c r="D280" i="31"/>
  <c r="D279" i="31"/>
  <c r="D278" i="31"/>
  <c r="D277" i="31"/>
  <c r="D276" i="31"/>
  <c r="D275" i="31"/>
  <c r="D274" i="31"/>
  <c r="D273" i="31"/>
  <c r="D272" i="31"/>
  <c r="D271" i="31"/>
  <c r="D270" i="31"/>
  <c r="D269" i="31"/>
  <c r="D268" i="31"/>
  <c r="D267" i="31"/>
  <c r="D266" i="31"/>
  <c r="D265" i="31"/>
  <c r="D264" i="31"/>
  <c r="D263" i="31"/>
  <c r="D262" i="31"/>
  <c r="D261" i="31"/>
  <c r="D260" i="31"/>
  <c r="D259" i="31"/>
  <c r="D258" i="31"/>
  <c r="D257" i="31"/>
  <c r="D256" i="31"/>
  <c r="D255" i="31"/>
  <c r="D254" i="31"/>
  <c r="D253" i="31"/>
  <c r="D252" i="31"/>
  <c r="D251" i="31"/>
  <c r="D250" i="31"/>
  <c r="D249" i="31"/>
  <c r="D248" i="31"/>
  <c r="D247" i="31"/>
  <c r="D246" i="31"/>
  <c r="D245" i="31"/>
  <c r="D244" i="31"/>
  <c r="D243" i="31"/>
  <c r="D242" i="31"/>
  <c r="D241" i="31"/>
  <c r="D240" i="31"/>
  <c r="D239" i="31"/>
  <c r="D238" i="31"/>
  <c r="D237" i="31"/>
  <c r="D236" i="31"/>
  <c r="D235" i="31"/>
  <c r="D234" i="31"/>
  <c r="D233" i="31"/>
  <c r="D232" i="31"/>
  <c r="D231" i="31"/>
  <c r="D230" i="31"/>
  <c r="D229" i="31"/>
  <c r="D228" i="31"/>
  <c r="D227" i="31"/>
  <c r="D226" i="31"/>
  <c r="D225" i="31"/>
  <c r="D224" i="31"/>
  <c r="D223" i="31"/>
  <c r="D222" i="31"/>
  <c r="D221" i="31"/>
  <c r="D220" i="31"/>
  <c r="D219" i="31"/>
  <c r="D218" i="31"/>
  <c r="D217" i="31"/>
  <c r="D216" i="31"/>
  <c r="D215" i="31"/>
  <c r="D214" i="31"/>
  <c r="D213" i="31"/>
  <c r="D212" i="31"/>
  <c r="D211" i="31"/>
  <c r="D210" i="31"/>
  <c r="D209" i="31"/>
  <c r="D208" i="31"/>
  <c r="D207" i="31"/>
  <c r="D206" i="31"/>
  <c r="D205" i="31"/>
  <c r="D204" i="31"/>
  <c r="D203" i="31"/>
  <c r="D202" i="31"/>
  <c r="D201" i="31"/>
  <c r="D200" i="31"/>
  <c r="D199" i="31"/>
  <c r="D198" i="31"/>
  <c r="D197" i="31"/>
  <c r="D196" i="31"/>
  <c r="D195" i="31"/>
  <c r="D194" i="31"/>
  <c r="D193" i="31"/>
  <c r="D192" i="31"/>
  <c r="D191" i="31"/>
  <c r="D190" i="31"/>
  <c r="D189" i="31"/>
  <c r="D188" i="31"/>
  <c r="D187" i="31"/>
  <c r="D186" i="31"/>
  <c r="D185" i="31"/>
  <c r="D184" i="31"/>
  <c r="D183" i="31"/>
  <c r="D182" i="31"/>
  <c r="D181" i="31"/>
  <c r="D180" i="31"/>
  <c r="D179" i="31"/>
  <c r="D178" i="31"/>
  <c r="D177" i="31"/>
  <c r="D176" i="31"/>
  <c r="D175" i="31"/>
  <c r="D174" i="31"/>
  <c r="D173" i="31"/>
  <c r="D172" i="31"/>
  <c r="D171" i="31"/>
  <c r="D170" i="31"/>
  <c r="D169" i="31"/>
  <c r="D168" i="31"/>
  <c r="D167" i="31"/>
  <c r="D166" i="31"/>
  <c r="D165" i="31"/>
  <c r="D164" i="31"/>
  <c r="D163" i="31"/>
  <c r="D162" i="31"/>
  <c r="D161" i="31"/>
  <c r="D160" i="31"/>
  <c r="D159" i="31"/>
  <c r="D158" i="31"/>
  <c r="D157" i="31"/>
  <c r="D156" i="31"/>
  <c r="D155" i="31"/>
  <c r="D154" i="31"/>
  <c r="D153" i="31"/>
  <c r="D152" i="31"/>
  <c r="D151" i="31"/>
  <c r="D150" i="31"/>
  <c r="D149" i="31"/>
  <c r="D148" i="31"/>
  <c r="D147" i="31"/>
  <c r="D146" i="31"/>
  <c r="D145" i="31"/>
  <c r="D144" i="31"/>
  <c r="D143" i="31"/>
  <c r="D142" i="31"/>
  <c r="D141" i="31"/>
  <c r="D140" i="31"/>
  <c r="D139" i="31"/>
  <c r="D138" i="31"/>
  <c r="D137" i="31"/>
  <c r="D136" i="31"/>
  <c r="D135" i="31"/>
  <c r="D134" i="31"/>
  <c r="D133" i="31"/>
  <c r="D132" i="31"/>
  <c r="D131" i="31"/>
  <c r="D130" i="31"/>
  <c r="D129" i="31"/>
  <c r="D128" i="31"/>
  <c r="D127" i="31"/>
  <c r="D126" i="31"/>
  <c r="D125" i="31"/>
  <c r="D124" i="31"/>
  <c r="D123" i="31"/>
  <c r="D122" i="31"/>
  <c r="D121" i="31"/>
  <c r="D120" i="31"/>
  <c r="D119" i="31"/>
  <c r="D118" i="31"/>
  <c r="D117" i="31"/>
  <c r="D116" i="31"/>
  <c r="D115" i="31"/>
  <c r="D114" i="31"/>
  <c r="D113" i="31"/>
  <c r="D112" i="31"/>
  <c r="D111" i="31"/>
  <c r="D110" i="31"/>
  <c r="D109" i="31"/>
  <c r="D108" i="31"/>
  <c r="D107" i="31"/>
  <c r="D106" i="31"/>
  <c r="D105" i="31"/>
  <c r="D104" i="31"/>
  <c r="D103" i="31"/>
  <c r="D102" i="31"/>
  <c r="D101" i="31"/>
  <c r="D100" i="31"/>
  <c r="D99" i="31"/>
  <c r="D98" i="31"/>
  <c r="D97" i="31"/>
  <c r="D96" i="31"/>
  <c r="D95" i="31"/>
  <c r="D94" i="31"/>
  <c r="D93" i="31"/>
  <c r="D92" i="31"/>
  <c r="D91" i="31"/>
  <c r="D90" i="31"/>
  <c r="D89" i="31"/>
  <c r="D88" i="31"/>
  <c r="D87" i="31"/>
  <c r="D86" i="31"/>
  <c r="D85" i="31"/>
  <c r="D84" i="31"/>
  <c r="D83" i="31"/>
  <c r="D82" i="31"/>
  <c r="D81" i="31"/>
  <c r="D80" i="31"/>
  <c r="D79" i="31"/>
  <c r="D78" i="31"/>
  <c r="D77" i="31"/>
  <c r="D76" i="31"/>
  <c r="D75" i="31"/>
  <c r="D74" i="3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A8" i="31" l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A75" i="31" s="1"/>
  <c r="A76" i="31" s="1"/>
  <c r="A77" i="31" s="1"/>
  <c r="A78" i="31" s="1"/>
  <c r="A79" i="31" s="1"/>
  <c r="A80" i="31" s="1"/>
  <c r="A81" i="31" s="1"/>
  <c r="A82" i="31" s="1"/>
  <c r="A83" i="31" s="1"/>
  <c r="A84" i="31" s="1"/>
  <c r="A85" i="31" s="1"/>
  <c r="A86" i="31" s="1"/>
  <c r="A87" i="31" s="1"/>
  <c r="A88" i="31" s="1"/>
  <c r="A89" i="31" s="1"/>
  <c r="A90" i="31" s="1"/>
  <c r="A91" i="31" s="1"/>
  <c r="A92" i="31" s="1"/>
  <c r="A93" i="31" s="1"/>
  <c r="A94" i="31" s="1"/>
  <c r="A95" i="31" s="1"/>
  <c r="A96" i="31" s="1"/>
  <c r="A97" i="31" s="1"/>
  <c r="A98" i="31" s="1"/>
  <c r="A99" i="31" s="1"/>
  <c r="A100" i="31" s="1"/>
  <c r="A101" i="31" s="1"/>
  <c r="A102" i="31" s="1"/>
  <c r="A103" i="31" s="1"/>
  <c r="A104" i="31" s="1"/>
  <c r="A105" i="31" s="1"/>
  <c r="A106" i="31" s="1"/>
  <c r="A107" i="31" s="1"/>
  <c r="A108" i="31" s="1"/>
  <c r="A109" i="31" s="1"/>
  <c r="A110" i="31" s="1"/>
  <c r="A111" i="31" s="1"/>
  <c r="A112" i="31" s="1"/>
  <c r="A113" i="31" s="1"/>
  <c r="A114" i="31" s="1"/>
  <c r="A115" i="31" s="1"/>
  <c r="A116" i="31" s="1"/>
  <c r="A117" i="31" s="1"/>
  <c r="A118" i="31" s="1"/>
  <c r="A119" i="31" s="1"/>
  <c r="A120" i="31" s="1"/>
  <c r="A121" i="31" s="1"/>
  <c r="A122" i="31" s="1"/>
  <c r="A123" i="31" s="1"/>
  <c r="A124" i="31" s="1"/>
  <c r="A125" i="31" s="1"/>
  <c r="A126" i="31" s="1"/>
  <c r="A127" i="31" s="1"/>
  <c r="A128" i="31" s="1"/>
  <c r="A129" i="31" s="1"/>
  <c r="A130" i="31" s="1"/>
  <c r="A131" i="31" s="1"/>
  <c r="A132" i="31" s="1"/>
  <c r="A133" i="31" s="1"/>
  <c r="A134" i="31" s="1"/>
  <c r="A135" i="31" s="1"/>
  <c r="A136" i="31" s="1"/>
  <c r="A137" i="31" s="1"/>
  <c r="A138" i="31" s="1"/>
  <c r="A139" i="31" s="1"/>
  <c r="A140" i="31" s="1"/>
  <c r="A141" i="31" s="1"/>
  <c r="A142" i="31" s="1"/>
  <c r="A143" i="31" s="1"/>
  <c r="A144" i="31" s="1"/>
  <c r="A145" i="31" s="1"/>
  <c r="A146" i="31" s="1"/>
  <c r="A147" i="31" s="1"/>
  <c r="A148" i="31" s="1"/>
  <c r="A149" i="31" s="1"/>
  <c r="A150" i="31" s="1"/>
  <c r="A151" i="31" s="1"/>
  <c r="A152" i="31" s="1"/>
  <c r="A153" i="31" s="1"/>
  <c r="A154" i="31" s="1"/>
  <c r="A155" i="31" s="1"/>
  <c r="A156" i="31" s="1"/>
  <c r="A157" i="31" s="1"/>
  <c r="A158" i="31" s="1"/>
  <c r="A159" i="31" s="1"/>
  <c r="A160" i="31" s="1"/>
  <c r="A161" i="31" s="1"/>
  <c r="A162" i="31" s="1"/>
  <c r="A163" i="31" s="1"/>
  <c r="A164" i="31" s="1"/>
  <c r="A165" i="31" s="1"/>
  <c r="A166" i="31" s="1"/>
  <c r="A167" i="31" s="1"/>
  <c r="A168" i="31" s="1"/>
  <c r="A169" i="31" s="1"/>
  <c r="A170" i="31" s="1"/>
  <c r="A171" i="31" s="1"/>
  <c r="A172" i="31" s="1"/>
  <c r="A173" i="31" s="1"/>
  <c r="A174" i="31" s="1"/>
  <c r="A175" i="31" s="1"/>
  <c r="A176" i="31" s="1"/>
  <c r="A177" i="31" s="1"/>
  <c r="A178" i="31" s="1"/>
  <c r="A179" i="31" s="1"/>
  <c r="A180" i="31" s="1"/>
  <c r="A181" i="31" s="1"/>
  <c r="A182" i="31" s="1"/>
  <c r="A183" i="31" s="1"/>
  <c r="A184" i="31" s="1"/>
  <c r="A185" i="31" s="1"/>
  <c r="A186" i="31" s="1"/>
  <c r="A187" i="31" s="1"/>
  <c r="A188" i="31" s="1"/>
  <c r="A189" i="31" s="1"/>
  <c r="A190" i="31" s="1"/>
  <c r="A191" i="31" s="1"/>
  <c r="A192" i="31" s="1"/>
  <c r="A193" i="31" s="1"/>
  <c r="A194" i="31" s="1"/>
  <c r="A195" i="31" s="1"/>
  <c r="A196" i="31" s="1"/>
  <c r="A197" i="31" s="1"/>
  <c r="A198" i="31" s="1"/>
  <c r="A199" i="31" s="1"/>
  <c r="A200" i="31" s="1"/>
  <c r="A201" i="31" s="1"/>
  <c r="A202" i="31" s="1"/>
  <c r="A203" i="31" s="1"/>
  <c r="A204" i="31" s="1"/>
  <c r="A205" i="31" s="1"/>
  <c r="A206" i="31" s="1"/>
  <c r="A207" i="31" s="1"/>
  <c r="A208" i="31" s="1"/>
  <c r="A209" i="31" s="1"/>
  <c r="A210" i="31" s="1"/>
  <c r="A211" i="31" s="1"/>
  <c r="A212" i="31" s="1"/>
  <c r="A213" i="31" s="1"/>
  <c r="A214" i="31" s="1"/>
  <c r="A215" i="31" s="1"/>
  <c r="A216" i="31" s="1"/>
  <c r="A217" i="31" s="1"/>
  <c r="A218" i="31" s="1"/>
  <c r="A219" i="31" s="1"/>
  <c r="A220" i="31" s="1"/>
  <c r="A221" i="31" s="1"/>
  <c r="A222" i="31" s="1"/>
  <c r="A223" i="31" s="1"/>
  <c r="A224" i="31" s="1"/>
  <c r="A225" i="31" s="1"/>
  <c r="A226" i="31" s="1"/>
  <c r="A227" i="31" s="1"/>
  <c r="A228" i="31" s="1"/>
  <c r="A229" i="31" s="1"/>
  <c r="A230" i="31" s="1"/>
  <c r="A231" i="31" s="1"/>
  <c r="A232" i="31" s="1"/>
  <c r="A233" i="31" s="1"/>
  <c r="A234" i="31" s="1"/>
  <c r="A235" i="31" s="1"/>
  <c r="A236" i="31" s="1"/>
  <c r="A237" i="31" s="1"/>
  <c r="A238" i="31" s="1"/>
  <c r="A239" i="31" s="1"/>
  <c r="A240" i="31" s="1"/>
  <c r="A241" i="31" s="1"/>
  <c r="A242" i="31" s="1"/>
  <c r="A243" i="31" s="1"/>
  <c r="A244" i="31" s="1"/>
  <c r="A245" i="31" s="1"/>
  <c r="A246" i="31" s="1"/>
  <c r="A247" i="31" s="1"/>
  <c r="A248" i="31" s="1"/>
  <c r="A249" i="31" s="1"/>
  <c r="A250" i="31" s="1"/>
  <c r="A251" i="31" s="1"/>
  <c r="A252" i="31" s="1"/>
  <c r="A253" i="31" s="1"/>
  <c r="A254" i="31" s="1"/>
  <c r="A255" i="31" s="1"/>
  <c r="A256" i="31" s="1"/>
  <c r="A257" i="31" s="1"/>
  <c r="A258" i="31" s="1"/>
  <c r="A259" i="31" s="1"/>
  <c r="A260" i="31" s="1"/>
  <c r="A261" i="31" s="1"/>
  <c r="A262" i="31" s="1"/>
  <c r="A263" i="31" s="1"/>
  <c r="A264" i="31" s="1"/>
  <c r="A265" i="31" s="1"/>
  <c r="A266" i="31" s="1"/>
  <c r="A267" i="31" s="1"/>
  <c r="A268" i="31" s="1"/>
  <c r="A269" i="31" s="1"/>
  <c r="A270" i="31" s="1"/>
  <c r="A271" i="31" s="1"/>
  <c r="A272" i="31" s="1"/>
  <c r="A273" i="31" s="1"/>
  <c r="A274" i="31" s="1"/>
  <c r="A275" i="31" s="1"/>
  <c r="A276" i="31" s="1"/>
  <c r="A277" i="31" s="1"/>
  <c r="A278" i="31" s="1"/>
  <c r="A279" i="31" s="1"/>
  <c r="A280" i="31" s="1"/>
  <c r="A281" i="31" s="1"/>
  <c r="A282" i="31" s="1"/>
  <c r="A283" i="31" s="1"/>
  <c r="A284" i="31" s="1"/>
  <c r="A285" i="31" s="1"/>
  <c r="A286" i="31" s="1"/>
  <c r="A287" i="31" s="1"/>
  <c r="A288" i="31" s="1"/>
  <c r="A289" i="31" s="1"/>
  <c r="A290" i="31" s="1"/>
  <c r="A291" i="31" s="1"/>
  <c r="A292" i="31" s="1"/>
  <c r="A293" i="31" s="1"/>
  <c r="A294" i="31" s="1"/>
  <c r="A295" i="31" s="1"/>
  <c r="A296" i="31" s="1"/>
  <c r="A297" i="31" s="1"/>
  <c r="A298" i="31" s="1"/>
  <c r="A299" i="31" s="1"/>
  <c r="A300" i="31" s="1"/>
  <c r="A301" i="31" s="1"/>
  <c r="A302" i="31" s="1"/>
  <c r="A303" i="31" s="1"/>
  <c r="A304" i="31" s="1"/>
  <c r="A305" i="31" s="1"/>
  <c r="A306" i="31" s="1"/>
  <c r="A307" i="31" s="1"/>
  <c r="A308" i="31" s="1"/>
  <c r="A309" i="31" s="1"/>
  <c r="A310" i="31" s="1"/>
  <c r="A311" i="31" s="1"/>
  <c r="A312" i="31" s="1"/>
  <c r="A313" i="31" s="1"/>
  <c r="A314" i="31" s="1"/>
  <c r="A315" i="31" s="1"/>
  <c r="A316" i="31" s="1"/>
  <c r="A317" i="31" s="1"/>
  <c r="A318" i="31" s="1"/>
  <c r="A319" i="31" s="1"/>
  <c r="A320" i="31" s="1"/>
  <c r="A321" i="31" s="1"/>
  <c r="A322" i="31" s="1"/>
  <c r="A323" i="31" s="1"/>
  <c r="A324" i="31" s="1"/>
  <c r="A325" i="31" s="1"/>
  <c r="A326" i="31" s="1"/>
  <c r="A327" i="31" s="1"/>
  <c r="A328" i="31" s="1"/>
  <c r="A329" i="31" s="1"/>
  <c r="A330" i="31" s="1"/>
  <c r="A331" i="31" s="1"/>
  <c r="A332" i="31" s="1"/>
  <c r="A333" i="31" s="1"/>
  <c r="A334" i="31" s="1"/>
  <c r="A335" i="31" s="1"/>
  <c r="A336" i="31" s="1"/>
  <c r="A337" i="31" s="1"/>
  <c r="A338" i="31" s="1"/>
  <c r="A339" i="31" s="1"/>
  <c r="A340" i="31" s="1"/>
  <c r="A341" i="31" s="1"/>
  <c r="A342" i="31" s="1"/>
  <c r="A343" i="31" s="1"/>
  <c r="A344" i="31" s="1"/>
  <c r="A345" i="31" s="1"/>
  <c r="A346" i="31" s="1"/>
  <c r="A347" i="31" s="1"/>
  <c r="A348" i="31" s="1"/>
  <c r="A349" i="31" s="1"/>
  <c r="A350" i="31" s="1"/>
  <c r="A351" i="31" s="1"/>
  <c r="A352" i="31" s="1"/>
  <c r="A353" i="31" s="1"/>
  <c r="A354" i="31" s="1"/>
  <c r="A355" i="31" s="1"/>
  <c r="A356" i="31" s="1"/>
  <c r="A357" i="31" s="1"/>
  <c r="A358" i="31" s="1"/>
  <c r="A359" i="31" s="1"/>
  <c r="A360" i="31" s="1"/>
  <c r="A361" i="31" s="1"/>
  <c r="A362" i="31" s="1"/>
  <c r="A363" i="31" s="1"/>
  <c r="A364" i="31" s="1"/>
  <c r="A365" i="31" s="1"/>
  <c r="A366" i="31" s="1"/>
  <c r="A367" i="31" s="1"/>
  <c r="A368" i="31" s="1"/>
  <c r="A369" i="31" s="1"/>
  <c r="A370" i="31" s="1"/>
  <c r="A371" i="31" s="1"/>
  <c r="F63" i="31"/>
  <c r="E63" i="31"/>
  <c r="Q141" i="29"/>
  <c r="H370" i="29" l="1"/>
  <c r="G370" i="29"/>
  <c r="E370" i="29"/>
  <c r="D370" i="29"/>
  <c r="C370" i="29"/>
  <c r="H369" i="29"/>
  <c r="G369" i="29"/>
  <c r="E369" i="29"/>
  <c r="D369" i="29"/>
  <c r="C369" i="29"/>
  <c r="H368" i="29"/>
  <c r="G368" i="29"/>
  <c r="E368" i="29"/>
  <c r="D368" i="29"/>
  <c r="C368" i="29"/>
  <c r="H367" i="29"/>
  <c r="G367" i="29"/>
  <c r="E367" i="29"/>
  <c r="D367" i="29"/>
  <c r="C367" i="29"/>
  <c r="H366" i="29"/>
  <c r="G366" i="29"/>
  <c r="E366" i="29"/>
  <c r="D366" i="29"/>
  <c r="C366" i="29"/>
  <c r="H365" i="29"/>
  <c r="G365" i="29"/>
  <c r="E365" i="29"/>
  <c r="D365" i="29"/>
  <c r="C365" i="29"/>
  <c r="H364" i="29"/>
  <c r="G364" i="29"/>
  <c r="E364" i="29"/>
  <c r="D364" i="29"/>
  <c r="C364" i="29"/>
  <c r="H363" i="29"/>
  <c r="G363" i="29"/>
  <c r="E363" i="29"/>
  <c r="D363" i="29"/>
  <c r="C363" i="29"/>
  <c r="H362" i="29"/>
  <c r="G362" i="29"/>
  <c r="E362" i="29"/>
  <c r="D362" i="29"/>
  <c r="C362" i="29"/>
  <c r="H361" i="29"/>
  <c r="G361" i="29"/>
  <c r="E361" i="29"/>
  <c r="D361" i="29"/>
  <c r="C361" i="29"/>
  <c r="H360" i="29"/>
  <c r="G360" i="29"/>
  <c r="E360" i="29"/>
  <c r="D360" i="29"/>
  <c r="C360" i="29"/>
  <c r="H359" i="29"/>
  <c r="G359" i="29"/>
  <c r="E359" i="29"/>
  <c r="D359" i="29"/>
  <c r="C359" i="29"/>
  <c r="H358" i="29"/>
  <c r="G358" i="29"/>
  <c r="E358" i="29"/>
  <c r="D358" i="29"/>
  <c r="C358" i="29"/>
  <c r="H357" i="29"/>
  <c r="G357" i="29"/>
  <c r="E357" i="29"/>
  <c r="D357" i="29"/>
  <c r="C357" i="29"/>
  <c r="H356" i="29"/>
  <c r="G356" i="29"/>
  <c r="E356" i="29"/>
  <c r="D356" i="29"/>
  <c r="C356" i="29"/>
  <c r="H355" i="29"/>
  <c r="G355" i="29"/>
  <c r="E355" i="29"/>
  <c r="D355" i="29"/>
  <c r="C355" i="29"/>
  <c r="H354" i="29"/>
  <c r="G354" i="29"/>
  <c r="E354" i="29"/>
  <c r="D354" i="29"/>
  <c r="C354" i="29"/>
  <c r="H353" i="29"/>
  <c r="G353" i="29"/>
  <c r="E353" i="29"/>
  <c r="D353" i="29"/>
  <c r="C353" i="29"/>
  <c r="H352" i="29"/>
  <c r="G352" i="29"/>
  <c r="E352" i="29"/>
  <c r="D352" i="29"/>
  <c r="C352" i="29"/>
  <c r="H351" i="29"/>
  <c r="G351" i="29"/>
  <c r="E351" i="29"/>
  <c r="D351" i="29"/>
  <c r="C351" i="29"/>
  <c r="H350" i="29"/>
  <c r="G350" i="29"/>
  <c r="E350" i="29"/>
  <c r="D350" i="29"/>
  <c r="C350" i="29"/>
  <c r="H349" i="29"/>
  <c r="G349" i="29"/>
  <c r="E349" i="29"/>
  <c r="D349" i="29"/>
  <c r="C349" i="29"/>
  <c r="H348" i="29"/>
  <c r="G348" i="29"/>
  <c r="E348" i="29"/>
  <c r="D348" i="29"/>
  <c r="C348" i="29"/>
  <c r="H347" i="29"/>
  <c r="G347" i="29"/>
  <c r="E347" i="29"/>
  <c r="D347" i="29"/>
  <c r="C347" i="29"/>
  <c r="H346" i="29"/>
  <c r="G346" i="29"/>
  <c r="E346" i="29"/>
  <c r="D346" i="29"/>
  <c r="C346" i="29"/>
  <c r="H345" i="29"/>
  <c r="G345" i="29"/>
  <c r="E345" i="29"/>
  <c r="D345" i="29"/>
  <c r="C345" i="29"/>
  <c r="H344" i="29"/>
  <c r="G344" i="29"/>
  <c r="E344" i="29"/>
  <c r="D344" i="29"/>
  <c r="C344" i="29"/>
  <c r="H343" i="29"/>
  <c r="G343" i="29"/>
  <c r="E343" i="29"/>
  <c r="D343" i="29"/>
  <c r="C343" i="29"/>
  <c r="H342" i="29"/>
  <c r="G342" i="29"/>
  <c r="E342" i="29"/>
  <c r="D342" i="29"/>
  <c r="C342" i="29"/>
  <c r="H341" i="29"/>
  <c r="G341" i="29"/>
  <c r="E341" i="29"/>
  <c r="D341" i="29"/>
  <c r="C341" i="29"/>
  <c r="H340" i="29"/>
  <c r="G340" i="29"/>
  <c r="E340" i="29"/>
  <c r="D340" i="29"/>
  <c r="C340" i="29"/>
  <c r="H339" i="29"/>
  <c r="G339" i="29"/>
  <c r="E339" i="29"/>
  <c r="D339" i="29"/>
  <c r="C339" i="29"/>
  <c r="H338" i="29"/>
  <c r="G338" i="29"/>
  <c r="E338" i="29"/>
  <c r="D338" i="29"/>
  <c r="C338" i="29"/>
  <c r="H337" i="29"/>
  <c r="G337" i="29"/>
  <c r="E337" i="29"/>
  <c r="D337" i="29"/>
  <c r="C337" i="29"/>
  <c r="H336" i="29"/>
  <c r="G336" i="29"/>
  <c r="E336" i="29"/>
  <c r="D336" i="29"/>
  <c r="C336" i="29"/>
  <c r="H335" i="29"/>
  <c r="G335" i="29"/>
  <c r="E335" i="29"/>
  <c r="D335" i="29"/>
  <c r="C335" i="29"/>
  <c r="H334" i="29"/>
  <c r="G334" i="29"/>
  <c r="E334" i="29"/>
  <c r="D334" i="29"/>
  <c r="C334" i="29"/>
  <c r="H333" i="29"/>
  <c r="G333" i="29"/>
  <c r="E333" i="29"/>
  <c r="D333" i="29"/>
  <c r="C333" i="29"/>
  <c r="H332" i="29"/>
  <c r="G332" i="29"/>
  <c r="E332" i="29"/>
  <c r="D332" i="29"/>
  <c r="C332" i="29"/>
  <c r="H331" i="29"/>
  <c r="G331" i="29"/>
  <c r="E331" i="29"/>
  <c r="D331" i="29"/>
  <c r="C331" i="29"/>
  <c r="H330" i="29"/>
  <c r="G330" i="29"/>
  <c r="E330" i="29"/>
  <c r="D330" i="29"/>
  <c r="C330" i="29"/>
  <c r="H329" i="29"/>
  <c r="G329" i="29"/>
  <c r="E329" i="29"/>
  <c r="D329" i="29"/>
  <c r="C329" i="29"/>
  <c r="H328" i="29"/>
  <c r="G328" i="29"/>
  <c r="E328" i="29"/>
  <c r="D328" i="29"/>
  <c r="C328" i="29"/>
  <c r="H327" i="29"/>
  <c r="G327" i="29"/>
  <c r="E327" i="29"/>
  <c r="D327" i="29"/>
  <c r="C327" i="29"/>
  <c r="H326" i="29"/>
  <c r="G326" i="29"/>
  <c r="E326" i="29"/>
  <c r="D326" i="29"/>
  <c r="C326" i="29"/>
  <c r="H325" i="29"/>
  <c r="G325" i="29"/>
  <c r="E325" i="29"/>
  <c r="D325" i="29"/>
  <c r="C325" i="29"/>
  <c r="H324" i="29"/>
  <c r="G324" i="29"/>
  <c r="E324" i="29"/>
  <c r="D324" i="29"/>
  <c r="C324" i="29"/>
  <c r="H323" i="29"/>
  <c r="G323" i="29"/>
  <c r="E323" i="29"/>
  <c r="D323" i="29"/>
  <c r="C323" i="29"/>
  <c r="H322" i="29"/>
  <c r="G322" i="29"/>
  <c r="E322" i="29"/>
  <c r="D322" i="29"/>
  <c r="C322" i="29"/>
  <c r="H321" i="29"/>
  <c r="G321" i="29"/>
  <c r="E321" i="29"/>
  <c r="D321" i="29"/>
  <c r="C321" i="29"/>
  <c r="H320" i="29"/>
  <c r="G320" i="29"/>
  <c r="E320" i="29"/>
  <c r="D320" i="29"/>
  <c r="C320" i="29"/>
  <c r="H319" i="29"/>
  <c r="G319" i="29"/>
  <c r="E319" i="29"/>
  <c r="D319" i="29"/>
  <c r="C319" i="29"/>
  <c r="H318" i="29"/>
  <c r="G318" i="29"/>
  <c r="E318" i="29"/>
  <c r="D318" i="29"/>
  <c r="C318" i="29"/>
  <c r="H317" i="29"/>
  <c r="G317" i="29"/>
  <c r="E317" i="29"/>
  <c r="D317" i="29"/>
  <c r="C317" i="29"/>
  <c r="H316" i="29"/>
  <c r="G316" i="29"/>
  <c r="E316" i="29"/>
  <c r="D316" i="29"/>
  <c r="C316" i="29"/>
  <c r="H315" i="29"/>
  <c r="G315" i="29"/>
  <c r="E315" i="29"/>
  <c r="D315" i="29"/>
  <c r="C315" i="29"/>
  <c r="H314" i="29"/>
  <c r="G314" i="29"/>
  <c r="E314" i="29"/>
  <c r="D314" i="29"/>
  <c r="C314" i="29"/>
  <c r="H313" i="29"/>
  <c r="G313" i="29"/>
  <c r="E313" i="29"/>
  <c r="D313" i="29"/>
  <c r="C313" i="29"/>
  <c r="H312" i="29"/>
  <c r="G312" i="29"/>
  <c r="E312" i="29"/>
  <c r="D312" i="29"/>
  <c r="C312" i="29"/>
  <c r="H311" i="29"/>
  <c r="G311" i="29"/>
  <c r="E311" i="29"/>
  <c r="D311" i="29"/>
  <c r="C311" i="29"/>
  <c r="H310" i="29"/>
  <c r="G310" i="29"/>
  <c r="E310" i="29"/>
  <c r="D310" i="29"/>
  <c r="C310" i="29"/>
  <c r="H309" i="29"/>
  <c r="G309" i="29"/>
  <c r="E309" i="29"/>
  <c r="D309" i="29"/>
  <c r="C309" i="29"/>
  <c r="H308" i="29"/>
  <c r="G308" i="29"/>
  <c r="E308" i="29"/>
  <c r="D308" i="29"/>
  <c r="C308" i="29"/>
  <c r="H307" i="29"/>
  <c r="G307" i="29"/>
  <c r="E307" i="29"/>
  <c r="D307" i="29"/>
  <c r="C307" i="29"/>
  <c r="H306" i="29"/>
  <c r="G306" i="29"/>
  <c r="E306" i="29"/>
  <c r="D306" i="29"/>
  <c r="C306" i="29"/>
  <c r="H305" i="29"/>
  <c r="G305" i="29"/>
  <c r="K305" i="29" s="1"/>
  <c r="E305" i="29"/>
  <c r="D305" i="29"/>
  <c r="C305" i="29"/>
  <c r="H304" i="29"/>
  <c r="G304" i="29"/>
  <c r="K304" i="29" s="1"/>
  <c r="E304" i="29"/>
  <c r="D304" i="29"/>
  <c r="C304" i="29"/>
  <c r="H303" i="29"/>
  <c r="G303" i="29"/>
  <c r="K303" i="29" s="1"/>
  <c r="E303" i="29"/>
  <c r="D303" i="29"/>
  <c r="C303" i="29"/>
  <c r="H302" i="29"/>
  <c r="G302" i="29"/>
  <c r="K302" i="29" s="1"/>
  <c r="E302" i="29"/>
  <c r="D302" i="29"/>
  <c r="C302" i="29"/>
  <c r="H301" i="29"/>
  <c r="G301" i="29"/>
  <c r="K301" i="29" s="1"/>
  <c r="E301" i="29"/>
  <c r="D301" i="29"/>
  <c r="C301" i="29"/>
  <c r="H300" i="29"/>
  <c r="G300" i="29"/>
  <c r="K300" i="29" s="1"/>
  <c r="E300" i="29"/>
  <c r="D300" i="29"/>
  <c r="C300" i="29"/>
  <c r="H299" i="29"/>
  <c r="G299" i="29"/>
  <c r="K299" i="29" s="1"/>
  <c r="E299" i="29"/>
  <c r="D299" i="29"/>
  <c r="C299" i="29"/>
  <c r="H298" i="29"/>
  <c r="G298" i="29"/>
  <c r="K298" i="29" s="1"/>
  <c r="E298" i="29"/>
  <c r="D298" i="29"/>
  <c r="C298" i="29"/>
  <c r="H297" i="29"/>
  <c r="G297" i="29"/>
  <c r="K297" i="29" s="1"/>
  <c r="E297" i="29"/>
  <c r="D297" i="29"/>
  <c r="C297" i="29"/>
  <c r="H296" i="29"/>
  <c r="G296" i="29"/>
  <c r="K296" i="29" s="1"/>
  <c r="E296" i="29"/>
  <c r="D296" i="29"/>
  <c r="C296" i="29"/>
  <c r="H295" i="29"/>
  <c r="G295" i="29"/>
  <c r="E295" i="29"/>
  <c r="D295" i="29"/>
  <c r="C295" i="29"/>
  <c r="H294" i="29"/>
  <c r="G294" i="29"/>
  <c r="K294" i="29" s="1"/>
  <c r="E294" i="29"/>
  <c r="D294" i="29"/>
  <c r="C294" i="29"/>
  <c r="H293" i="29"/>
  <c r="G293" i="29"/>
  <c r="E293" i="29"/>
  <c r="D293" i="29"/>
  <c r="C293" i="29"/>
  <c r="H292" i="29"/>
  <c r="G292" i="29"/>
  <c r="K292" i="29" s="1"/>
  <c r="E292" i="29"/>
  <c r="D292" i="29"/>
  <c r="C292" i="29"/>
  <c r="H291" i="29"/>
  <c r="G291" i="29"/>
  <c r="K291" i="29" s="1"/>
  <c r="E291" i="29"/>
  <c r="D291" i="29"/>
  <c r="C291" i="29"/>
  <c r="H290" i="29"/>
  <c r="G290" i="29"/>
  <c r="K290" i="29" s="1"/>
  <c r="E290" i="29"/>
  <c r="D290" i="29"/>
  <c r="C290" i="29"/>
  <c r="H289" i="29"/>
  <c r="G289" i="29"/>
  <c r="K289" i="29" s="1"/>
  <c r="E289" i="29"/>
  <c r="D289" i="29"/>
  <c r="C289" i="29"/>
  <c r="H288" i="29"/>
  <c r="G288" i="29"/>
  <c r="K288" i="29" s="1"/>
  <c r="E288" i="29"/>
  <c r="D288" i="29"/>
  <c r="C288" i="29"/>
  <c r="H287" i="29"/>
  <c r="G287" i="29"/>
  <c r="E287" i="29"/>
  <c r="D287" i="29"/>
  <c r="C287" i="29"/>
  <c r="H286" i="29"/>
  <c r="G286" i="29"/>
  <c r="E286" i="29"/>
  <c r="D286" i="29"/>
  <c r="C286" i="29"/>
  <c r="H285" i="29"/>
  <c r="G285" i="29"/>
  <c r="E285" i="29"/>
  <c r="D285" i="29"/>
  <c r="C285" i="29"/>
  <c r="H284" i="29"/>
  <c r="G284" i="29"/>
  <c r="E284" i="29"/>
  <c r="D284" i="29"/>
  <c r="C284" i="29"/>
  <c r="H283" i="29"/>
  <c r="G283" i="29"/>
  <c r="E283" i="29"/>
  <c r="D283" i="29"/>
  <c r="C283" i="29"/>
  <c r="H282" i="29"/>
  <c r="G282" i="29"/>
  <c r="E282" i="29"/>
  <c r="D282" i="29"/>
  <c r="C282" i="29"/>
  <c r="H281" i="29"/>
  <c r="G281" i="29"/>
  <c r="E281" i="29"/>
  <c r="D281" i="29"/>
  <c r="C281" i="29"/>
  <c r="H280" i="29"/>
  <c r="G280" i="29"/>
  <c r="E280" i="29"/>
  <c r="D280" i="29"/>
  <c r="C280" i="29"/>
  <c r="H279" i="29"/>
  <c r="G279" i="29"/>
  <c r="E279" i="29"/>
  <c r="D279" i="29"/>
  <c r="C279" i="29"/>
  <c r="H278" i="29"/>
  <c r="G278" i="29"/>
  <c r="E278" i="29"/>
  <c r="D278" i="29"/>
  <c r="C278" i="29"/>
  <c r="H277" i="29"/>
  <c r="G277" i="29"/>
  <c r="E277" i="29"/>
  <c r="D277" i="29"/>
  <c r="C277" i="29"/>
  <c r="H276" i="29"/>
  <c r="G276" i="29"/>
  <c r="E276" i="29"/>
  <c r="D276" i="29"/>
  <c r="C276" i="29"/>
  <c r="H275" i="29"/>
  <c r="G275" i="29"/>
  <c r="E275" i="29"/>
  <c r="D275" i="29"/>
  <c r="C275" i="29"/>
  <c r="H274" i="29"/>
  <c r="G274" i="29"/>
  <c r="E274" i="29"/>
  <c r="D274" i="29"/>
  <c r="C274" i="29"/>
  <c r="H273" i="29"/>
  <c r="G273" i="29"/>
  <c r="E273" i="29"/>
  <c r="D273" i="29"/>
  <c r="C273" i="29"/>
  <c r="H272" i="29"/>
  <c r="G272" i="29"/>
  <c r="E272" i="29"/>
  <c r="D272" i="29"/>
  <c r="C272" i="29"/>
  <c r="H271" i="29"/>
  <c r="G271" i="29"/>
  <c r="E271" i="29"/>
  <c r="D271" i="29"/>
  <c r="C271" i="29"/>
  <c r="H270" i="29"/>
  <c r="G270" i="29"/>
  <c r="E270" i="29"/>
  <c r="D270" i="29"/>
  <c r="C270" i="29"/>
  <c r="H269" i="29"/>
  <c r="G269" i="29"/>
  <c r="E269" i="29"/>
  <c r="D269" i="29"/>
  <c r="C269" i="29"/>
  <c r="H268" i="29"/>
  <c r="G268" i="29"/>
  <c r="E268" i="29"/>
  <c r="D268" i="29"/>
  <c r="C268" i="29"/>
  <c r="H267" i="29"/>
  <c r="G267" i="29"/>
  <c r="E267" i="29"/>
  <c r="D267" i="29"/>
  <c r="C267" i="29"/>
  <c r="H266" i="29"/>
  <c r="G266" i="29"/>
  <c r="E266" i="29"/>
  <c r="D266" i="29"/>
  <c r="C266" i="29"/>
  <c r="H265" i="29"/>
  <c r="G265" i="29"/>
  <c r="E265" i="29"/>
  <c r="D265" i="29"/>
  <c r="C265" i="29"/>
  <c r="H264" i="29"/>
  <c r="G264" i="29"/>
  <c r="E264" i="29"/>
  <c r="D264" i="29"/>
  <c r="C264" i="29"/>
  <c r="H263" i="29"/>
  <c r="G263" i="29"/>
  <c r="E263" i="29"/>
  <c r="D263" i="29"/>
  <c r="C263" i="29"/>
  <c r="H262" i="29"/>
  <c r="G262" i="29"/>
  <c r="E262" i="29"/>
  <c r="D262" i="29"/>
  <c r="C262" i="29"/>
  <c r="H261" i="29"/>
  <c r="G261" i="29"/>
  <c r="E261" i="29"/>
  <c r="D261" i="29"/>
  <c r="C261" i="29"/>
  <c r="H260" i="29"/>
  <c r="G260" i="29"/>
  <c r="E260" i="29"/>
  <c r="D260" i="29"/>
  <c r="C260" i="29"/>
  <c r="H259" i="29"/>
  <c r="G259" i="29"/>
  <c r="E259" i="29"/>
  <c r="D259" i="29"/>
  <c r="C259" i="29"/>
  <c r="H258" i="29"/>
  <c r="G258" i="29"/>
  <c r="E258" i="29"/>
  <c r="D258" i="29"/>
  <c r="C258" i="29"/>
  <c r="H257" i="29"/>
  <c r="G257" i="29"/>
  <c r="E257" i="29"/>
  <c r="D257" i="29"/>
  <c r="C257" i="29"/>
  <c r="H256" i="29"/>
  <c r="G256" i="29"/>
  <c r="E256" i="29"/>
  <c r="D256" i="29"/>
  <c r="C256" i="29"/>
  <c r="H255" i="29"/>
  <c r="G255" i="29"/>
  <c r="E255" i="29"/>
  <c r="D255" i="29"/>
  <c r="C255" i="29"/>
  <c r="H254" i="29"/>
  <c r="G254" i="29"/>
  <c r="E254" i="29"/>
  <c r="D254" i="29"/>
  <c r="C254" i="29"/>
  <c r="H253" i="29"/>
  <c r="G253" i="29"/>
  <c r="E253" i="29"/>
  <c r="D253" i="29"/>
  <c r="C253" i="29"/>
  <c r="H252" i="29"/>
  <c r="G252" i="29"/>
  <c r="E252" i="29"/>
  <c r="D252" i="29"/>
  <c r="C252" i="29"/>
  <c r="H251" i="29"/>
  <c r="G251" i="29"/>
  <c r="E251" i="29"/>
  <c r="D251" i="29"/>
  <c r="C251" i="29"/>
  <c r="H250" i="29"/>
  <c r="G250" i="29"/>
  <c r="E250" i="29"/>
  <c r="D250" i="29"/>
  <c r="C250" i="29"/>
  <c r="H249" i="29"/>
  <c r="G249" i="29"/>
  <c r="E249" i="29"/>
  <c r="D249" i="29"/>
  <c r="C249" i="29"/>
  <c r="H248" i="29"/>
  <c r="G248" i="29"/>
  <c r="E248" i="29"/>
  <c r="D248" i="29"/>
  <c r="C248" i="29"/>
  <c r="H247" i="29"/>
  <c r="G247" i="29"/>
  <c r="E247" i="29"/>
  <c r="D247" i="29"/>
  <c r="C247" i="29"/>
  <c r="H246" i="29"/>
  <c r="G246" i="29"/>
  <c r="E246" i="29"/>
  <c r="D246" i="29"/>
  <c r="C246" i="29"/>
  <c r="H245" i="29"/>
  <c r="G245" i="29"/>
  <c r="E245" i="29"/>
  <c r="D245" i="29"/>
  <c r="C245" i="29"/>
  <c r="H244" i="29"/>
  <c r="G244" i="29"/>
  <c r="E244" i="29"/>
  <c r="D244" i="29"/>
  <c r="C244" i="29"/>
  <c r="H243" i="29"/>
  <c r="G243" i="29"/>
  <c r="E243" i="29"/>
  <c r="D243" i="29"/>
  <c r="C243" i="29"/>
  <c r="H242" i="29"/>
  <c r="G242" i="29"/>
  <c r="E242" i="29"/>
  <c r="D242" i="29"/>
  <c r="C242" i="29"/>
  <c r="H241" i="29"/>
  <c r="G241" i="29"/>
  <c r="E241" i="29"/>
  <c r="D241" i="29"/>
  <c r="C241" i="29"/>
  <c r="H240" i="29"/>
  <c r="G240" i="29"/>
  <c r="E240" i="29"/>
  <c r="D240" i="29"/>
  <c r="C240" i="29"/>
  <c r="H239" i="29"/>
  <c r="G239" i="29"/>
  <c r="E239" i="29"/>
  <c r="D239" i="29"/>
  <c r="C239" i="29"/>
  <c r="H238" i="29"/>
  <c r="G238" i="29"/>
  <c r="E238" i="29"/>
  <c r="D238" i="29"/>
  <c r="C238" i="29"/>
  <c r="H237" i="29"/>
  <c r="G237" i="29"/>
  <c r="E237" i="29"/>
  <c r="D237" i="29"/>
  <c r="C237" i="29"/>
  <c r="H236" i="29"/>
  <c r="G236" i="29"/>
  <c r="E236" i="29"/>
  <c r="D236" i="29"/>
  <c r="C236" i="29"/>
  <c r="H235" i="29"/>
  <c r="G235" i="29"/>
  <c r="E235" i="29"/>
  <c r="D235" i="29"/>
  <c r="C235" i="29"/>
  <c r="H234" i="29"/>
  <c r="G234" i="29"/>
  <c r="E234" i="29"/>
  <c r="D234" i="29"/>
  <c r="C234" i="29"/>
  <c r="H233" i="29"/>
  <c r="G233" i="29"/>
  <c r="E233" i="29"/>
  <c r="D233" i="29"/>
  <c r="C233" i="29"/>
  <c r="H232" i="29"/>
  <c r="G232" i="29"/>
  <c r="E232" i="29"/>
  <c r="D232" i="29"/>
  <c r="C232" i="29"/>
  <c r="H231" i="29"/>
  <c r="G231" i="29"/>
  <c r="E231" i="29"/>
  <c r="D231" i="29"/>
  <c r="C231" i="29"/>
  <c r="H230" i="29"/>
  <c r="G230" i="29"/>
  <c r="E230" i="29"/>
  <c r="D230" i="29"/>
  <c r="C230" i="29"/>
  <c r="H229" i="29"/>
  <c r="G229" i="29"/>
  <c r="E229" i="29"/>
  <c r="D229" i="29"/>
  <c r="C229" i="29"/>
  <c r="H228" i="29"/>
  <c r="G228" i="29"/>
  <c r="E228" i="29"/>
  <c r="D228" i="29"/>
  <c r="C228" i="29"/>
  <c r="H227" i="29"/>
  <c r="G227" i="29"/>
  <c r="E227" i="29"/>
  <c r="D227" i="29"/>
  <c r="C227" i="29"/>
  <c r="H226" i="29"/>
  <c r="G226" i="29"/>
  <c r="E226" i="29"/>
  <c r="D226" i="29"/>
  <c r="C226" i="29"/>
  <c r="H225" i="29"/>
  <c r="G225" i="29"/>
  <c r="E225" i="29"/>
  <c r="D225" i="29"/>
  <c r="C225" i="29"/>
  <c r="H224" i="29"/>
  <c r="G224" i="29"/>
  <c r="E224" i="29"/>
  <c r="D224" i="29"/>
  <c r="C224" i="29"/>
  <c r="H223" i="29"/>
  <c r="G223" i="29"/>
  <c r="E223" i="29"/>
  <c r="D223" i="29"/>
  <c r="C223" i="29"/>
  <c r="H222" i="29"/>
  <c r="G222" i="29"/>
  <c r="E222" i="29"/>
  <c r="D222" i="29"/>
  <c r="C222" i="29"/>
  <c r="H221" i="29"/>
  <c r="G221" i="29"/>
  <c r="E221" i="29"/>
  <c r="D221" i="29"/>
  <c r="C221" i="29"/>
  <c r="H220" i="29"/>
  <c r="G220" i="29"/>
  <c r="E220" i="29"/>
  <c r="D220" i="29"/>
  <c r="C220" i="29"/>
  <c r="H219" i="29"/>
  <c r="G219" i="29"/>
  <c r="E219" i="29"/>
  <c r="D219" i="29"/>
  <c r="C219" i="29"/>
  <c r="H218" i="29"/>
  <c r="G218" i="29"/>
  <c r="E218" i="29"/>
  <c r="D218" i="29"/>
  <c r="C218" i="29"/>
  <c r="H217" i="29"/>
  <c r="G217" i="29"/>
  <c r="E217" i="29"/>
  <c r="D217" i="29"/>
  <c r="C217" i="29"/>
  <c r="H216" i="29"/>
  <c r="G216" i="29"/>
  <c r="E216" i="29"/>
  <c r="D216" i="29"/>
  <c r="C216" i="29"/>
  <c r="H215" i="29"/>
  <c r="G215" i="29"/>
  <c r="E215" i="29"/>
  <c r="D215" i="29"/>
  <c r="C215" i="29"/>
  <c r="H214" i="29"/>
  <c r="G214" i="29"/>
  <c r="E214" i="29"/>
  <c r="D214" i="29"/>
  <c r="C214" i="29"/>
  <c r="H213" i="29"/>
  <c r="G213" i="29"/>
  <c r="E213" i="29"/>
  <c r="D213" i="29"/>
  <c r="C213" i="29"/>
  <c r="H212" i="29"/>
  <c r="G212" i="29"/>
  <c r="E212" i="29"/>
  <c r="D212" i="29"/>
  <c r="C212" i="29"/>
  <c r="H211" i="29"/>
  <c r="G211" i="29"/>
  <c r="E211" i="29"/>
  <c r="D211" i="29"/>
  <c r="C211" i="29"/>
  <c r="H210" i="29"/>
  <c r="G210" i="29"/>
  <c r="E210" i="29"/>
  <c r="D210" i="29"/>
  <c r="C210" i="29"/>
  <c r="H209" i="29"/>
  <c r="G209" i="29"/>
  <c r="E209" i="29"/>
  <c r="D209" i="29"/>
  <c r="C209" i="29"/>
  <c r="H208" i="29"/>
  <c r="G208" i="29"/>
  <c r="E208" i="29"/>
  <c r="D208" i="29"/>
  <c r="C208" i="29"/>
  <c r="H207" i="29"/>
  <c r="G207" i="29"/>
  <c r="E207" i="29"/>
  <c r="D207" i="29"/>
  <c r="C207" i="29"/>
  <c r="H206" i="29"/>
  <c r="G206" i="29"/>
  <c r="E206" i="29"/>
  <c r="D206" i="29"/>
  <c r="C206" i="29"/>
  <c r="H205" i="29"/>
  <c r="G205" i="29"/>
  <c r="E205" i="29"/>
  <c r="D205" i="29"/>
  <c r="C205" i="29"/>
  <c r="H204" i="29"/>
  <c r="G204" i="29"/>
  <c r="E204" i="29"/>
  <c r="D204" i="29"/>
  <c r="C204" i="29"/>
  <c r="H203" i="29"/>
  <c r="G203" i="29"/>
  <c r="E203" i="29"/>
  <c r="D203" i="29"/>
  <c r="C203" i="29"/>
  <c r="H202" i="29"/>
  <c r="G202" i="29"/>
  <c r="E202" i="29"/>
  <c r="D202" i="29"/>
  <c r="C202" i="29"/>
  <c r="H201" i="29"/>
  <c r="G201" i="29"/>
  <c r="E201" i="29"/>
  <c r="D201" i="29"/>
  <c r="C201" i="29"/>
  <c r="H200" i="29"/>
  <c r="G200" i="29"/>
  <c r="E200" i="29"/>
  <c r="D200" i="29"/>
  <c r="C200" i="29"/>
  <c r="H199" i="29"/>
  <c r="G199" i="29"/>
  <c r="E199" i="29"/>
  <c r="D199" i="29"/>
  <c r="C199" i="29"/>
  <c r="H198" i="29"/>
  <c r="G198" i="29"/>
  <c r="E198" i="29"/>
  <c r="D198" i="29"/>
  <c r="C198" i="29"/>
  <c r="H197" i="29"/>
  <c r="G197" i="29"/>
  <c r="E197" i="29"/>
  <c r="D197" i="29"/>
  <c r="C197" i="29"/>
  <c r="H196" i="29"/>
  <c r="G196" i="29"/>
  <c r="E196" i="29"/>
  <c r="D196" i="29"/>
  <c r="C196" i="29"/>
  <c r="H195" i="29"/>
  <c r="G195" i="29"/>
  <c r="E195" i="29"/>
  <c r="D195" i="29"/>
  <c r="C195" i="29"/>
  <c r="H194" i="29"/>
  <c r="G194" i="29"/>
  <c r="E194" i="29"/>
  <c r="D194" i="29"/>
  <c r="C194" i="29"/>
  <c r="H193" i="29"/>
  <c r="G193" i="29"/>
  <c r="E193" i="29"/>
  <c r="D193" i="29"/>
  <c r="C193" i="29"/>
  <c r="H192" i="29"/>
  <c r="G192" i="29"/>
  <c r="E192" i="29"/>
  <c r="D192" i="29"/>
  <c r="C192" i="29"/>
  <c r="H191" i="29"/>
  <c r="G191" i="29"/>
  <c r="E191" i="29"/>
  <c r="D191" i="29"/>
  <c r="C191" i="29"/>
  <c r="H190" i="29"/>
  <c r="G190" i="29"/>
  <c r="E190" i="29"/>
  <c r="D190" i="29"/>
  <c r="C190" i="29"/>
  <c r="H189" i="29"/>
  <c r="G189" i="29"/>
  <c r="E189" i="29"/>
  <c r="D189" i="29"/>
  <c r="C189" i="29"/>
  <c r="H188" i="29"/>
  <c r="G188" i="29"/>
  <c r="E188" i="29"/>
  <c r="D188" i="29"/>
  <c r="C188" i="29"/>
  <c r="H187" i="29"/>
  <c r="G187" i="29"/>
  <c r="E187" i="29"/>
  <c r="D187" i="29"/>
  <c r="C187" i="29"/>
  <c r="H186" i="29"/>
  <c r="G186" i="29"/>
  <c r="E186" i="29"/>
  <c r="D186" i="29"/>
  <c r="C186" i="29"/>
  <c r="H185" i="29"/>
  <c r="G185" i="29"/>
  <c r="E185" i="29"/>
  <c r="D185" i="29"/>
  <c r="C185" i="29"/>
  <c r="H184" i="29"/>
  <c r="G184" i="29"/>
  <c r="E184" i="29"/>
  <c r="D184" i="29"/>
  <c r="C184" i="29"/>
  <c r="H183" i="29"/>
  <c r="G183" i="29"/>
  <c r="E183" i="29"/>
  <c r="D183" i="29"/>
  <c r="C183" i="29"/>
  <c r="H182" i="29"/>
  <c r="G182" i="29"/>
  <c r="E182" i="29"/>
  <c r="D182" i="29"/>
  <c r="C182" i="29"/>
  <c r="H181" i="29"/>
  <c r="G181" i="29"/>
  <c r="E181" i="29"/>
  <c r="D181" i="29"/>
  <c r="C181" i="29"/>
  <c r="H180" i="29"/>
  <c r="G180" i="29"/>
  <c r="E180" i="29"/>
  <c r="D180" i="29"/>
  <c r="C180" i="29"/>
  <c r="H179" i="29"/>
  <c r="G179" i="29"/>
  <c r="E179" i="29"/>
  <c r="D179" i="29"/>
  <c r="C179" i="29"/>
  <c r="H178" i="29"/>
  <c r="G178" i="29"/>
  <c r="E178" i="29"/>
  <c r="D178" i="29"/>
  <c r="C178" i="29"/>
  <c r="H177" i="29"/>
  <c r="G177" i="29"/>
  <c r="E177" i="29"/>
  <c r="D177" i="29"/>
  <c r="C177" i="29"/>
  <c r="H176" i="29"/>
  <c r="G176" i="29"/>
  <c r="E176" i="29"/>
  <c r="D176" i="29"/>
  <c r="C176" i="29"/>
  <c r="H175" i="29"/>
  <c r="G175" i="29"/>
  <c r="E175" i="29"/>
  <c r="D175" i="29"/>
  <c r="C175" i="29"/>
  <c r="H174" i="29"/>
  <c r="G174" i="29"/>
  <c r="E174" i="29"/>
  <c r="D174" i="29"/>
  <c r="C174" i="29"/>
  <c r="H173" i="29"/>
  <c r="G173" i="29"/>
  <c r="E173" i="29"/>
  <c r="D173" i="29"/>
  <c r="C173" i="29"/>
  <c r="H172" i="29"/>
  <c r="G172" i="29"/>
  <c r="E172" i="29"/>
  <c r="D172" i="29"/>
  <c r="C172" i="29"/>
  <c r="H171" i="29"/>
  <c r="G171" i="29"/>
  <c r="E171" i="29"/>
  <c r="D171" i="29"/>
  <c r="C171" i="29"/>
  <c r="H170" i="29"/>
  <c r="G170" i="29"/>
  <c r="E170" i="29"/>
  <c r="D170" i="29"/>
  <c r="C170" i="29"/>
  <c r="H169" i="29"/>
  <c r="G169" i="29"/>
  <c r="E169" i="29"/>
  <c r="D169" i="29"/>
  <c r="C169" i="29"/>
  <c r="H168" i="29"/>
  <c r="G168" i="29"/>
  <c r="E168" i="29"/>
  <c r="D168" i="29"/>
  <c r="C168" i="29"/>
  <c r="H167" i="29"/>
  <c r="G167" i="29"/>
  <c r="E167" i="29"/>
  <c r="D167" i="29"/>
  <c r="C167" i="29"/>
  <c r="H166" i="29"/>
  <c r="G166" i="29"/>
  <c r="E166" i="29"/>
  <c r="D166" i="29"/>
  <c r="C166" i="29"/>
  <c r="H165" i="29"/>
  <c r="G165" i="29"/>
  <c r="E165" i="29"/>
  <c r="D165" i="29"/>
  <c r="C165" i="29"/>
  <c r="H164" i="29"/>
  <c r="G164" i="29"/>
  <c r="E164" i="29"/>
  <c r="D164" i="29"/>
  <c r="C164" i="29"/>
  <c r="H163" i="29"/>
  <c r="G163" i="29"/>
  <c r="E163" i="29"/>
  <c r="D163" i="29"/>
  <c r="C163" i="29"/>
  <c r="H162" i="29"/>
  <c r="G162" i="29"/>
  <c r="E162" i="29"/>
  <c r="D162" i="29"/>
  <c r="C162" i="29"/>
  <c r="H161" i="29"/>
  <c r="G161" i="29"/>
  <c r="E161" i="29"/>
  <c r="D161" i="29"/>
  <c r="C161" i="29"/>
  <c r="H160" i="29"/>
  <c r="G160" i="29"/>
  <c r="E160" i="29"/>
  <c r="D160" i="29"/>
  <c r="C160" i="29"/>
  <c r="H159" i="29"/>
  <c r="G159" i="29"/>
  <c r="E159" i="29"/>
  <c r="D159" i="29"/>
  <c r="C159" i="29"/>
  <c r="H158" i="29"/>
  <c r="G158" i="29"/>
  <c r="E158" i="29"/>
  <c r="D158" i="29"/>
  <c r="C158" i="29"/>
  <c r="H157" i="29"/>
  <c r="G157" i="29"/>
  <c r="E157" i="29"/>
  <c r="D157" i="29"/>
  <c r="C157" i="29"/>
  <c r="H156" i="29"/>
  <c r="G156" i="29"/>
  <c r="E156" i="29"/>
  <c r="D156" i="29"/>
  <c r="C156" i="29"/>
  <c r="H155" i="29"/>
  <c r="G155" i="29"/>
  <c r="E155" i="29"/>
  <c r="D155" i="29"/>
  <c r="C155" i="29"/>
  <c r="H154" i="29"/>
  <c r="G154" i="29"/>
  <c r="E154" i="29"/>
  <c r="D154" i="29"/>
  <c r="C154" i="29"/>
  <c r="H153" i="29"/>
  <c r="G153" i="29"/>
  <c r="E153" i="29"/>
  <c r="D153" i="29"/>
  <c r="C153" i="29"/>
  <c r="H152" i="29"/>
  <c r="G152" i="29"/>
  <c r="E152" i="29"/>
  <c r="D152" i="29"/>
  <c r="C152" i="29"/>
  <c r="H151" i="29"/>
  <c r="G151" i="29"/>
  <c r="E151" i="29"/>
  <c r="D151" i="29"/>
  <c r="C151" i="29"/>
  <c r="H150" i="29"/>
  <c r="G150" i="29"/>
  <c r="E150" i="29"/>
  <c r="D150" i="29"/>
  <c r="C150" i="29"/>
  <c r="H149" i="29"/>
  <c r="G149" i="29"/>
  <c r="E149" i="29"/>
  <c r="D149" i="29"/>
  <c r="C149" i="29"/>
  <c r="H148" i="29"/>
  <c r="G148" i="29"/>
  <c r="E148" i="29"/>
  <c r="D148" i="29"/>
  <c r="C148" i="29"/>
  <c r="H147" i="29"/>
  <c r="G147" i="29"/>
  <c r="E147" i="29"/>
  <c r="D147" i="29"/>
  <c r="C147" i="29"/>
  <c r="H146" i="29"/>
  <c r="G146" i="29"/>
  <c r="E146" i="29"/>
  <c r="D146" i="29"/>
  <c r="C146" i="29"/>
  <c r="H145" i="29"/>
  <c r="G145" i="29"/>
  <c r="E145" i="29"/>
  <c r="D145" i="29"/>
  <c r="C145" i="29"/>
  <c r="H144" i="29"/>
  <c r="G144" i="29"/>
  <c r="E144" i="29"/>
  <c r="D144" i="29"/>
  <c r="C144" i="29"/>
  <c r="H143" i="29"/>
  <c r="G143" i="29"/>
  <c r="E143" i="29"/>
  <c r="D143" i="29"/>
  <c r="C143" i="29"/>
  <c r="H142" i="29"/>
  <c r="G142" i="29"/>
  <c r="E142" i="29"/>
  <c r="D142" i="29"/>
  <c r="C142" i="29"/>
  <c r="H141" i="29"/>
  <c r="R141" i="29" s="1"/>
  <c r="G141" i="29"/>
  <c r="E141" i="29"/>
  <c r="D141" i="29"/>
  <c r="C141" i="29"/>
  <c r="H140" i="29"/>
  <c r="G140" i="29"/>
  <c r="E140" i="29"/>
  <c r="D140" i="29"/>
  <c r="C140" i="29"/>
  <c r="H139" i="29"/>
  <c r="G139" i="29"/>
  <c r="E139" i="29"/>
  <c r="D139" i="29"/>
  <c r="C139" i="29"/>
  <c r="H138" i="29"/>
  <c r="G138" i="29"/>
  <c r="E138" i="29"/>
  <c r="D138" i="29"/>
  <c r="C138" i="29"/>
  <c r="H137" i="29"/>
  <c r="G137" i="29"/>
  <c r="E137" i="29"/>
  <c r="D137" i="29"/>
  <c r="C137" i="29"/>
  <c r="H136" i="29"/>
  <c r="G136" i="29"/>
  <c r="E136" i="29"/>
  <c r="D136" i="29"/>
  <c r="C136" i="29"/>
  <c r="H135" i="29"/>
  <c r="G135" i="29"/>
  <c r="E135" i="29"/>
  <c r="D135" i="29"/>
  <c r="C135" i="29"/>
  <c r="H134" i="29"/>
  <c r="G134" i="29"/>
  <c r="E134" i="29"/>
  <c r="D134" i="29"/>
  <c r="C134" i="29"/>
  <c r="H133" i="29"/>
  <c r="G133" i="29"/>
  <c r="E133" i="29"/>
  <c r="D133" i="29"/>
  <c r="C133" i="29"/>
  <c r="H132" i="29"/>
  <c r="G132" i="29"/>
  <c r="E132" i="29"/>
  <c r="D132" i="29"/>
  <c r="C132" i="29"/>
  <c r="H131" i="29"/>
  <c r="G131" i="29"/>
  <c r="E131" i="29"/>
  <c r="D131" i="29"/>
  <c r="C131" i="29"/>
  <c r="H130" i="29"/>
  <c r="G130" i="29"/>
  <c r="E130" i="29"/>
  <c r="D130" i="29"/>
  <c r="C130" i="29"/>
  <c r="H129" i="29"/>
  <c r="G129" i="29"/>
  <c r="E129" i="29"/>
  <c r="D129" i="29"/>
  <c r="C129" i="29"/>
  <c r="H128" i="29"/>
  <c r="G128" i="29"/>
  <c r="E128" i="29"/>
  <c r="D128" i="29"/>
  <c r="C128" i="29"/>
  <c r="H127" i="29"/>
  <c r="G127" i="29"/>
  <c r="E127" i="29"/>
  <c r="D127" i="29"/>
  <c r="C127" i="29"/>
  <c r="H126" i="29"/>
  <c r="G126" i="29"/>
  <c r="E126" i="29"/>
  <c r="D126" i="29"/>
  <c r="C126" i="29"/>
  <c r="H125" i="29"/>
  <c r="G125" i="29"/>
  <c r="E125" i="29"/>
  <c r="D125" i="29"/>
  <c r="C125" i="29"/>
  <c r="H124" i="29"/>
  <c r="G124" i="29"/>
  <c r="E124" i="29"/>
  <c r="D124" i="29"/>
  <c r="C124" i="29"/>
  <c r="H123" i="29"/>
  <c r="G123" i="29"/>
  <c r="E123" i="29"/>
  <c r="D123" i="29"/>
  <c r="C123" i="29"/>
  <c r="H122" i="29"/>
  <c r="G122" i="29"/>
  <c r="E122" i="29"/>
  <c r="D122" i="29"/>
  <c r="C122" i="29"/>
  <c r="H121" i="29"/>
  <c r="G121" i="29"/>
  <c r="E121" i="29"/>
  <c r="D121" i="29"/>
  <c r="C121" i="29"/>
  <c r="H120" i="29"/>
  <c r="G120" i="29"/>
  <c r="E120" i="29"/>
  <c r="D120" i="29"/>
  <c r="C120" i="29"/>
  <c r="H119" i="29"/>
  <c r="G119" i="29"/>
  <c r="E119" i="29"/>
  <c r="D119" i="29"/>
  <c r="C119" i="29"/>
  <c r="H118" i="29"/>
  <c r="G118" i="29"/>
  <c r="E118" i="29"/>
  <c r="D118" i="29"/>
  <c r="C118" i="29"/>
  <c r="H117" i="29"/>
  <c r="G117" i="29"/>
  <c r="E117" i="29"/>
  <c r="D117" i="29"/>
  <c r="C117" i="29"/>
  <c r="H116" i="29"/>
  <c r="G116" i="29"/>
  <c r="E116" i="29"/>
  <c r="D116" i="29"/>
  <c r="C116" i="29"/>
  <c r="H115" i="29"/>
  <c r="G115" i="29"/>
  <c r="E115" i="29"/>
  <c r="D115" i="29"/>
  <c r="C115" i="29"/>
  <c r="H114" i="29"/>
  <c r="G114" i="29"/>
  <c r="E114" i="29"/>
  <c r="D114" i="29"/>
  <c r="C114" i="29"/>
  <c r="H113" i="29"/>
  <c r="G113" i="29"/>
  <c r="E113" i="29"/>
  <c r="D113" i="29"/>
  <c r="C113" i="29"/>
  <c r="H112" i="29"/>
  <c r="G112" i="29"/>
  <c r="E112" i="29"/>
  <c r="D112" i="29"/>
  <c r="C112" i="29"/>
  <c r="H111" i="29"/>
  <c r="G111" i="29"/>
  <c r="E111" i="29"/>
  <c r="D111" i="29"/>
  <c r="C111" i="29"/>
  <c r="H110" i="29"/>
  <c r="G110" i="29"/>
  <c r="E110" i="29"/>
  <c r="D110" i="29"/>
  <c r="C110" i="29"/>
  <c r="H109" i="29"/>
  <c r="G109" i="29"/>
  <c r="E109" i="29"/>
  <c r="D109" i="29"/>
  <c r="C109" i="29"/>
  <c r="H108" i="29"/>
  <c r="G108" i="29"/>
  <c r="E108" i="29"/>
  <c r="D108" i="29"/>
  <c r="C108" i="29"/>
  <c r="H107" i="29"/>
  <c r="G107" i="29"/>
  <c r="E107" i="29"/>
  <c r="D107" i="29"/>
  <c r="C107" i="29"/>
  <c r="H106" i="29"/>
  <c r="G106" i="29"/>
  <c r="E106" i="29"/>
  <c r="D106" i="29"/>
  <c r="C106" i="29"/>
  <c r="H105" i="29"/>
  <c r="G105" i="29"/>
  <c r="E105" i="29"/>
  <c r="D105" i="29"/>
  <c r="C105" i="29"/>
  <c r="H104" i="29"/>
  <c r="G104" i="29"/>
  <c r="E104" i="29"/>
  <c r="D104" i="29"/>
  <c r="C104" i="29"/>
  <c r="H103" i="29"/>
  <c r="G103" i="29"/>
  <c r="E103" i="29"/>
  <c r="D103" i="29"/>
  <c r="C103" i="29"/>
  <c r="H102" i="29"/>
  <c r="G102" i="29"/>
  <c r="E102" i="29"/>
  <c r="D102" i="29"/>
  <c r="C102" i="29"/>
  <c r="H101" i="29"/>
  <c r="G101" i="29"/>
  <c r="E101" i="29"/>
  <c r="D101" i="29"/>
  <c r="C101" i="29"/>
  <c r="H100" i="29"/>
  <c r="G100" i="29"/>
  <c r="E100" i="29"/>
  <c r="D100" i="29"/>
  <c r="C100" i="29"/>
  <c r="H99" i="29"/>
  <c r="G99" i="29"/>
  <c r="E99" i="29"/>
  <c r="D99" i="29"/>
  <c r="C99" i="29"/>
  <c r="H98" i="29"/>
  <c r="G98" i="29"/>
  <c r="E98" i="29"/>
  <c r="D98" i="29"/>
  <c r="C98" i="29"/>
  <c r="H97" i="29"/>
  <c r="G97" i="29"/>
  <c r="E97" i="29"/>
  <c r="D97" i="29"/>
  <c r="C97" i="29"/>
  <c r="H96" i="29"/>
  <c r="G96" i="29"/>
  <c r="E96" i="29"/>
  <c r="D96" i="29"/>
  <c r="C96" i="29"/>
  <c r="H95" i="29"/>
  <c r="G95" i="29"/>
  <c r="E95" i="29"/>
  <c r="D95" i="29"/>
  <c r="C95" i="29"/>
  <c r="H94" i="29"/>
  <c r="G94" i="29"/>
  <c r="E94" i="29"/>
  <c r="D94" i="29"/>
  <c r="C94" i="29"/>
  <c r="H93" i="29"/>
  <c r="G93" i="29"/>
  <c r="E93" i="29"/>
  <c r="D93" i="29"/>
  <c r="C93" i="29"/>
  <c r="H92" i="29"/>
  <c r="G92" i="29"/>
  <c r="E92" i="29"/>
  <c r="D92" i="29"/>
  <c r="C92" i="29"/>
  <c r="H91" i="29"/>
  <c r="G91" i="29"/>
  <c r="E91" i="29"/>
  <c r="D91" i="29"/>
  <c r="C91" i="29"/>
  <c r="H90" i="29"/>
  <c r="G90" i="29"/>
  <c r="E90" i="29"/>
  <c r="D90" i="29"/>
  <c r="C90" i="29"/>
  <c r="H89" i="29"/>
  <c r="G89" i="29"/>
  <c r="E89" i="29"/>
  <c r="D89" i="29"/>
  <c r="C89" i="29"/>
  <c r="H88" i="29"/>
  <c r="G88" i="29"/>
  <c r="E88" i="29"/>
  <c r="D88" i="29"/>
  <c r="C88" i="29"/>
  <c r="H87" i="29"/>
  <c r="G87" i="29"/>
  <c r="E87" i="29"/>
  <c r="D87" i="29"/>
  <c r="C87" i="29"/>
  <c r="H86" i="29"/>
  <c r="G86" i="29"/>
  <c r="E86" i="29"/>
  <c r="D86" i="29"/>
  <c r="C86" i="29"/>
  <c r="H85" i="29"/>
  <c r="G85" i="29"/>
  <c r="E85" i="29"/>
  <c r="D85" i="29"/>
  <c r="C85" i="29"/>
  <c r="H84" i="29"/>
  <c r="G84" i="29"/>
  <c r="E84" i="29"/>
  <c r="D84" i="29"/>
  <c r="C84" i="29"/>
  <c r="H83" i="29"/>
  <c r="G83" i="29"/>
  <c r="E83" i="29"/>
  <c r="D83" i="29"/>
  <c r="C83" i="29"/>
  <c r="H82" i="29"/>
  <c r="G82" i="29"/>
  <c r="E82" i="29"/>
  <c r="D82" i="29"/>
  <c r="C82" i="29"/>
  <c r="H81" i="29"/>
  <c r="G81" i="29"/>
  <c r="E81" i="29"/>
  <c r="D81" i="29"/>
  <c r="C81" i="29"/>
  <c r="H80" i="29"/>
  <c r="G80" i="29"/>
  <c r="E80" i="29"/>
  <c r="D80" i="29"/>
  <c r="C80" i="29"/>
  <c r="H79" i="29"/>
  <c r="G79" i="29"/>
  <c r="E79" i="29"/>
  <c r="D79" i="29"/>
  <c r="C79" i="29"/>
  <c r="H78" i="29"/>
  <c r="G78" i="29"/>
  <c r="E78" i="29"/>
  <c r="D78" i="29"/>
  <c r="C78" i="29"/>
  <c r="H77" i="29"/>
  <c r="G77" i="29"/>
  <c r="E77" i="29"/>
  <c r="D77" i="29"/>
  <c r="C77" i="29"/>
  <c r="H76" i="29"/>
  <c r="G76" i="29"/>
  <c r="E76" i="29"/>
  <c r="D76" i="29"/>
  <c r="C76" i="29"/>
  <c r="H75" i="29"/>
  <c r="G75" i="29"/>
  <c r="E75" i="29"/>
  <c r="D75" i="29"/>
  <c r="C75" i="29"/>
  <c r="G74" i="29"/>
  <c r="E74" i="29"/>
  <c r="D74" i="29"/>
  <c r="C74" i="29"/>
  <c r="G73" i="29"/>
  <c r="E73" i="29"/>
  <c r="D73" i="29"/>
  <c r="C73" i="29"/>
  <c r="G72" i="29"/>
  <c r="E72" i="29"/>
  <c r="D72" i="29"/>
  <c r="C72" i="29"/>
  <c r="G71" i="29"/>
  <c r="E71" i="29"/>
  <c r="D71" i="29"/>
  <c r="C71" i="29"/>
  <c r="G70" i="29"/>
  <c r="E70" i="29"/>
  <c r="D70" i="29"/>
  <c r="C70" i="29"/>
  <c r="G69" i="29"/>
  <c r="E69" i="29"/>
  <c r="D69" i="29"/>
  <c r="C69" i="29"/>
  <c r="G68" i="29"/>
  <c r="E68" i="29"/>
  <c r="D68" i="29"/>
  <c r="C68" i="29"/>
  <c r="G67" i="29"/>
  <c r="E67" i="29"/>
  <c r="D67" i="29"/>
  <c r="C67" i="29"/>
  <c r="G66" i="29"/>
  <c r="E66" i="29"/>
  <c r="D66" i="29"/>
  <c r="C66" i="29"/>
  <c r="G65" i="29"/>
  <c r="E65" i="29"/>
  <c r="D65" i="29"/>
  <c r="C65" i="29"/>
  <c r="G64" i="29"/>
  <c r="E64" i="29"/>
  <c r="D64" i="29"/>
  <c r="C64" i="29"/>
  <c r="G63" i="29"/>
  <c r="E63" i="29"/>
  <c r="D63" i="29"/>
  <c r="C63" i="29"/>
  <c r="I81" i="29" l="1"/>
  <c r="I83" i="29"/>
  <c r="I85" i="29"/>
  <c r="I101" i="29"/>
  <c r="I103" i="29"/>
  <c r="I105" i="29"/>
  <c r="I107" i="29"/>
  <c r="I111" i="29"/>
  <c r="I113" i="29"/>
  <c r="I272" i="29"/>
  <c r="I274" i="29"/>
  <c r="I289" i="29"/>
  <c r="I291" i="29"/>
  <c r="I293" i="29"/>
  <c r="I357" i="29"/>
  <c r="I359" i="29"/>
  <c r="I361" i="29"/>
  <c r="I369" i="29"/>
  <c r="I82" i="29"/>
  <c r="I84" i="29"/>
  <c r="I86" i="29"/>
  <c r="I96" i="29"/>
  <c r="I98" i="29"/>
  <c r="I102" i="29"/>
  <c r="I104" i="29"/>
  <c r="I112" i="29"/>
  <c r="I118" i="29"/>
  <c r="I160" i="29"/>
  <c r="I288" i="29"/>
  <c r="I290" i="29"/>
  <c r="I292" i="29"/>
  <c r="I296" i="29"/>
  <c r="I352" i="29"/>
  <c r="I358" i="29"/>
  <c r="I360" i="29"/>
  <c r="I362" i="29"/>
  <c r="I366" i="29"/>
  <c r="I368" i="29"/>
  <c r="I276" i="29"/>
  <c r="I145" i="29"/>
  <c r="I147" i="29"/>
  <c r="I149" i="29"/>
  <c r="I151" i="29"/>
  <c r="I153" i="29"/>
  <c r="I155" i="29"/>
  <c r="I157" i="29"/>
  <c r="I161" i="29"/>
  <c r="I163" i="29"/>
  <c r="I165" i="29"/>
  <c r="I167" i="29"/>
  <c r="I169" i="29"/>
  <c r="I171" i="29"/>
  <c r="I173" i="29"/>
  <c r="I175" i="29"/>
  <c r="I177" i="29"/>
  <c r="I179" i="29"/>
  <c r="I181" i="29"/>
  <c r="I183" i="29"/>
  <c r="I185" i="29"/>
  <c r="I187" i="29"/>
  <c r="I189" i="29"/>
  <c r="I191" i="29"/>
  <c r="I193" i="29"/>
  <c r="I195" i="29"/>
  <c r="I197" i="29"/>
  <c r="I199" i="29"/>
  <c r="I297" i="29"/>
  <c r="I299" i="29"/>
  <c r="I301" i="29"/>
  <c r="I303" i="29"/>
  <c r="I305" i="29"/>
  <c r="I144" i="29"/>
  <c r="I146" i="29"/>
  <c r="I148" i="29"/>
  <c r="I150" i="29"/>
  <c r="I152" i="29"/>
  <c r="I154" i="29"/>
  <c r="I156" i="29"/>
  <c r="I158" i="29"/>
  <c r="I162" i="29"/>
  <c r="I164" i="29"/>
  <c r="I166" i="29"/>
  <c r="I168" i="29"/>
  <c r="I170" i="29"/>
  <c r="I172" i="29"/>
  <c r="I174" i="29"/>
  <c r="I176" i="29"/>
  <c r="I178" i="29"/>
  <c r="I180" i="29"/>
  <c r="I182" i="29"/>
  <c r="I184" i="29"/>
  <c r="I186" i="29"/>
  <c r="I188" i="29"/>
  <c r="I190" i="29"/>
  <c r="I192" i="29"/>
  <c r="I194" i="29"/>
  <c r="I196" i="29"/>
  <c r="I198" i="29"/>
  <c r="I200" i="29"/>
  <c r="I236" i="29"/>
  <c r="I240" i="29"/>
  <c r="I242" i="29"/>
  <c r="I246" i="29"/>
  <c r="I248" i="29"/>
  <c r="I250" i="29"/>
  <c r="I252" i="29"/>
  <c r="I254" i="29"/>
  <c r="I256" i="29"/>
  <c r="I258" i="29"/>
  <c r="I260" i="29"/>
  <c r="I262" i="29"/>
  <c r="I264" i="29"/>
  <c r="I266" i="29"/>
  <c r="I268" i="29"/>
  <c r="I270" i="29"/>
  <c r="I278" i="29"/>
  <c r="I280" i="29"/>
  <c r="I282" i="29"/>
  <c r="I284" i="29"/>
  <c r="I298" i="29"/>
  <c r="I300" i="29"/>
  <c r="I302" i="29"/>
  <c r="I304" i="29"/>
  <c r="I80" i="29"/>
  <c r="K293" i="29"/>
  <c r="I294" i="29"/>
  <c r="I306" i="29"/>
  <c r="I307" i="29"/>
  <c r="K307" i="29" s="1"/>
  <c r="I308" i="29"/>
  <c r="K308" i="29" s="1"/>
  <c r="I309" i="29"/>
  <c r="K309" i="29" s="1"/>
  <c r="I310" i="29"/>
  <c r="K310" i="29" s="1"/>
  <c r="I311" i="29"/>
  <c r="K311" i="29" s="1"/>
  <c r="I312" i="29"/>
  <c r="K312" i="29" s="1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3" i="29"/>
  <c r="I354" i="29"/>
  <c r="I355" i="29"/>
  <c r="I363" i="29"/>
  <c r="I364" i="29"/>
  <c r="I370" i="29"/>
  <c r="I76" i="29"/>
  <c r="I77" i="29"/>
  <c r="I78" i="29"/>
  <c r="I87" i="29"/>
  <c r="I88" i="29"/>
  <c r="I89" i="29"/>
  <c r="I90" i="29"/>
  <c r="I91" i="29"/>
  <c r="I92" i="29"/>
  <c r="I93" i="29"/>
  <c r="I94" i="29"/>
  <c r="I99" i="29"/>
  <c r="I108" i="29"/>
  <c r="I109" i="29"/>
  <c r="I114" i="29"/>
  <c r="I115" i="29"/>
  <c r="I116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79" i="29"/>
  <c r="I95" i="29"/>
  <c r="I97" i="29"/>
  <c r="I100" i="29"/>
  <c r="I106" i="29"/>
  <c r="I110" i="29"/>
  <c r="I117" i="29"/>
  <c r="I159" i="29"/>
  <c r="I202" i="29"/>
  <c r="I204" i="29"/>
  <c r="I206" i="29"/>
  <c r="I208" i="29"/>
  <c r="I210" i="29"/>
  <c r="I212" i="29"/>
  <c r="I214" i="29"/>
  <c r="I216" i="29"/>
  <c r="I218" i="29"/>
  <c r="I220" i="29"/>
  <c r="I222" i="29"/>
  <c r="I224" i="29"/>
  <c r="I226" i="29"/>
  <c r="I228" i="29"/>
  <c r="I230" i="29"/>
  <c r="I232" i="29"/>
  <c r="I234" i="29"/>
  <c r="I238" i="29"/>
  <c r="I244" i="29"/>
  <c r="I201" i="29"/>
  <c r="I203" i="29"/>
  <c r="I205" i="29"/>
  <c r="I207" i="29"/>
  <c r="I209" i="29"/>
  <c r="I211" i="29"/>
  <c r="I213" i="29"/>
  <c r="I215" i="29"/>
  <c r="I217" i="29"/>
  <c r="I219" i="29"/>
  <c r="I221" i="29"/>
  <c r="I223" i="29"/>
  <c r="I225" i="29"/>
  <c r="I227" i="29"/>
  <c r="I229" i="29"/>
  <c r="I231" i="29"/>
  <c r="I233" i="29"/>
  <c r="I235" i="29"/>
  <c r="I237" i="29"/>
  <c r="I239" i="29"/>
  <c r="I241" i="29"/>
  <c r="I243" i="29"/>
  <c r="I245" i="29"/>
  <c r="I247" i="29"/>
  <c r="I249" i="29"/>
  <c r="I251" i="29"/>
  <c r="I253" i="29"/>
  <c r="I255" i="29"/>
  <c r="I257" i="29"/>
  <c r="I259" i="29"/>
  <c r="I261" i="29"/>
  <c r="I263" i="29"/>
  <c r="I265" i="29"/>
  <c r="I267" i="29"/>
  <c r="I269" i="29"/>
  <c r="I271" i="29"/>
  <c r="I273" i="29"/>
  <c r="I275" i="29"/>
  <c r="I277" i="29"/>
  <c r="I279" i="29"/>
  <c r="I281" i="29"/>
  <c r="I283" i="29"/>
  <c r="I286" i="29"/>
  <c r="I285" i="29"/>
  <c r="I287" i="29"/>
  <c r="I295" i="29"/>
  <c r="I351" i="29"/>
  <c r="I356" i="29"/>
  <c r="I365" i="29"/>
  <c r="I367" i="29"/>
  <c r="BL156" i="1" l="1"/>
  <c r="BT156" i="1" s="1"/>
  <c r="CU156" i="1"/>
  <c r="CE156" i="1"/>
  <c r="BD156" i="1"/>
  <c r="BL155" i="1"/>
  <c r="BT155" i="1" s="1"/>
  <c r="CU155" i="1"/>
  <c r="CE155" i="1"/>
  <c r="BD155" i="1"/>
  <c r="BL154" i="1"/>
  <c r="BT154" i="1" s="1"/>
  <c r="CU154" i="1"/>
  <c r="CE154" i="1"/>
  <c r="BD154" i="1"/>
  <c r="BL153" i="1"/>
  <c r="BT153" i="1" s="1"/>
  <c r="CU153" i="1"/>
  <c r="CE153" i="1"/>
  <c r="BD153" i="1"/>
  <c r="BL152" i="1"/>
  <c r="BT152" i="1" s="1"/>
  <c r="CU152" i="1"/>
  <c r="CE152" i="1"/>
  <c r="BD152" i="1"/>
  <c r="BL151" i="1"/>
  <c r="BT151" i="1" s="1"/>
  <c r="CU151" i="1"/>
  <c r="CE151" i="1"/>
  <c r="BD151" i="1"/>
  <c r="BL150" i="1"/>
  <c r="BT150" i="1" s="1"/>
  <c r="CU150" i="1"/>
  <c r="CE150" i="1"/>
  <c r="BD150" i="1"/>
  <c r="BL149" i="1"/>
  <c r="BT149" i="1" s="1"/>
  <c r="CU149" i="1"/>
  <c r="CE149" i="1"/>
  <c r="BD149" i="1"/>
  <c r="BL148" i="1"/>
  <c r="BT148" i="1" s="1"/>
  <c r="CU148" i="1"/>
  <c r="CE148" i="1"/>
  <c r="BD148" i="1"/>
  <c r="BL147" i="1"/>
  <c r="BT147" i="1" s="1"/>
  <c r="CU147" i="1"/>
  <c r="CE147" i="1"/>
  <c r="BD147" i="1"/>
  <c r="BL146" i="1"/>
  <c r="BT146" i="1" s="1"/>
  <c r="CU146" i="1"/>
  <c r="CE146" i="1"/>
  <c r="BD146" i="1"/>
  <c r="BL145" i="1"/>
  <c r="BR145" i="1" s="1"/>
  <c r="CU145" i="1"/>
  <c r="CE145" i="1"/>
  <c r="BD145" i="1"/>
  <c r="BL144" i="1"/>
  <c r="BR144" i="1" s="1"/>
  <c r="CU144" i="1"/>
  <c r="CE144" i="1"/>
  <c r="BD144" i="1"/>
  <c r="BL143" i="1"/>
  <c r="BR143" i="1" s="1"/>
  <c r="CU143" i="1"/>
  <c r="CE143" i="1"/>
  <c r="BD143" i="1"/>
  <c r="BL142" i="1"/>
  <c r="BS142" i="1" s="1"/>
  <c r="CE142" i="1"/>
  <c r="BD142" i="1"/>
  <c r="BL141" i="1"/>
  <c r="BT141" i="1" s="1"/>
  <c r="CU141" i="1"/>
  <c r="CE141" i="1"/>
  <c r="BD141" i="1"/>
  <c r="BL140" i="1"/>
  <c r="BT140" i="1" s="1"/>
  <c r="CU140" i="1"/>
  <c r="CE140" i="1"/>
  <c r="BD140" i="1"/>
  <c r="BL139" i="1"/>
  <c r="BT139" i="1" s="1"/>
  <c r="CU139" i="1"/>
  <c r="CE139" i="1"/>
  <c r="BD139" i="1"/>
  <c r="BL138" i="1"/>
  <c r="BT138" i="1" s="1"/>
  <c r="CU138" i="1"/>
  <c r="CE138" i="1"/>
  <c r="BD138" i="1"/>
  <c r="BL137" i="1"/>
  <c r="BT137" i="1" s="1"/>
  <c r="CU137" i="1"/>
  <c r="CE137" i="1"/>
  <c r="BD137" i="1"/>
  <c r="BL136" i="1"/>
  <c r="BT136" i="1" s="1"/>
  <c r="CU136" i="1"/>
  <c r="CE136" i="1"/>
  <c r="BD136" i="1"/>
  <c r="BL135" i="1"/>
  <c r="BT135" i="1" s="1"/>
  <c r="CU135" i="1"/>
  <c r="CE135" i="1"/>
  <c r="BD135" i="1"/>
  <c r="BL134" i="1"/>
  <c r="BT134" i="1" s="1"/>
  <c r="CU134" i="1"/>
  <c r="CE134" i="1"/>
  <c r="BD134" i="1"/>
  <c r="BL133" i="1"/>
  <c r="BT133" i="1" s="1"/>
  <c r="CU133" i="1"/>
  <c r="CE133" i="1"/>
  <c r="BD133" i="1"/>
  <c r="BL132" i="1"/>
  <c r="BT132" i="1" s="1"/>
  <c r="CU132" i="1"/>
  <c r="CE132" i="1"/>
  <c r="BD132" i="1"/>
  <c r="BL131" i="1"/>
  <c r="BT131" i="1" s="1"/>
  <c r="CU131" i="1"/>
  <c r="CE131" i="1"/>
  <c r="BD131" i="1"/>
  <c r="BL130" i="1"/>
  <c r="BT130" i="1" s="1"/>
  <c r="CU130" i="1"/>
  <c r="CE130" i="1"/>
  <c r="BD130" i="1"/>
  <c r="BL129" i="1"/>
  <c r="BT129" i="1" s="1"/>
  <c r="CU129" i="1"/>
  <c r="CE129" i="1"/>
  <c r="BD129" i="1"/>
  <c r="BL128" i="1"/>
  <c r="BT128" i="1" s="1"/>
  <c r="CU128" i="1"/>
  <c r="CE128" i="1"/>
  <c r="BD128" i="1"/>
  <c r="BL127" i="1"/>
  <c r="BT127" i="1" s="1"/>
  <c r="CU127" i="1"/>
  <c r="CE127" i="1"/>
  <c r="BD127" i="1"/>
  <c r="BL126" i="1"/>
  <c r="BT126" i="1" s="1"/>
  <c r="CU126" i="1"/>
  <c r="CE126" i="1"/>
  <c r="BD126" i="1"/>
  <c r="BL125" i="1"/>
  <c r="BT125" i="1" s="1"/>
  <c r="CU125" i="1"/>
  <c r="CE125" i="1"/>
  <c r="BD125" i="1"/>
  <c r="BL124" i="1"/>
  <c r="BT124" i="1" s="1"/>
  <c r="CU124" i="1"/>
  <c r="CE124" i="1"/>
  <c r="BD124" i="1"/>
  <c r="BL123" i="1"/>
  <c r="BT123" i="1" s="1"/>
  <c r="CU123" i="1"/>
  <c r="CE123" i="1"/>
  <c r="BD123" i="1"/>
  <c r="BL122" i="1"/>
  <c r="BT122" i="1" s="1"/>
  <c r="CU122" i="1"/>
  <c r="CE122" i="1"/>
  <c r="BD122" i="1"/>
  <c r="BL121" i="1"/>
  <c r="BT121" i="1" s="1"/>
  <c r="CU121" i="1"/>
  <c r="CE121" i="1"/>
  <c r="BD121" i="1"/>
  <c r="BL120" i="1"/>
  <c r="CU120" i="1"/>
  <c r="CE120" i="1"/>
  <c r="BD120" i="1"/>
  <c r="BL119" i="1"/>
  <c r="BT119" i="1" s="1"/>
  <c r="CU119" i="1"/>
  <c r="CE119" i="1"/>
  <c r="BD119" i="1"/>
  <c r="BL118" i="1"/>
  <c r="BO118" i="1" s="1"/>
  <c r="CU118" i="1"/>
  <c r="CE118" i="1"/>
  <c r="BD118" i="1"/>
  <c r="BL117" i="1"/>
  <c r="BT117" i="1" s="1"/>
  <c r="CU117" i="1"/>
  <c r="CE117" i="1"/>
  <c r="BD117" i="1"/>
  <c r="BL116" i="1"/>
  <c r="CU116" i="1"/>
  <c r="CE116" i="1"/>
  <c r="BD116" i="1"/>
  <c r="BL115" i="1"/>
  <c r="BT115" i="1" s="1"/>
  <c r="CU115" i="1"/>
  <c r="CE115" i="1"/>
  <c r="BD115" i="1"/>
  <c r="BL114" i="1"/>
  <c r="BO114" i="1" s="1"/>
  <c r="CU114" i="1"/>
  <c r="CE114" i="1"/>
  <c r="BD114" i="1"/>
  <c r="BL113" i="1"/>
  <c r="BT113" i="1" s="1"/>
  <c r="CU113" i="1"/>
  <c r="CE113" i="1"/>
  <c r="BD113" i="1"/>
  <c r="BL112" i="1"/>
  <c r="CU112" i="1"/>
  <c r="CE112" i="1"/>
  <c r="BD112" i="1"/>
  <c r="BL111" i="1"/>
  <c r="BT111" i="1" s="1"/>
  <c r="CU111" i="1"/>
  <c r="CE111" i="1"/>
  <c r="BD111" i="1"/>
  <c r="BL110" i="1"/>
  <c r="BO110" i="1" s="1"/>
  <c r="CU110" i="1"/>
  <c r="CE110" i="1"/>
  <c r="BD110" i="1"/>
  <c r="BL109" i="1"/>
  <c r="CU109" i="1"/>
  <c r="CE109" i="1"/>
  <c r="BD109" i="1"/>
  <c r="BL108" i="1"/>
  <c r="BT108" i="1" s="1"/>
  <c r="CE108" i="1"/>
  <c r="BD108" i="1"/>
  <c r="BL107" i="1"/>
  <c r="BT107" i="1" s="1"/>
  <c r="CU107" i="1"/>
  <c r="CE107" i="1"/>
  <c r="BD107" i="1"/>
  <c r="BL106" i="1"/>
  <c r="BT106" i="1" s="1"/>
  <c r="CE106" i="1"/>
  <c r="BD106" i="1"/>
  <c r="BL105" i="1"/>
  <c r="BT105" i="1" s="1"/>
  <c r="CU105" i="1"/>
  <c r="CE105" i="1"/>
  <c r="BD105" i="1"/>
  <c r="BL104" i="1"/>
  <c r="BT104" i="1" s="1"/>
  <c r="CE104" i="1"/>
  <c r="BD104" i="1"/>
  <c r="BL103" i="1"/>
  <c r="BT103" i="1" s="1"/>
  <c r="CU103" i="1"/>
  <c r="CE103" i="1"/>
  <c r="BD103" i="1"/>
  <c r="BL102" i="1"/>
  <c r="BT102" i="1" s="1"/>
  <c r="CE102" i="1"/>
  <c r="BD102" i="1"/>
  <c r="BL101" i="1"/>
  <c r="BT101" i="1" s="1"/>
  <c r="CU101" i="1"/>
  <c r="CE101" i="1"/>
  <c r="BD101" i="1"/>
  <c r="BL100" i="1"/>
  <c r="BS100" i="1" s="1"/>
  <c r="CU100" i="1"/>
  <c r="CE100" i="1"/>
  <c r="BD100" i="1"/>
  <c r="BL99" i="1"/>
  <c r="BS99" i="1" s="1"/>
  <c r="CU99" i="1"/>
  <c r="CE99" i="1"/>
  <c r="BD99" i="1"/>
  <c r="BL98" i="1"/>
  <c r="CU98" i="1"/>
  <c r="CE98" i="1"/>
  <c r="BD98" i="1"/>
  <c r="BL97" i="1"/>
  <c r="CU97" i="1"/>
  <c r="CE97" i="1"/>
  <c r="BD97" i="1"/>
  <c r="BL96" i="1"/>
  <c r="CU96" i="1"/>
  <c r="CE96" i="1"/>
  <c r="BD96" i="1"/>
  <c r="BL95" i="1"/>
  <c r="CU95" i="1"/>
  <c r="CE95" i="1"/>
  <c r="BD95" i="1"/>
  <c r="BL94" i="1"/>
  <c r="CU94" i="1"/>
  <c r="CE94" i="1"/>
  <c r="BD94" i="1"/>
  <c r="BL93" i="1"/>
  <c r="CU93" i="1"/>
  <c r="CE93" i="1"/>
  <c r="BD93" i="1"/>
  <c r="BL92" i="1"/>
  <c r="CU92" i="1"/>
  <c r="CE92" i="1"/>
  <c r="BD92" i="1"/>
  <c r="BL91" i="1"/>
  <c r="CU91" i="1"/>
  <c r="CE91" i="1"/>
  <c r="BD91" i="1"/>
  <c r="BL90" i="1"/>
  <c r="CU90" i="1"/>
  <c r="CE90" i="1"/>
  <c r="BD90" i="1"/>
  <c r="BL89" i="1"/>
  <c r="CU89" i="1"/>
  <c r="CE89" i="1"/>
  <c r="BD89" i="1"/>
  <c r="BL88" i="1"/>
  <c r="CU88" i="1"/>
  <c r="CE88" i="1"/>
  <c r="BD88" i="1"/>
  <c r="BL87" i="1"/>
  <c r="BS87" i="1" s="1"/>
  <c r="CE87" i="1"/>
  <c r="BD87" i="1"/>
  <c r="BL86" i="1"/>
  <c r="BT86" i="1" s="1"/>
  <c r="CU86" i="1"/>
  <c r="CE86" i="1"/>
  <c r="BD86" i="1"/>
  <c r="BL85" i="1"/>
  <c r="BT85" i="1" s="1"/>
  <c r="CU85" i="1"/>
  <c r="CE85" i="1"/>
  <c r="BD85" i="1"/>
  <c r="BL84" i="1"/>
  <c r="BT84" i="1" s="1"/>
  <c r="CU84" i="1"/>
  <c r="CE84" i="1"/>
  <c r="BD84" i="1"/>
  <c r="BL83" i="1"/>
  <c r="BT83" i="1" s="1"/>
  <c r="CE83" i="1"/>
  <c r="BD83" i="1"/>
  <c r="BL82" i="1"/>
  <c r="BT82" i="1" s="1"/>
  <c r="CU82" i="1"/>
  <c r="CE82" i="1"/>
  <c r="BD82" i="1"/>
  <c r="BL81" i="1"/>
  <c r="BT81" i="1" s="1"/>
  <c r="CU81" i="1"/>
  <c r="CE81" i="1"/>
  <c r="BD81" i="1"/>
  <c r="BL80" i="1"/>
  <c r="BT80" i="1" s="1"/>
  <c r="CU80" i="1"/>
  <c r="CE80" i="1"/>
  <c r="BD80" i="1"/>
  <c r="BL79" i="1"/>
  <c r="BT79" i="1" s="1"/>
  <c r="CE79" i="1"/>
  <c r="BD79" i="1"/>
  <c r="BL78" i="1"/>
  <c r="BT78" i="1" s="1"/>
  <c r="CU78" i="1"/>
  <c r="CE78" i="1"/>
  <c r="BD78" i="1"/>
  <c r="BL77" i="1"/>
  <c r="BT77" i="1" s="1"/>
  <c r="CU77" i="1"/>
  <c r="CE77" i="1"/>
  <c r="BD77" i="1"/>
  <c r="BL76" i="1"/>
  <c r="BT76" i="1" s="1"/>
  <c r="CU76" i="1"/>
  <c r="CE76" i="1"/>
  <c r="BD76" i="1"/>
  <c r="BL75" i="1"/>
  <c r="BT75" i="1" s="1"/>
  <c r="CE75" i="1"/>
  <c r="BD75" i="1"/>
  <c r="BL74" i="1"/>
  <c r="BT74" i="1" s="1"/>
  <c r="CU74" i="1"/>
  <c r="CE74" i="1"/>
  <c r="BD74" i="1"/>
  <c r="BL73" i="1"/>
  <c r="BT73" i="1" s="1"/>
  <c r="CU73" i="1"/>
  <c r="CE73" i="1"/>
  <c r="BD73" i="1"/>
  <c r="BL72" i="1"/>
  <c r="BT72" i="1" s="1"/>
  <c r="CU72" i="1"/>
  <c r="CE72" i="1"/>
  <c r="BD72" i="1"/>
  <c r="BL71" i="1"/>
  <c r="BT71" i="1" s="1"/>
  <c r="CE71" i="1"/>
  <c r="BD71" i="1"/>
  <c r="BL70" i="1"/>
  <c r="BT70" i="1" s="1"/>
  <c r="CU70" i="1"/>
  <c r="CE70" i="1"/>
  <c r="BD70" i="1"/>
  <c r="BL69" i="1"/>
  <c r="BT69" i="1" s="1"/>
  <c r="CU69" i="1"/>
  <c r="CE69" i="1"/>
  <c r="BD69" i="1"/>
  <c r="BL68" i="1"/>
  <c r="BT68" i="1" s="1"/>
  <c r="CU68" i="1"/>
  <c r="CE68" i="1"/>
  <c r="BD68" i="1"/>
  <c r="BL67" i="1"/>
  <c r="BT67" i="1" s="1"/>
  <c r="CE67" i="1"/>
  <c r="BD67" i="1"/>
  <c r="BL66" i="1"/>
  <c r="BT66" i="1" s="1"/>
  <c r="CU66" i="1"/>
  <c r="CE66" i="1"/>
  <c r="BD66" i="1"/>
  <c r="BL65" i="1"/>
  <c r="BT65" i="1" s="1"/>
  <c r="CU65" i="1"/>
  <c r="CE65" i="1"/>
  <c r="BD65" i="1"/>
  <c r="BL64" i="1"/>
  <c r="BT64" i="1" s="1"/>
  <c r="CU64" i="1"/>
  <c r="CE64" i="1"/>
  <c r="BD64" i="1"/>
  <c r="BL63" i="1"/>
  <c r="BT63" i="1" s="1"/>
  <c r="CU63" i="1"/>
  <c r="CE63" i="1"/>
  <c r="BD63" i="1"/>
  <c r="BI102" i="1" l="1"/>
  <c r="CZ102" i="1" s="1"/>
  <c r="CU102" i="1"/>
  <c r="BI104" i="1"/>
  <c r="CZ104" i="1" s="1"/>
  <c r="CU104" i="1"/>
  <c r="BI106" i="1"/>
  <c r="CZ106" i="1" s="1"/>
  <c r="CU106" i="1"/>
  <c r="BI108" i="1"/>
  <c r="CZ108" i="1" s="1"/>
  <c r="CU108" i="1"/>
  <c r="BI142" i="1"/>
  <c r="CZ142" i="1" s="1"/>
  <c r="CU142" i="1"/>
  <c r="BI67" i="1"/>
  <c r="CZ67" i="1" s="1"/>
  <c r="CU67" i="1"/>
  <c r="BI71" i="1"/>
  <c r="CZ71" i="1" s="1"/>
  <c r="CU71" i="1"/>
  <c r="BI75" i="1"/>
  <c r="CZ75" i="1" s="1"/>
  <c r="CU75" i="1"/>
  <c r="BI79" i="1"/>
  <c r="CZ79" i="1" s="1"/>
  <c r="CU79" i="1"/>
  <c r="BI83" i="1"/>
  <c r="CZ83" i="1" s="1"/>
  <c r="CU83" i="1"/>
  <c r="BI87" i="1"/>
  <c r="CZ87" i="1" s="1"/>
  <c r="CU87" i="1"/>
  <c r="BM103" i="1"/>
  <c r="BM105" i="1"/>
  <c r="BM141" i="1"/>
  <c r="BM78" i="1"/>
  <c r="BM82" i="1"/>
  <c r="BM86" i="1"/>
  <c r="BJ108" i="1"/>
  <c r="DA108" i="1" s="1"/>
  <c r="BI64" i="1"/>
  <c r="CZ64" i="1" s="1"/>
  <c r="F64" i="29"/>
  <c r="H66" i="29"/>
  <c r="H67" i="29"/>
  <c r="BI68" i="1"/>
  <c r="CZ68" i="1" s="1"/>
  <c r="F68" i="29"/>
  <c r="F69" i="29"/>
  <c r="H70" i="29"/>
  <c r="H71" i="29"/>
  <c r="BJ71" i="1"/>
  <c r="DA71" i="1" s="1"/>
  <c r="BI72" i="1"/>
  <c r="CZ72" i="1" s="1"/>
  <c r="F72" i="29"/>
  <c r="BI73" i="1"/>
  <c r="CZ73" i="1" s="1"/>
  <c r="F73" i="29"/>
  <c r="BI74" i="1"/>
  <c r="CZ74" i="1" s="1"/>
  <c r="F74" i="29"/>
  <c r="BJ75" i="1"/>
  <c r="DA75" i="1" s="1"/>
  <c r="BJ79" i="1"/>
  <c r="DA79" i="1" s="1"/>
  <c r="BJ83" i="1"/>
  <c r="DA83" i="1" s="1"/>
  <c r="BJ87" i="1"/>
  <c r="DA87" i="1" s="1"/>
  <c r="BJ102" i="1"/>
  <c r="DA102" i="1" s="1"/>
  <c r="BJ104" i="1"/>
  <c r="DA104" i="1" s="1"/>
  <c r="BJ106" i="1"/>
  <c r="DA106" i="1" s="1"/>
  <c r="BM107" i="1"/>
  <c r="F114" i="29"/>
  <c r="F116" i="29"/>
  <c r="F122" i="29"/>
  <c r="F126" i="29"/>
  <c r="F130" i="29"/>
  <c r="F134" i="29"/>
  <c r="F138" i="29"/>
  <c r="F142" i="29"/>
  <c r="BI63" i="1"/>
  <c r="CZ63" i="1" s="1"/>
  <c r="F63" i="29"/>
  <c r="F65" i="29"/>
  <c r="H63" i="29"/>
  <c r="H64" i="29"/>
  <c r="H65" i="29"/>
  <c r="BI65" i="1"/>
  <c r="CZ65" i="1" s="1"/>
  <c r="BI66" i="1"/>
  <c r="CZ66" i="1" s="1"/>
  <c r="F66" i="29"/>
  <c r="F67" i="29"/>
  <c r="H68" i="29"/>
  <c r="I68" i="29" s="1"/>
  <c r="H69" i="29"/>
  <c r="BI69" i="1"/>
  <c r="CZ69" i="1" s="1"/>
  <c r="BI70" i="1"/>
  <c r="CZ70" i="1" s="1"/>
  <c r="F70" i="29"/>
  <c r="F71" i="29"/>
  <c r="H72" i="29"/>
  <c r="H73" i="29"/>
  <c r="H74" i="29"/>
  <c r="F75" i="29"/>
  <c r="F79" i="29"/>
  <c r="F83" i="29"/>
  <c r="F87" i="29"/>
  <c r="F102" i="29"/>
  <c r="F104" i="29"/>
  <c r="F106" i="29"/>
  <c r="F108" i="29"/>
  <c r="BM121" i="1"/>
  <c r="BI122" i="1"/>
  <c r="CZ122" i="1" s="1"/>
  <c r="BM125" i="1"/>
  <c r="BI126" i="1"/>
  <c r="CZ126" i="1" s="1"/>
  <c r="BM129" i="1"/>
  <c r="BI130" i="1"/>
  <c r="CZ130" i="1" s="1"/>
  <c r="BM133" i="1"/>
  <c r="BI134" i="1"/>
  <c r="CZ134" i="1" s="1"/>
  <c r="BM137" i="1"/>
  <c r="BI138" i="1"/>
  <c r="CZ138" i="1" s="1"/>
  <c r="BJ142" i="1"/>
  <c r="DA142" i="1" s="1"/>
  <c r="BI77" i="1"/>
  <c r="CZ77" i="1" s="1"/>
  <c r="F77" i="29"/>
  <c r="BI81" i="1"/>
  <c r="CZ81" i="1" s="1"/>
  <c r="F81" i="29"/>
  <c r="BI85" i="1"/>
  <c r="CZ85" i="1" s="1"/>
  <c r="F85" i="29"/>
  <c r="BI89" i="1"/>
  <c r="CZ89" i="1" s="1"/>
  <c r="F89" i="29"/>
  <c r="BI91" i="1"/>
  <c r="CZ91" i="1" s="1"/>
  <c r="F91" i="29"/>
  <c r="BI93" i="1"/>
  <c r="CZ93" i="1" s="1"/>
  <c r="F93" i="29"/>
  <c r="BI95" i="1"/>
  <c r="CZ95" i="1" s="1"/>
  <c r="F95" i="29"/>
  <c r="BI97" i="1"/>
  <c r="CZ97" i="1" s="1"/>
  <c r="F97" i="29"/>
  <c r="BI99" i="1"/>
  <c r="CZ99" i="1" s="1"/>
  <c r="F99" i="29"/>
  <c r="BI101" i="1"/>
  <c r="CZ101" i="1" s="1"/>
  <c r="F101" i="29"/>
  <c r="BI110" i="1"/>
  <c r="CZ110" i="1" s="1"/>
  <c r="F110" i="29"/>
  <c r="BI111" i="1"/>
  <c r="CZ111" i="1" s="1"/>
  <c r="F111" i="29"/>
  <c r="BI113" i="1"/>
  <c r="CZ113" i="1" s="1"/>
  <c r="F113" i="29"/>
  <c r="BI115" i="1"/>
  <c r="CZ115" i="1" s="1"/>
  <c r="F115" i="29"/>
  <c r="BI117" i="1"/>
  <c r="CZ117" i="1" s="1"/>
  <c r="F117" i="29"/>
  <c r="BI120" i="1"/>
  <c r="CZ120" i="1" s="1"/>
  <c r="F120" i="29"/>
  <c r="BI124" i="1"/>
  <c r="CZ124" i="1" s="1"/>
  <c r="F124" i="29"/>
  <c r="BI128" i="1"/>
  <c r="CZ128" i="1" s="1"/>
  <c r="F128" i="29"/>
  <c r="BI132" i="1"/>
  <c r="CZ132" i="1" s="1"/>
  <c r="F132" i="29"/>
  <c r="BI136" i="1"/>
  <c r="CZ136" i="1" s="1"/>
  <c r="F136" i="29"/>
  <c r="BI140" i="1"/>
  <c r="CZ140" i="1" s="1"/>
  <c r="F140" i="29"/>
  <c r="BI144" i="1"/>
  <c r="CZ144" i="1" s="1"/>
  <c r="F144" i="29"/>
  <c r="BI146" i="1"/>
  <c r="CZ146" i="1" s="1"/>
  <c r="F146" i="29"/>
  <c r="BI148" i="1"/>
  <c r="CZ148" i="1" s="1"/>
  <c r="F148" i="29"/>
  <c r="BI150" i="1"/>
  <c r="CZ150" i="1" s="1"/>
  <c r="F150" i="29"/>
  <c r="BI152" i="1"/>
  <c r="CZ152" i="1" s="1"/>
  <c r="F152" i="29"/>
  <c r="BI154" i="1"/>
  <c r="CZ154" i="1" s="1"/>
  <c r="F154" i="29"/>
  <c r="BI76" i="1"/>
  <c r="CZ76" i="1" s="1"/>
  <c r="F76" i="29"/>
  <c r="BI78" i="1"/>
  <c r="CZ78" i="1" s="1"/>
  <c r="F78" i="29"/>
  <c r="BI80" i="1"/>
  <c r="CZ80" i="1" s="1"/>
  <c r="F80" i="29"/>
  <c r="BI82" i="1"/>
  <c r="CZ82" i="1" s="1"/>
  <c r="F82" i="29"/>
  <c r="BI84" i="1"/>
  <c r="CZ84" i="1" s="1"/>
  <c r="F84" i="29"/>
  <c r="BI86" i="1"/>
  <c r="CZ86" i="1" s="1"/>
  <c r="F86" i="29"/>
  <c r="BI88" i="1"/>
  <c r="CZ88" i="1" s="1"/>
  <c r="F88" i="29"/>
  <c r="BI90" i="1"/>
  <c r="CZ90" i="1" s="1"/>
  <c r="F90" i="29"/>
  <c r="BI92" i="1"/>
  <c r="CZ92" i="1" s="1"/>
  <c r="F92" i="29"/>
  <c r="BI94" i="1"/>
  <c r="CZ94" i="1" s="1"/>
  <c r="F94" i="29"/>
  <c r="BI96" i="1"/>
  <c r="CZ96" i="1" s="1"/>
  <c r="F96" i="29"/>
  <c r="BI98" i="1"/>
  <c r="CZ98" i="1" s="1"/>
  <c r="F98" i="29"/>
  <c r="BI100" i="1"/>
  <c r="CZ100" i="1" s="1"/>
  <c r="F100" i="29"/>
  <c r="BI103" i="1"/>
  <c r="CZ103" i="1" s="1"/>
  <c r="F103" i="29"/>
  <c r="BI105" i="1"/>
  <c r="CZ105" i="1" s="1"/>
  <c r="F105" i="29"/>
  <c r="BI107" i="1"/>
  <c r="CZ107" i="1" s="1"/>
  <c r="F107" i="29"/>
  <c r="BI109" i="1"/>
  <c r="CZ109" i="1" s="1"/>
  <c r="F109" i="29"/>
  <c r="BI112" i="1"/>
  <c r="CZ112" i="1" s="1"/>
  <c r="F112" i="29"/>
  <c r="BM113" i="1"/>
  <c r="BI114" i="1"/>
  <c r="CZ114" i="1" s="1"/>
  <c r="BM115" i="1"/>
  <c r="BI116" i="1"/>
  <c r="CZ116" i="1" s="1"/>
  <c r="BI118" i="1"/>
  <c r="CZ118" i="1" s="1"/>
  <c r="F118" i="29"/>
  <c r="BI119" i="1"/>
  <c r="CZ119" i="1" s="1"/>
  <c r="F119" i="29"/>
  <c r="BI121" i="1"/>
  <c r="CZ121" i="1" s="1"/>
  <c r="F121" i="29"/>
  <c r="BI123" i="1"/>
  <c r="CZ123" i="1" s="1"/>
  <c r="F123" i="29"/>
  <c r="BI125" i="1"/>
  <c r="CZ125" i="1" s="1"/>
  <c r="F125" i="29"/>
  <c r="BI127" i="1"/>
  <c r="CZ127" i="1" s="1"/>
  <c r="F127" i="29"/>
  <c r="BI129" i="1"/>
  <c r="CZ129" i="1" s="1"/>
  <c r="F129" i="29"/>
  <c r="BI131" i="1"/>
  <c r="CZ131" i="1" s="1"/>
  <c r="F131" i="29"/>
  <c r="BI133" i="1"/>
  <c r="CZ133" i="1" s="1"/>
  <c r="F133" i="29"/>
  <c r="BI135" i="1"/>
  <c r="CZ135" i="1" s="1"/>
  <c r="F135" i="29"/>
  <c r="BI137" i="1"/>
  <c r="CZ137" i="1" s="1"/>
  <c r="F137" i="29"/>
  <c r="BI139" i="1"/>
  <c r="CZ139" i="1" s="1"/>
  <c r="F139" i="29"/>
  <c r="BI141" i="1"/>
  <c r="CZ141" i="1" s="1"/>
  <c r="F141" i="29"/>
  <c r="BI143" i="1"/>
  <c r="CZ143" i="1" s="1"/>
  <c r="F143" i="29"/>
  <c r="BI145" i="1"/>
  <c r="CZ145" i="1" s="1"/>
  <c r="F145" i="29"/>
  <c r="BI147" i="1"/>
  <c r="CZ147" i="1" s="1"/>
  <c r="F147" i="29"/>
  <c r="BI149" i="1"/>
  <c r="CZ149" i="1" s="1"/>
  <c r="F149" i="29"/>
  <c r="BI151" i="1"/>
  <c r="CZ151" i="1" s="1"/>
  <c r="F151" i="29"/>
  <c r="BI153" i="1"/>
  <c r="CZ153" i="1" s="1"/>
  <c r="F153" i="29"/>
  <c r="BI155" i="1"/>
  <c r="CZ155" i="1" s="1"/>
  <c r="F155" i="29"/>
  <c r="BI156" i="1"/>
  <c r="CZ156" i="1" s="1"/>
  <c r="F156" i="29"/>
  <c r="BM64" i="1"/>
  <c r="BM66" i="1"/>
  <c r="BM68" i="1"/>
  <c r="BM70" i="1"/>
  <c r="BM74" i="1"/>
  <c r="BQ66" i="1"/>
  <c r="BQ70" i="1"/>
  <c r="BM72" i="1"/>
  <c r="BQ74" i="1"/>
  <c r="BM76" i="1"/>
  <c r="BQ78" i="1"/>
  <c r="BM80" i="1"/>
  <c r="BQ82" i="1"/>
  <c r="BM84" i="1"/>
  <c r="BQ86" i="1"/>
  <c r="BQ103" i="1"/>
  <c r="BQ107" i="1"/>
  <c r="BM111" i="1"/>
  <c r="BQ113" i="1"/>
  <c r="BQ115" i="1"/>
  <c r="BM117" i="1"/>
  <c r="BM119" i="1"/>
  <c r="BQ121" i="1"/>
  <c r="BM123" i="1"/>
  <c r="BQ125" i="1"/>
  <c r="BM127" i="1"/>
  <c r="BQ129" i="1"/>
  <c r="BM131" i="1"/>
  <c r="BQ133" i="1"/>
  <c r="BM135" i="1"/>
  <c r="BQ137" i="1"/>
  <c r="BM139" i="1"/>
  <c r="BQ141" i="1"/>
  <c r="BQ64" i="1"/>
  <c r="BQ68" i="1"/>
  <c r="BQ72" i="1"/>
  <c r="BQ76" i="1"/>
  <c r="BQ80" i="1"/>
  <c r="BQ84" i="1"/>
  <c r="BQ105" i="1"/>
  <c r="BQ111" i="1"/>
  <c r="BQ117" i="1"/>
  <c r="BQ119" i="1"/>
  <c r="BQ123" i="1"/>
  <c r="BQ127" i="1"/>
  <c r="BQ131" i="1"/>
  <c r="BQ135" i="1"/>
  <c r="BQ139" i="1"/>
  <c r="BS63" i="1"/>
  <c r="BS69" i="1"/>
  <c r="BO71" i="1"/>
  <c r="BS71" i="1"/>
  <c r="BO73" i="1"/>
  <c r="BS73" i="1"/>
  <c r="BO75" i="1"/>
  <c r="BS75" i="1"/>
  <c r="BO77" i="1"/>
  <c r="BS77" i="1"/>
  <c r="BO79" i="1"/>
  <c r="BS79" i="1"/>
  <c r="BO81" i="1"/>
  <c r="BS81" i="1"/>
  <c r="BO83" i="1"/>
  <c r="BS83" i="1"/>
  <c r="BO85" i="1"/>
  <c r="BS85" i="1"/>
  <c r="BO87" i="1"/>
  <c r="BT87" i="1"/>
  <c r="BM102" i="1"/>
  <c r="BQ102" i="1"/>
  <c r="BO103" i="1"/>
  <c r="BS103" i="1"/>
  <c r="BM104" i="1"/>
  <c r="BQ104" i="1"/>
  <c r="BO105" i="1"/>
  <c r="BS105" i="1"/>
  <c r="BM106" i="1"/>
  <c r="BQ106" i="1"/>
  <c r="BO107" i="1"/>
  <c r="BS107" i="1"/>
  <c r="BM108" i="1"/>
  <c r="BQ108" i="1"/>
  <c r="BT109" i="1"/>
  <c r="BS109" i="1"/>
  <c r="BO109" i="1"/>
  <c r="BQ109" i="1"/>
  <c r="BT112" i="1"/>
  <c r="BQ112" i="1"/>
  <c r="BM112" i="1"/>
  <c r="BS112" i="1"/>
  <c r="BT116" i="1"/>
  <c r="BQ116" i="1"/>
  <c r="BM116" i="1"/>
  <c r="BS116" i="1"/>
  <c r="BT120" i="1"/>
  <c r="BQ120" i="1"/>
  <c r="BM120" i="1"/>
  <c r="BS120" i="1"/>
  <c r="BO63" i="1"/>
  <c r="BO65" i="1"/>
  <c r="BS65" i="1"/>
  <c r="BO67" i="1"/>
  <c r="BS67" i="1"/>
  <c r="BO69" i="1"/>
  <c r="BM63" i="1"/>
  <c r="BQ63" i="1"/>
  <c r="BO64" i="1"/>
  <c r="BS64" i="1"/>
  <c r="BM65" i="1"/>
  <c r="BQ65" i="1"/>
  <c r="BO66" i="1"/>
  <c r="BS66" i="1"/>
  <c r="BM67" i="1"/>
  <c r="BQ67" i="1"/>
  <c r="BO68" i="1"/>
  <c r="BS68" i="1"/>
  <c r="BM69" i="1"/>
  <c r="BQ69" i="1"/>
  <c r="BO70" i="1"/>
  <c r="BS70" i="1"/>
  <c r="BM71" i="1"/>
  <c r="BQ71" i="1"/>
  <c r="BO72" i="1"/>
  <c r="BS72" i="1"/>
  <c r="BM73" i="1"/>
  <c r="BQ73" i="1"/>
  <c r="BO74" i="1"/>
  <c r="BS74" i="1"/>
  <c r="BM75" i="1"/>
  <c r="BQ75" i="1"/>
  <c r="BO76" i="1"/>
  <c r="BS76" i="1"/>
  <c r="BM77" i="1"/>
  <c r="BQ77" i="1"/>
  <c r="BO78" i="1"/>
  <c r="BS78" i="1"/>
  <c r="BM79" i="1"/>
  <c r="BQ79" i="1"/>
  <c r="BO80" i="1"/>
  <c r="BS80" i="1"/>
  <c r="BM81" i="1"/>
  <c r="BQ81" i="1"/>
  <c r="BO82" i="1"/>
  <c r="BS82" i="1"/>
  <c r="BM83" i="1"/>
  <c r="BQ83" i="1"/>
  <c r="BO84" i="1"/>
  <c r="BS84" i="1"/>
  <c r="BM85" i="1"/>
  <c r="BQ85" i="1"/>
  <c r="BO86" i="1"/>
  <c r="BS86" i="1"/>
  <c r="BM87" i="1"/>
  <c r="BQ87" i="1"/>
  <c r="BO102" i="1"/>
  <c r="BS102" i="1"/>
  <c r="BO104" i="1"/>
  <c r="BS104" i="1"/>
  <c r="BO106" i="1"/>
  <c r="BS106" i="1"/>
  <c r="BO108" i="1"/>
  <c r="BS108" i="1"/>
  <c r="BM109" i="1"/>
  <c r="BT110" i="1"/>
  <c r="BQ110" i="1"/>
  <c r="BM110" i="1"/>
  <c r="BS110" i="1"/>
  <c r="BO112" i="1"/>
  <c r="BT114" i="1"/>
  <c r="BQ114" i="1"/>
  <c r="BM114" i="1"/>
  <c r="BS114" i="1"/>
  <c r="BO116" i="1"/>
  <c r="BT118" i="1"/>
  <c r="BQ118" i="1"/>
  <c r="BM118" i="1"/>
  <c r="BS118" i="1"/>
  <c r="BO120" i="1"/>
  <c r="BO122" i="1"/>
  <c r="BS122" i="1"/>
  <c r="BO124" i="1"/>
  <c r="BS124" i="1"/>
  <c r="BO126" i="1"/>
  <c r="BS126" i="1"/>
  <c r="BO128" i="1"/>
  <c r="BS128" i="1"/>
  <c r="BO130" i="1"/>
  <c r="BS130" i="1"/>
  <c r="BO132" i="1"/>
  <c r="BS132" i="1"/>
  <c r="BO134" i="1"/>
  <c r="BS134" i="1"/>
  <c r="BO136" i="1"/>
  <c r="BS136" i="1"/>
  <c r="BO138" i="1"/>
  <c r="BS138" i="1"/>
  <c r="BO140" i="1"/>
  <c r="BS140" i="1"/>
  <c r="BO142" i="1"/>
  <c r="BT142" i="1"/>
  <c r="BO111" i="1"/>
  <c r="BS111" i="1"/>
  <c r="BO113" i="1"/>
  <c r="BS113" i="1"/>
  <c r="BO115" i="1"/>
  <c r="BS115" i="1"/>
  <c r="BO117" i="1"/>
  <c r="BS117" i="1"/>
  <c r="BO119" i="1"/>
  <c r="BS119" i="1"/>
  <c r="BO121" i="1"/>
  <c r="BS121" i="1"/>
  <c r="BM122" i="1"/>
  <c r="BQ122" i="1"/>
  <c r="BO123" i="1"/>
  <c r="BS123" i="1"/>
  <c r="BM124" i="1"/>
  <c r="BQ124" i="1"/>
  <c r="BO125" i="1"/>
  <c r="BS125" i="1"/>
  <c r="BM126" i="1"/>
  <c r="BQ126" i="1"/>
  <c r="BO127" i="1"/>
  <c r="BS127" i="1"/>
  <c r="BM128" i="1"/>
  <c r="BQ128" i="1"/>
  <c r="BO129" i="1"/>
  <c r="BS129" i="1"/>
  <c r="BM130" i="1"/>
  <c r="BQ130" i="1"/>
  <c r="BO131" i="1"/>
  <c r="BS131" i="1"/>
  <c r="BM132" i="1"/>
  <c r="BQ132" i="1"/>
  <c r="BO133" i="1"/>
  <c r="BS133" i="1"/>
  <c r="BM134" i="1"/>
  <c r="BQ134" i="1"/>
  <c r="BO135" i="1"/>
  <c r="BS135" i="1"/>
  <c r="BM136" i="1"/>
  <c r="BQ136" i="1"/>
  <c r="BO137" i="1"/>
  <c r="BS137" i="1"/>
  <c r="BM138" i="1"/>
  <c r="BQ138" i="1"/>
  <c r="BO139" i="1"/>
  <c r="BS139" i="1"/>
  <c r="BM140" i="1"/>
  <c r="BQ140" i="1"/>
  <c r="BO141" i="1"/>
  <c r="BS141" i="1"/>
  <c r="BM142" i="1"/>
  <c r="BQ142" i="1"/>
  <c r="BS88" i="1"/>
  <c r="BQ88" i="1"/>
  <c r="BO88" i="1"/>
  <c r="BM88" i="1"/>
  <c r="BP88" i="1"/>
  <c r="BT88" i="1"/>
  <c r="BS89" i="1"/>
  <c r="BQ89" i="1"/>
  <c r="BO89" i="1"/>
  <c r="BM89" i="1"/>
  <c r="BP89" i="1"/>
  <c r="BT89" i="1"/>
  <c r="BS90" i="1"/>
  <c r="BQ90" i="1"/>
  <c r="BO90" i="1"/>
  <c r="BM90" i="1"/>
  <c r="BP90" i="1"/>
  <c r="BT90" i="1"/>
  <c r="BS91" i="1"/>
  <c r="BQ91" i="1"/>
  <c r="BO91" i="1"/>
  <c r="BM91" i="1"/>
  <c r="BP91" i="1"/>
  <c r="BT91" i="1"/>
  <c r="BS92" i="1"/>
  <c r="BQ92" i="1"/>
  <c r="BO92" i="1"/>
  <c r="BM92" i="1"/>
  <c r="BP92" i="1"/>
  <c r="BT92" i="1"/>
  <c r="BS93" i="1"/>
  <c r="BQ93" i="1"/>
  <c r="BO93" i="1"/>
  <c r="BM93" i="1"/>
  <c r="BP93" i="1"/>
  <c r="BT93" i="1"/>
  <c r="BS94" i="1"/>
  <c r="BQ94" i="1"/>
  <c r="BO94" i="1"/>
  <c r="BM94" i="1"/>
  <c r="BP94" i="1"/>
  <c r="BT94" i="1"/>
  <c r="BS95" i="1"/>
  <c r="BQ95" i="1"/>
  <c r="BO95" i="1"/>
  <c r="BM95" i="1"/>
  <c r="BP95" i="1"/>
  <c r="BT95" i="1"/>
  <c r="BS96" i="1"/>
  <c r="BQ96" i="1"/>
  <c r="BO96" i="1"/>
  <c r="BM96" i="1"/>
  <c r="BP96" i="1"/>
  <c r="BT96" i="1"/>
  <c r="BS97" i="1"/>
  <c r="BQ97" i="1"/>
  <c r="BO97" i="1"/>
  <c r="BM97" i="1"/>
  <c r="BP97" i="1"/>
  <c r="BT97" i="1"/>
  <c r="BS98" i="1"/>
  <c r="BQ98" i="1"/>
  <c r="BO98" i="1"/>
  <c r="BM98" i="1"/>
  <c r="BP98" i="1"/>
  <c r="BT98" i="1"/>
  <c r="BN63" i="1"/>
  <c r="BP63" i="1"/>
  <c r="BR63" i="1"/>
  <c r="BN64" i="1"/>
  <c r="BP64" i="1"/>
  <c r="BR64" i="1"/>
  <c r="BN65" i="1"/>
  <c r="BP65" i="1"/>
  <c r="BR65" i="1"/>
  <c r="BN66" i="1"/>
  <c r="BP66" i="1"/>
  <c r="BR66" i="1"/>
  <c r="BN67" i="1"/>
  <c r="BP67" i="1"/>
  <c r="BR67" i="1"/>
  <c r="BN68" i="1"/>
  <c r="BP68" i="1"/>
  <c r="BR68" i="1"/>
  <c r="BN69" i="1"/>
  <c r="BP69" i="1"/>
  <c r="BR69" i="1"/>
  <c r="BN70" i="1"/>
  <c r="BP70" i="1"/>
  <c r="BR70" i="1"/>
  <c r="BN71" i="1"/>
  <c r="BP71" i="1"/>
  <c r="BR71" i="1"/>
  <c r="BN72" i="1"/>
  <c r="BP72" i="1"/>
  <c r="BR72" i="1"/>
  <c r="BN73" i="1"/>
  <c r="BP73" i="1"/>
  <c r="BR73" i="1"/>
  <c r="BN74" i="1"/>
  <c r="BP74" i="1"/>
  <c r="BR74" i="1"/>
  <c r="BN75" i="1"/>
  <c r="BP75" i="1"/>
  <c r="BR75" i="1"/>
  <c r="BN76" i="1"/>
  <c r="BP76" i="1"/>
  <c r="BR76" i="1"/>
  <c r="BN77" i="1"/>
  <c r="BP77" i="1"/>
  <c r="BR77" i="1"/>
  <c r="BN78" i="1"/>
  <c r="BP78" i="1"/>
  <c r="BR78" i="1"/>
  <c r="BN79" i="1"/>
  <c r="BP79" i="1"/>
  <c r="BR79" i="1"/>
  <c r="BN80" i="1"/>
  <c r="BP80" i="1"/>
  <c r="BR80" i="1"/>
  <c r="BN81" i="1"/>
  <c r="BP81" i="1"/>
  <c r="BR81" i="1"/>
  <c r="BN82" i="1"/>
  <c r="BP82" i="1"/>
  <c r="BR82" i="1"/>
  <c r="BN83" i="1"/>
  <c r="BP83" i="1"/>
  <c r="BR83" i="1"/>
  <c r="BN84" i="1"/>
  <c r="BP84" i="1"/>
  <c r="BR84" i="1"/>
  <c r="BN85" i="1"/>
  <c r="BP85" i="1"/>
  <c r="BR85" i="1"/>
  <c r="BN86" i="1"/>
  <c r="BP86" i="1"/>
  <c r="BR86" i="1"/>
  <c r="BN87" i="1"/>
  <c r="BP87" i="1"/>
  <c r="BR87" i="1"/>
  <c r="BN88" i="1"/>
  <c r="BR88" i="1"/>
  <c r="BN89" i="1"/>
  <c r="BR89" i="1"/>
  <c r="BN90" i="1"/>
  <c r="BR90" i="1"/>
  <c r="BN91" i="1"/>
  <c r="BR91" i="1"/>
  <c r="BN92" i="1"/>
  <c r="BR92" i="1"/>
  <c r="BN93" i="1"/>
  <c r="BR93" i="1"/>
  <c r="BN94" i="1"/>
  <c r="BR94" i="1"/>
  <c r="BN95" i="1"/>
  <c r="BR95" i="1"/>
  <c r="BN96" i="1"/>
  <c r="BR96" i="1"/>
  <c r="BN97" i="1"/>
  <c r="BR97" i="1"/>
  <c r="BN98" i="1"/>
  <c r="BR98" i="1"/>
  <c r="BN99" i="1"/>
  <c r="BP99" i="1"/>
  <c r="BR99" i="1"/>
  <c r="BT99" i="1"/>
  <c r="BN100" i="1"/>
  <c r="BP100" i="1"/>
  <c r="BR100" i="1"/>
  <c r="BT100" i="1"/>
  <c r="BN101" i="1"/>
  <c r="BP101" i="1"/>
  <c r="BR101" i="1"/>
  <c r="BM99" i="1"/>
  <c r="BO99" i="1"/>
  <c r="BQ99" i="1"/>
  <c r="BM100" i="1"/>
  <c r="BO100" i="1"/>
  <c r="BQ100" i="1"/>
  <c r="BM101" i="1"/>
  <c r="BO101" i="1"/>
  <c r="BQ101" i="1"/>
  <c r="BS101" i="1"/>
  <c r="BN102" i="1"/>
  <c r="BP102" i="1"/>
  <c r="BR102" i="1"/>
  <c r="BN103" i="1"/>
  <c r="BP103" i="1"/>
  <c r="BR103" i="1"/>
  <c r="BN104" i="1"/>
  <c r="BP104" i="1"/>
  <c r="BR104" i="1"/>
  <c r="BN105" i="1"/>
  <c r="BP105" i="1"/>
  <c r="BR105" i="1"/>
  <c r="BN106" i="1"/>
  <c r="BP106" i="1"/>
  <c r="BR106" i="1"/>
  <c r="BN107" i="1"/>
  <c r="BP107" i="1"/>
  <c r="BR107" i="1"/>
  <c r="BN108" i="1"/>
  <c r="BP108" i="1"/>
  <c r="BR108" i="1"/>
  <c r="BN109" i="1"/>
  <c r="BP109" i="1"/>
  <c r="BR109" i="1"/>
  <c r="BN110" i="1"/>
  <c r="BP110" i="1"/>
  <c r="BR110" i="1"/>
  <c r="BN111" i="1"/>
  <c r="BP111" i="1"/>
  <c r="BR111" i="1"/>
  <c r="BN112" i="1"/>
  <c r="BP112" i="1"/>
  <c r="BR112" i="1"/>
  <c r="BN113" i="1"/>
  <c r="BP113" i="1"/>
  <c r="BR113" i="1"/>
  <c r="BN114" i="1"/>
  <c r="BP114" i="1"/>
  <c r="BR114" i="1"/>
  <c r="BN115" i="1"/>
  <c r="BP115" i="1"/>
  <c r="BR115" i="1"/>
  <c r="BN116" i="1"/>
  <c r="BP116" i="1"/>
  <c r="BR116" i="1"/>
  <c r="BN117" i="1"/>
  <c r="BP117" i="1"/>
  <c r="BR117" i="1"/>
  <c r="BN118" i="1"/>
  <c r="BP118" i="1"/>
  <c r="BR118" i="1"/>
  <c r="BN119" i="1"/>
  <c r="BP119" i="1"/>
  <c r="BR119" i="1"/>
  <c r="BN120" i="1"/>
  <c r="BP120" i="1"/>
  <c r="BR120" i="1"/>
  <c r="BN121" i="1"/>
  <c r="BP121" i="1"/>
  <c r="BR121" i="1"/>
  <c r="BN122" i="1"/>
  <c r="BP122" i="1"/>
  <c r="BR122" i="1"/>
  <c r="BN123" i="1"/>
  <c r="BP123" i="1"/>
  <c r="BR123" i="1"/>
  <c r="BN124" i="1"/>
  <c r="BP124" i="1"/>
  <c r="BR124" i="1"/>
  <c r="BN125" i="1"/>
  <c r="BP125" i="1"/>
  <c r="BR125" i="1"/>
  <c r="BN126" i="1"/>
  <c r="BP126" i="1"/>
  <c r="BR126" i="1"/>
  <c r="BN127" i="1"/>
  <c r="BP127" i="1"/>
  <c r="BR127" i="1"/>
  <c r="BN128" i="1"/>
  <c r="BP128" i="1"/>
  <c r="BR128" i="1"/>
  <c r="BN129" i="1"/>
  <c r="BP129" i="1"/>
  <c r="BR129" i="1"/>
  <c r="BN130" i="1"/>
  <c r="BP130" i="1"/>
  <c r="BR130" i="1"/>
  <c r="BN131" i="1"/>
  <c r="BP131" i="1"/>
  <c r="BR131" i="1"/>
  <c r="BN132" i="1"/>
  <c r="BP132" i="1"/>
  <c r="BR132" i="1"/>
  <c r="BN133" i="1"/>
  <c r="BP133" i="1"/>
  <c r="BR133" i="1"/>
  <c r="BN134" i="1"/>
  <c r="BP134" i="1"/>
  <c r="BR134" i="1"/>
  <c r="BN135" i="1"/>
  <c r="BP135" i="1"/>
  <c r="BR135" i="1"/>
  <c r="BN136" i="1"/>
  <c r="BP136" i="1"/>
  <c r="BR136" i="1"/>
  <c r="BN137" i="1"/>
  <c r="BP137" i="1"/>
  <c r="BR137" i="1"/>
  <c r="BN138" i="1"/>
  <c r="BP138" i="1"/>
  <c r="BR138" i="1"/>
  <c r="BN139" i="1"/>
  <c r="BP139" i="1"/>
  <c r="BR139" i="1"/>
  <c r="BN140" i="1"/>
  <c r="BP140" i="1"/>
  <c r="BR140" i="1"/>
  <c r="BN141" i="1"/>
  <c r="BP141" i="1"/>
  <c r="BR141" i="1"/>
  <c r="BN142" i="1"/>
  <c r="BP142" i="1"/>
  <c r="BR142" i="1"/>
  <c r="BN143" i="1"/>
  <c r="BN144" i="1"/>
  <c r="BN145" i="1"/>
  <c r="BS143" i="1"/>
  <c r="BQ143" i="1"/>
  <c r="BO143" i="1"/>
  <c r="BM143" i="1"/>
  <c r="BP143" i="1"/>
  <c r="BT143" i="1"/>
  <c r="BS144" i="1"/>
  <c r="BQ144" i="1"/>
  <c r="BO144" i="1"/>
  <c r="BM144" i="1"/>
  <c r="BP144" i="1"/>
  <c r="BT144" i="1"/>
  <c r="BS145" i="1"/>
  <c r="BQ145" i="1"/>
  <c r="BO145" i="1"/>
  <c r="BM145" i="1"/>
  <c r="BP145" i="1"/>
  <c r="BT145" i="1"/>
  <c r="BM146" i="1"/>
  <c r="BO146" i="1"/>
  <c r="BQ146" i="1"/>
  <c r="BS146" i="1"/>
  <c r="BM147" i="1"/>
  <c r="BO147" i="1"/>
  <c r="BQ147" i="1"/>
  <c r="BS147" i="1"/>
  <c r="BM148" i="1"/>
  <c r="BO148" i="1"/>
  <c r="BQ148" i="1"/>
  <c r="BS148" i="1"/>
  <c r="BM149" i="1"/>
  <c r="BO149" i="1"/>
  <c r="BQ149" i="1"/>
  <c r="BS149" i="1"/>
  <c r="BM150" i="1"/>
  <c r="BO150" i="1"/>
  <c r="BQ150" i="1"/>
  <c r="BS150" i="1"/>
  <c r="BM151" i="1"/>
  <c r="BO151" i="1"/>
  <c r="BQ151" i="1"/>
  <c r="BS151" i="1"/>
  <c r="BM152" i="1"/>
  <c r="BO152" i="1"/>
  <c r="BQ152" i="1"/>
  <c r="BS152" i="1"/>
  <c r="BM153" i="1"/>
  <c r="BO153" i="1"/>
  <c r="BQ153" i="1"/>
  <c r="BS153" i="1"/>
  <c r="BM154" i="1"/>
  <c r="BO154" i="1"/>
  <c r="BQ154" i="1"/>
  <c r="BS154" i="1"/>
  <c r="BM155" i="1"/>
  <c r="BO155" i="1"/>
  <c r="BQ155" i="1"/>
  <c r="BS155" i="1"/>
  <c r="BM156" i="1"/>
  <c r="BO156" i="1"/>
  <c r="BQ156" i="1"/>
  <c r="BS156" i="1"/>
  <c r="BN146" i="1"/>
  <c r="BP146" i="1"/>
  <c r="BR146" i="1"/>
  <c r="BN147" i="1"/>
  <c r="BP147" i="1"/>
  <c r="BR147" i="1"/>
  <c r="BN148" i="1"/>
  <c r="BP148" i="1"/>
  <c r="BR148" i="1"/>
  <c r="BN149" i="1"/>
  <c r="BP149" i="1"/>
  <c r="BR149" i="1"/>
  <c r="BN150" i="1"/>
  <c r="BP150" i="1"/>
  <c r="BR150" i="1"/>
  <c r="BN151" i="1"/>
  <c r="BP151" i="1"/>
  <c r="BR151" i="1"/>
  <c r="BN152" i="1"/>
  <c r="BP152" i="1"/>
  <c r="BR152" i="1"/>
  <c r="BN153" i="1"/>
  <c r="BP153" i="1"/>
  <c r="BR153" i="1"/>
  <c r="BN154" i="1"/>
  <c r="BP154" i="1"/>
  <c r="BR154" i="1"/>
  <c r="BN155" i="1"/>
  <c r="BP155" i="1"/>
  <c r="BR155" i="1"/>
  <c r="BN156" i="1"/>
  <c r="BP156" i="1"/>
  <c r="BR156" i="1"/>
  <c r="I73" i="29" l="1"/>
  <c r="I69" i="29"/>
  <c r="I65" i="29"/>
  <c r="BJ67" i="1"/>
  <c r="DA67" i="1" s="1"/>
  <c r="I64" i="29"/>
  <c r="I71" i="29"/>
  <c r="I67" i="29"/>
  <c r="I72" i="29"/>
  <c r="BJ156" i="1"/>
  <c r="DA156" i="1" s="1"/>
  <c r="BJ155" i="1"/>
  <c r="DA155" i="1" s="1"/>
  <c r="BJ153" i="1"/>
  <c r="DA153" i="1" s="1"/>
  <c r="BJ151" i="1"/>
  <c r="DA151" i="1" s="1"/>
  <c r="BJ149" i="1"/>
  <c r="DA149" i="1" s="1"/>
  <c r="BJ147" i="1"/>
  <c r="DA147" i="1" s="1"/>
  <c r="BJ145" i="1"/>
  <c r="DA145" i="1" s="1"/>
  <c r="BJ143" i="1"/>
  <c r="DA143" i="1" s="1"/>
  <c r="BJ141" i="1"/>
  <c r="DA141" i="1" s="1"/>
  <c r="BJ139" i="1"/>
  <c r="DA139" i="1" s="1"/>
  <c r="BJ137" i="1"/>
  <c r="DA137" i="1" s="1"/>
  <c r="BJ135" i="1"/>
  <c r="DA135" i="1" s="1"/>
  <c r="BJ133" i="1"/>
  <c r="DA133" i="1" s="1"/>
  <c r="BJ131" i="1"/>
  <c r="DA131" i="1" s="1"/>
  <c r="BJ129" i="1"/>
  <c r="DA129" i="1" s="1"/>
  <c r="BJ127" i="1"/>
  <c r="DA127" i="1" s="1"/>
  <c r="BJ125" i="1"/>
  <c r="DA125" i="1" s="1"/>
  <c r="BJ123" i="1"/>
  <c r="DA123" i="1" s="1"/>
  <c r="BJ121" i="1"/>
  <c r="DA121" i="1" s="1"/>
  <c r="BJ119" i="1"/>
  <c r="DA119" i="1" s="1"/>
  <c r="BJ118" i="1"/>
  <c r="DA118" i="1" s="1"/>
  <c r="BJ112" i="1"/>
  <c r="DA112" i="1" s="1"/>
  <c r="BJ109" i="1"/>
  <c r="DA109" i="1" s="1"/>
  <c r="BJ107" i="1"/>
  <c r="DA107" i="1" s="1"/>
  <c r="BJ105" i="1"/>
  <c r="DA105" i="1" s="1"/>
  <c r="BJ103" i="1"/>
  <c r="DA103" i="1" s="1"/>
  <c r="BJ100" i="1"/>
  <c r="DA100" i="1" s="1"/>
  <c r="BJ98" i="1"/>
  <c r="DA98" i="1" s="1"/>
  <c r="BJ96" i="1"/>
  <c r="DA96" i="1" s="1"/>
  <c r="BJ94" i="1"/>
  <c r="DA94" i="1" s="1"/>
  <c r="BJ92" i="1"/>
  <c r="DA92" i="1" s="1"/>
  <c r="BJ90" i="1"/>
  <c r="DA90" i="1" s="1"/>
  <c r="BJ88" i="1"/>
  <c r="DA88" i="1" s="1"/>
  <c r="BJ86" i="1"/>
  <c r="DA86" i="1" s="1"/>
  <c r="BJ84" i="1"/>
  <c r="DA84" i="1" s="1"/>
  <c r="BJ82" i="1"/>
  <c r="DA82" i="1" s="1"/>
  <c r="BJ80" i="1"/>
  <c r="DA80" i="1" s="1"/>
  <c r="BJ78" i="1"/>
  <c r="DA78" i="1" s="1"/>
  <c r="BJ76" i="1"/>
  <c r="DA76" i="1" s="1"/>
  <c r="BJ154" i="1"/>
  <c r="DA154" i="1" s="1"/>
  <c r="BJ152" i="1"/>
  <c r="DA152" i="1" s="1"/>
  <c r="BJ150" i="1"/>
  <c r="DA150" i="1" s="1"/>
  <c r="BJ148" i="1"/>
  <c r="DA148" i="1" s="1"/>
  <c r="BJ146" i="1"/>
  <c r="DA146" i="1" s="1"/>
  <c r="BJ144" i="1"/>
  <c r="DA144" i="1" s="1"/>
  <c r="BJ140" i="1"/>
  <c r="DA140" i="1" s="1"/>
  <c r="BJ136" i="1"/>
  <c r="DA136" i="1" s="1"/>
  <c r="BJ132" i="1"/>
  <c r="DA132" i="1" s="1"/>
  <c r="BJ128" i="1"/>
  <c r="DA128" i="1" s="1"/>
  <c r="BJ124" i="1"/>
  <c r="DA124" i="1" s="1"/>
  <c r="BJ120" i="1"/>
  <c r="DA120" i="1" s="1"/>
  <c r="BJ117" i="1"/>
  <c r="DA117" i="1" s="1"/>
  <c r="BJ115" i="1"/>
  <c r="DA115" i="1" s="1"/>
  <c r="BJ113" i="1"/>
  <c r="DA113" i="1" s="1"/>
  <c r="BJ111" i="1"/>
  <c r="DA111" i="1" s="1"/>
  <c r="BJ110" i="1"/>
  <c r="DA110" i="1" s="1"/>
  <c r="BJ101" i="1"/>
  <c r="DA101" i="1" s="1"/>
  <c r="BJ99" i="1"/>
  <c r="DA99" i="1" s="1"/>
  <c r="BJ97" i="1"/>
  <c r="DA97" i="1" s="1"/>
  <c r="BJ95" i="1"/>
  <c r="DA95" i="1" s="1"/>
  <c r="BJ93" i="1"/>
  <c r="DA93" i="1" s="1"/>
  <c r="BJ91" i="1"/>
  <c r="DA91" i="1" s="1"/>
  <c r="BJ89" i="1"/>
  <c r="DA89" i="1" s="1"/>
  <c r="BJ85" i="1"/>
  <c r="DA85" i="1" s="1"/>
  <c r="BJ81" i="1"/>
  <c r="DA81" i="1" s="1"/>
  <c r="BJ77" i="1"/>
  <c r="DA77" i="1" s="1"/>
  <c r="BJ69" i="1"/>
  <c r="DA69" i="1" s="1"/>
  <c r="BJ65" i="1"/>
  <c r="DA65" i="1" s="1"/>
  <c r="BJ73" i="1"/>
  <c r="DA73" i="1" s="1"/>
  <c r="I70" i="29"/>
  <c r="BJ68" i="1"/>
  <c r="DA68" i="1" s="1"/>
  <c r="BJ116" i="1"/>
  <c r="DA116" i="1" s="1"/>
  <c r="BJ114" i="1"/>
  <c r="DA114" i="1" s="1"/>
  <c r="BJ138" i="1"/>
  <c r="DA138" i="1" s="1"/>
  <c r="BJ134" i="1"/>
  <c r="DA134" i="1" s="1"/>
  <c r="BJ130" i="1"/>
  <c r="DA130" i="1" s="1"/>
  <c r="BJ126" i="1"/>
  <c r="DA126" i="1" s="1"/>
  <c r="BJ122" i="1"/>
  <c r="DA122" i="1" s="1"/>
  <c r="I74" i="29"/>
  <c r="I75" i="29"/>
  <c r="BJ70" i="1"/>
  <c r="DA70" i="1" s="1"/>
  <c r="BJ66" i="1"/>
  <c r="DA66" i="1" s="1"/>
  <c r="BJ63" i="1"/>
  <c r="DA63" i="1" s="1"/>
  <c r="BJ74" i="1"/>
  <c r="DA74" i="1" s="1"/>
  <c r="BJ72" i="1"/>
  <c r="DA72" i="1" s="1"/>
  <c r="I66" i="29"/>
  <c r="BJ64" i="1"/>
  <c r="DA64" i="1" s="1"/>
  <c r="K100" i="29"/>
  <c r="AY11" i="1"/>
  <c r="AY10" i="1"/>
  <c r="AY9" i="1"/>
  <c r="AY8" i="1"/>
  <c r="AY21" i="1"/>
  <c r="AY20" i="1"/>
  <c r="AY19" i="1"/>
  <c r="AY18" i="1"/>
  <c r="AY17" i="1"/>
  <c r="C7" i="29" l="1"/>
  <c r="D7" i="29"/>
  <c r="E7" i="29"/>
  <c r="G7" i="29"/>
  <c r="C8" i="29"/>
  <c r="D8" i="29"/>
  <c r="E8" i="29"/>
  <c r="G8" i="29"/>
  <c r="C9" i="29"/>
  <c r="D9" i="29"/>
  <c r="E9" i="29"/>
  <c r="G9" i="29"/>
  <c r="C10" i="29"/>
  <c r="D10" i="29"/>
  <c r="E10" i="29"/>
  <c r="G10" i="29"/>
  <c r="C11" i="29"/>
  <c r="D11" i="29"/>
  <c r="E11" i="29"/>
  <c r="G11" i="29"/>
  <c r="C12" i="29"/>
  <c r="D12" i="29"/>
  <c r="E12" i="29"/>
  <c r="G12" i="29"/>
  <c r="C13" i="29"/>
  <c r="D13" i="29"/>
  <c r="E13" i="29"/>
  <c r="G13" i="29"/>
  <c r="C14" i="29"/>
  <c r="D14" i="29"/>
  <c r="E14" i="29"/>
  <c r="G14" i="29"/>
  <c r="C15" i="29"/>
  <c r="D15" i="29"/>
  <c r="E15" i="29"/>
  <c r="G15" i="29"/>
  <c r="C16" i="29"/>
  <c r="D16" i="29"/>
  <c r="E16" i="29"/>
  <c r="G16" i="29"/>
  <c r="C17" i="29"/>
  <c r="D17" i="29"/>
  <c r="E17" i="29"/>
  <c r="G17" i="29"/>
  <c r="C18" i="29"/>
  <c r="D18" i="29"/>
  <c r="E18" i="29"/>
  <c r="G18" i="29"/>
  <c r="C19" i="29"/>
  <c r="D19" i="29"/>
  <c r="E19" i="29"/>
  <c r="G19" i="29"/>
  <c r="C20" i="29"/>
  <c r="D20" i="29"/>
  <c r="E20" i="29"/>
  <c r="G20" i="29"/>
  <c r="C21" i="29"/>
  <c r="D21" i="29"/>
  <c r="E21" i="29"/>
  <c r="G21" i="29"/>
  <c r="C22" i="29"/>
  <c r="D22" i="29"/>
  <c r="E22" i="29"/>
  <c r="G22" i="29"/>
  <c r="C23" i="29"/>
  <c r="D23" i="29"/>
  <c r="E23" i="29"/>
  <c r="G23" i="29"/>
  <c r="C24" i="29"/>
  <c r="D24" i="29"/>
  <c r="E24" i="29"/>
  <c r="G24" i="29"/>
  <c r="C25" i="29"/>
  <c r="D25" i="29"/>
  <c r="E25" i="29"/>
  <c r="G25" i="29"/>
  <c r="C26" i="29"/>
  <c r="D26" i="29"/>
  <c r="E26" i="29"/>
  <c r="G26" i="29"/>
  <c r="C27" i="29"/>
  <c r="D27" i="29"/>
  <c r="E27" i="29"/>
  <c r="G27" i="29"/>
  <c r="C28" i="29"/>
  <c r="D28" i="29"/>
  <c r="E28" i="29"/>
  <c r="G28" i="29"/>
  <c r="C29" i="29"/>
  <c r="D29" i="29"/>
  <c r="E29" i="29"/>
  <c r="G29" i="29"/>
  <c r="C30" i="29"/>
  <c r="D30" i="29"/>
  <c r="E30" i="29"/>
  <c r="G30" i="29"/>
  <c r="C31" i="29"/>
  <c r="D31" i="29"/>
  <c r="E31" i="29"/>
  <c r="G31" i="29"/>
  <c r="C32" i="29"/>
  <c r="D32" i="29"/>
  <c r="E32" i="29"/>
  <c r="G32" i="29"/>
  <c r="C33" i="29"/>
  <c r="D33" i="29"/>
  <c r="E33" i="29"/>
  <c r="G33" i="29"/>
  <c r="C34" i="29"/>
  <c r="D34" i="29"/>
  <c r="E34" i="29"/>
  <c r="G34" i="29"/>
  <c r="C35" i="29"/>
  <c r="D35" i="29"/>
  <c r="E35" i="29"/>
  <c r="G35" i="29"/>
  <c r="C36" i="29"/>
  <c r="D36" i="29"/>
  <c r="E36" i="29"/>
  <c r="G36" i="29"/>
  <c r="C37" i="29"/>
  <c r="D37" i="29"/>
  <c r="E37" i="29"/>
  <c r="G37" i="29"/>
  <c r="C38" i="29"/>
  <c r="D38" i="29"/>
  <c r="E38" i="29"/>
  <c r="G38" i="29"/>
  <c r="C39" i="29"/>
  <c r="D39" i="29"/>
  <c r="E39" i="29"/>
  <c r="G39" i="29"/>
  <c r="C40" i="29"/>
  <c r="D40" i="29"/>
  <c r="E40" i="29"/>
  <c r="G40" i="29"/>
  <c r="C41" i="29"/>
  <c r="D41" i="29"/>
  <c r="E41" i="29"/>
  <c r="G41" i="29"/>
  <c r="C42" i="29"/>
  <c r="D42" i="29"/>
  <c r="E42" i="29"/>
  <c r="G42" i="29"/>
  <c r="C43" i="29"/>
  <c r="D43" i="29"/>
  <c r="E43" i="29"/>
  <c r="G43" i="29"/>
  <c r="C44" i="29"/>
  <c r="D44" i="29"/>
  <c r="E44" i="29"/>
  <c r="G44" i="29"/>
  <c r="C45" i="29"/>
  <c r="D45" i="29"/>
  <c r="E45" i="29"/>
  <c r="G45" i="29"/>
  <c r="C46" i="29"/>
  <c r="D46" i="29"/>
  <c r="E46" i="29"/>
  <c r="G46" i="29"/>
  <c r="C47" i="29"/>
  <c r="D47" i="29"/>
  <c r="E47" i="29"/>
  <c r="G47" i="29"/>
  <c r="C48" i="29"/>
  <c r="D48" i="29"/>
  <c r="E48" i="29"/>
  <c r="G48" i="29"/>
  <c r="C49" i="29"/>
  <c r="D49" i="29"/>
  <c r="E49" i="29"/>
  <c r="G49" i="29"/>
  <c r="C50" i="29"/>
  <c r="D50" i="29"/>
  <c r="E50" i="29"/>
  <c r="G50" i="29"/>
  <c r="C51" i="29"/>
  <c r="D51" i="29"/>
  <c r="E51" i="29"/>
  <c r="G51" i="29"/>
  <c r="C52" i="29"/>
  <c r="D52" i="29"/>
  <c r="E52" i="29"/>
  <c r="G52" i="29"/>
  <c r="C53" i="29"/>
  <c r="D53" i="29"/>
  <c r="E53" i="29"/>
  <c r="G53" i="29"/>
  <c r="C54" i="29"/>
  <c r="D54" i="29"/>
  <c r="E54" i="29"/>
  <c r="G54" i="29"/>
  <c r="C55" i="29"/>
  <c r="D55" i="29"/>
  <c r="E55" i="29"/>
  <c r="G55" i="29"/>
  <c r="C56" i="29"/>
  <c r="D56" i="29"/>
  <c r="E56" i="29"/>
  <c r="G56" i="29"/>
  <c r="C57" i="29"/>
  <c r="D57" i="29"/>
  <c r="E57" i="29"/>
  <c r="G57" i="29"/>
  <c r="C58" i="29"/>
  <c r="D58" i="29"/>
  <c r="E58" i="29"/>
  <c r="G58" i="29"/>
  <c r="C59" i="29"/>
  <c r="D59" i="29"/>
  <c r="E59" i="29"/>
  <c r="G59" i="29"/>
  <c r="C60" i="29"/>
  <c r="D60" i="29"/>
  <c r="E60" i="29"/>
  <c r="G60" i="29"/>
  <c r="C61" i="29"/>
  <c r="D61" i="29"/>
  <c r="E61" i="29"/>
  <c r="G61" i="29"/>
  <c r="C62" i="29"/>
  <c r="D62" i="29"/>
  <c r="E62" i="29"/>
  <c r="G62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F371" i="31"/>
  <c r="E371" i="31"/>
  <c r="F370" i="31"/>
  <c r="E370" i="31"/>
  <c r="F369" i="31"/>
  <c r="E369" i="31"/>
  <c r="F368" i="31"/>
  <c r="E368" i="31"/>
  <c r="F367" i="31"/>
  <c r="E367" i="31"/>
  <c r="F366" i="31"/>
  <c r="E366" i="31"/>
  <c r="F365" i="31"/>
  <c r="E365" i="31"/>
  <c r="F364" i="31"/>
  <c r="E364" i="31"/>
  <c r="F363" i="31"/>
  <c r="E363" i="31"/>
  <c r="F362" i="31"/>
  <c r="E362" i="31"/>
  <c r="F361" i="31"/>
  <c r="E361" i="31"/>
  <c r="F360" i="31"/>
  <c r="E360" i="31"/>
  <c r="F359" i="31"/>
  <c r="E359" i="31"/>
  <c r="F358" i="31"/>
  <c r="E358" i="31"/>
  <c r="F357" i="31"/>
  <c r="E357" i="31"/>
  <c r="F356" i="31"/>
  <c r="E356" i="31"/>
  <c r="F355" i="31"/>
  <c r="E355" i="31"/>
  <c r="F354" i="31"/>
  <c r="E354" i="31"/>
  <c r="F353" i="31"/>
  <c r="E353" i="31"/>
  <c r="F352" i="31"/>
  <c r="E352" i="31"/>
  <c r="F351" i="31"/>
  <c r="E351" i="31"/>
  <c r="F350" i="31"/>
  <c r="E350" i="31"/>
  <c r="F349" i="31"/>
  <c r="E349" i="31"/>
  <c r="F348" i="31"/>
  <c r="E348" i="31"/>
  <c r="F347" i="31"/>
  <c r="E347" i="31"/>
  <c r="F346" i="31"/>
  <c r="E346" i="31"/>
  <c r="F345" i="31"/>
  <c r="E345" i="31"/>
  <c r="F344" i="31"/>
  <c r="E344" i="31"/>
  <c r="F343" i="31"/>
  <c r="E343" i="31"/>
  <c r="F342" i="31"/>
  <c r="E342" i="31"/>
  <c r="F341" i="31"/>
  <c r="E341" i="31"/>
  <c r="F340" i="31"/>
  <c r="E340" i="31"/>
  <c r="F339" i="31"/>
  <c r="E339" i="31"/>
  <c r="F338" i="31"/>
  <c r="E338" i="31"/>
  <c r="F337" i="31"/>
  <c r="E337" i="31"/>
  <c r="F336" i="31"/>
  <c r="E336" i="31"/>
  <c r="F335" i="31"/>
  <c r="E335" i="31"/>
  <c r="F334" i="31"/>
  <c r="E334" i="31"/>
  <c r="F333" i="31"/>
  <c r="E333" i="31"/>
  <c r="F332" i="31"/>
  <c r="E332" i="31"/>
  <c r="F331" i="31"/>
  <c r="E331" i="31"/>
  <c r="F330" i="31"/>
  <c r="E330" i="31"/>
  <c r="F329" i="31"/>
  <c r="E329" i="31"/>
  <c r="F328" i="31"/>
  <c r="E328" i="31"/>
  <c r="F327" i="31"/>
  <c r="E327" i="31"/>
  <c r="F326" i="31"/>
  <c r="E326" i="31"/>
  <c r="F325" i="31"/>
  <c r="E325" i="31"/>
  <c r="F324" i="31"/>
  <c r="E324" i="31"/>
  <c r="F323" i="31"/>
  <c r="E323" i="31"/>
  <c r="F322" i="31"/>
  <c r="E322" i="31"/>
  <c r="F321" i="31"/>
  <c r="E321" i="31"/>
  <c r="F320" i="31"/>
  <c r="E320" i="31"/>
  <c r="F319" i="31"/>
  <c r="E319" i="31"/>
  <c r="F318" i="31"/>
  <c r="E318" i="31"/>
  <c r="F317" i="31"/>
  <c r="E317" i="31"/>
  <c r="F316" i="31"/>
  <c r="E316" i="31"/>
  <c r="F315" i="31"/>
  <c r="E315" i="31"/>
  <c r="F314" i="31"/>
  <c r="E314" i="31"/>
  <c r="F313" i="31"/>
  <c r="E313" i="31"/>
  <c r="F312" i="31"/>
  <c r="E312" i="31"/>
  <c r="F311" i="31"/>
  <c r="E311" i="31"/>
  <c r="F310" i="31"/>
  <c r="E310" i="31"/>
  <c r="F309" i="31"/>
  <c r="E309" i="31"/>
  <c r="F308" i="31"/>
  <c r="E308" i="31"/>
  <c r="F307" i="31"/>
  <c r="E307" i="31"/>
  <c r="F306" i="31"/>
  <c r="E306" i="31"/>
  <c r="F305" i="31"/>
  <c r="E305" i="31"/>
  <c r="F304" i="31"/>
  <c r="E304" i="31"/>
  <c r="F303" i="31"/>
  <c r="E303" i="31"/>
  <c r="F302" i="31"/>
  <c r="E302" i="31"/>
  <c r="F301" i="31"/>
  <c r="E301" i="31"/>
  <c r="F300" i="31"/>
  <c r="E300" i="31"/>
  <c r="F299" i="31"/>
  <c r="E299" i="31"/>
  <c r="F298" i="31"/>
  <c r="E298" i="31"/>
  <c r="F297" i="31"/>
  <c r="E297" i="31"/>
  <c r="F296" i="31"/>
  <c r="E296" i="31"/>
  <c r="F295" i="31"/>
  <c r="E295" i="31"/>
  <c r="F294" i="31"/>
  <c r="E294" i="31"/>
  <c r="F293" i="31"/>
  <c r="E293" i="31"/>
  <c r="F292" i="31"/>
  <c r="E292" i="31"/>
  <c r="F291" i="31"/>
  <c r="E291" i="31"/>
  <c r="F290" i="31"/>
  <c r="E290" i="31"/>
  <c r="F289" i="31"/>
  <c r="E289" i="31"/>
  <c r="F288" i="31"/>
  <c r="E288" i="31"/>
  <c r="F287" i="31"/>
  <c r="E287" i="31"/>
  <c r="F286" i="31"/>
  <c r="E286" i="31"/>
  <c r="F285" i="31"/>
  <c r="E285" i="31"/>
  <c r="F284" i="31"/>
  <c r="E284" i="31"/>
  <c r="F283" i="31"/>
  <c r="E283" i="31"/>
  <c r="F282" i="31"/>
  <c r="E282" i="31"/>
  <c r="F281" i="31"/>
  <c r="E281" i="31"/>
  <c r="F280" i="31"/>
  <c r="E280" i="31"/>
  <c r="F279" i="31"/>
  <c r="E279" i="31"/>
  <c r="F278" i="31"/>
  <c r="E278" i="31"/>
  <c r="F277" i="31"/>
  <c r="E277" i="31"/>
  <c r="F276" i="31"/>
  <c r="E276" i="31"/>
  <c r="F275" i="31"/>
  <c r="E275" i="31"/>
  <c r="F274" i="31"/>
  <c r="E274" i="31"/>
  <c r="F273" i="31"/>
  <c r="E273" i="31"/>
  <c r="F272" i="31"/>
  <c r="E272" i="31"/>
  <c r="F271" i="31"/>
  <c r="E271" i="31"/>
  <c r="F270" i="31"/>
  <c r="E270" i="31"/>
  <c r="F269" i="31"/>
  <c r="E269" i="31"/>
  <c r="F268" i="31"/>
  <c r="E268" i="31"/>
  <c r="F267" i="31"/>
  <c r="E267" i="31"/>
  <c r="F266" i="31"/>
  <c r="E266" i="31"/>
  <c r="F265" i="31"/>
  <c r="E265" i="31"/>
  <c r="F264" i="31"/>
  <c r="E264" i="31"/>
  <c r="F263" i="31"/>
  <c r="E263" i="31"/>
  <c r="F262" i="31"/>
  <c r="E262" i="31"/>
  <c r="F261" i="31"/>
  <c r="E261" i="31"/>
  <c r="F260" i="31"/>
  <c r="E260" i="31"/>
  <c r="F259" i="31"/>
  <c r="E259" i="31"/>
  <c r="F258" i="31"/>
  <c r="E258" i="31"/>
  <c r="F257" i="31"/>
  <c r="E257" i="31"/>
  <c r="F256" i="31"/>
  <c r="E256" i="31"/>
  <c r="F255" i="31"/>
  <c r="E255" i="31"/>
  <c r="F254" i="31"/>
  <c r="E254" i="31"/>
  <c r="F253" i="31"/>
  <c r="E253" i="31"/>
  <c r="F252" i="31"/>
  <c r="E252" i="31"/>
  <c r="F251" i="31"/>
  <c r="E251" i="31"/>
  <c r="F250" i="31"/>
  <c r="E250" i="31"/>
  <c r="F249" i="31"/>
  <c r="E249" i="31"/>
  <c r="F248" i="31"/>
  <c r="E248" i="31"/>
  <c r="F247" i="31"/>
  <c r="E247" i="31"/>
  <c r="F246" i="31"/>
  <c r="E246" i="31"/>
  <c r="F245" i="31"/>
  <c r="E245" i="31"/>
  <c r="F244" i="31"/>
  <c r="E244" i="31"/>
  <c r="F243" i="31"/>
  <c r="E243" i="31"/>
  <c r="F242" i="31"/>
  <c r="E242" i="31"/>
  <c r="F241" i="31"/>
  <c r="E241" i="31"/>
  <c r="F240" i="31"/>
  <c r="E240" i="31"/>
  <c r="F239" i="31"/>
  <c r="E239" i="31"/>
  <c r="F238" i="31"/>
  <c r="E238" i="31"/>
  <c r="F237" i="31"/>
  <c r="E237" i="31"/>
  <c r="F236" i="31"/>
  <c r="E236" i="31"/>
  <c r="F235" i="31"/>
  <c r="E235" i="31"/>
  <c r="F234" i="31"/>
  <c r="E234" i="31"/>
  <c r="F233" i="31"/>
  <c r="E233" i="31"/>
  <c r="F232" i="31"/>
  <c r="E232" i="31"/>
  <c r="F231" i="31"/>
  <c r="E231" i="31"/>
  <c r="F230" i="31"/>
  <c r="E230" i="31"/>
  <c r="F229" i="31"/>
  <c r="E229" i="31"/>
  <c r="F228" i="31"/>
  <c r="E228" i="31"/>
  <c r="F227" i="31"/>
  <c r="E227" i="31"/>
  <c r="F226" i="31"/>
  <c r="E226" i="31"/>
  <c r="F225" i="31"/>
  <c r="E225" i="31"/>
  <c r="F224" i="31"/>
  <c r="E224" i="31"/>
  <c r="F223" i="31"/>
  <c r="E223" i="31"/>
  <c r="F222" i="31"/>
  <c r="E222" i="31"/>
  <c r="F221" i="31"/>
  <c r="E221" i="31"/>
  <c r="F220" i="31"/>
  <c r="E220" i="31"/>
  <c r="F219" i="31"/>
  <c r="E219" i="31"/>
  <c r="F218" i="31"/>
  <c r="E218" i="31"/>
  <c r="F217" i="31"/>
  <c r="E217" i="31"/>
  <c r="F216" i="31"/>
  <c r="E216" i="31"/>
  <c r="F215" i="31"/>
  <c r="E215" i="31"/>
  <c r="F214" i="31"/>
  <c r="E214" i="31"/>
  <c r="F213" i="31"/>
  <c r="E213" i="31"/>
  <c r="F212" i="31"/>
  <c r="E212" i="31"/>
  <c r="F211" i="31"/>
  <c r="E211" i="31"/>
  <c r="F210" i="31"/>
  <c r="E210" i="31"/>
  <c r="F209" i="31"/>
  <c r="E209" i="31"/>
  <c r="F208" i="31"/>
  <c r="E208" i="31"/>
  <c r="F207" i="31"/>
  <c r="E207" i="31"/>
  <c r="F206" i="31"/>
  <c r="E206" i="31"/>
  <c r="F205" i="31"/>
  <c r="E205" i="31"/>
  <c r="F204" i="31"/>
  <c r="E204" i="31"/>
  <c r="F203" i="31"/>
  <c r="E203" i="31"/>
  <c r="F202" i="31"/>
  <c r="E202" i="31"/>
  <c r="F201" i="31"/>
  <c r="E201" i="31"/>
  <c r="F200" i="31"/>
  <c r="E200" i="31"/>
  <c r="F199" i="31"/>
  <c r="E199" i="31"/>
  <c r="F198" i="31"/>
  <c r="E198" i="31"/>
  <c r="F197" i="31"/>
  <c r="E197" i="31"/>
  <c r="F196" i="31"/>
  <c r="E196" i="31"/>
  <c r="F195" i="31"/>
  <c r="E195" i="31"/>
  <c r="F194" i="31"/>
  <c r="E194" i="31"/>
  <c r="F193" i="31"/>
  <c r="E193" i="31"/>
  <c r="F192" i="31"/>
  <c r="E192" i="31"/>
  <c r="F191" i="31"/>
  <c r="E191" i="31"/>
  <c r="F190" i="31"/>
  <c r="E190" i="31"/>
  <c r="F189" i="31"/>
  <c r="E189" i="31"/>
  <c r="F188" i="31"/>
  <c r="E188" i="31"/>
  <c r="F187" i="31"/>
  <c r="E187" i="31"/>
  <c r="F186" i="31"/>
  <c r="E186" i="31"/>
  <c r="F185" i="31"/>
  <c r="E185" i="31"/>
  <c r="F184" i="31"/>
  <c r="E184" i="31"/>
  <c r="F183" i="31"/>
  <c r="E183" i="31"/>
  <c r="F182" i="31"/>
  <c r="E182" i="31"/>
  <c r="F181" i="31"/>
  <c r="E181" i="31"/>
  <c r="F180" i="31"/>
  <c r="E180" i="31"/>
  <c r="F179" i="31"/>
  <c r="E179" i="31"/>
  <c r="F178" i="31"/>
  <c r="E178" i="31"/>
  <c r="F177" i="31"/>
  <c r="E177" i="31"/>
  <c r="F176" i="31"/>
  <c r="E176" i="31"/>
  <c r="F175" i="31"/>
  <c r="E175" i="31"/>
  <c r="F174" i="31"/>
  <c r="E174" i="31"/>
  <c r="F173" i="31"/>
  <c r="E173" i="31"/>
  <c r="F172" i="31"/>
  <c r="E172" i="31"/>
  <c r="F171" i="31"/>
  <c r="E171" i="31"/>
  <c r="F170" i="31"/>
  <c r="E170" i="31"/>
  <c r="F169" i="31"/>
  <c r="E169" i="31"/>
  <c r="F168" i="31"/>
  <c r="E168" i="31"/>
  <c r="F167" i="31"/>
  <c r="E167" i="31"/>
  <c r="F166" i="31"/>
  <c r="E166" i="31"/>
  <c r="F165" i="31"/>
  <c r="E165" i="31"/>
  <c r="F164" i="31"/>
  <c r="E164" i="31"/>
  <c r="F163" i="31"/>
  <c r="E163" i="31"/>
  <c r="F162" i="31"/>
  <c r="E162" i="31"/>
  <c r="F161" i="31"/>
  <c r="E161" i="31"/>
  <c r="F160" i="31"/>
  <c r="E160" i="31"/>
  <c r="F159" i="31"/>
  <c r="E159" i="31"/>
  <c r="F158" i="31"/>
  <c r="E158" i="31"/>
  <c r="F157" i="31"/>
  <c r="E157" i="31"/>
  <c r="F156" i="31"/>
  <c r="E156" i="31"/>
  <c r="F155" i="31"/>
  <c r="E155" i="31"/>
  <c r="F154" i="31"/>
  <c r="E154" i="31"/>
  <c r="F153" i="31"/>
  <c r="E153" i="31"/>
  <c r="F152" i="31"/>
  <c r="E152" i="31"/>
  <c r="F151" i="31"/>
  <c r="E151" i="31"/>
  <c r="F150" i="31"/>
  <c r="E150" i="31"/>
  <c r="F149" i="31"/>
  <c r="E149" i="31"/>
  <c r="F148" i="31"/>
  <c r="E148" i="31"/>
  <c r="F147" i="31"/>
  <c r="E147" i="31"/>
  <c r="F146" i="31"/>
  <c r="E146" i="31"/>
  <c r="F145" i="31"/>
  <c r="E145" i="31"/>
  <c r="F144" i="31"/>
  <c r="E144" i="31"/>
  <c r="F143" i="31"/>
  <c r="E143" i="31"/>
  <c r="F142" i="31"/>
  <c r="E142" i="31"/>
  <c r="F141" i="31"/>
  <c r="E141" i="31"/>
  <c r="F140" i="31"/>
  <c r="E140" i="31"/>
  <c r="F139" i="31"/>
  <c r="E139" i="31"/>
  <c r="F138" i="31"/>
  <c r="E138" i="31"/>
  <c r="F137" i="31"/>
  <c r="E137" i="31"/>
  <c r="F136" i="31"/>
  <c r="E136" i="31"/>
  <c r="F135" i="31"/>
  <c r="E135" i="31"/>
  <c r="F134" i="31"/>
  <c r="E134" i="31"/>
  <c r="F133" i="31"/>
  <c r="E133" i="31"/>
  <c r="F132" i="31"/>
  <c r="E132" i="31"/>
  <c r="F131" i="31"/>
  <c r="E131" i="31"/>
  <c r="F130" i="31"/>
  <c r="E130" i="31"/>
  <c r="F129" i="31"/>
  <c r="E129" i="31"/>
  <c r="F128" i="31"/>
  <c r="E128" i="31"/>
  <c r="F127" i="31"/>
  <c r="E127" i="31"/>
  <c r="F126" i="31"/>
  <c r="E126" i="31"/>
  <c r="F125" i="31"/>
  <c r="E125" i="31"/>
  <c r="F124" i="31"/>
  <c r="E124" i="31"/>
  <c r="F123" i="31"/>
  <c r="E123" i="31"/>
  <c r="F122" i="31"/>
  <c r="E122" i="31"/>
  <c r="F121" i="31"/>
  <c r="E121" i="31"/>
  <c r="F120" i="31"/>
  <c r="E120" i="31"/>
  <c r="F119" i="31"/>
  <c r="E119" i="31"/>
  <c r="F118" i="31"/>
  <c r="E118" i="31"/>
  <c r="F117" i="31"/>
  <c r="E117" i="31"/>
  <c r="F116" i="31"/>
  <c r="E116" i="31"/>
  <c r="F115" i="31"/>
  <c r="E115" i="31"/>
  <c r="F114" i="31"/>
  <c r="E114" i="31"/>
  <c r="F113" i="31"/>
  <c r="E113" i="31"/>
  <c r="F112" i="31"/>
  <c r="E112" i="31"/>
  <c r="F111" i="31"/>
  <c r="E111" i="31"/>
  <c r="F110" i="31"/>
  <c r="E110" i="31"/>
  <c r="F109" i="31"/>
  <c r="E109" i="31"/>
  <c r="F108" i="31"/>
  <c r="E108" i="31"/>
  <c r="F107" i="31"/>
  <c r="E107" i="31"/>
  <c r="F106" i="31"/>
  <c r="E106" i="31"/>
  <c r="F105" i="31"/>
  <c r="E105" i="31"/>
  <c r="F104" i="31"/>
  <c r="E104" i="31"/>
  <c r="F103" i="31"/>
  <c r="E103" i="31"/>
  <c r="F102" i="31"/>
  <c r="E102" i="31"/>
  <c r="F101" i="31"/>
  <c r="E101" i="31"/>
  <c r="F100" i="31"/>
  <c r="E100" i="31"/>
  <c r="F99" i="31"/>
  <c r="E99" i="31"/>
  <c r="F98" i="31"/>
  <c r="E98" i="31"/>
  <c r="F97" i="31"/>
  <c r="E97" i="31"/>
  <c r="F96" i="31"/>
  <c r="E96" i="31"/>
  <c r="F95" i="31"/>
  <c r="E95" i="31"/>
  <c r="F94" i="31"/>
  <c r="E94" i="31"/>
  <c r="F93" i="31"/>
  <c r="E93" i="31"/>
  <c r="F92" i="31"/>
  <c r="E92" i="31"/>
  <c r="F91" i="31"/>
  <c r="E91" i="31"/>
  <c r="F90" i="31"/>
  <c r="E90" i="31"/>
  <c r="F89" i="31"/>
  <c r="E89" i="31"/>
  <c r="F88" i="31"/>
  <c r="E88" i="31"/>
  <c r="F87" i="31"/>
  <c r="E87" i="31"/>
  <c r="F86" i="31"/>
  <c r="E86" i="31"/>
  <c r="F85" i="31"/>
  <c r="E85" i="31"/>
  <c r="F84" i="31"/>
  <c r="E84" i="31"/>
  <c r="F83" i="31"/>
  <c r="E83" i="31"/>
  <c r="F82" i="31"/>
  <c r="E82" i="31"/>
  <c r="F81" i="31"/>
  <c r="E81" i="31"/>
  <c r="F80" i="31"/>
  <c r="E80" i="31"/>
  <c r="F79" i="31"/>
  <c r="E79" i="31"/>
  <c r="F78" i="31"/>
  <c r="E78" i="31"/>
  <c r="F77" i="31"/>
  <c r="E77" i="31"/>
  <c r="F76" i="31"/>
  <c r="E76" i="31"/>
  <c r="F75" i="31"/>
  <c r="E75" i="31"/>
  <c r="F74" i="31"/>
  <c r="E74" i="31"/>
  <c r="F73" i="31"/>
  <c r="E73" i="31"/>
  <c r="F72" i="31"/>
  <c r="E72" i="31"/>
  <c r="F71" i="31"/>
  <c r="E71" i="31"/>
  <c r="F70" i="31"/>
  <c r="E70" i="31"/>
  <c r="F69" i="31"/>
  <c r="E69" i="31"/>
  <c r="F68" i="31"/>
  <c r="E68" i="31"/>
  <c r="F67" i="31"/>
  <c r="E67" i="31"/>
  <c r="F66" i="31"/>
  <c r="E66" i="31"/>
  <c r="F65" i="31"/>
  <c r="E65" i="31"/>
  <c r="F64" i="31"/>
  <c r="E64" i="31"/>
  <c r="F62" i="31"/>
  <c r="E62" i="31"/>
  <c r="F61" i="31"/>
  <c r="E61" i="31"/>
  <c r="F60" i="31"/>
  <c r="E60" i="31"/>
  <c r="F59" i="31"/>
  <c r="E59" i="31"/>
  <c r="F58" i="31"/>
  <c r="E58" i="31"/>
  <c r="F57" i="31"/>
  <c r="E57" i="31"/>
  <c r="F56" i="31"/>
  <c r="E56" i="31"/>
  <c r="F55" i="31"/>
  <c r="E55" i="31"/>
  <c r="F54" i="31"/>
  <c r="E54" i="31"/>
  <c r="F53" i="31"/>
  <c r="E53" i="31"/>
  <c r="F52" i="31"/>
  <c r="E52" i="31"/>
  <c r="F51" i="31"/>
  <c r="E51" i="31"/>
  <c r="F50" i="31"/>
  <c r="E50" i="31"/>
  <c r="F49" i="31"/>
  <c r="E49" i="31"/>
  <c r="F48" i="31"/>
  <c r="E48" i="31"/>
  <c r="F47" i="31"/>
  <c r="E47" i="31"/>
  <c r="F46" i="31"/>
  <c r="E46" i="31"/>
  <c r="F45" i="31"/>
  <c r="E45" i="31"/>
  <c r="F44" i="31"/>
  <c r="E44" i="31"/>
  <c r="F43" i="31"/>
  <c r="E43" i="31"/>
  <c r="F42" i="31"/>
  <c r="E42" i="31"/>
  <c r="F41" i="31"/>
  <c r="E41" i="31"/>
  <c r="F40" i="31"/>
  <c r="E40" i="31"/>
  <c r="F39" i="31"/>
  <c r="E39" i="31"/>
  <c r="F38" i="31"/>
  <c r="E38" i="31"/>
  <c r="F37" i="31"/>
  <c r="E37" i="31"/>
  <c r="F36" i="31"/>
  <c r="E36" i="31"/>
  <c r="F35" i="31"/>
  <c r="E35" i="31"/>
  <c r="F34" i="31"/>
  <c r="E34" i="31"/>
  <c r="F33" i="31"/>
  <c r="E33" i="31"/>
  <c r="F32" i="31"/>
  <c r="E32" i="31"/>
  <c r="K321" i="29" l="1"/>
  <c r="K317" i="29"/>
  <c r="K318" i="29"/>
  <c r="K306" i="29"/>
  <c r="K319" i="29"/>
  <c r="K315" i="29"/>
  <c r="K320" i="29"/>
  <c r="K316" i="29"/>
  <c r="K129" i="29" l="1"/>
  <c r="K130" i="29"/>
  <c r="K126" i="29"/>
  <c r="K127" i="29"/>
  <c r="K131" i="29"/>
  <c r="K128" i="29"/>
  <c r="BL370" i="1"/>
  <c r="BT370" i="1" s="1"/>
  <c r="CU370" i="1"/>
  <c r="CE370" i="1"/>
  <c r="BD370" i="1"/>
  <c r="BL369" i="1"/>
  <c r="BT369" i="1" s="1"/>
  <c r="CU369" i="1"/>
  <c r="CE369" i="1"/>
  <c r="BD369" i="1"/>
  <c r="BL368" i="1"/>
  <c r="BT368" i="1" s="1"/>
  <c r="CU368" i="1"/>
  <c r="CE368" i="1"/>
  <c r="BD368" i="1"/>
  <c r="BL367" i="1"/>
  <c r="BN367" i="1" s="1"/>
  <c r="CU367" i="1"/>
  <c r="CE367" i="1"/>
  <c r="BD367" i="1"/>
  <c r="BL366" i="1"/>
  <c r="CU366" i="1"/>
  <c r="CE366" i="1"/>
  <c r="BD366" i="1"/>
  <c r="BL365" i="1"/>
  <c r="BT365" i="1" s="1"/>
  <c r="CU365" i="1"/>
  <c r="CE365" i="1"/>
  <c r="BD365" i="1"/>
  <c r="BL364" i="1"/>
  <c r="BT364" i="1" s="1"/>
  <c r="CU364" i="1"/>
  <c r="CE364" i="1"/>
  <c r="BD364" i="1"/>
  <c r="BL363" i="1"/>
  <c r="CU363" i="1"/>
  <c r="CE363" i="1"/>
  <c r="BD363" i="1"/>
  <c r="BL362" i="1"/>
  <c r="BT362" i="1" s="1"/>
  <c r="CU362" i="1"/>
  <c r="CE362" i="1"/>
  <c r="BD362" i="1"/>
  <c r="BL361" i="1"/>
  <c r="BT361" i="1" s="1"/>
  <c r="CU361" i="1"/>
  <c r="CE361" i="1"/>
  <c r="BD361" i="1"/>
  <c r="BL360" i="1"/>
  <c r="BT360" i="1" s="1"/>
  <c r="CU360" i="1"/>
  <c r="CE360" i="1"/>
  <c r="BD360" i="1"/>
  <c r="BL359" i="1"/>
  <c r="CU359" i="1"/>
  <c r="CE359" i="1"/>
  <c r="BD359" i="1"/>
  <c r="BL358" i="1"/>
  <c r="CU358" i="1"/>
  <c r="CE358" i="1"/>
  <c r="BD358" i="1"/>
  <c r="BL357" i="1"/>
  <c r="BT357" i="1" s="1"/>
  <c r="CU357" i="1"/>
  <c r="CE357" i="1"/>
  <c r="BD357" i="1"/>
  <c r="BL356" i="1"/>
  <c r="BQ356" i="1" s="1"/>
  <c r="CU356" i="1"/>
  <c r="CE356" i="1"/>
  <c r="BD356" i="1"/>
  <c r="BL355" i="1"/>
  <c r="CU355" i="1"/>
  <c r="CE355" i="1"/>
  <c r="BD355" i="1"/>
  <c r="BL354" i="1"/>
  <c r="BT354" i="1" s="1"/>
  <c r="CU354" i="1"/>
  <c r="CE354" i="1"/>
  <c r="BD354" i="1"/>
  <c r="BL353" i="1"/>
  <c r="BT353" i="1" s="1"/>
  <c r="CU353" i="1"/>
  <c r="CE353" i="1"/>
  <c r="BD353" i="1"/>
  <c r="BL352" i="1"/>
  <c r="BT352" i="1" s="1"/>
  <c r="CU352" i="1"/>
  <c r="CE352" i="1"/>
  <c r="BD352" i="1"/>
  <c r="BL351" i="1"/>
  <c r="BN351" i="1" s="1"/>
  <c r="CU351" i="1"/>
  <c r="CE351" i="1"/>
  <c r="BD351" i="1"/>
  <c r="BL350" i="1"/>
  <c r="BT350" i="1" s="1"/>
  <c r="CU350" i="1"/>
  <c r="CE350" i="1"/>
  <c r="BD350" i="1"/>
  <c r="BL349" i="1"/>
  <c r="BT349" i="1" s="1"/>
  <c r="CU349" i="1"/>
  <c r="CE349" i="1"/>
  <c r="BD349" i="1"/>
  <c r="BL348" i="1"/>
  <c r="BT348" i="1" s="1"/>
  <c r="CU348" i="1"/>
  <c r="CE348" i="1"/>
  <c r="BD348" i="1"/>
  <c r="BL347" i="1"/>
  <c r="CU347" i="1"/>
  <c r="CE347" i="1"/>
  <c r="BD347" i="1"/>
  <c r="BL346" i="1"/>
  <c r="BT346" i="1" s="1"/>
  <c r="CU346" i="1"/>
  <c r="CE346" i="1"/>
  <c r="BD346" i="1"/>
  <c r="BL345" i="1"/>
  <c r="BT345" i="1" s="1"/>
  <c r="CU345" i="1"/>
  <c r="CE345" i="1"/>
  <c r="BD345" i="1"/>
  <c r="BL344" i="1"/>
  <c r="BT344" i="1" s="1"/>
  <c r="CU344" i="1"/>
  <c r="CE344" i="1"/>
  <c r="BD344" i="1"/>
  <c r="BL343" i="1"/>
  <c r="BQ343" i="1" s="1"/>
  <c r="CU343" i="1"/>
  <c r="CE343" i="1"/>
  <c r="BD343" i="1"/>
  <c r="BL342" i="1"/>
  <c r="BQ342" i="1" s="1"/>
  <c r="CU342" i="1"/>
  <c r="CE342" i="1"/>
  <c r="BD342" i="1"/>
  <c r="BL341" i="1"/>
  <c r="BR341" i="1" s="1"/>
  <c r="CU341" i="1"/>
  <c r="CE341" i="1"/>
  <c r="BD341" i="1"/>
  <c r="BL340" i="1"/>
  <c r="BQ340" i="1" s="1"/>
  <c r="CU340" i="1"/>
  <c r="CE340" i="1"/>
  <c r="BD340" i="1"/>
  <c r="BL339" i="1"/>
  <c r="CU339" i="1"/>
  <c r="CE339" i="1"/>
  <c r="BD339" i="1"/>
  <c r="BL338" i="1"/>
  <c r="CU338" i="1"/>
  <c r="CE338" i="1"/>
  <c r="BD338" i="1"/>
  <c r="BL337" i="1"/>
  <c r="CU337" i="1"/>
  <c r="CE337" i="1"/>
  <c r="BD337" i="1"/>
  <c r="BL336" i="1"/>
  <c r="CU336" i="1"/>
  <c r="CE336" i="1"/>
  <c r="BD336" i="1"/>
  <c r="BL335" i="1"/>
  <c r="BT335" i="1" s="1"/>
  <c r="CU335" i="1"/>
  <c r="CE335" i="1"/>
  <c r="BD335" i="1"/>
  <c r="K335" i="29"/>
  <c r="BL334" i="1"/>
  <c r="BT334" i="1" s="1"/>
  <c r="CU334" i="1"/>
  <c r="CE334" i="1"/>
  <c r="BD334" i="1"/>
  <c r="BL333" i="1"/>
  <c r="BT333" i="1" s="1"/>
  <c r="CU333" i="1"/>
  <c r="CE333" i="1"/>
  <c r="BD333" i="1"/>
  <c r="BL332" i="1"/>
  <c r="BP332" i="1" s="1"/>
  <c r="CU332" i="1"/>
  <c r="CE332" i="1"/>
  <c r="BD332" i="1"/>
  <c r="BL331" i="1"/>
  <c r="BT331" i="1" s="1"/>
  <c r="CU331" i="1"/>
  <c r="CE331" i="1"/>
  <c r="BD331" i="1"/>
  <c r="BL330" i="1"/>
  <c r="BT330" i="1" s="1"/>
  <c r="CU330" i="1"/>
  <c r="CE330" i="1"/>
  <c r="BD330" i="1"/>
  <c r="BL329" i="1"/>
  <c r="CU329" i="1"/>
  <c r="CE329" i="1"/>
  <c r="BD329" i="1"/>
  <c r="BL328" i="1"/>
  <c r="BP328" i="1" s="1"/>
  <c r="CU328" i="1"/>
  <c r="CE328" i="1"/>
  <c r="BD328" i="1"/>
  <c r="BL327" i="1"/>
  <c r="CU327" i="1"/>
  <c r="CE327" i="1"/>
  <c r="BD327" i="1"/>
  <c r="BL326" i="1"/>
  <c r="CU326" i="1"/>
  <c r="CE326" i="1"/>
  <c r="BD326" i="1"/>
  <c r="BL325" i="1"/>
  <c r="BP325" i="1" s="1"/>
  <c r="CU325" i="1"/>
  <c r="CE325" i="1"/>
  <c r="BD325" i="1"/>
  <c r="BL324" i="1"/>
  <c r="BS324" i="1" s="1"/>
  <c r="CU324" i="1"/>
  <c r="CE324" i="1"/>
  <c r="BD324" i="1"/>
  <c r="BL323" i="1"/>
  <c r="BT323" i="1" s="1"/>
  <c r="CU323" i="1"/>
  <c r="CE323" i="1"/>
  <c r="BD323" i="1"/>
  <c r="BL322" i="1"/>
  <c r="CU322" i="1"/>
  <c r="CE322" i="1"/>
  <c r="BD322" i="1"/>
  <c r="BL321" i="1"/>
  <c r="BT321" i="1" s="1"/>
  <c r="CU321" i="1"/>
  <c r="CE321" i="1"/>
  <c r="BD321" i="1"/>
  <c r="BL320" i="1"/>
  <c r="CU320" i="1"/>
  <c r="CE320" i="1"/>
  <c r="BD320" i="1"/>
  <c r="BL319" i="1"/>
  <c r="CU319" i="1"/>
  <c r="CE319" i="1"/>
  <c r="BD319" i="1"/>
  <c r="BL318" i="1"/>
  <c r="BT318" i="1" s="1"/>
  <c r="CU318" i="1"/>
  <c r="CE318" i="1"/>
  <c r="BD318" i="1"/>
  <c r="BL317" i="1"/>
  <c r="CU317" i="1"/>
  <c r="CE317" i="1"/>
  <c r="BD317" i="1"/>
  <c r="BL316" i="1"/>
  <c r="CU316" i="1"/>
  <c r="CE316" i="1"/>
  <c r="BD316" i="1"/>
  <c r="BL315" i="1"/>
  <c r="BR315" i="1" s="1"/>
  <c r="CU315" i="1"/>
  <c r="CE315" i="1"/>
  <c r="BD315" i="1"/>
  <c r="BL314" i="1"/>
  <c r="BS314" i="1" s="1"/>
  <c r="CU314" i="1"/>
  <c r="CE314" i="1"/>
  <c r="BD314" i="1"/>
  <c r="BL313" i="1"/>
  <c r="CU313" i="1"/>
  <c r="CE313" i="1"/>
  <c r="BD313" i="1"/>
  <c r="BL312" i="1"/>
  <c r="BT312" i="1" s="1"/>
  <c r="CU312" i="1"/>
  <c r="CE312" i="1"/>
  <c r="BD312" i="1"/>
  <c r="BL311" i="1"/>
  <c r="BT311" i="1" s="1"/>
  <c r="CU311" i="1"/>
  <c r="CE311" i="1"/>
  <c r="BD311" i="1"/>
  <c r="BL310" i="1"/>
  <c r="BT310" i="1" s="1"/>
  <c r="CU310" i="1"/>
  <c r="CE310" i="1"/>
  <c r="BD310" i="1"/>
  <c r="BL309" i="1"/>
  <c r="CU309" i="1"/>
  <c r="CE309" i="1"/>
  <c r="BD309" i="1"/>
  <c r="BL308" i="1"/>
  <c r="CU308" i="1"/>
  <c r="CE308" i="1"/>
  <c r="BD308" i="1"/>
  <c r="BL307" i="1"/>
  <c r="CU307" i="1"/>
  <c r="CE307" i="1"/>
  <c r="BD307" i="1"/>
  <c r="BL306" i="1"/>
  <c r="CU306" i="1"/>
  <c r="CE306" i="1"/>
  <c r="BD306" i="1"/>
  <c r="BL305" i="1"/>
  <c r="BQ305" i="1" s="1"/>
  <c r="CU305" i="1"/>
  <c r="CE305" i="1"/>
  <c r="BD305" i="1"/>
  <c r="BL304" i="1"/>
  <c r="BR304" i="1" s="1"/>
  <c r="CU304" i="1"/>
  <c r="CE304" i="1"/>
  <c r="BD304" i="1"/>
  <c r="BL303" i="1"/>
  <c r="BT303" i="1" s="1"/>
  <c r="CU303" i="1"/>
  <c r="CE303" i="1"/>
  <c r="BD303" i="1"/>
  <c r="BL302" i="1"/>
  <c r="CU302" i="1"/>
  <c r="CE302" i="1"/>
  <c r="BD302" i="1"/>
  <c r="BL301" i="1"/>
  <c r="CU301" i="1"/>
  <c r="CE301" i="1"/>
  <c r="BD301" i="1"/>
  <c r="BL300" i="1"/>
  <c r="BR300" i="1" s="1"/>
  <c r="CU300" i="1"/>
  <c r="CE300" i="1"/>
  <c r="BD300" i="1"/>
  <c r="BL299" i="1"/>
  <c r="BR299" i="1" s="1"/>
  <c r="CU299" i="1"/>
  <c r="CE299" i="1"/>
  <c r="BD299" i="1"/>
  <c r="BL298" i="1"/>
  <c r="BT298" i="1" s="1"/>
  <c r="CU298" i="1"/>
  <c r="CE298" i="1"/>
  <c r="BD298" i="1"/>
  <c r="BL297" i="1"/>
  <c r="BT297" i="1" s="1"/>
  <c r="CU297" i="1"/>
  <c r="CE297" i="1"/>
  <c r="BD297" i="1"/>
  <c r="BL296" i="1"/>
  <c r="BR296" i="1" s="1"/>
  <c r="CU296" i="1"/>
  <c r="CE296" i="1"/>
  <c r="BD296" i="1"/>
  <c r="BL295" i="1"/>
  <c r="CU295" i="1"/>
  <c r="CE295" i="1"/>
  <c r="BD295" i="1"/>
  <c r="BL294" i="1"/>
  <c r="CU294" i="1"/>
  <c r="CE294" i="1"/>
  <c r="BD294" i="1"/>
  <c r="BL293" i="1"/>
  <c r="CU293" i="1"/>
  <c r="CE293" i="1"/>
  <c r="BD293" i="1"/>
  <c r="BL292" i="1"/>
  <c r="BO292" i="1" s="1"/>
  <c r="CU292" i="1"/>
  <c r="CE292" i="1"/>
  <c r="BD292" i="1"/>
  <c r="BL291" i="1"/>
  <c r="CU291" i="1"/>
  <c r="CE291" i="1"/>
  <c r="BD291" i="1"/>
  <c r="BL290" i="1"/>
  <c r="BT290" i="1" s="1"/>
  <c r="CU290" i="1"/>
  <c r="CE290" i="1"/>
  <c r="BD290" i="1"/>
  <c r="BL289" i="1"/>
  <c r="CU289" i="1"/>
  <c r="CE289" i="1"/>
  <c r="BD289" i="1"/>
  <c r="BL288" i="1"/>
  <c r="CU288" i="1"/>
  <c r="CE288" i="1"/>
  <c r="BD288" i="1"/>
  <c r="BL287" i="1"/>
  <c r="BT287" i="1" s="1"/>
  <c r="CU287" i="1"/>
  <c r="CE287" i="1"/>
  <c r="BD287" i="1"/>
  <c r="BL286" i="1"/>
  <c r="BS286" i="1" s="1"/>
  <c r="CU286" i="1"/>
  <c r="CE286" i="1"/>
  <c r="BD286" i="1"/>
  <c r="BL285" i="1"/>
  <c r="BT285" i="1" s="1"/>
  <c r="CU285" i="1"/>
  <c r="CE285" i="1"/>
  <c r="BD285" i="1"/>
  <c r="BL284" i="1"/>
  <c r="BR284" i="1" s="1"/>
  <c r="CU284" i="1"/>
  <c r="CE284" i="1"/>
  <c r="BD284" i="1"/>
  <c r="BL283" i="1"/>
  <c r="BT283" i="1" s="1"/>
  <c r="CU283" i="1"/>
  <c r="CE283" i="1"/>
  <c r="BD283" i="1"/>
  <c r="BL282" i="1"/>
  <c r="BT282" i="1" s="1"/>
  <c r="CU282" i="1"/>
  <c r="CE282" i="1"/>
  <c r="BD282" i="1"/>
  <c r="BL281" i="1"/>
  <c r="CU281" i="1"/>
  <c r="CE281" i="1"/>
  <c r="BD281" i="1"/>
  <c r="BL280" i="1"/>
  <c r="CU280" i="1"/>
  <c r="CE280" i="1"/>
  <c r="BD280" i="1"/>
  <c r="BL279" i="1"/>
  <c r="CU279" i="1"/>
  <c r="CE279" i="1"/>
  <c r="BD279" i="1"/>
  <c r="BL278" i="1"/>
  <c r="CU278" i="1"/>
  <c r="CE278" i="1"/>
  <c r="BD278" i="1"/>
  <c r="BL277" i="1"/>
  <c r="BQ277" i="1" s="1"/>
  <c r="CU277" i="1"/>
  <c r="CE277" i="1"/>
  <c r="BD277" i="1"/>
  <c r="BL276" i="1"/>
  <c r="BT276" i="1" s="1"/>
  <c r="CU276" i="1"/>
  <c r="CE276" i="1"/>
  <c r="BD276" i="1"/>
  <c r="BL275" i="1"/>
  <c r="CU275" i="1"/>
  <c r="CE275" i="1"/>
  <c r="BD275" i="1"/>
  <c r="BL274" i="1"/>
  <c r="BT274" i="1" s="1"/>
  <c r="CU274" i="1"/>
  <c r="CE274" i="1"/>
  <c r="BD274" i="1"/>
  <c r="BL273" i="1"/>
  <c r="BT273" i="1" s="1"/>
  <c r="CU273" i="1"/>
  <c r="CE273" i="1"/>
  <c r="BD273" i="1"/>
  <c r="BL272" i="1"/>
  <c r="CU272" i="1"/>
  <c r="CE272" i="1"/>
  <c r="BD272" i="1"/>
  <c r="BL271" i="1"/>
  <c r="CU271" i="1"/>
  <c r="CE271" i="1"/>
  <c r="BD271" i="1"/>
  <c r="BL270" i="1"/>
  <c r="BT270" i="1" s="1"/>
  <c r="CU270" i="1"/>
  <c r="CE270" i="1"/>
  <c r="BD270" i="1"/>
  <c r="BL269" i="1"/>
  <c r="BS269" i="1" s="1"/>
  <c r="CU269" i="1"/>
  <c r="CE269" i="1"/>
  <c r="BD269" i="1"/>
  <c r="BL268" i="1"/>
  <c r="BT268" i="1" s="1"/>
  <c r="CU268" i="1"/>
  <c r="CE268" i="1"/>
  <c r="BD268" i="1"/>
  <c r="BL267" i="1"/>
  <c r="BT267" i="1" s="1"/>
  <c r="CU267" i="1"/>
  <c r="CE267" i="1"/>
  <c r="BD267" i="1"/>
  <c r="BL266" i="1"/>
  <c r="BQ266" i="1" s="1"/>
  <c r="CU266" i="1"/>
  <c r="CE266" i="1"/>
  <c r="BD266" i="1"/>
  <c r="BL265" i="1"/>
  <c r="BT265" i="1" s="1"/>
  <c r="CU265" i="1"/>
  <c r="CE265" i="1"/>
  <c r="BD265" i="1"/>
  <c r="BL264" i="1"/>
  <c r="BM264" i="1" s="1"/>
  <c r="CU264" i="1"/>
  <c r="CE264" i="1"/>
  <c r="BD264" i="1"/>
  <c r="BL263" i="1"/>
  <c r="BT263" i="1" s="1"/>
  <c r="CU263" i="1"/>
  <c r="CE263" i="1"/>
  <c r="BD263" i="1"/>
  <c r="BL262" i="1"/>
  <c r="CU262" i="1"/>
  <c r="CE262" i="1"/>
  <c r="BD262" i="1"/>
  <c r="BL261" i="1"/>
  <c r="CU261" i="1"/>
  <c r="CE261" i="1"/>
  <c r="BD261" i="1"/>
  <c r="BL260" i="1"/>
  <c r="CU260" i="1"/>
  <c r="CE260" i="1"/>
  <c r="BD260" i="1"/>
  <c r="BL259" i="1"/>
  <c r="CU259" i="1"/>
  <c r="CE259" i="1"/>
  <c r="BD259" i="1"/>
  <c r="BL258" i="1"/>
  <c r="CU258" i="1"/>
  <c r="CE258" i="1"/>
  <c r="BD258" i="1"/>
  <c r="BL257" i="1"/>
  <c r="CU257" i="1"/>
  <c r="CE257" i="1"/>
  <c r="BD257" i="1"/>
  <c r="BL256" i="1"/>
  <c r="CU256" i="1"/>
  <c r="CE256" i="1"/>
  <c r="BD256" i="1"/>
  <c r="BL255" i="1"/>
  <c r="CU255" i="1"/>
  <c r="CE255" i="1"/>
  <c r="BD255" i="1"/>
  <c r="BL254" i="1"/>
  <c r="CU254" i="1"/>
  <c r="CE254" i="1"/>
  <c r="BD254" i="1"/>
  <c r="BL253" i="1"/>
  <c r="BT253" i="1" s="1"/>
  <c r="CU253" i="1"/>
  <c r="CE253" i="1"/>
  <c r="BD253" i="1"/>
  <c r="BL252" i="1"/>
  <c r="CU252" i="1"/>
  <c r="CE252" i="1"/>
  <c r="BD252" i="1"/>
  <c r="BL251" i="1"/>
  <c r="CU251" i="1"/>
  <c r="CE251" i="1"/>
  <c r="BD251" i="1"/>
  <c r="BL250" i="1"/>
  <c r="CU250" i="1"/>
  <c r="CE250" i="1"/>
  <c r="BD250" i="1"/>
  <c r="BL249" i="1"/>
  <c r="BT249" i="1" s="1"/>
  <c r="CU249" i="1"/>
  <c r="CE249" i="1"/>
  <c r="BD249" i="1"/>
  <c r="BL248" i="1"/>
  <c r="BT248" i="1" s="1"/>
  <c r="CU248" i="1"/>
  <c r="CE248" i="1"/>
  <c r="BD248" i="1"/>
  <c r="BL247" i="1"/>
  <c r="BS247" i="1" s="1"/>
  <c r="CU247" i="1"/>
  <c r="CE247" i="1"/>
  <c r="BD247" i="1"/>
  <c r="BL246" i="1"/>
  <c r="CU246" i="1"/>
  <c r="CE246" i="1"/>
  <c r="BD246" i="1"/>
  <c r="BL245" i="1"/>
  <c r="BS245" i="1" s="1"/>
  <c r="CU245" i="1"/>
  <c r="CE245" i="1"/>
  <c r="BD245" i="1"/>
  <c r="BL244" i="1"/>
  <c r="BQ244" i="1" s="1"/>
  <c r="CU244" i="1"/>
  <c r="CE244" i="1"/>
  <c r="BD244" i="1"/>
  <c r="BL243" i="1"/>
  <c r="BT243" i="1" s="1"/>
  <c r="CU243" i="1"/>
  <c r="CE243" i="1"/>
  <c r="BD243" i="1"/>
  <c r="BL242" i="1"/>
  <c r="CU242" i="1"/>
  <c r="CE242" i="1"/>
  <c r="BD242" i="1"/>
  <c r="BL241" i="1"/>
  <c r="BS241" i="1" s="1"/>
  <c r="CU241" i="1"/>
  <c r="CE241" i="1"/>
  <c r="BD241" i="1"/>
  <c r="BL240" i="1"/>
  <c r="CU240" i="1"/>
  <c r="CE240" i="1"/>
  <c r="BD240" i="1"/>
  <c r="BL239" i="1"/>
  <c r="CU239" i="1"/>
  <c r="CE239" i="1"/>
  <c r="BD239" i="1"/>
  <c r="BL238" i="1"/>
  <c r="BT238" i="1" s="1"/>
  <c r="CU238" i="1"/>
  <c r="CE238" i="1"/>
  <c r="BD238" i="1"/>
  <c r="BL237" i="1"/>
  <c r="CU237" i="1"/>
  <c r="CE237" i="1"/>
  <c r="BD237" i="1"/>
  <c r="BL236" i="1"/>
  <c r="CU236" i="1"/>
  <c r="CE236" i="1"/>
  <c r="BD236" i="1"/>
  <c r="BL235" i="1"/>
  <c r="CU235" i="1"/>
  <c r="CE235" i="1"/>
  <c r="BD235" i="1"/>
  <c r="BL234" i="1"/>
  <c r="BQ234" i="1" s="1"/>
  <c r="CU234" i="1"/>
  <c r="CE234" i="1"/>
  <c r="BD234" i="1"/>
  <c r="BL233" i="1"/>
  <c r="BS233" i="1" s="1"/>
  <c r="CU233" i="1"/>
  <c r="CE233" i="1"/>
  <c r="BD233" i="1"/>
  <c r="BL232" i="1"/>
  <c r="BT232" i="1" s="1"/>
  <c r="CU232" i="1"/>
  <c r="CE232" i="1"/>
  <c r="BD232" i="1"/>
  <c r="BL231" i="1"/>
  <c r="CU231" i="1"/>
  <c r="CE231" i="1"/>
  <c r="BD231" i="1"/>
  <c r="BL230" i="1"/>
  <c r="BO230" i="1" s="1"/>
  <c r="CU230" i="1"/>
  <c r="CE230" i="1"/>
  <c r="BD230" i="1"/>
  <c r="BL229" i="1"/>
  <c r="BS229" i="1" s="1"/>
  <c r="CU229" i="1"/>
  <c r="CE229" i="1"/>
  <c r="BD229" i="1"/>
  <c r="BL228" i="1"/>
  <c r="CU228" i="1"/>
  <c r="CE228" i="1"/>
  <c r="BD228" i="1"/>
  <c r="BL227" i="1"/>
  <c r="BT227" i="1" s="1"/>
  <c r="CU227" i="1"/>
  <c r="CE227" i="1"/>
  <c r="BD227" i="1"/>
  <c r="BL226" i="1"/>
  <c r="CU226" i="1"/>
  <c r="CE226" i="1"/>
  <c r="BD226" i="1"/>
  <c r="BL225" i="1"/>
  <c r="BS225" i="1" s="1"/>
  <c r="CU225" i="1"/>
  <c r="CE225" i="1"/>
  <c r="BD225" i="1"/>
  <c r="BL224" i="1"/>
  <c r="CU224" i="1"/>
  <c r="CE224" i="1"/>
  <c r="BD224" i="1"/>
  <c r="BL223" i="1"/>
  <c r="CU223" i="1"/>
  <c r="CE223" i="1"/>
  <c r="BD223" i="1"/>
  <c r="BL222" i="1"/>
  <c r="CU222" i="1"/>
  <c r="CE222" i="1"/>
  <c r="BD222" i="1"/>
  <c r="BL221" i="1"/>
  <c r="BR221" i="1" s="1"/>
  <c r="CU221" i="1"/>
  <c r="CE221" i="1"/>
  <c r="BD221" i="1"/>
  <c r="BL220" i="1"/>
  <c r="BM220" i="1" s="1"/>
  <c r="CU220" i="1"/>
  <c r="CE220" i="1"/>
  <c r="BD220" i="1"/>
  <c r="BL219" i="1"/>
  <c r="BS219" i="1" s="1"/>
  <c r="CU219" i="1"/>
  <c r="CE219" i="1"/>
  <c r="BD219" i="1"/>
  <c r="BL218" i="1"/>
  <c r="BM218" i="1" s="1"/>
  <c r="CU218" i="1"/>
  <c r="CE218" i="1"/>
  <c r="BD218" i="1"/>
  <c r="BL217" i="1"/>
  <c r="BR217" i="1" s="1"/>
  <c r="CU217" i="1"/>
  <c r="CE217" i="1"/>
  <c r="BD217" i="1"/>
  <c r="BL216" i="1"/>
  <c r="CU216" i="1"/>
  <c r="CE216" i="1"/>
  <c r="BD216" i="1"/>
  <c r="BL215" i="1"/>
  <c r="CU215" i="1"/>
  <c r="CE215" i="1"/>
  <c r="BD215" i="1"/>
  <c r="BL214" i="1"/>
  <c r="BQ214" i="1" s="1"/>
  <c r="CU214" i="1"/>
  <c r="CE214" i="1"/>
  <c r="BD214" i="1"/>
  <c r="BL213" i="1"/>
  <c r="CU213" i="1"/>
  <c r="CE213" i="1"/>
  <c r="BD213" i="1"/>
  <c r="BL212" i="1"/>
  <c r="CU212" i="1"/>
  <c r="CE212" i="1"/>
  <c r="BD212" i="1"/>
  <c r="BL211" i="1"/>
  <c r="BT211" i="1" s="1"/>
  <c r="CU211" i="1"/>
  <c r="CE211" i="1"/>
  <c r="BD211" i="1"/>
  <c r="BL210" i="1"/>
  <c r="CU210" i="1"/>
  <c r="CE210" i="1"/>
  <c r="BD210" i="1"/>
  <c r="BL209" i="1"/>
  <c r="CU209" i="1"/>
  <c r="CE209" i="1"/>
  <c r="BD209" i="1"/>
  <c r="BL208" i="1"/>
  <c r="BT208" i="1" s="1"/>
  <c r="CU208" i="1"/>
  <c r="CE208" i="1"/>
  <c r="BD208" i="1"/>
  <c r="BL207" i="1"/>
  <c r="CU207" i="1"/>
  <c r="CE207" i="1"/>
  <c r="BD207" i="1"/>
  <c r="BL206" i="1"/>
  <c r="CU206" i="1"/>
  <c r="CE206" i="1"/>
  <c r="BD206" i="1"/>
  <c r="BL205" i="1"/>
  <c r="BT205" i="1" s="1"/>
  <c r="CU205" i="1"/>
  <c r="CE205" i="1"/>
  <c r="BD205" i="1"/>
  <c r="BL204" i="1"/>
  <c r="BT204" i="1" s="1"/>
  <c r="CU204" i="1"/>
  <c r="CE204" i="1"/>
  <c r="BD204" i="1"/>
  <c r="BL203" i="1"/>
  <c r="BT203" i="1" s="1"/>
  <c r="CU203" i="1"/>
  <c r="CE203" i="1"/>
  <c r="BD203" i="1"/>
  <c r="BL202" i="1"/>
  <c r="BT202" i="1" s="1"/>
  <c r="CU202" i="1"/>
  <c r="CE202" i="1"/>
  <c r="BD202" i="1"/>
  <c r="BL201" i="1"/>
  <c r="BT201" i="1" s="1"/>
  <c r="CU201" i="1"/>
  <c r="CE201" i="1"/>
  <c r="BD201" i="1"/>
  <c r="BL200" i="1"/>
  <c r="BT200" i="1" s="1"/>
  <c r="CU200" i="1"/>
  <c r="CE200" i="1"/>
  <c r="BD200" i="1"/>
  <c r="BL199" i="1"/>
  <c r="CU199" i="1"/>
  <c r="CE199" i="1"/>
  <c r="BD199" i="1"/>
  <c r="BL198" i="1"/>
  <c r="BT198" i="1" s="1"/>
  <c r="CU198" i="1"/>
  <c r="CE198" i="1"/>
  <c r="BD198" i="1"/>
  <c r="BL197" i="1"/>
  <c r="BT197" i="1" s="1"/>
  <c r="CU197" i="1"/>
  <c r="CE197" i="1"/>
  <c r="BD197" i="1"/>
  <c r="BL196" i="1"/>
  <c r="BT196" i="1" s="1"/>
  <c r="CU196" i="1"/>
  <c r="CE196" i="1"/>
  <c r="BD196" i="1"/>
  <c r="BL195" i="1"/>
  <c r="BT195" i="1" s="1"/>
  <c r="CU195" i="1"/>
  <c r="CE195" i="1"/>
  <c r="BD195" i="1"/>
  <c r="BL194" i="1"/>
  <c r="BT194" i="1" s="1"/>
  <c r="CU194" i="1"/>
  <c r="CE194" i="1"/>
  <c r="BD194" i="1"/>
  <c r="BL193" i="1"/>
  <c r="BT193" i="1" s="1"/>
  <c r="CU193" i="1"/>
  <c r="CE193" i="1"/>
  <c r="BD193" i="1"/>
  <c r="BL192" i="1"/>
  <c r="CU192" i="1"/>
  <c r="CE192" i="1"/>
  <c r="BD192" i="1"/>
  <c r="BL191" i="1"/>
  <c r="CU191" i="1"/>
  <c r="CE191" i="1"/>
  <c r="BD191" i="1"/>
  <c r="BL190" i="1"/>
  <c r="BT190" i="1" s="1"/>
  <c r="CU190" i="1"/>
  <c r="CE190" i="1"/>
  <c r="BD190" i="1"/>
  <c r="BL189" i="1"/>
  <c r="CU189" i="1"/>
  <c r="CE189" i="1"/>
  <c r="BD189" i="1"/>
  <c r="BL188" i="1"/>
  <c r="BT188" i="1" s="1"/>
  <c r="CU188" i="1"/>
  <c r="CE188" i="1"/>
  <c r="BD188" i="1"/>
  <c r="BL187" i="1"/>
  <c r="CU187" i="1"/>
  <c r="CE187" i="1"/>
  <c r="BD187" i="1"/>
  <c r="BL186" i="1"/>
  <c r="BT186" i="1" s="1"/>
  <c r="CU186" i="1"/>
  <c r="CE186" i="1"/>
  <c r="BD186" i="1"/>
  <c r="BL185" i="1"/>
  <c r="BT185" i="1" s="1"/>
  <c r="CU185" i="1"/>
  <c r="CE185" i="1"/>
  <c r="BD185" i="1"/>
  <c r="BL184" i="1"/>
  <c r="BT184" i="1" s="1"/>
  <c r="CU184" i="1"/>
  <c r="CE184" i="1"/>
  <c r="BD184" i="1"/>
  <c r="BL183" i="1"/>
  <c r="CU183" i="1"/>
  <c r="CE183" i="1"/>
  <c r="BD183" i="1"/>
  <c r="BL182" i="1"/>
  <c r="BT182" i="1" s="1"/>
  <c r="CU182" i="1"/>
  <c r="CE182" i="1"/>
  <c r="BD182" i="1"/>
  <c r="BL181" i="1"/>
  <c r="BT181" i="1" s="1"/>
  <c r="CU181" i="1"/>
  <c r="CE181" i="1"/>
  <c r="BD181" i="1"/>
  <c r="BL180" i="1"/>
  <c r="CU180" i="1"/>
  <c r="CE180" i="1"/>
  <c r="BD180" i="1"/>
  <c r="BL179" i="1"/>
  <c r="BT179" i="1" s="1"/>
  <c r="CU179" i="1"/>
  <c r="CE179" i="1"/>
  <c r="BD179" i="1"/>
  <c r="BL178" i="1"/>
  <c r="CU178" i="1"/>
  <c r="CE178" i="1"/>
  <c r="BD178" i="1"/>
  <c r="BL177" i="1"/>
  <c r="BR177" i="1" s="1"/>
  <c r="CU177" i="1"/>
  <c r="CE177" i="1"/>
  <c r="BD177" i="1"/>
  <c r="BL176" i="1"/>
  <c r="BT176" i="1" s="1"/>
  <c r="CU176" i="1"/>
  <c r="CE176" i="1"/>
  <c r="BD176" i="1"/>
  <c r="BL175" i="1"/>
  <c r="CU175" i="1"/>
  <c r="CE175" i="1"/>
  <c r="BD175" i="1"/>
  <c r="BL174" i="1"/>
  <c r="CU174" i="1"/>
  <c r="CE174" i="1"/>
  <c r="BD174" i="1"/>
  <c r="BL173" i="1"/>
  <c r="BT173" i="1" s="1"/>
  <c r="CU173" i="1"/>
  <c r="CE173" i="1"/>
  <c r="BD173" i="1"/>
  <c r="BL172" i="1"/>
  <c r="BT172" i="1" s="1"/>
  <c r="CU172" i="1"/>
  <c r="CE172" i="1"/>
  <c r="BD172" i="1"/>
  <c r="BL171" i="1"/>
  <c r="BT171" i="1" s="1"/>
  <c r="CU171" i="1"/>
  <c r="CE171" i="1"/>
  <c r="BD171" i="1"/>
  <c r="BL170" i="1"/>
  <c r="BT170" i="1" s="1"/>
  <c r="CU170" i="1"/>
  <c r="CE170" i="1"/>
  <c r="BD170" i="1"/>
  <c r="BL169" i="1"/>
  <c r="CU169" i="1"/>
  <c r="CE169" i="1"/>
  <c r="BD169" i="1"/>
  <c r="BL168" i="1"/>
  <c r="BT168" i="1" s="1"/>
  <c r="CU168" i="1"/>
  <c r="CE168" i="1"/>
  <c r="BD168" i="1"/>
  <c r="BL167" i="1"/>
  <c r="CU167" i="1"/>
  <c r="CE167" i="1"/>
  <c r="BD167" i="1"/>
  <c r="BL166" i="1"/>
  <c r="CU166" i="1"/>
  <c r="CE166" i="1"/>
  <c r="BD166" i="1"/>
  <c r="BL165" i="1"/>
  <c r="BT165" i="1" s="1"/>
  <c r="CU165" i="1"/>
  <c r="CE165" i="1"/>
  <c r="BD165" i="1"/>
  <c r="BL164" i="1"/>
  <c r="BT164" i="1" s="1"/>
  <c r="CU164" i="1"/>
  <c r="CE164" i="1"/>
  <c r="BD164" i="1"/>
  <c r="BL163" i="1"/>
  <c r="BT163" i="1" s="1"/>
  <c r="CU163" i="1"/>
  <c r="CE163" i="1"/>
  <c r="BD163" i="1"/>
  <c r="BL162" i="1"/>
  <c r="BT162" i="1" s="1"/>
  <c r="CU162" i="1"/>
  <c r="CE162" i="1"/>
  <c r="BD162" i="1"/>
  <c r="BL161" i="1"/>
  <c r="BT161" i="1" s="1"/>
  <c r="CU161" i="1"/>
  <c r="CE161" i="1"/>
  <c r="BD161" i="1"/>
  <c r="BL160" i="1"/>
  <c r="CU160" i="1"/>
  <c r="CE160" i="1"/>
  <c r="BD160" i="1"/>
  <c r="BL159" i="1"/>
  <c r="CU159" i="1"/>
  <c r="CE159" i="1"/>
  <c r="BD159" i="1"/>
  <c r="BL158" i="1"/>
  <c r="BT158" i="1" s="1"/>
  <c r="CU158" i="1"/>
  <c r="CE158" i="1"/>
  <c r="BD158" i="1"/>
  <c r="BL157" i="1"/>
  <c r="BT157" i="1" s="1"/>
  <c r="CU157" i="1"/>
  <c r="CE157" i="1"/>
  <c r="BD157" i="1"/>
  <c r="BL62" i="1"/>
  <c r="BN62" i="1" s="1"/>
  <c r="CU62" i="1"/>
  <c r="CE62" i="1"/>
  <c r="BD62" i="1"/>
  <c r="AY62" i="1"/>
  <c r="BL61" i="1"/>
  <c r="BQ61" i="1" s="1"/>
  <c r="CU61" i="1"/>
  <c r="CE61" i="1"/>
  <c r="BD61" i="1"/>
  <c r="AY61" i="1"/>
  <c r="BL60" i="1"/>
  <c r="BS60" i="1" s="1"/>
  <c r="CU60" i="1"/>
  <c r="CE60" i="1"/>
  <c r="BD60" i="1"/>
  <c r="AY60" i="1"/>
  <c r="BL59" i="1"/>
  <c r="BQ59" i="1" s="1"/>
  <c r="CU59" i="1"/>
  <c r="CE59" i="1"/>
  <c r="BD59" i="1"/>
  <c r="AY59" i="1"/>
  <c r="BL58" i="1"/>
  <c r="CU58" i="1"/>
  <c r="CE58" i="1"/>
  <c r="BD58" i="1"/>
  <c r="AY58" i="1"/>
  <c r="BL57" i="1"/>
  <c r="CU57" i="1"/>
  <c r="CE57" i="1"/>
  <c r="BD57" i="1"/>
  <c r="AY57" i="1"/>
  <c r="BL56" i="1"/>
  <c r="BS56" i="1" s="1"/>
  <c r="CU56" i="1"/>
  <c r="CE56" i="1"/>
  <c r="BD56" i="1"/>
  <c r="AY56" i="1"/>
  <c r="BL55" i="1"/>
  <c r="CU55" i="1"/>
  <c r="CE55" i="1"/>
  <c r="BD55" i="1"/>
  <c r="AY55" i="1"/>
  <c r="BL54" i="1"/>
  <c r="CU54" i="1"/>
  <c r="CE54" i="1"/>
  <c r="BD54" i="1"/>
  <c r="AY54" i="1"/>
  <c r="BL53" i="1"/>
  <c r="BT53" i="1" s="1"/>
  <c r="CU53" i="1"/>
  <c r="CE53" i="1"/>
  <c r="BD53" i="1"/>
  <c r="AY53" i="1"/>
  <c r="BL52" i="1"/>
  <c r="BS52" i="1" s="1"/>
  <c r="CU52" i="1"/>
  <c r="CE52" i="1"/>
  <c r="BD52" i="1"/>
  <c r="AY52" i="1"/>
  <c r="BL51" i="1"/>
  <c r="BT51" i="1" s="1"/>
  <c r="CU51" i="1"/>
  <c r="CE51" i="1"/>
  <c r="BD51" i="1"/>
  <c r="AY51" i="1"/>
  <c r="BL50" i="1"/>
  <c r="BQ50" i="1" s="1"/>
  <c r="CU50" i="1"/>
  <c r="CE50" i="1"/>
  <c r="BD50" i="1"/>
  <c r="AY50" i="1"/>
  <c r="BL49" i="1"/>
  <c r="CU49" i="1"/>
  <c r="CE49" i="1"/>
  <c r="BD49" i="1"/>
  <c r="AY49" i="1"/>
  <c r="BL48" i="1"/>
  <c r="BS48" i="1" s="1"/>
  <c r="CU48" i="1"/>
  <c r="CE48" i="1"/>
  <c r="BD48" i="1"/>
  <c r="AY48" i="1"/>
  <c r="BL47" i="1"/>
  <c r="CU47" i="1"/>
  <c r="CE47" i="1"/>
  <c r="BD47" i="1"/>
  <c r="AY47" i="1"/>
  <c r="BL46" i="1"/>
  <c r="BN46" i="1" s="1"/>
  <c r="CU46" i="1"/>
  <c r="CE46" i="1"/>
  <c r="BD46" i="1"/>
  <c r="AY46" i="1"/>
  <c r="BL45" i="1"/>
  <c r="BM45" i="1" s="1"/>
  <c r="CU45" i="1"/>
  <c r="CE45" i="1"/>
  <c r="BD45" i="1"/>
  <c r="AY45" i="1"/>
  <c r="BL44" i="1"/>
  <c r="BS44" i="1" s="1"/>
  <c r="CU44" i="1"/>
  <c r="CE44" i="1"/>
  <c r="BD44" i="1"/>
  <c r="AY44" i="1"/>
  <c r="BL43" i="1"/>
  <c r="CU43" i="1"/>
  <c r="CE43" i="1"/>
  <c r="BD43" i="1"/>
  <c r="AY43" i="1"/>
  <c r="BL42" i="1"/>
  <c r="CU42" i="1"/>
  <c r="CE42" i="1"/>
  <c r="BD42" i="1"/>
  <c r="AY42" i="1"/>
  <c r="BL41" i="1"/>
  <c r="BS41" i="1" s="1"/>
  <c r="CU41" i="1"/>
  <c r="CE41" i="1"/>
  <c r="BD41" i="1"/>
  <c r="AY41" i="1"/>
  <c r="BL40" i="1"/>
  <c r="BS40" i="1" s="1"/>
  <c r="CU40" i="1"/>
  <c r="CE40" i="1"/>
  <c r="BD40" i="1"/>
  <c r="AY40" i="1"/>
  <c r="BL39" i="1"/>
  <c r="BT39" i="1" s="1"/>
  <c r="CU39" i="1"/>
  <c r="CE39" i="1"/>
  <c r="BD39" i="1"/>
  <c r="AY39" i="1"/>
  <c r="BL38" i="1"/>
  <c r="BQ38" i="1" s="1"/>
  <c r="CU38" i="1"/>
  <c r="CE38" i="1"/>
  <c r="BD38" i="1"/>
  <c r="AY38" i="1"/>
  <c r="BL37" i="1"/>
  <c r="CU37" i="1"/>
  <c r="CE37" i="1"/>
  <c r="BD37" i="1"/>
  <c r="AY37" i="1"/>
  <c r="BL36" i="1"/>
  <c r="BS36" i="1" s="1"/>
  <c r="CU36" i="1"/>
  <c r="CE36" i="1"/>
  <c r="BD36" i="1"/>
  <c r="AY36" i="1"/>
  <c r="BL35" i="1"/>
  <c r="BT35" i="1" s="1"/>
  <c r="CU35" i="1"/>
  <c r="CE35" i="1"/>
  <c r="BD35" i="1"/>
  <c r="AY35" i="1"/>
  <c r="BL34" i="1"/>
  <c r="BR34" i="1" s="1"/>
  <c r="CU34" i="1"/>
  <c r="CE34" i="1"/>
  <c r="BD34" i="1"/>
  <c r="AY34" i="1"/>
  <c r="BL33" i="1"/>
  <c r="CU33" i="1"/>
  <c r="CE33" i="1"/>
  <c r="BD33" i="1"/>
  <c r="AY33" i="1"/>
  <c r="BL32" i="1"/>
  <c r="BS32" i="1" s="1"/>
  <c r="CU32" i="1"/>
  <c r="CE32" i="1"/>
  <c r="BD32" i="1"/>
  <c r="AY32" i="1"/>
  <c r="BL31" i="1"/>
  <c r="CU31" i="1"/>
  <c r="CE31" i="1"/>
  <c r="BD31" i="1"/>
  <c r="AY31" i="1"/>
  <c r="BL30" i="1"/>
  <c r="CU30" i="1"/>
  <c r="CE30" i="1"/>
  <c r="BD30" i="1"/>
  <c r="AY30" i="1"/>
  <c r="BL29" i="1"/>
  <c r="BM29" i="1" s="1"/>
  <c r="CU29" i="1"/>
  <c r="CE29" i="1"/>
  <c r="BD29" i="1"/>
  <c r="AY29" i="1"/>
  <c r="BL28" i="1"/>
  <c r="BS28" i="1" s="1"/>
  <c r="CU28" i="1"/>
  <c r="CE28" i="1"/>
  <c r="BD28" i="1"/>
  <c r="AY28" i="1"/>
  <c r="BL27" i="1"/>
  <c r="BQ27" i="1" s="1"/>
  <c r="CU27" i="1"/>
  <c r="CE27" i="1"/>
  <c r="BD27" i="1"/>
  <c r="AY27" i="1"/>
  <c r="BL26" i="1"/>
  <c r="CU26" i="1"/>
  <c r="CE26" i="1"/>
  <c r="BD26" i="1"/>
  <c r="AY26" i="1"/>
  <c r="BL25" i="1"/>
  <c r="BS25" i="1" s="1"/>
  <c r="CU25" i="1"/>
  <c r="CE25" i="1"/>
  <c r="BD25" i="1"/>
  <c r="AY25" i="1"/>
  <c r="BL24" i="1"/>
  <c r="BS24" i="1" s="1"/>
  <c r="CU24" i="1"/>
  <c r="CE24" i="1"/>
  <c r="BD24" i="1"/>
  <c r="AY24" i="1"/>
  <c r="BL23" i="1"/>
  <c r="BT23" i="1" s="1"/>
  <c r="CU23" i="1"/>
  <c r="CE23" i="1"/>
  <c r="BD23" i="1"/>
  <c r="AY23" i="1"/>
  <c r="BL22" i="1"/>
  <c r="CU22" i="1"/>
  <c r="CE22" i="1"/>
  <c r="BD22" i="1"/>
  <c r="AY22" i="1"/>
  <c r="BL21" i="1"/>
  <c r="BT21" i="1" s="1"/>
  <c r="CU21" i="1"/>
  <c r="CE21" i="1"/>
  <c r="BD21" i="1"/>
  <c r="H21" i="29"/>
  <c r="BL20" i="1"/>
  <c r="BS20" i="1" s="1"/>
  <c r="CU20" i="1"/>
  <c r="CE20" i="1"/>
  <c r="BD20" i="1"/>
  <c r="H20" i="29"/>
  <c r="BL19" i="1"/>
  <c r="CU19" i="1"/>
  <c r="CE19" i="1"/>
  <c r="BD19" i="1"/>
  <c r="H19" i="29"/>
  <c r="BL18" i="1"/>
  <c r="CU18" i="1"/>
  <c r="CE18" i="1"/>
  <c r="BD18" i="1"/>
  <c r="H18" i="29"/>
  <c r="BL17" i="1"/>
  <c r="BT17" i="1" s="1"/>
  <c r="CU17" i="1"/>
  <c r="CE17" i="1"/>
  <c r="BD17" i="1"/>
  <c r="H17" i="29"/>
  <c r="BL16" i="1"/>
  <c r="BS16" i="1" s="1"/>
  <c r="CU16" i="1"/>
  <c r="CE16" i="1"/>
  <c r="BD16" i="1"/>
  <c r="AY16" i="1"/>
  <c r="BL15" i="1"/>
  <c r="BR15" i="1" s="1"/>
  <c r="CU15" i="1"/>
  <c r="CE15" i="1"/>
  <c r="BD15" i="1"/>
  <c r="AY15" i="1"/>
  <c r="BL14" i="1"/>
  <c r="CU14" i="1"/>
  <c r="CE14" i="1"/>
  <c r="BD14" i="1"/>
  <c r="AY14" i="1"/>
  <c r="BL13" i="1"/>
  <c r="BS13" i="1" s="1"/>
  <c r="CU13" i="1"/>
  <c r="CE13" i="1"/>
  <c r="BD13" i="1"/>
  <c r="AY13" i="1"/>
  <c r="BL12" i="1"/>
  <c r="BS12" i="1" s="1"/>
  <c r="CU12" i="1"/>
  <c r="CE12" i="1"/>
  <c r="BD12" i="1"/>
  <c r="AY12" i="1"/>
  <c r="BL11" i="1"/>
  <c r="CU11" i="1"/>
  <c r="CE11" i="1"/>
  <c r="BD11" i="1"/>
  <c r="H11" i="29"/>
  <c r="BL10" i="1"/>
  <c r="CU10" i="1"/>
  <c r="CE10" i="1"/>
  <c r="BD10" i="1"/>
  <c r="H10" i="29"/>
  <c r="BL9" i="1"/>
  <c r="CU9" i="1"/>
  <c r="CE9" i="1"/>
  <c r="BD9" i="1"/>
  <c r="H9" i="29"/>
  <c r="BL8" i="1"/>
  <c r="BS8" i="1" s="1"/>
  <c r="CU8" i="1"/>
  <c r="CE8" i="1"/>
  <c r="BD8" i="1"/>
  <c r="H8" i="29"/>
  <c r="BL7" i="1"/>
  <c r="CU7" i="1"/>
  <c r="CE7" i="1"/>
  <c r="BD7" i="1"/>
  <c r="AY7" i="1"/>
  <c r="A7" i="1"/>
  <c r="BL6" i="1"/>
  <c r="BN6" i="1" s="1"/>
  <c r="CE6" i="1"/>
  <c r="BF6" i="1"/>
  <c r="BD6" i="1"/>
  <c r="AY6" i="1"/>
  <c r="A8" i="1" l="1"/>
  <c r="A7" i="29"/>
  <c r="BI6" i="1"/>
  <c r="CZ6" i="1" s="1"/>
  <c r="H7" i="29"/>
  <c r="I8" i="29" s="1"/>
  <c r="H15" i="29"/>
  <c r="H16" i="29"/>
  <c r="I16" i="29" s="1"/>
  <c r="H22" i="29"/>
  <c r="H23" i="29"/>
  <c r="I23" i="29" s="1"/>
  <c r="H24" i="29"/>
  <c r="H25" i="29"/>
  <c r="I25" i="29" s="1"/>
  <c r="H26" i="29"/>
  <c r="H27" i="29"/>
  <c r="I27" i="29" s="1"/>
  <c r="H28" i="29"/>
  <c r="H29" i="29"/>
  <c r="I29" i="29" s="1"/>
  <c r="H30" i="29"/>
  <c r="H31" i="29"/>
  <c r="I31" i="29" s="1"/>
  <c r="H32" i="29"/>
  <c r="H33" i="29"/>
  <c r="I33" i="29" s="1"/>
  <c r="H34" i="29"/>
  <c r="H35" i="29"/>
  <c r="I35" i="29" s="1"/>
  <c r="H36" i="29"/>
  <c r="H37" i="29"/>
  <c r="I37" i="29" s="1"/>
  <c r="H38" i="29"/>
  <c r="H39" i="29"/>
  <c r="I39" i="29" s="1"/>
  <c r="H40" i="29"/>
  <c r="H41" i="29"/>
  <c r="I41" i="29" s="1"/>
  <c r="H42" i="29"/>
  <c r="H43" i="29"/>
  <c r="I43" i="29" s="1"/>
  <c r="H44" i="29"/>
  <c r="H45" i="29"/>
  <c r="I45" i="29" s="1"/>
  <c r="H46" i="29"/>
  <c r="H47" i="29"/>
  <c r="I47" i="29" s="1"/>
  <c r="H48" i="29"/>
  <c r="H49" i="29"/>
  <c r="I49" i="29" s="1"/>
  <c r="H50" i="29"/>
  <c r="H51" i="29"/>
  <c r="I51" i="29" s="1"/>
  <c r="H52" i="29"/>
  <c r="H53" i="29"/>
  <c r="I53" i="29" s="1"/>
  <c r="H54" i="29"/>
  <c r="H55" i="29"/>
  <c r="I55" i="29" s="1"/>
  <c r="H56" i="29"/>
  <c r="H57" i="29"/>
  <c r="I57" i="29" s="1"/>
  <c r="H58" i="29"/>
  <c r="H59" i="29"/>
  <c r="I59" i="29" s="1"/>
  <c r="H60" i="29"/>
  <c r="H61" i="29"/>
  <c r="I61" i="29" s="1"/>
  <c r="H62" i="29"/>
  <c r="I63" i="29" s="1"/>
  <c r="F157" i="29"/>
  <c r="F159" i="29"/>
  <c r="F161" i="29"/>
  <c r="F163" i="29"/>
  <c r="F165" i="29"/>
  <c r="F167" i="29"/>
  <c r="F169" i="29"/>
  <c r="F171" i="29"/>
  <c r="F173" i="29"/>
  <c r="F175" i="29"/>
  <c r="F177" i="29"/>
  <c r="F179" i="29"/>
  <c r="F181" i="29"/>
  <c r="F183" i="29"/>
  <c r="F185" i="29"/>
  <c r="F187" i="29"/>
  <c r="F189" i="29"/>
  <c r="F191" i="29"/>
  <c r="F193" i="29"/>
  <c r="F195" i="29"/>
  <c r="F197" i="29"/>
  <c r="F199" i="29"/>
  <c r="F201" i="29"/>
  <c r="F203" i="29"/>
  <c r="F205" i="29"/>
  <c r="F207" i="29"/>
  <c r="F209" i="29"/>
  <c r="F211" i="29"/>
  <c r="F213" i="29"/>
  <c r="F215" i="29"/>
  <c r="F217" i="29"/>
  <c r="F219" i="29"/>
  <c r="F221" i="29"/>
  <c r="F223" i="29"/>
  <c r="F225" i="29"/>
  <c r="F227" i="29"/>
  <c r="F229" i="29"/>
  <c r="F231" i="29"/>
  <c r="F233" i="29"/>
  <c r="F235" i="29"/>
  <c r="F237" i="29"/>
  <c r="F239" i="29"/>
  <c r="F241" i="29"/>
  <c r="F243" i="29"/>
  <c r="F245" i="29"/>
  <c r="F247" i="29"/>
  <c r="F249" i="29"/>
  <c r="F251" i="29"/>
  <c r="F253" i="29"/>
  <c r="F255" i="29"/>
  <c r="F257" i="29"/>
  <c r="F259" i="29"/>
  <c r="F261" i="29"/>
  <c r="F263" i="29"/>
  <c r="F265" i="29"/>
  <c r="F267" i="29"/>
  <c r="F269" i="29"/>
  <c r="F271" i="29"/>
  <c r="F273" i="29"/>
  <c r="F275" i="29"/>
  <c r="F277" i="29"/>
  <c r="F279" i="29"/>
  <c r="F281" i="29"/>
  <c r="F283" i="29"/>
  <c r="F285" i="29"/>
  <c r="F287" i="29"/>
  <c r="F289" i="29"/>
  <c r="F291" i="29"/>
  <c r="F293" i="29"/>
  <c r="F295" i="29"/>
  <c r="F297" i="29"/>
  <c r="F299" i="29"/>
  <c r="F301" i="29"/>
  <c r="F303" i="29"/>
  <c r="F305" i="29"/>
  <c r="F307" i="29"/>
  <c r="F309" i="29"/>
  <c r="F311" i="29"/>
  <c r="F313" i="29"/>
  <c r="F315" i="29"/>
  <c r="F317" i="29"/>
  <c r="F319" i="29"/>
  <c r="F321" i="29"/>
  <c r="F323" i="29"/>
  <c r="F325" i="29"/>
  <c r="F327" i="29"/>
  <c r="F329" i="29"/>
  <c r="F331" i="29"/>
  <c r="F333" i="29"/>
  <c r="F336" i="29"/>
  <c r="F338" i="29"/>
  <c r="F340" i="29"/>
  <c r="F342" i="29"/>
  <c r="F344" i="29"/>
  <c r="F346" i="29"/>
  <c r="F348" i="29"/>
  <c r="F350" i="29"/>
  <c r="F352" i="29"/>
  <c r="F354" i="29"/>
  <c r="F356" i="29"/>
  <c r="F358" i="29"/>
  <c r="F360" i="29"/>
  <c r="F362" i="29"/>
  <c r="F364" i="29"/>
  <c r="F366" i="29"/>
  <c r="F368" i="29"/>
  <c r="F370" i="29"/>
  <c r="H12" i="29"/>
  <c r="H13" i="29"/>
  <c r="I13" i="29" s="1"/>
  <c r="H14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158" i="29"/>
  <c r="F160" i="29"/>
  <c r="F162" i="29"/>
  <c r="F164" i="29"/>
  <c r="F166" i="29"/>
  <c r="F168" i="29"/>
  <c r="F170" i="29"/>
  <c r="F172" i="29"/>
  <c r="F174" i="29"/>
  <c r="F176" i="29"/>
  <c r="F178" i="29"/>
  <c r="F180" i="29"/>
  <c r="F182" i="29"/>
  <c r="F184" i="29"/>
  <c r="F186" i="29"/>
  <c r="F188" i="29"/>
  <c r="F190" i="29"/>
  <c r="F192" i="29"/>
  <c r="F194" i="29"/>
  <c r="F196" i="29"/>
  <c r="F198" i="29"/>
  <c r="F200" i="29"/>
  <c r="F202" i="29"/>
  <c r="F204" i="29"/>
  <c r="F206" i="29"/>
  <c r="F208" i="29"/>
  <c r="F210" i="29"/>
  <c r="F212" i="29"/>
  <c r="F214" i="29"/>
  <c r="F216" i="29"/>
  <c r="F218" i="29"/>
  <c r="F220" i="29"/>
  <c r="F222" i="29"/>
  <c r="F224" i="29"/>
  <c r="F226" i="29"/>
  <c r="F228" i="29"/>
  <c r="F230" i="29"/>
  <c r="F232" i="29"/>
  <c r="F234" i="29"/>
  <c r="F236" i="29"/>
  <c r="F238" i="29"/>
  <c r="F240" i="29"/>
  <c r="F242" i="29"/>
  <c r="F244" i="29"/>
  <c r="F246" i="29"/>
  <c r="F248" i="29"/>
  <c r="F250" i="29"/>
  <c r="F252" i="29"/>
  <c r="F254" i="29"/>
  <c r="F256" i="29"/>
  <c r="F258" i="29"/>
  <c r="F260" i="29"/>
  <c r="F262" i="29"/>
  <c r="F264" i="29"/>
  <c r="F266" i="29"/>
  <c r="F268" i="29"/>
  <c r="F270" i="29"/>
  <c r="F272" i="29"/>
  <c r="F274" i="29"/>
  <c r="F276" i="29"/>
  <c r="F278" i="29"/>
  <c r="F280" i="29"/>
  <c r="F282" i="29"/>
  <c r="F284" i="29"/>
  <c r="F286" i="29"/>
  <c r="F288" i="29"/>
  <c r="F290" i="29"/>
  <c r="F292" i="29"/>
  <c r="F294" i="29"/>
  <c r="F296" i="29"/>
  <c r="F298" i="29"/>
  <c r="F300" i="29"/>
  <c r="F302" i="29"/>
  <c r="F304" i="29"/>
  <c r="F306" i="29"/>
  <c r="F308" i="29"/>
  <c r="F310" i="29"/>
  <c r="F312" i="29"/>
  <c r="F314" i="29"/>
  <c r="F316" i="29"/>
  <c r="F318" i="29"/>
  <c r="F320" i="29"/>
  <c r="F322" i="29"/>
  <c r="F324" i="29"/>
  <c r="F326" i="29"/>
  <c r="F328" i="29"/>
  <c r="F330" i="29"/>
  <c r="F332" i="29"/>
  <c r="F334" i="29"/>
  <c r="F335" i="29"/>
  <c r="F337" i="29"/>
  <c r="F339" i="29"/>
  <c r="F341" i="29"/>
  <c r="F343" i="29"/>
  <c r="F345" i="29"/>
  <c r="F347" i="29"/>
  <c r="F349" i="29"/>
  <c r="F351" i="29"/>
  <c r="F353" i="29"/>
  <c r="F355" i="29"/>
  <c r="F357" i="29"/>
  <c r="F359" i="29"/>
  <c r="F361" i="29"/>
  <c r="F363" i="29"/>
  <c r="F365" i="29"/>
  <c r="F367" i="29"/>
  <c r="F369" i="29"/>
  <c r="BP225" i="1"/>
  <c r="K111" i="29"/>
  <c r="BM23" i="1"/>
  <c r="K82" i="29"/>
  <c r="BI366" i="1"/>
  <c r="CZ366" i="1" s="1"/>
  <c r="I18" i="29"/>
  <c r="I38" i="29"/>
  <c r="BS51" i="1"/>
  <c r="I19" i="29"/>
  <c r="K19" i="29" s="1"/>
  <c r="I21" i="29"/>
  <c r="I22" i="29"/>
  <c r="I9" i="29"/>
  <c r="I10" i="29"/>
  <c r="I11" i="29"/>
  <c r="I12" i="29"/>
  <c r="I40" i="29"/>
  <c r="I44" i="29"/>
  <c r="I48" i="29"/>
  <c r="K101" i="29"/>
  <c r="K102" i="29"/>
  <c r="K103" i="29"/>
  <c r="K104" i="29"/>
  <c r="K106" i="29"/>
  <c r="K107" i="29"/>
  <c r="K108" i="29"/>
  <c r="K109" i="29"/>
  <c r="K110" i="29"/>
  <c r="BQ158" i="1"/>
  <c r="I15" i="29"/>
  <c r="BI37" i="1"/>
  <c r="CZ37" i="1" s="1"/>
  <c r="I54" i="29"/>
  <c r="I58" i="29"/>
  <c r="I62" i="29"/>
  <c r="K63" i="29"/>
  <c r="K64" i="29"/>
  <c r="K65" i="29"/>
  <c r="K66" i="29"/>
  <c r="K67" i="29"/>
  <c r="K69" i="29"/>
  <c r="K70" i="29"/>
  <c r="K71" i="29"/>
  <c r="K72" i="29"/>
  <c r="K73" i="29"/>
  <c r="K74" i="29"/>
  <c r="K75" i="29"/>
  <c r="K76" i="29"/>
  <c r="K77" i="29"/>
  <c r="K78" i="29"/>
  <c r="K79" i="29"/>
  <c r="K81" i="29"/>
  <c r="BR232" i="1"/>
  <c r="BM233" i="1"/>
  <c r="I20" i="29"/>
  <c r="K83" i="29"/>
  <c r="K84" i="29"/>
  <c r="K85" i="29"/>
  <c r="K86" i="29"/>
  <c r="K87" i="29"/>
  <c r="K89" i="29"/>
  <c r="K90" i="29"/>
  <c r="K91" i="29"/>
  <c r="K92" i="29"/>
  <c r="K93" i="29"/>
  <c r="K94" i="29"/>
  <c r="K112" i="29"/>
  <c r="K113" i="29"/>
  <c r="K114" i="29"/>
  <c r="K115" i="29"/>
  <c r="K116" i="29"/>
  <c r="K118" i="29"/>
  <c r="K119" i="29"/>
  <c r="K120" i="29"/>
  <c r="K121" i="29"/>
  <c r="K122" i="29"/>
  <c r="BI17" i="1"/>
  <c r="CZ17" i="1" s="1"/>
  <c r="I24" i="29"/>
  <c r="I28" i="29"/>
  <c r="I32" i="29"/>
  <c r="I36" i="29"/>
  <c r="K95" i="29"/>
  <c r="K96" i="29"/>
  <c r="K97" i="29"/>
  <c r="BR157" i="1"/>
  <c r="BM158" i="1"/>
  <c r="BI227" i="1"/>
  <c r="CZ227" i="1" s="1"/>
  <c r="BI238" i="1"/>
  <c r="CZ238" i="1" s="1"/>
  <c r="BO241" i="1"/>
  <c r="BI255" i="1"/>
  <c r="CZ255" i="1" s="1"/>
  <c r="BR287" i="1"/>
  <c r="BT304" i="1"/>
  <c r="BI348" i="1"/>
  <c r="CZ348" i="1" s="1"/>
  <c r="BQ263" i="1"/>
  <c r="BO276" i="1"/>
  <c r="BQ267" i="1"/>
  <c r="BN268" i="1"/>
  <c r="BQ269" i="1"/>
  <c r="BS310" i="1"/>
  <c r="BI360" i="1"/>
  <c r="CZ360" i="1" s="1"/>
  <c r="BO248" i="1"/>
  <c r="BM263" i="1"/>
  <c r="BT325" i="1"/>
  <c r="BM229" i="1"/>
  <c r="BO233" i="1"/>
  <c r="BP229" i="1"/>
  <c r="BI235" i="1"/>
  <c r="CZ235" i="1" s="1"/>
  <c r="BI19" i="1"/>
  <c r="CZ19" i="1" s="1"/>
  <c r="BQ164" i="1"/>
  <c r="BM165" i="1"/>
  <c r="BM168" i="1"/>
  <c r="BS171" i="1"/>
  <c r="BI176" i="1"/>
  <c r="CZ176" i="1" s="1"/>
  <c r="BM200" i="1"/>
  <c r="BN39" i="1"/>
  <c r="BO165" i="1"/>
  <c r="BQ168" i="1"/>
  <c r="BQ184" i="1"/>
  <c r="BM185" i="1"/>
  <c r="BM188" i="1"/>
  <c r="BR197" i="1"/>
  <c r="BM198" i="1"/>
  <c r="BQ200" i="1"/>
  <c r="BM201" i="1"/>
  <c r="BM204" i="1"/>
  <c r="BM225" i="1"/>
  <c r="BI226" i="1"/>
  <c r="CZ226" i="1" s="1"/>
  <c r="BQ15" i="1"/>
  <c r="BS163" i="1"/>
  <c r="BM170" i="1"/>
  <c r="BM172" i="1"/>
  <c r="BO173" i="1"/>
  <c r="BN179" i="1"/>
  <c r="BS39" i="1"/>
  <c r="BR165" i="1"/>
  <c r="BQ182" i="1"/>
  <c r="BO185" i="1"/>
  <c r="BQ186" i="1"/>
  <c r="BO201" i="1"/>
  <c r="BI204" i="1"/>
  <c r="CZ204" i="1" s="1"/>
  <c r="BO208" i="1"/>
  <c r="BO217" i="1"/>
  <c r="BO225" i="1"/>
  <c r="BS237" i="1"/>
  <c r="BO237" i="1"/>
  <c r="BT338" i="1"/>
  <c r="BN338" i="1"/>
  <c r="BT166" i="1"/>
  <c r="BM166" i="1"/>
  <c r="BI172" i="1"/>
  <c r="CZ172" i="1" s="1"/>
  <c r="BT213" i="1"/>
  <c r="BR213" i="1"/>
  <c r="BM213" i="1"/>
  <c r="BT256" i="1"/>
  <c r="BN256" i="1"/>
  <c r="BT260" i="1"/>
  <c r="BM260" i="1"/>
  <c r="BP336" i="1"/>
  <c r="BT336" i="1"/>
  <c r="BI364" i="1"/>
  <c r="CZ364" i="1" s="1"/>
  <c r="BT49" i="1"/>
  <c r="BM49" i="1"/>
  <c r="BT216" i="1"/>
  <c r="BO216" i="1"/>
  <c r="BQ216" i="1"/>
  <c r="BM216" i="1"/>
  <c r="BT259" i="1"/>
  <c r="BQ259" i="1"/>
  <c r="BR308" i="1"/>
  <c r="BO308" i="1"/>
  <c r="BI354" i="1"/>
  <c r="CZ354" i="1" s="1"/>
  <c r="BT33" i="1"/>
  <c r="BM33" i="1"/>
  <c r="BQ54" i="1"/>
  <c r="BR54" i="1"/>
  <c r="BQ159" i="1"/>
  <c r="BS159" i="1"/>
  <c r="BN159" i="1"/>
  <c r="BI220" i="1"/>
  <c r="CZ220" i="1" s="1"/>
  <c r="BT258" i="1"/>
  <c r="BN258" i="1"/>
  <c r="BI266" i="1"/>
  <c r="CZ266" i="1" s="1"/>
  <c r="BT307" i="1"/>
  <c r="BN307" i="1"/>
  <c r="F21" i="29"/>
  <c r="BI21" i="1"/>
  <c r="CZ21" i="1" s="1"/>
  <c r="BT169" i="1"/>
  <c r="BO169" i="1"/>
  <c r="BM169" i="1"/>
  <c r="BS169" i="1"/>
  <c r="BT257" i="1"/>
  <c r="BQ257" i="1"/>
  <c r="BT261" i="1"/>
  <c r="BO261" i="1"/>
  <c r="BQ301" i="1"/>
  <c r="BN301" i="1"/>
  <c r="BP337" i="1"/>
  <c r="BM337" i="1"/>
  <c r="BM51" i="1"/>
  <c r="BR61" i="1"/>
  <c r="BO182" i="1"/>
  <c r="BO197" i="1"/>
  <c r="BM267" i="1"/>
  <c r="BI274" i="1"/>
  <c r="CZ274" i="1" s="1"/>
  <c r="BO286" i="1"/>
  <c r="BM287" i="1"/>
  <c r="BP298" i="1"/>
  <c r="BI335" i="1"/>
  <c r="CZ335" i="1" s="1"/>
  <c r="BP341" i="1"/>
  <c r="BI344" i="1"/>
  <c r="CZ344" i="1" s="1"/>
  <c r="K117" i="29"/>
  <c r="BN50" i="1"/>
  <c r="BN61" i="1"/>
  <c r="BI62" i="1"/>
  <c r="CZ62" i="1" s="1"/>
  <c r="BM182" i="1"/>
  <c r="BO190" i="1"/>
  <c r="BS195" i="1"/>
  <c r="BQ196" i="1"/>
  <c r="BM197" i="1"/>
  <c r="BS201" i="1"/>
  <c r="BM202" i="1"/>
  <c r="BS203" i="1"/>
  <c r="BN211" i="1"/>
  <c r="BM214" i="1"/>
  <c r="BP233" i="1"/>
  <c r="BR238" i="1"/>
  <c r="BI242" i="1"/>
  <c r="CZ242" i="1" s="1"/>
  <c r="BI243" i="1"/>
  <c r="CZ243" i="1" s="1"/>
  <c r="BI250" i="1"/>
  <c r="CZ250" i="1" s="1"/>
  <c r="BI251" i="1"/>
  <c r="CZ251" i="1" s="1"/>
  <c r="BP290" i="1"/>
  <c r="BO321" i="1"/>
  <c r="BT328" i="1"/>
  <c r="BR349" i="1"/>
  <c r="BO350" i="1"/>
  <c r="BT367" i="1"/>
  <c r="BS368" i="1"/>
  <c r="BS298" i="1"/>
  <c r="BO312" i="1"/>
  <c r="BI319" i="1"/>
  <c r="CZ319" i="1" s="1"/>
  <c r="BM323" i="1"/>
  <c r="BI326" i="1"/>
  <c r="CZ326" i="1" s="1"/>
  <c r="BQ330" i="1"/>
  <c r="BN331" i="1"/>
  <c r="BO332" i="1"/>
  <c r="BN334" i="1"/>
  <c r="BO344" i="1"/>
  <c r="BO346" i="1"/>
  <c r="BM348" i="1"/>
  <c r="BN352" i="1"/>
  <c r="BO360" i="1"/>
  <c r="BO362" i="1"/>
  <c r="BM364" i="1"/>
  <c r="BO323" i="1"/>
  <c r="BO348" i="1"/>
  <c r="BN297" i="1"/>
  <c r="BN298" i="1"/>
  <c r="BM303" i="1"/>
  <c r="BO304" i="1"/>
  <c r="BI310" i="1"/>
  <c r="CZ310" i="1" s="1"/>
  <c r="BI313" i="1"/>
  <c r="CZ313" i="1" s="1"/>
  <c r="BI314" i="1"/>
  <c r="CZ314" i="1" s="1"/>
  <c r="BO318" i="1"/>
  <c r="BS323" i="1"/>
  <c r="BO335" i="1"/>
  <c r="BO370" i="1"/>
  <c r="BI25" i="1"/>
  <c r="CZ25" i="1" s="1"/>
  <c r="BS45" i="1"/>
  <c r="BR47" i="1"/>
  <c r="BM47" i="1"/>
  <c r="BI51" i="1"/>
  <c r="CZ51" i="1" s="1"/>
  <c r="BQ22" i="1"/>
  <c r="BR22" i="1"/>
  <c r="BT37" i="1"/>
  <c r="BQ37" i="1"/>
  <c r="BT55" i="1"/>
  <c r="BN55" i="1"/>
  <c r="BI160" i="1"/>
  <c r="CZ160" i="1" s="1"/>
  <c r="BT19" i="1"/>
  <c r="BS19" i="1"/>
  <c r="BM19" i="1"/>
  <c r="BQ34" i="1"/>
  <c r="BN34" i="1"/>
  <c r="BN19" i="1"/>
  <c r="BT62" i="1"/>
  <c r="BO62" i="1"/>
  <c r="BM62" i="1"/>
  <c r="BI15" i="1"/>
  <c r="CZ15" i="1" s="1"/>
  <c r="BQ18" i="1"/>
  <c r="BN18" i="1"/>
  <c r="BI35" i="1"/>
  <c r="CZ35" i="1" s="1"/>
  <c r="BI53" i="1"/>
  <c r="CZ53" i="1" s="1"/>
  <c r="BS62" i="1"/>
  <c r="BR181" i="1"/>
  <c r="BP245" i="1"/>
  <c r="BO264" i="1"/>
  <c r="BO49" i="1"/>
  <c r="BN51" i="1"/>
  <c r="K80" i="29"/>
  <c r="BM157" i="1"/>
  <c r="BN161" i="1"/>
  <c r="BQ162" i="1"/>
  <c r="BN163" i="1"/>
  <c r="BQ166" i="1"/>
  <c r="BO168" i="1"/>
  <c r="BO176" i="1"/>
  <c r="BM184" i="1"/>
  <c r="BS185" i="1"/>
  <c r="BM186" i="1"/>
  <c r="BN193" i="1"/>
  <c r="BQ194" i="1"/>
  <c r="BN195" i="1"/>
  <c r="BQ198" i="1"/>
  <c r="BO200" i="1"/>
  <c r="BS211" i="1"/>
  <c r="BO213" i="1"/>
  <c r="BO221" i="1"/>
  <c r="BO227" i="1"/>
  <c r="BO229" i="1"/>
  <c r="BM232" i="1"/>
  <c r="BI237" i="1"/>
  <c r="CZ237" i="1" s="1"/>
  <c r="BM238" i="1"/>
  <c r="BO253" i="1"/>
  <c r="BR260" i="1"/>
  <c r="BM261" i="1"/>
  <c r="BQ264" i="1"/>
  <c r="BM265" i="1"/>
  <c r="BO268" i="1"/>
  <c r="BM273" i="1"/>
  <c r="BI275" i="1"/>
  <c r="CZ275" i="1" s="1"/>
  <c r="BS276" i="1"/>
  <c r="BN282" i="1"/>
  <c r="BN283" i="1"/>
  <c r="BP287" i="1"/>
  <c r="BQ265" i="1"/>
  <c r="BS268" i="1"/>
  <c r="BQ273" i="1"/>
  <c r="BP283" i="1"/>
  <c r="BO39" i="1"/>
  <c r="K99" i="29"/>
  <c r="BO158" i="1"/>
  <c r="BM181" i="1"/>
  <c r="BN185" i="1"/>
  <c r="BI188" i="1"/>
  <c r="CZ188" i="1" s="1"/>
  <c r="BQ188" i="1"/>
  <c r="BI192" i="1"/>
  <c r="CZ192" i="1" s="1"/>
  <c r="BQ204" i="1"/>
  <c r="BO205" i="1"/>
  <c r="BI208" i="1"/>
  <c r="CZ208" i="1" s="1"/>
  <c r="BI216" i="1"/>
  <c r="CZ216" i="1" s="1"/>
  <c r="BM245" i="1"/>
  <c r="BQ261" i="1"/>
  <c r="BM268" i="1"/>
  <c r="BO270" i="1"/>
  <c r="BR274" i="1"/>
  <c r="BM276" i="1"/>
  <c r="BI281" i="1"/>
  <c r="CZ281" i="1" s="1"/>
  <c r="BR292" i="1"/>
  <c r="BR35" i="1"/>
  <c r="BT160" i="1"/>
  <c r="BQ160" i="1"/>
  <c r="BO160" i="1"/>
  <c r="BM160" i="1"/>
  <c r="BT187" i="1"/>
  <c r="BS187" i="1"/>
  <c r="BN187" i="1"/>
  <c r="BT209" i="1"/>
  <c r="BO209" i="1"/>
  <c r="BN209" i="1"/>
  <c r="BS209" i="1"/>
  <c r="BM209" i="1"/>
  <c r="BT210" i="1"/>
  <c r="BQ210" i="1"/>
  <c r="BM210" i="1"/>
  <c r="BT222" i="1"/>
  <c r="BQ222" i="1"/>
  <c r="BO222" i="1"/>
  <c r="BM222" i="1"/>
  <c r="BT235" i="1"/>
  <c r="BO235" i="1"/>
  <c r="BI245" i="1"/>
  <c r="CZ245" i="1" s="1"/>
  <c r="BI276" i="1"/>
  <c r="CZ276" i="1" s="1"/>
  <c r="BS302" i="1"/>
  <c r="BT302" i="1"/>
  <c r="BN302" i="1"/>
  <c r="BT313" i="1"/>
  <c r="BS313" i="1"/>
  <c r="BN313" i="1"/>
  <c r="BI317" i="1"/>
  <c r="CZ317" i="1" s="1"/>
  <c r="BP329" i="1"/>
  <c r="BQ329" i="1"/>
  <c r="BM329" i="1"/>
  <c r="BI9" i="1"/>
  <c r="CZ9" i="1" s="1"/>
  <c r="BM17" i="1"/>
  <c r="BR18" i="1"/>
  <c r="BO19" i="1"/>
  <c r="BO21" i="1"/>
  <c r="BN23" i="1"/>
  <c r="BQ25" i="1"/>
  <c r="BO33" i="1"/>
  <c r="BM35" i="1"/>
  <c r="BS35" i="1"/>
  <c r="BR38" i="1"/>
  <c r="BQ47" i="1"/>
  <c r="BR50" i="1"/>
  <c r="BO51" i="1"/>
  <c r="BO53" i="1"/>
  <c r="BO55" i="1"/>
  <c r="BR62" i="1"/>
  <c r="BT189" i="1"/>
  <c r="BR189" i="1"/>
  <c r="BO189" i="1"/>
  <c r="BM189" i="1"/>
  <c r="BT206" i="1"/>
  <c r="BQ206" i="1"/>
  <c r="BO206" i="1"/>
  <c r="BM206" i="1"/>
  <c r="BR209" i="1"/>
  <c r="BT174" i="1"/>
  <c r="BQ174" i="1"/>
  <c r="BO174" i="1"/>
  <c r="BM174" i="1"/>
  <c r="BI180" i="1"/>
  <c r="CZ180" i="1" s="1"/>
  <c r="BT192" i="1"/>
  <c r="BQ192" i="1"/>
  <c r="BO192" i="1"/>
  <c r="BM192" i="1"/>
  <c r="BI200" i="1"/>
  <c r="CZ200" i="1" s="1"/>
  <c r="BT212" i="1"/>
  <c r="BQ212" i="1"/>
  <c r="BM212" i="1"/>
  <c r="BO17" i="1"/>
  <c r="BR19" i="1"/>
  <c r="BQ21" i="1"/>
  <c r="BO23" i="1"/>
  <c r="BN35" i="1"/>
  <c r="BR51" i="1"/>
  <c r="BQ53" i="1"/>
  <c r="BS55" i="1"/>
  <c r="BT180" i="1"/>
  <c r="BQ180" i="1"/>
  <c r="BM180" i="1"/>
  <c r="BI212" i="1"/>
  <c r="CZ212" i="1" s="1"/>
  <c r="BT224" i="1"/>
  <c r="BO224" i="1"/>
  <c r="BR224" i="1"/>
  <c r="BM224" i="1"/>
  <c r="BI168" i="1"/>
  <c r="CZ168" i="1" s="1"/>
  <c r="BT240" i="1"/>
  <c r="BR240" i="1"/>
  <c r="BO240" i="1"/>
  <c r="BM240" i="1"/>
  <c r="BT255" i="1"/>
  <c r="BQ255" i="1"/>
  <c r="BO255" i="1"/>
  <c r="BM255" i="1"/>
  <c r="BQ17" i="1"/>
  <c r="BS23" i="1"/>
  <c r="BO35" i="1"/>
  <c r="BO37" i="1"/>
  <c r="K105" i="29"/>
  <c r="BT177" i="1"/>
  <c r="BO177" i="1"/>
  <c r="BN177" i="1"/>
  <c r="BS177" i="1"/>
  <c r="BM177" i="1"/>
  <c r="BT178" i="1"/>
  <c r="BQ178" i="1"/>
  <c r="BM178" i="1"/>
  <c r="BO161" i="1"/>
  <c r="BR169" i="1"/>
  <c r="BR173" i="1"/>
  <c r="BQ176" i="1"/>
  <c r="BQ190" i="1"/>
  <c r="BO193" i="1"/>
  <c r="BR201" i="1"/>
  <c r="BR205" i="1"/>
  <c r="BQ208" i="1"/>
  <c r="BT218" i="1"/>
  <c r="BQ218" i="1"/>
  <c r="BT219" i="1"/>
  <c r="BN219" i="1"/>
  <c r="BI229" i="1"/>
  <c r="CZ229" i="1" s="1"/>
  <c r="BT230" i="1"/>
  <c r="BM230" i="1"/>
  <c r="BR230" i="1"/>
  <c r="BI234" i="1"/>
  <c r="CZ234" i="1" s="1"/>
  <c r="BI246" i="1"/>
  <c r="CZ246" i="1" s="1"/>
  <c r="BS249" i="1"/>
  <c r="BP249" i="1"/>
  <c r="BO249" i="1"/>
  <c r="BM249" i="1"/>
  <c r="BT252" i="1"/>
  <c r="BR252" i="1"/>
  <c r="BO252" i="1"/>
  <c r="BM252" i="1"/>
  <c r="BQ281" i="1"/>
  <c r="BT281" i="1"/>
  <c r="BN281" i="1"/>
  <c r="BI315" i="1"/>
  <c r="CZ315" i="1" s="1"/>
  <c r="BR322" i="1"/>
  <c r="BT322" i="1"/>
  <c r="BP322" i="1"/>
  <c r="BM322" i="1"/>
  <c r="BR161" i="1"/>
  <c r="BR193" i="1"/>
  <c r="BT217" i="1"/>
  <c r="BN217" i="1"/>
  <c r="BS217" i="1"/>
  <c r="BM251" i="1"/>
  <c r="BO251" i="1"/>
  <c r="BI273" i="1"/>
  <c r="CZ273" i="1" s="1"/>
  <c r="BI289" i="1"/>
  <c r="CZ289" i="1" s="1"/>
  <c r="BI301" i="1"/>
  <c r="CZ301" i="1" s="1"/>
  <c r="BI305" i="1"/>
  <c r="CZ305" i="1" s="1"/>
  <c r="BS319" i="1"/>
  <c r="BT319" i="1"/>
  <c r="BP319" i="1"/>
  <c r="BM319" i="1"/>
  <c r="BI321" i="1"/>
  <c r="CZ321" i="1" s="1"/>
  <c r="K88" i="29"/>
  <c r="BO157" i="1"/>
  <c r="BM161" i="1"/>
  <c r="BS161" i="1"/>
  <c r="BM162" i="1"/>
  <c r="BI164" i="1"/>
  <c r="CZ164" i="1" s="1"/>
  <c r="BM164" i="1"/>
  <c r="BO166" i="1"/>
  <c r="BN169" i="1"/>
  <c r="BQ170" i="1"/>
  <c r="BN171" i="1"/>
  <c r="BQ172" i="1"/>
  <c r="BM173" i="1"/>
  <c r="BM176" i="1"/>
  <c r="BS179" i="1"/>
  <c r="BO181" i="1"/>
  <c r="BI184" i="1"/>
  <c r="CZ184" i="1" s="1"/>
  <c r="BO184" i="1"/>
  <c r="BR185" i="1"/>
  <c r="BM190" i="1"/>
  <c r="BM193" i="1"/>
  <c r="BS193" i="1"/>
  <c r="BM194" i="1"/>
  <c r="BI196" i="1"/>
  <c r="CZ196" i="1" s="1"/>
  <c r="BM196" i="1"/>
  <c r="BO198" i="1"/>
  <c r="BN201" i="1"/>
  <c r="BQ202" i="1"/>
  <c r="BN203" i="1"/>
  <c r="BM205" i="1"/>
  <c r="BM208" i="1"/>
  <c r="BT214" i="1"/>
  <c r="BO214" i="1"/>
  <c r="BM217" i="1"/>
  <c r="BT220" i="1"/>
  <c r="BQ220" i="1"/>
  <c r="BT221" i="1"/>
  <c r="BM221" i="1"/>
  <c r="BI230" i="1"/>
  <c r="CZ230" i="1" s="1"/>
  <c r="BT246" i="1"/>
  <c r="BR246" i="1"/>
  <c r="BO246" i="1"/>
  <c r="BM246" i="1"/>
  <c r="BI263" i="1"/>
  <c r="CZ263" i="1" s="1"/>
  <c r="BI267" i="1"/>
  <c r="CZ267" i="1" s="1"/>
  <c r="BT275" i="1"/>
  <c r="BQ275" i="1"/>
  <c r="BO275" i="1"/>
  <c r="BM275" i="1"/>
  <c r="BT315" i="1"/>
  <c r="BO315" i="1"/>
  <c r="BN315" i="1"/>
  <c r="BM315" i="1"/>
  <c r="BI318" i="1"/>
  <c r="CZ318" i="1" s="1"/>
  <c r="BI320" i="1"/>
  <c r="CZ320" i="1" s="1"/>
  <c r="BT327" i="1"/>
  <c r="BS327" i="1"/>
  <c r="BN327" i="1"/>
  <c r="BT366" i="1"/>
  <c r="BO366" i="1"/>
  <c r="BT225" i="1"/>
  <c r="BT229" i="1"/>
  <c r="BO232" i="1"/>
  <c r="BT233" i="1"/>
  <c r="BP237" i="1"/>
  <c r="BO238" i="1"/>
  <c r="BP241" i="1"/>
  <c r="BO245" i="1"/>
  <c r="BR248" i="1"/>
  <c r="BQ253" i="1"/>
  <c r="BO256" i="1"/>
  <c r="BS258" i="1"/>
  <c r="BO260" i="1"/>
  <c r="BO263" i="1"/>
  <c r="BO265" i="1"/>
  <c r="BO267" i="1"/>
  <c r="BR268" i="1"/>
  <c r="BS270" i="1"/>
  <c r="BO273" i="1"/>
  <c r="BN276" i="1"/>
  <c r="BP286" i="1"/>
  <c r="BS290" i="1"/>
  <c r="BT292" i="1"/>
  <c r="BT301" i="1"/>
  <c r="BN323" i="1"/>
  <c r="BO331" i="1"/>
  <c r="BS332" i="1"/>
  <c r="BQ334" i="1"/>
  <c r="BR335" i="1"/>
  <c r="BR344" i="1"/>
  <c r="BQ346" i="1"/>
  <c r="BN348" i="1"/>
  <c r="BS352" i="1"/>
  <c r="BR360" i="1"/>
  <c r="BQ362" i="1"/>
  <c r="BO364" i="1"/>
  <c r="BT237" i="1"/>
  <c r="BT241" i="1"/>
  <c r="BR256" i="1"/>
  <c r="BT286" i="1"/>
  <c r="BR331" i="1"/>
  <c r="BR364" i="1"/>
  <c r="BM237" i="1"/>
  <c r="BM241" i="1"/>
  <c r="BO243" i="1"/>
  <c r="BT245" i="1"/>
  <c r="BM248" i="1"/>
  <c r="BM253" i="1"/>
  <c r="BM256" i="1"/>
  <c r="BS256" i="1"/>
  <c r="BM257" i="1"/>
  <c r="BI259" i="1"/>
  <c r="CZ259" i="1" s="1"/>
  <c r="BM259" i="1"/>
  <c r="BN266" i="1"/>
  <c r="BN270" i="1"/>
  <c r="BM274" i="1"/>
  <c r="BR276" i="1"/>
  <c r="BN285" i="1"/>
  <c r="BN286" i="1"/>
  <c r="BN290" i="1"/>
  <c r="BN310" i="1"/>
  <c r="BR323" i="1"/>
  <c r="BM330" i="1"/>
  <c r="BI331" i="1"/>
  <c r="CZ331" i="1" s="1"/>
  <c r="BM331" i="1"/>
  <c r="BS331" i="1"/>
  <c r="BM334" i="1"/>
  <c r="BM335" i="1"/>
  <c r="BI338" i="1"/>
  <c r="CZ338" i="1" s="1"/>
  <c r="BO340" i="1"/>
  <c r="BI343" i="1"/>
  <c r="CZ343" i="1" s="1"/>
  <c r="BM344" i="1"/>
  <c r="BM346" i="1"/>
  <c r="BR348" i="1"/>
  <c r="BI350" i="1"/>
  <c r="CZ350" i="1" s="1"/>
  <c r="BT351" i="1"/>
  <c r="BO354" i="1"/>
  <c r="BI358" i="1"/>
  <c r="CZ358" i="1" s="1"/>
  <c r="BM360" i="1"/>
  <c r="BM362" i="1"/>
  <c r="BR365" i="1"/>
  <c r="BN368" i="1"/>
  <c r="BI370" i="1"/>
  <c r="CZ370" i="1" s="1"/>
  <c r="BI12" i="1"/>
  <c r="CZ12" i="1" s="1"/>
  <c r="BT31" i="1"/>
  <c r="BO31" i="1"/>
  <c r="BS31" i="1"/>
  <c r="BN31" i="1"/>
  <c r="BI34" i="1"/>
  <c r="CZ34" i="1" s="1"/>
  <c r="BI60" i="1"/>
  <c r="CZ60" i="1" s="1"/>
  <c r="BI183" i="1"/>
  <c r="CZ183" i="1" s="1"/>
  <c r="BI215" i="1"/>
  <c r="CZ215" i="1" s="1"/>
  <c r="BI287" i="1"/>
  <c r="CZ287" i="1" s="1"/>
  <c r="BR288" i="1"/>
  <c r="BT288" i="1"/>
  <c r="BO288" i="1"/>
  <c r="BT316" i="1"/>
  <c r="BQ316" i="1"/>
  <c r="BO316" i="1"/>
  <c r="BM316" i="1"/>
  <c r="BS316" i="1"/>
  <c r="BT7" i="1"/>
  <c r="BS7" i="1"/>
  <c r="BN7" i="1"/>
  <c r="BR7" i="1"/>
  <c r="BM7" i="1"/>
  <c r="BT9" i="1"/>
  <c r="BO9" i="1"/>
  <c r="BM9" i="1"/>
  <c r="BI11" i="1"/>
  <c r="CZ11" i="1" s="1"/>
  <c r="BQ26" i="1"/>
  <c r="BR26" i="1"/>
  <c r="BN26" i="1"/>
  <c r="BM31" i="1"/>
  <c r="BI44" i="1"/>
  <c r="CZ44" i="1" s="1"/>
  <c r="BI47" i="1"/>
  <c r="CZ47" i="1" s="1"/>
  <c r="BI59" i="1"/>
  <c r="CZ59" i="1" s="1"/>
  <c r="BI175" i="1"/>
  <c r="CZ175" i="1" s="1"/>
  <c r="BI207" i="1"/>
  <c r="CZ207" i="1" s="1"/>
  <c r="BI241" i="1"/>
  <c r="CZ241" i="1" s="1"/>
  <c r="BT11" i="1"/>
  <c r="BS11" i="1"/>
  <c r="BN11" i="1"/>
  <c r="BR11" i="1"/>
  <c r="BM11" i="1"/>
  <c r="BT29" i="1"/>
  <c r="BQ29" i="1"/>
  <c r="BO29" i="1"/>
  <c r="BQ42" i="1"/>
  <c r="BR42" i="1"/>
  <c r="BN42" i="1"/>
  <c r="BI307" i="1"/>
  <c r="CZ307" i="1" s="1"/>
  <c r="BO11" i="1"/>
  <c r="BT43" i="1"/>
  <c r="BS43" i="1"/>
  <c r="BN43" i="1"/>
  <c r="BR43" i="1"/>
  <c r="BM43" i="1"/>
  <c r="BT57" i="1"/>
  <c r="BO57" i="1"/>
  <c r="BM57" i="1"/>
  <c r="BO59" i="1"/>
  <c r="BQ6" i="1"/>
  <c r="BR6" i="1"/>
  <c r="BI7" i="1"/>
  <c r="CZ7" i="1" s="1"/>
  <c r="BO7" i="1"/>
  <c r="BQ9" i="1"/>
  <c r="BQ11" i="1"/>
  <c r="BT13" i="1"/>
  <c r="BQ13" i="1"/>
  <c r="BO13" i="1"/>
  <c r="BT15" i="1"/>
  <c r="BO15" i="1"/>
  <c r="BS15" i="1"/>
  <c r="BN15" i="1"/>
  <c r="BI22" i="1"/>
  <c r="CZ22" i="1" s="1"/>
  <c r="BT27" i="1"/>
  <c r="BS27" i="1"/>
  <c r="BN27" i="1"/>
  <c r="BR27" i="1"/>
  <c r="BM27" i="1"/>
  <c r="BI28" i="1"/>
  <c r="CZ28" i="1" s="1"/>
  <c r="BI29" i="1"/>
  <c r="CZ29" i="1" s="1"/>
  <c r="BS29" i="1"/>
  <c r="BQ30" i="1"/>
  <c r="BR30" i="1"/>
  <c r="BI31" i="1"/>
  <c r="CZ31" i="1" s="1"/>
  <c r="BQ31" i="1"/>
  <c r="BI33" i="1"/>
  <c r="CZ33" i="1" s="1"/>
  <c r="BT41" i="1"/>
  <c r="BO41" i="1"/>
  <c r="BM41" i="1"/>
  <c r="BI43" i="1"/>
  <c r="CZ43" i="1" s="1"/>
  <c r="BO43" i="1"/>
  <c r="BI54" i="1"/>
  <c r="CZ54" i="1" s="1"/>
  <c r="BQ57" i="1"/>
  <c r="BI167" i="1"/>
  <c r="CZ167" i="1" s="1"/>
  <c r="BI199" i="1"/>
  <c r="CZ199" i="1" s="1"/>
  <c r="BT226" i="1"/>
  <c r="BO226" i="1"/>
  <c r="BS226" i="1"/>
  <c r="BN226" i="1"/>
  <c r="BR226" i="1"/>
  <c r="BM226" i="1"/>
  <c r="BQ226" i="1"/>
  <c r="BP239" i="1"/>
  <c r="BO239" i="1"/>
  <c r="BT239" i="1"/>
  <c r="BM239" i="1"/>
  <c r="BS239" i="1"/>
  <c r="BI262" i="1"/>
  <c r="CZ262" i="1" s="1"/>
  <c r="BI13" i="1"/>
  <c r="CZ13" i="1" s="1"/>
  <c r="BQ14" i="1"/>
  <c r="BR14" i="1"/>
  <c r="BI48" i="1"/>
  <c r="CZ48" i="1" s="1"/>
  <c r="BT59" i="1"/>
  <c r="BS59" i="1"/>
  <c r="BN59" i="1"/>
  <c r="BR59" i="1"/>
  <c r="BM59" i="1"/>
  <c r="BI61" i="1"/>
  <c r="CZ61" i="1" s="1"/>
  <c r="BI308" i="1"/>
  <c r="CZ308" i="1" s="1"/>
  <c r="BI367" i="1"/>
  <c r="CZ367" i="1" s="1"/>
  <c r="BN14" i="1"/>
  <c r="BI32" i="1"/>
  <c r="CZ32" i="1" s="1"/>
  <c r="BI45" i="1"/>
  <c r="CZ45" i="1" s="1"/>
  <c r="BQ46" i="1"/>
  <c r="BR46" i="1"/>
  <c r="BI49" i="1"/>
  <c r="CZ49" i="1" s="1"/>
  <c r="BQ7" i="1"/>
  <c r="BS9" i="1"/>
  <c r="BQ10" i="1"/>
  <c r="BR10" i="1"/>
  <c r="BN10" i="1"/>
  <c r="BM13" i="1"/>
  <c r="BM15" i="1"/>
  <c r="BI16" i="1"/>
  <c r="CZ16" i="1" s="1"/>
  <c r="BI18" i="1"/>
  <c r="CZ18" i="1" s="1"/>
  <c r="BT25" i="1"/>
  <c r="BO25" i="1"/>
  <c r="BM25" i="1"/>
  <c r="BI27" i="1"/>
  <c r="CZ27" i="1" s="1"/>
  <c r="BO27" i="1"/>
  <c r="BN30" i="1"/>
  <c r="BR31" i="1"/>
  <c r="BI38" i="1"/>
  <c r="CZ38" i="1" s="1"/>
  <c r="BQ41" i="1"/>
  <c r="BQ43" i="1"/>
  <c r="BT45" i="1"/>
  <c r="BQ45" i="1"/>
  <c r="BO45" i="1"/>
  <c r="BT47" i="1"/>
  <c r="BO47" i="1"/>
  <c r="BS47" i="1"/>
  <c r="BN47" i="1"/>
  <c r="BI50" i="1"/>
  <c r="CZ50" i="1" s="1"/>
  <c r="BS57" i="1"/>
  <c r="BQ58" i="1"/>
  <c r="BR58" i="1"/>
  <c r="BN58" i="1"/>
  <c r="K68" i="29"/>
  <c r="BI191" i="1"/>
  <c r="CZ191" i="1" s="1"/>
  <c r="BI223" i="1"/>
  <c r="CZ223" i="1" s="1"/>
  <c r="BT236" i="1"/>
  <c r="BO236" i="1"/>
  <c r="BS236" i="1"/>
  <c r="BN236" i="1"/>
  <c r="BR236" i="1"/>
  <c r="BM236" i="1"/>
  <c r="BQ236" i="1"/>
  <c r="BI254" i="1"/>
  <c r="CZ254" i="1" s="1"/>
  <c r="BI157" i="1"/>
  <c r="CZ157" i="1" s="1"/>
  <c r="BT250" i="1"/>
  <c r="BO250" i="1"/>
  <c r="BS250" i="1"/>
  <c r="BN250" i="1"/>
  <c r="BR250" i="1"/>
  <c r="BM250" i="1"/>
  <c r="BI159" i="1"/>
  <c r="CZ159" i="1" s="1"/>
  <c r="BT228" i="1"/>
  <c r="BO228" i="1"/>
  <c r="BS228" i="1"/>
  <c r="BN228" i="1"/>
  <c r="BR228" i="1"/>
  <c r="BM228" i="1"/>
  <c r="BP231" i="1"/>
  <c r="BO231" i="1"/>
  <c r="BT231" i="1"/>
  <c r="BM231" i="1"/>
  <c r="BI233" i="1"/>
  <c r="CZ233" i="1" s="1"/>
  <c r="BT271" i="1"/>
  <c r="BO271" i="1"/>
  <c r="BM271" i="1"/>
  <c r="BS271" i="1"/>
  <c r="BQ271" i="1"/>
  <c r="BT326" i="1"/>
  <c r="BQ326" i="1"/>
  <c r="BN326" i="1"/>
  <c r="BM326" i="1"/>
  <c r="BR326" i="1"/>
  <c r="BI346" i="1"/>
  <c r="CZ346" i="1" s="1"/>
  <c r="BI351" i="1"/>
  <c r="CZ351" i="1" s="1"/>
  <c r="BI8" i="1"/>
  <c r="CZ8" i="1" s="1"/>
  <c r="BI14" i="1"/>
  <c r="CZ14" i="1" s="1"/>
  <c r="BS21" i="1"/>
  <c r="BQ23" i="1"/>
  <c r="BI24" i="1"/>
  <c r="CZ24" i="1" s="1"/>
  <c r="BI30" i="1"/>
  <c r="CZ30" i="1" s="1"/>
  <c r="BQ33" i="1"/>
  <c r="BS37" i="1"/>
  <c r="BQ39" i="1"/>
  <c r="BI40" i="1"/>
  <c r="CZ40" i="1" s="1"/>
  <c r="BI46" i="1"/>
  <c r="CZ46" i="1" s="1"/>
  <c r="BQ49" i="1"/>
  <c r="BS53" i="1"/>
  <c r="BQ55" i="1"/>
  <c r="BI56" i="1"/>
  <c r="CZ56" i="1" s="1"/>
  <c r="K98" i="29"/>
  <c r="BI166" i="1"/>
  <c r="CZ166" i="1" s="1"/>
  <c r="BT167" i="1"/>
  <c r="BO167" i="1"/>
  <c r="BS167" i="1"/>
  <c r="BN167" i="1"/>
  <c r="BR167" i="1"/>
  <c r="BM167" i="1"/>
  <c r="BI174" i="1"/>
  <c r="CZ174" i="1" s="1"/>
  <c r="BT175" i="1"/>
  <c r="BO175" i="1"/>
  <c r="BS175" i="1"/>
  <c r="BN175" i="1"/>
  <c r="BR175" i="1"/>
  <c r="BM175" i="1"/>
  <c r="BI182" i="1"/>
  <c r="CZ182" i="1" s="1"/>
  <c r="BT183" i="1"/>
  <c r="BO183" i="1"/>
  <c r="BS183" i="1"/>
  <c r="BN183" i="1"/>
  <c r="BR183" i="1"/>
  <c r="BM183" i="1"/>
  <c r="BI190" i="1"/>
  <c r="CZ190" i="1" s="1"/>
  <c r="BT191" i="1"/>
  <c r="BO191" i="1"/>
  <c r="BS191" i="1"/>
  <c r="BN191" i="1"/>
  <c r="BR191" i="1"/>
  <c r="BM191" i="1"/>
  <c r="BI198" i="1"/>
  <c r="CZ198" i="1" s="1"/>
  <c r="BT199" i="1"/>
  <c r="BO199" i="1"/>
  <c r="BS199" i="1"/>
  <c r="BN199" i="1"/>
  <c r="BR199" i="1"/>
  <c r="BM199" i="1"/>
  <c r="BI206" i="1"/>
  <c r="CZ206" i="1" s="1"/>
  <c r="BT207" i="1"/>
  <c r="BO207" i="1"/>
  <c r="BS207" i="1"/>
  <c r="BN207" i="1"/>
  <c r="BR207" i="1"/>
  <c r="BM207" i="1"/>
  <c r="BI214" i="1"/>
  <c r="CZ214" i="1" s="1"/>
  <c r="BT215" i="1"/>
  <c r="BO215" i="1"/>
  <c r="BS215" i="1"/>
  <c r="BN215" i="1"/>
  <c r="BR215" i="1"/>
  <c r="BM215" i="1"/>
  <c r="BI222" i="1"/>
  <c r="CZ222" i="1" s="1"/>
  <c r="BP223" i="1"/>
  <c r="BO223" i="1"/>
  <c r="BT223" i="1"/>
  <c r="BM223" i="1"/>
  <c r="BI225" i="1"/>
  <c r="CZ225" i="1" s="1"/>
  <c r="BQ228" i="1"/>
  <c r="BS231" i="1"/>
  <c r="BI236" i="1"/>
  <c r="CZ236" i="1" s="1"/>
  <c r="BI239" i="1"/>
  <c r="CZ239" i="1" s="1"/>
  <c r="BT242" i="1"/>
  <c r="BO242" i="1"/>
  <c r="BS242" i="1"/>
  <c r="BN242" i="1"/>
  <c r="BR242" i="1"/>
  <c r="BM242" i="1"/>
  <c r="BQ250" i="1"/>
  <c r="BI253" i="1"/>
  <c r="CZ253" i="1" s="1"/>
  <c r="BT254" i="1"/>
  <c r="BO254" i="1"/>
  <c r="BS254" i="1"/>
  <c r="BN254" i="1"/>
  <c r="BR254" i="1"/>
  <c r="BM254" i="1"/>
  <c r="BI261" i="1"/>
  <c r="CZ261" i="1" s="1"/>
  <c r="BT262" i="1"/>
  <c r="BO262" i="1"/>
  <c r="BS262" i="1"/>
  <c r="BN262" i="1"/>
  <c r="BR262" i="1"/>
  <c r="BM262" i="1"/>
  <c r="BI244" i="1"/>
  <c r="CZ244" i="1" s="1"/>
  <c r="BI247" i="1"/>
  <c r="CZ247" i="1" s="1"/>
  <c r="BI265" i="1"/>
  <c r="CZ265" i="1" s="1"/>
  <c r="BI10" i="1"/>
  <c r="CZ10" i="1" s="1"/>
  <c r="BS17" i="1"/>
  <c r="BQ19" i="1"/>
  <c r="BI20" i="1"/>
  <c r="CZ20" i="1" s="1"/>
  <c r="BM21" i="1"/>
  <c r="BN22" i="1"/>
  <c r="BI23" i="1"/>
  <c r="CZ23" i="1" s="1"/>
  <c r="BR23" i="1"/>
  <c r="BI26" i="1"/>
  <c r="CZ26" i="1" s="1"/>
  <c r="BS33" i="1"/>
  <c r="BQ35" i="1"/>
  <c r="BI36" i="1"/>
  <c r="CZ36" i="1" s="1"/>
  <c r="BM37" i="1"/>
  <c r="BN38" i="1"/>
  <c r="BI39" i="1"/>
  <c r="CZ39" i="1" s="1"/>
  <c r="BM39" i="1"/>
  <c r="BR39" i="1"/>
  <c r="BI41" i="1"/>
  <c r="CZ41" i="1" s="1"/>
  <c r="BI42" i="1"/>
  <c r="CZ42" i="1" s="1"/>
  <c r="BS49" i="1"/>
  <c r="BQ51" i="1"/>
  <c r="BI52" i="1"/>
  <c r="CZ52" i="1" s="1"/>
  <c r="BM53" i="1"/>
  <c r="BN54" i="1"/>
  <c r="BI55" i="1"/>
  <c r="CZ55" i="1" s="1"/>
  <c r="BM55" i="1"/>
  <c r="BR55" i="1"/>
  <c r="BI57" i="1"/>
  <c r="CZ57" i="1" s="1"/>
  <c r="BI58" i="1"/>
  <c r="CZ58" i="1" s="1"/>
  <c r="BQ62" i="1"/>
  <c r="BI158" i="1"/>
  <c r="CZ158" i="1" s="1"/>
  <c r="BT159" i="1"/>
  <c r="BO159" i="1"/>
  <c r="BR159" i="1"/>
  <c r="BM159" i="1"/>
  <c r="BI161" i="1"/>
  <c r="CZ161" i="1" s="1"/>
  <c r="BQ167" i="1"/>
  <c r="BI169" i="1"/>
  <c r="CZ169" i="1" s="1"/>
  <c r="BQ175" i="1"/>
  <c r="BI177" i="1"/>
  <c r="CZ177" i="1" s="1"/>
  <c r="BQ183" i="1"/>
  <c r="BI185" i="1"/>
  <c r="CZ185" i="1" s="1"/>
  <c r="BQ191" i="1"/>
  <c r="BI193" i="1"/>
  <c r="CZ193" i="1" s="1"/>
  <c r="BQ199" i="1"/>
  <c r="BI201" i="1"/>
  <c r="CZ201" i="1" s="1"/>
  <c r="BQ207" i="1"/>
  <c r="BI209" i="1"/>
  <c r="CZ209" i="1" s="1"/>
  <c r="BQ215" i="1"/>
  <c r="BI217" i="1"/>
  <c r="CZ217" i="1" s="1"/>
  <c r="BS223" i="1"/>
  <c r="BI228" i="1"/>
  <c r="CZ228" i="1" s="1"/>
  <c r="BI231" i="1"/>
  <c r="CZ231" i="1" s="1"/>
  <c r="BT234" i="1"/>
  <c r="BO234" i="1"/>
  <c r="BS234" i="1"/>
  <c r="BN234" i="1"/>
  <c r="BR234" i="1"/>
  <c r="BM234" i="1"/>
  <c r="BQ242" i="1"/>
  <c r="BT244" i="1"/>
  <c r="BO244" i="1"/>
  <c r="BS244" i="1"/>
  <c r="BN244" i="1"/>
  <c r="BR244" i="1"/>
  <c r="BM244" i="1"/>
  <c r="BP247" i="1"/>
  <c r="BO247" i="1"/>
  <c r="BT247" i="1"/>
  <c r="BM247" i="1"/>
  <c r="BI249" i="1"/>
  <c r="CZ249" i="1" s="1"/>
  <c r="BQ254" i="1"/>
  <c r="BI256" i="1"/>
  <c r="CZ256" i="1" s="1"/>
  <c r="BQ262" i="1"/>
  <c r="BI264" i="1"/>
  <c r="CZ264" i="1" s="1"/>
  <c r="BI268" i="1"/>
  <c r="CZ268" i="1" s="1"/>
  <c r="BT339" i="1"/>
  <c r="BO339" i="1"/>
  <c r="BS339" i="1"/>
  <c r="BN339" i="1"/>
  <c r="BR339" i="1"/>
  <c r="BM339" i="1"/>
  <c r="BQ339" i="1"/>
  <c r="BQ157" i="1"/>
  <c r="BS162" i="1"/>
  <c r="BO163" i="1"/>
  <c r="BS164" i="1"/>
  <c r="BQ165" i="1"/>
  <c r="BS170" i="1"/>
  <c r="BO171" i="1"/>
  <c r="BS172" i="1"/>
  <c r="BQ173" i="1"/>
  <c r="BS178" i="1"/>
  <c r="BO179" i="1"/>
  <c r="BS180" i="1"/>
  <c r="BQ181" i="1"/>
  <c r="BS186" i="1"/>
  <c r="BO187" i="1"/>
  <c r="BS188" i="1"/>
  <c r="BQ189" i="1"/>
  <c r="BS194" i="1"/>
  <c r="BO195" i="1"/>
  <c r="BS196" i="1"/>
  <c r="BQ197" i="1"/>
  <c r="BS202" i="1"/>
  <c r="BO203" i="1"/>
  <c r="BS204" i="1"/>
  <c r="BQ205" i="1"/>
  <c r="BS210" i="1"/>
  <c r="BO211" i="1"/>
  <c r="BS212" i="1"/>
  <c r="BQ213" i="1"/>
  <c r="BS218" i="1"/>
  <c r="BO219" i="1"/>
  <c r="BS220" i="1"/>
  <c r="BQ221" i="1"/>
  <c r="BQ224" i="1"/>
  <c r="BP227" i="1"/>
  <c r="BQ230" i="1"/>
  <c r="BQ232" i="1"/>
  <c r="BP235" i="1"/>
  <c r="BQ238" i="1"/>
  <c r="BQ240" i="1"/>
  <c r="BP243" i="1"/>
  <c r="BQ246" i="1"/>
  <c r="BQ248" i="1"/>
  <c r="BQ251" i="1"/>
  <c r="BQ252" i="1"/>
  <c r="BS257" i="1"/>
  <c r="BO258" i="1"/>
  <c r="BS259" i="1"/>
  <c r="BQ260" i="1"/>
  <c r="BI271" i="1"/>
  <c r="CZ271" i="1" s="1"/>
  <c r="BT272" i="1"/>
  <c r="BS272" i="1"/>
  <c r="BN272" i="1"/>
  <c r="BR272" i="1"/>
  <c r="BM272" i="1"/>
  <c r="BI285" i="1"/>
  <c r="CZ285" i="1" s="1"/>
  <c r="BP291" i="1"/>
  <c r="BN291" i="1"/>
  <c r="BT291" i="1"/>
  <c r="BM291" i="1"/>
  <c r="BT317" i="1"/>
  <c r="BO317" i="1"/>
  <c r="BS317" i="1"/>
  <c r="BN317" i="1"/>
  <c r="BR317" i="1"/>
  <c r="BM317" i="1"/>
  <c r="BI333" i="1"/>
  <c r="CZ333" i="1" s="1"/>
  <c r="BI355" i="1"/>
  <c r="CZ355" i="1" s="1"/>
  <c r="BI356" i="1"/>
  <c r="CZ356" i="1" s="1"/>
  <c r="BT358" i="1"/>
  <c r="BQ358" i="1"/>
  <c r="BO358" i="1"/>
  <c r="BM358" i="1"/>
  <c r="BI362" i="1"/>
  <c r="CZ362" i="1" s="1"/>
  <c r="BQ163" i="1"/>
  <c r="BQ171" i="1"/>
  <c r="BQ179" i="1"/>
  <c r="BQ187" i="1"/>
  <c r="BQ195" i="1"/>
  <c r="BQ203" i="1"/>
  <c r="BQ211" i="1"/>
  <c r="BQ219" i="1"/>
  <c r="BS227" i="1"/>
  <c r="BS235" i="1"/>
  <c r="BS243" i="1"/>
  <c r="BQ258" i="1"/>
  <c r="BT266" i="1"/>
  <c r="BO266" i="1"/>
  <c r="BR266" i="1"/>
  <c r="BO272" i="1"/>
  <c r="BP278" i="1"/>
  <c r="BO278" i="1"/>
  <c r="BT278" i="1"/>
  <c r="BN278" i="1"/>
  <c r="BT279" i="1"/>
  <c r="BR279" i="1"/>
  <c r="BP279" i="1"/>
  <c r="BM279" i="1"/>
  <c r="BR291" i="1"/>
  <c r="BP294" i="1"/>
  <c r="BO294" i="1"/>
  <c r="BT294" i="1"/>
  <c r="BN294" i="1"/>
  <c r="BT295" i="1"/>
  <c r="BR295" i="1"/>
  <c r="BP295" i="1"/>
  <c r="BM295" i="1"/>
  <c r="BI316" i="1"/>
  <c r="CZ316" i="1" s="1"/>
  <c r="BQ317" i="1"/>
  <c r="BT320" i="1"/>
  <c r="BO320" i="1"/>
  <c r="BS320" i="1"/>
  <c r="BN320" i="1"/>
  <c r="BR320" i="1"/>
  <c r="BM320" i="1"/>
  <c r="BI330" i="1"/>
  <c r="CZ330" i="1" s="1"/>
  <c r="BI339" i="1"/>
  <c r="CZ339" i="1" s="1"/>
  <c r="BI342" i="1"/>
  <c r="CZ342" i="1" s="1"/>
  <c r="BI357" i="1"/>
  <c r="CZ357" i="1" s="1"/>
  <c r="BS358" i="1"/>
  <c r="BT359" i="1"/>
  <c r="BN359" i="1"/>
  <c r="BN157" i="1"/>
  <c r="BS157" i="1"/>
  <c r="BS158" i="1"/>
  <c r="BS160" i="1"/>
  <c r="BQ161" i="1"/>
  <c r="BI162" i="1"/>
  <c r="CZ162" i="1" s="1"/>
  <c r="BO162" i="1"/>
  <c r="BI163" i="1"/>
  <c r="CZ163" i="1" s="1"/>
  <c r="BM163" i="1"/>
  <c r="BR163" i="1"/>
  <c r="BO164" i="1"/>
  <c r="BI165" i="1"/>
  <c r="CZ165" i="1" s="1"/>
  <c r="BN165" i="1"/>
  <c r="BS165" i="1"/>
  <c r="BS166" i="1"/>
  <c r="BS168" i="1"/>
  <c r="BQ169" i="1"/>
  <c r="BI170" i="1"/>
  <c r="CZ170" i="1" s="1"/>
  <c r="BO170" i="1"/>
  <c r="BI171" i="1"/>
  <c r="CZ171" i="1" s="1"/>
  <c r="BM171" i="1"/>
  <c r="BR171" i="1"/>
  <c r="BO172" i="1"/>
  <c r="BI173" i="1"/>
  <c r="CZ173" i="1" s="1"/>
  <c r="BN173" i="1"/>
  <c r="BS173" i="1"/>
  <c r="BS174" i="1"/>
  <c r="BS176" i="1"/>
  <c r="BQ177" i="1"/>
  <c r="BI178" i="1"/>
  <c r="CZ178" i="1" s="1"/>
  <c r="BO178" i="1"/>
  <c r="BI179" i="1"/>
  <c r="CZ179" i="1" s="1"/>
  <c r="BM179" i="1"/>
  <c r="BR179" i="1"/>
  <c r="BO180" i="1"/>
  <c r="BI181" i="1"/>
  <c r="CZ181" i="1" s="1"/>
  <c r="BN181" i="1"/>
  <c r="BS181" i="1"/>
  <c r="BS182" i="1"/>
  <c r="BS184" i="1"/>
  <c r="BQ185" i="1"/>
  <c r="BI186" i="1"/>
  <c r="CZ186" i="1" s="1"/>
  <c r="BO186" i="1"/>
  <c r="BI187" i="1"/>
  <c r="CZ187" i="1" s="1"/>
  <c r="BM187" i="1"/>
  <c r="BR187" i="1"/>
  <c r="BO188" i="1"/>
  <c r="BI189" i="1"/>
  <c r="CZ189" i="1" s="1"/>
  <c r="BN189" i="1"/>
  <c r="BS189" i="1"/>
  <c r="BS190" i="1"/>
  <c r="BS192" i="1"/>
  <c r="BQ193" i="1"/>
  <c r="BI194" i="1"/>
  <c r="CZ194" i="1" s="1"/>
  <c r="BO194" i="1"/>
  <c r="BI195" i="1"/>
  <c r="CZ195" i="1" s="1"/>
  <c r="BM195" i="1"/>
  <c r="BR195" i="1"/>
  <c r="BO196" i="1"/>
  <c r="BI197" i="1"/>
  <c r="CZ197" i="1" s="1"/>
  <c r="BN197" i="1"/>
  <c r="BS197" i="1"/>
  <c r="BS198" i="1"/>
  <c r="BS200" i="1"/>
  <c r="BQ201" i="1"/>
  <c r="BI202" i="1"/>
  <c r="CZ202" i="1" s="1"/>
  <c r="BO202" i="1"/>
  <c r="BI203" i="1"/>
  <c r="CZ203" i="1" s="1"/>
  <c r="BM203" i="1"/>
  <c r="BR203" i="1"/>
  <c r="BO204" i="1"/>
  <c r="BI205" i="1"/>
  <c r="CZ205" i="1" s="1"/>
  <c r="BN205" i="1"/>
  <c r="BS205" i="1"/>
  <c r="BS206" i="1"/>
  <c r="BS208" i="1"/>
  <c r="BQ209" i="1"/>
  <c r="BI210" i="1"/>
  <c r="CZ210" i="1" s="1"/>
  <c r="BO210" i="1"/>
  <c r="BI211" i="1"/>
  <c r="CZ211" i="1" s="1"/>
  <c r="BM211" i="1"/>
  <c r="BR211" i="1"/>
  <c r="BO212" i="1"/>
  <c r="BI213" i="1"/>
  <c r="CZ213" i="1" s="1"/>
  <c r="BN213" i="1"/>
  <c r="BS213" i="1"/>
  <c r="BS214" i="1"/>
  <c r="BS216" i="1"/>
  <c r="BQ217" i="1"/>
  <c r="BI218" i="1"/>
  <c r="CZ218" i="1" s="1"/>
  <c r="BO218" i="1"/>
  <c r="BI219" i="1"/>
  <c r="CZ219" i="1" s="1"/>
  <c r="BM219" i="1"/>
  <c r="BR219" i="1"/>
  <c r="BO220" i="1"/>
  <c r="BI221" i="1"/>
  <c r="CZ221" i="1" s="1"/>
  <c r="BN221" i="1"/>
  <c r="BS221" i="1"/>
  <c r="BS222" i="1"/>
  <c r="BI224" i="1"/>
  <c r="CZ224" i="1" s="1"/>
  <c r="BN224" i="1"/>
  <c r="BS224" i="1"/>
  <c r="BM227" i="1"/>
  <c r="BN230" i="1"/>
  <c r="BS230" i="1"/>
  <c r="BI232" i="1"/>
  <c r="CZ232" i="1" s="1"/>
  <c r="BN232" i="1"/>
  <c r="BS232" i="1"/>
  <c r="BM235" i="1"/>
  <c r="BN238" i="1"/>
  <c r="BS238" i="1"/>
  <c r="BI240" i="1"/>
  <c r="CZ240" i="1" s="1"/>
  <c r="BN240" i="1"/>
  <c r="BS240" i="1"/>
  <c r="BM243" i="1"/>
  <c r="BN246" i="1"/>
  <c r="BS246" i="1"/>
  <c r="BI248" i="1"/>
  <c r="CZ248" i="1" s="1"/>
  <c r="BN248" i="1"/>
  <c r="BS248" i="1"/>
  <c r="BI252" i="1"/>
  <c r="CZ252" i="1" s="1"/>
  <c r="BN252" i="1"/>
  <c r="BS252" i="1"/>
  <c r="BS253" i="1"/>
  <c r="BS255" i="1"/>
  <c r="BQ256" i="1"/>
  <c r="BI257" i="1"/>
  <c r="CZ257" i="1" s="1"/>
  <c r="BO257" i="1"/>
  <c r="BI258" i="1"/>
  <c r="CZ258" i="1" s="1"/>
  <c r="BM258" i="1"/>
  <c r="BR258" i="1"/>
  <c r="BO259" i="1"/>
  <c r="BI260" i="1"/>
  <c r="CZ260" i="1" s="1"/>
  <c r="BN260" i="1"/>
  <c r="BS260" i="1"/>
  <c r="BS261" i="1"/>
  <c r="BS263" i="1"/>
  <c r="BT264" i="1"/>
  <c r="BS264" i="1"/>
  <c r="BN264" i="1"/>
  <c r="BR264" i="1"/>
  <c r="BM266" i="1"/>
  <c r="BS266" i="1"/>
  <c r="BT269" i="1"/>
  <c r="BO269" i="1"/>
  <c r="BM269" i="1"/>
  <c r="BQ272" i="1"/>
  <c r="BS278" i="1"/>
  <c r="BI280" i="1"/>
  <c r="CZ280" i="1" s="1"/>
  <c r="BS294" i="1"/>
  <c r="BI296" i="1"/>
  <c r="CZ296" i="1" s="1"/>
  <c r="BI297" i="1"/>
  <c r="CZ297" i="1" s="1"/>
  <c r="BP299" i="1"/>
  <c r="BN299" i="1"/>
  <c r="BT299" i="1"/>
  <c r="BM299" i="1"/>
  <c r="BT306" i="1"/>
  <c r="BS306" i="1"/>
  <c r="BP306" i="1"/>
  <c r="BN306" i="1"/>
  <c r="BT314" i="1"/>
  <c r="BQ314" i="1"/>
  <c r="BO314" i="1"/>
  <c r="BM314" i="1"/>
  <c r="BQ320" i="1"/>
  <c r="BI340" i="1"/>
  <c r="CZ340" i="1" s="1"/>
  <c r="BT356" i="1"/>
  <c r="BO356" i="1"/>
  <c r="BS356" i="1"/>
  <c r="BN356" i="1"/>
  <c r="BR356" i="1"/>
  <c r="BM356" i="1"/>
  <c r="BQ270" i="1"/>
  <c r="BN274" i="1"/>
  <c r="BS274" i="1"/>
  <c r="BI282" i="1"/>
  <c r="CZ282" i="1" s="1"/>
  <c r="BP282" i="1"/>
  <c r="BR283" i="1"/>
  <c r="BQ285" i="1"/>
  <c r="BI294" i="1"/>
  <c r="CZ294" i="1" s="1"/>
  <c r="BQ297" i="1"/>
  <c r="BI302" i="1"/>
  <c r="CZ302" i="1" s="1"/>
  <c r="BO302" i="1"/>
  <c r="BI303" i="1"/>
  <c r="CZ303" i="1" s="1"/>
  <c r="BP303" i="1"/>
  <c r="BP307" i="1"/>
  <c r="BT308" i="1"/>
  <c r="BO310" i="1"/>
  <c r="BQ312" i="1"/>
  <c r="BO313" i="1"/>
  <c r="BQ315" i="1"/>
  <c r="BQ318" i="1"/>
  <c r="BO319" i="1"/>
  <c r="BP321" i="1"/>
  <c r="BI322" i="1"/>
  <c r="CZ322" i="1" s="1"/>
  <c r="BN322" i="1"/>
  <c r="BQ323" i="1"/>
  <c r="BI324" i="1"/>
  <c r="CZ324" i="1" s="1"/>
  <c r="BO327" i="1"/>
  <c r="BI329" i="1"/>
  <c r="CZ329" i="1" s="1"/>
  <c r="BN330" i="1"/>
  <c r="BQ331" i="1"/>
  <c r="BI332" i="1"/>
  <c r="CZ332" i="1" s="1"/>
  <c r="K334" i="29"/>
  <c r="BR334" i="1"/>
  <c r="BN335" i="1"/>
  <c r="BS335" i="1"/>
  <c r="BI337" i="1"/>
  <c r="CZ337" i="1" s="1"/>
  <c r="BQ337" i="1"/>
  <c r="BQ338" i="1"/>
  <c r="BN344" i="1"/>
  <c r="BS344" i="1"/>
  <c r="BI347" i="1"/>
  <c r="CZ347" i="1" s="1"/>
  <c r="BQ348" i="1"/>
  <c r="BI349" i="1"/>
  <c r="CZ349" i="1" s="1"/>
  <c r="BQ350" i="1"/>
  <c r="BO352" i="1"/>
  <c r="BQ354" i="1"/>
  <c r="BN360" i="1"/>
  <c r="BS360" i="1"/>
  <c r="BI363" i="1"/>
  <c r="CZ363" i="1" s="1"/>
  <c r="BQ364" i="1"/>
  <c r="BI365" i="1"/>
  <c r="CZ365" i="1" s="1"/>
  <c r="BQ366" i="1"/>
  <c r="BO368" i="1"/>
  <c r="BQ370" i="1"/>
  <c r="BS265" i="1"/>
  <c r="BS267" i="1"/>
  <c r="BQ268" i="1"/>
  <c r="BI269" i="1"/>
  <c r="CZ269" i="1" s="1"/>
  <c r="BI270" i="1"/>
  <c r="CZ270" i="1" s="1"/>
  <c r="BM270" i="1"/>
  <c r="BR270" i="1"/>
  <c r="BI272" i="1"/>
  <c r="CZ272" i="1" s="1"/>
  <c r="BS273" i="1"/>
  <c r="BO274" i="1"/>
  <c r="BS275" i="1"/>
  <c r="BQ276" i="1"/>
  <c r="BI277" i="1"/>
  <c r="CZ277" i="1" s="1"/>
  <c r="BI278" i="1"/>
  <c r="CZ278" i="1" s="1"/>
  <c r="BI279" i="1"/>
  <c r="CZ279" i="1" s="1"/>
  <c r="BS282" i="1"/>
  <c r="BM283" i="1"/>
  <c r="BI288" i="1"/>
  <c r="CZ288" i="1" s="1"/>
  <c r="BI291" i="1"/>
  <c r="CZ291" i="1" s="1"/>
  <c r="BI292" i="1"/>
  <c r="CZ292" i="1" s="1"/>
  <c r="BI293" i="1"/>
  <c r="CZ293" i="1" s="1"/>
  <c r="BI295" i="1"/>
  <c r="CZ295" i="1" s="1"/>
  <c r="BI299" i="1"/>
  <c r="CZ299" i="1" s="1"/>
  <c r="BI300" i="1"/>
  <c r="CZ300" i="1" s="1"/>
  <c r="BP302" i="1"/>
  <c r="BR303" i="1"/>
  <c r="BI306" i="1"/>
  <c r="CZ306" i="1" s="1"/>
  <c r="BR307" i="1"/>
  <c r="BQ310" i="1"/>
  <c r="BI311" i="1"/>
  <c r="CZ311" i="1" s="1"/>
  <c r="BS312" i="1"/>
  <c r="BQ313" i="1"/>
  <c r="BS318" i="1"/>
  <c r="BS321" i="1"/>
  <c r="BQ327" i="1"/>
  <c r="BI328" i="1"/>
  <c r="CZ328" i="1" s="1"/>
  <c r="K336" i="29"/>
  <c r="BR338" i="1"/>
  <c r="BI341" i="1"/>
  <c r="CZ341" i="1" s="1"/>
  <c r="BS350" i="1"/>
  <c r="BQ352" i="1"/>
  <c r="BI353" i="1"/>
  <c r="CZ353" i="1" s="1"/>
  <c r="BS354" i="1"/>
  <c r="BI359" i="1"/>
  <c r="CZ359" i="1" s="1"/>
  <c r="BS366" i="1"/>
  <c r="BQ368" i="1"/>
  <c r="BI369" i="1"/>
  <c r="CZ369" i="1" s="1"/>
  <c r="BS370" i="1"/>
  <c r="BQ274" i="1"/>
  <c r="BI283" i="1"/>
  <c r="CZ283" i="1" s="1"/>
  <c r="BI284" i="1"/>
  <c r="CZ284" i="1" s="1"/>
  <c r="BI286" i="1"/>
  <c r="CZ286" i="1" s="1"/>
  <c r="BI290" i="1"/>
  <c r="CZ290" i="1" s="1"/>
  <c r="BI298" i="1"/>
  <c r="CZ298" i="1" s="1"/>
  <c r="BI304" i="1"/>
  <c r="CZ304" i="1" s="1"/>
  <c r="BM307" i="1"/>
  <c r="BI309" i="1"/>
  <c r="CZ309" i="1" s="1"/>
  <c r="BM310" i="1"/>
  <c r="BR310" i="1"/>
  <c r="BI312" i="1"/>
  <c r="CZ312" i="1" s="1"/>
  <c r="BM312" i="1"/>
  <c r="BM313" i="1"/>
  <c r="BR313" i="1"/>
  <c r="BS315" i="1"/>
  <c r="BM318" i="1"/>
  <c r="BM321" i="1"/>
  <c r="BI323" i="1"/>
  <c r="CZ323" i="1" s="1"/>
  <c r="BI325" i="1"/>
  <c r="CZ325" i="1" s="1"/>
  <c r="BI327" i="1"/>
  <c r="CZ327" i="1" s="1"/>
  <c r="BM327" i="1"/>
  <c r="BR327" i="1"/>
  <c r="BR330" i="1"/>
  <c r="K333" i="29"/>
  <c r="BI334" i="1"/>
  <c r="CZ334" i="1" s="1"/>
  <c r="BQ335" i="1"/>
  <c r="BI336" i="1"/>
  <c r="CZ336" i="1" s="1"/>
  <c r="BM338" i="1"/>
  <c r="BQ344" i="1"/>
  <c r="BI345" i="1"/>
  <c r="CZ345" i="1" s="1"/>
  <c r="BS346" i="1"/>
  <c r="BS348" i="1"/>
  <c r="BM350" i="1"/>
  <c r="BI352" i="1"/>
  <c r="CZ352" i="1" s="1"/>
  <c r="BM352" i="1"/>
  <c r="BR352" i="1"/>
  <c r="BM354" i="1"/>
  <c r="BR357" i="1"/>
  <c r="BQ360" i="1"/>
  <c r="BI361" i="1"/>
  <c r="CZ361" i="1" s="1"/>
  <c r="BS362" i="1"/>
  <c r="BN364" i="1"/>
  <c r="BS364" i="1"/>
  <c r="BM366" i="1"/>
  <c r="BI368" i="1"/>
  <c r="CZ368" i="1" s="1"/>
  <c r="BM368" i="1"/>
  <c r="BR368" i="1"/>
  <c r="BM370" i="1"/>
  <c r="BP8" i="1"/>
  <c r="BT8" i="1"/>
  <c r="BP28" i="1"/>
  <c r="BT32" i="1"/>
  <c r="BP36" i="1"/>
  <c r="BT36" i="1"/>
  <c r="BP40" i="1"/>
  <c r="BT40" i="1"/>
  <c r="BS293" i="1"/>
  <c r="BO293" i="1"/>
  <c r="BR293" i="1"/>
  <c r="BM293" i="1"/>
  <c r="BP293" i="1"/>
  <c r="BT293" i="1"/>
  <c r="BN293" i="1"/>
  <c r="BQ363" i="1"/>
  <c r="BM363" i="1"/>
  <c r="BS363" i="1"/>
  <c r="BO363" i="1"/>
  <c r="BR363" i="1"/>
  <c r="BP363" i="1"/>
  <c r="BN363" i="1"/>
  <c r="BT363" i="1"/>
  <c r="BO6" i="1"/>
  <c r="BS6" i="1"/>
  <c r="BP7" i="1"/>
  <c r="BM8" i="1"/>
  <c r="BQ8" i="1"/>
  <c r="BN9" i="1"/>
  <c r="BR9" i="1"/>
  <c r="BO10" i="1"/>
  <c r="BS10" i="1"/>
  <c r="BP11" i="1"/>
  <c r="BM12" i="1"/>
  <c r="BQ12" i="1"/>
  <c r="BN13" i="1"/>
  <c r="BR13" i="1"/>
  <c r="BO14" i="1"/>
  <c r="BS14" i="1"/>
  <c r="BP15" i="1"/>
  <c r="BM16" i="1"/>
  <c r="BQ16" i="1"/>
  <c r="BN17" i="1"/>
  <c r="BR17" i="1"/>
  <c r="BO18" i="1"/>
  <c r="BS18" i="1"/>
  <c r="BP19" i="1"/>
  <c r="BM20" i="1"/>
  <c r="BQ20" i="1"/>
  <c r="BN21" i="1"/>
  <c r="BR21" i="1"/>
  <c r="BO22" i="1"/>
  <c r="BS22" i="1"/>
  <c r="BP23" i="1"/>
  <c r="BM24" i="1"/>
  <c r="BQ24" i="1"/>
  <c r="BN25" i="1"/>
  <c r="BR25" i="1"/>
  <c r="BO26" i="1"/>
  <c r="BS26" i="1"/>
  <c r="BP27" i="1"/>
  <c r="BM28" i="1"/>
  <c r="BQ28" i="1"/>
  <c r="BN29" i="1"/>
  <c r="BR29" i="1"/>
  <c r="BO30" i="1"/>
  <c r="BS30" i="1"/>
  <c r="BP31" i="1"/>
  <c r="BM32" i="1"/>
  <c r="BQ32" i="1"/>
  <c r="BN33" i="1"/>
  <c r="BR33" i="1"/>
  <c r="BO34" i="1"/>
  <c r="BS34" i="1"/>
  <c r="BP35" i="1"/>
  <c r="BM36" i="1"/>
  <c r="BQ36" i="1"/>
  <c r="BN37" i="1"/>
  <c r="BR37" i="1"/>
  <c r="BO38" i="1"/>
  <c r="BS38" i="1"/>
  <c r="BP39" i="1"/>
  <c r="BM40" i="1"/>
  <c r="BQ40" i="1"/>
  <c r="BN41" i="1"/>
  <c r="BR41" i="1"/>
  <c r="BO42" i="1"/>
  <c r="BS42" i="1"/>
  <c r="BP43" i="1"/>
  <c r="BM44" i="1"/>
  <c r="BQ44" i="1"/>
  <c r="BN45" i="1"/>
  <c r="BR45" i="1"/>
  <c r="BO46" i="1"/>
  <c r="BS46" i="1"/>
  <c r="BP47" i="1"/>
  <c r="BM48" i="1"/>
  <c r="BQ48" i="1"/>
  <c r="BN49" i="1"/>
  <c r="BR49" i="1"/>
  <c r="BO50" i="1"/>
  <c r="BS50" i="1"/>
  <c r="BP51" i="1"/>
  <c r="BM52" i="1"/>
  <c r="BQ52" i="1"/>
  <c r="BN53" i="1"/>
  <c r="BR53" i="1"/>
  <c r="BO54" i="1"/>
  <c r="BS54" i="1"/>
  <c r="BP55" i="1"/>
  <c r="BM56" i="1"/>
  <c r="BQ56" i="1"/>
  <c r="BN57" i="1"/>
  <c r="BR57" i="1"/>
  <c r="BO58" i="1"/>
  <c r="BS58" i="1"/>
  <c r="BP59" i="1"/>
  <c r="BM60" i="1"/>
  <c r="BQ60" i="1"/>
  <c r="BO61" i="1"/>
  <c r="BS61" i="1"/>
  <c r="BP62" i="1"/>
  <c r="BQ284" i="1"/>
  <c r="BM284" i="1"/>
  <c r="BP284" i="1"/>
  <c r="BS284" i="1"/>
  <c r="BN284" i="1"/>
  <c r="BO284" i="1"/>
  <c r="BT284" i="1"/>
  <c r="BQ293" i="1"/>
  <c r="BP44" i="1"/>
  <c r="BT44" i="1"/>
  <c r="BP52" i="1"/>
  <c r="BT52" i="1"/>
  <c r="BP60" i="1"/>
  <c r="BP6" i="1"/>
  <c r="BT6" i="1"/>
  <c r="BN8" i="1"/>
  <c r="BP10" i="1"/>
  <c r="BT10" i="1"/>
  <c r="BN12" i="1"/>
  <c r="BP14" i="1"/>
  <c r="BT14" i="1"/>
  <c r="BP18" i="1"/>
  <c r="BT18" i="1"/>
  <c r="BR20" i="1"/>
  <c r="BP22" i="1"/>
  <c r="BT22" i="1"/>
  <c r="BR24" i="1"/>
  <c r="BN28" i="1"/>
  <c r="BP30" i="1"/>
  <c r="BT30" i="1"/>
  <c r="BR32" i="1"/>
  <c r="BP34" i="1"/>
  <c r="BT34" i="1"/>
  <c r="BN40" i="1"/>
  <c r="BP42" i="1"/>
  <c r="BT42" i="1"/>
  <c r="BP46" i="1"/>
  <c r="BT46" i="1"/>
  <c r="BR48" i="1"/>
  <c r="BN52" i="1"/>
  <c r="BP54" i="1"/>
  <c r="BT54" i="1"/>
  <c r="BP58" i="1"/>
  <c r="BT58" i="1"/>
  <c r="BR60" i="1"/>
  <c r="BS289" i="1"/>
  <c r="BO289" i="1"/>
  <c r="BP289" i="1"/>
  <c r="BR289" i="1"/>
  <c r="BM289" i="1"/>
  <c r="BN289" i="1"/>
  <c r="BT289" i="1"/>
  <c r="BQ289" i="1"/>
  <c r="BP12" i="1"/>
  <c r="BT12" i="1"/>
  <c r="BP16" i="1"/>
  <c r="BT16" i="1"/>
  <c r="BP20" i="1"/>
  <c r="BT20" i="1"/>
  <c r="BP24" i="1"/>
  <c r="BT24" i="1"/>
  <c r="BT28" i="1"/>
  <c r="BP32" i="1"/>
  <c r="BP48" i="1"/>
  <c r="BT48" i="1"/>
  <c r="BP56" i="1"/>
  <c r="BT56" i="1"/>
  <c r="BT60" i="1"/>
  <c r="BR8" i="1"/>
  <c r="BR12" i="1"/>
  <c r="BN16" i="1"/>
  <c r="BR16" i="1"/>
  <c r="BN20" i="1"/>
  <c r="BN24" i="1"/>
  <c r="BP26" i="1"/>
  <c r="BT26" i="1"/>
  <c r="BR28" i="1"/>
  <c r="BN32" i="1"/>
  <c r="BN36" i="1"/>
  <c r="BR36" i="1"/>
  <c r="BP38" i="1"/>
  <c r="BT38" i="1"/>
  <c r="BR40" i="1"/>
  <c r="BN44" i="1"/>
  <c r="BR44" i="1"/>
  <c r="BN48" i="1"/>
  <c r="BP50" i="1"/>
  <c r="BT50" i="1"/>
  <c r="BR52" i="1"/>
  <c r="BN56" i="1"/>
  <c r="BR56" i="1"/>
  <c r="BN60" i="1"/>
  <c r="BP61" i="1"/>
  <c r="BT61" i="1"/>
  <c r="BM6" i="1"/>
  <c r="BO8" i="1"/>
  <c r="BP9" i="1"/>
  <c r="BM10" i="1"/>
  <c r="BO12" i="1"/>
  <c r="BP13" i="1"/>
  <c r="BM14" i="1"/>
  <c r="BO16" i="1"/>
  <c r="BP17" i="1"/>
  <c r="BM18" i="1"/>
  <c r="BO20" i="1"/>
  <c r="BP21" i="1"/>
  <c r="BM22" i="1"/>
  <c r="BO24" i="1"/>
  <c r="BP25" i="1"/>
  <c r="BM26" i="1"/>
  <c r="BO28" i="1"/>
  <c r="BP29" i="1"/>
  <c r="BM30" i="1"/>
  <c r="BO32" i="1"/>
  <c r="BP33" i="1"/>
  <c r="BM34" i="1"/>
  <c r="BO36" i="1"/>
  <c r="BP37" i="1"/>
  <c r="BM38" i="1"/>
  <c r="BO40" i="1"/>
  <c r="BP41" i="1"/>
  <c r="BM42" i="1"/>
  <c r="BO44" i="1"/>
  <c r="BP45" i="1"/>
  <c r="BM46" i="1"/>
  <c r="BO48" i="1"/>
  <c r="BP49" i="1"/>
  <c r="BM50" i="1"/>
  <c r="BO52" i="1"/>
  <c r="BP53" i="1"/>
  <c r="BM54" i="1"/>
  <c r="BO56" i="1"/>
  <c r="BP57" i="1"/>
  <c r="BM58" i="1"/>
  <c r="BO60" i="1"/>
  <c r="BM61" i="1"/>
  <c r="BS309" i="1"/>
  <c r="BO309" i="1"/>
  <c r="BR309" i="1"/>
  <c r="BM309" i="1"/>
  <c r="BP309" i="1"/>
  <c r="BN309" i="1"/>
  <c r="BT309" i="1"/>
  <c r="BQ309" i="1"/>
  <c r="BQ280" i="1"/>
  <c r="BM280" i="1"/>
  <c r="BS280" i="1"/>
  <c r="BN280" i="1"/>
  <c r="BP280" i="1"/>
  <c r="BT280" i="1"/>
  <c r="BO280" i="1"/>
  <c r="BQ347" i="1"/>
  <c r="BM347" i="1"/>
  <c r="BS347" i="1"/>
  <c r="BO347" i="1"/>
  <c r="BR347" i="1"/>
  <c r="BP347" i="1"/>
  <c r="BN347" i="1"/>
  <c r="BT347" i="1"/>
  <c r="BQ355" i="1"/>
  <c r="BM355" i="1"/>
  <c r="BS355" i="1"/>
  <c r="BO355" i="1"/>
  <c r="BR355" i="1"/>
  <c r="BP355" i="1"/>
  <c r="BN355" i="1"/>
  <c r="BT355" i="1"/>
  <c r="BS277" i="1"/>
  <c r="BO277" i="1"/>
  <c r="BR277" i="1"/>
  <c r="BM277" i="1"/>
  <c r="BP277" i="1"/>
  <c r="BN277" i="1"/>
  <c r="BT277" i="1"/>
  <c r="BR280" i="1"/>
  <c r="BQ296" i="1"/>
  <c r="BM296" i="1"/>
  <c r="BS296" i="1"/>
  <c r="BN296" i="1"/>
  <c r="BP296" i="1"/>
  <c r="BO296" i="1"/>
  <c r="BT296" i="1"/>
  <c r="BQ300" i="1"/>
  <c r="BM300" i="1"/>
  <c r="BP300" i="1"/>
  <c r="BS300" i="1"/>
  <c r="BN300" i="1"/>
  <c r="BT300" i="1"/>
  <c r="BO300" i="1"/>
  <c r="BS305" i="1"/>
  <c r="BO305" i="1"/>
  <c r="BP305" i="1"/>
  <c r="BR305" i="1"/>
  <c r="BM305" i="1"/>
  <c r="BT305" i="1"/>
  <c r="BN305" i="1"/>
  <c r="BS311" i="1"/>
  <c r="BO311" i="1"/>
  <c r="BQ311" i="1"/>
  <c r="BM311" i="1"/>
  <c r="BN311" i="1"/>
  <c r="BR311" i="1"/>
  <c r="BP311" i="1"/>
  <c r="BP157" i="1"/>
  <c r="BN158" i="1"/>
  <c r="BR158" i="1"/>
  <c r="BP159" i="1"/>
  <c r="BN160" i="1"/>
  <c r="BR160" i="1"/>
  <c r="BP161" i="1"/>
  <c r="BN162" i="1"/>
  <c r="BR162" i="1"/>
  <c r="BP163" i="1"/>
  <c r="BN164" i="1"/>
  <c r="BR164" i="1"/>
  <c r="BP165" i="1"/>
  <c r="BN166" i="1"/>
  <c r="BR166" i="1"/>
  <c r="BP167" i="1"/>
  <c r="BN168" i="1"/>
  <c r="BR168" i="1"/>
  <c r="BP169" i="1"/>
  <c r="BN170" i="1"/>
  <c r="BR170" i="1"/>
  <c r="BP171" i="1"/>
  <c r="BN172" i="1"/>
  <c r="BR172" i="1"/>
  <c r="BP173" i="1"/>
  <c r="BN174" i="1"/>
  <c r="BR174" i="1"/>
  <c r="BP175" i="1"/>
  <c r="BN176" i="1"/>
  <c r="BR176" i="1"/>
  <c r="BP177" i="1"/>
  <c r="BN178" i="1"/>
  <c r="BR178" i="1"/>
  <c r="BP179" i="1"/>
  <c r="BN180" i="1"/>
  <c r="BR180" i="1"/>
  <c r="BP181" i="1"/>
  <c r="BN182" i="1"/>
  <c r="BR182" i="1"/>
  <c r="BP183" i="1"/>
  <c r="BN184" i="1"/>
  <c r="BR184" i="1"/>
  <c r="BP185" i="1"/>
  <c r="BN186" i="1"/>
  <c r="BR186" i="1"/>
  <c r="BP187" i="1"/>
  <c r="BN188" i="1"/>
  <c r="BR188" i="1"/>
  <c r="BP189" i="1"/>
  <c r="BN190" i="1"/>
  <c r="BR190" i="1"/>
  <c r="BP191" i="1"/>
  <c r="BN192" i="1"/>
  <c r="BR192" i="1"/>
  <c r="BP193" i="1"/>
  <c r="BN194" i="1"/>
  <c r="BR194" i="1"/>
  <c r="BP195" i="1"/>
  <c r="BN196" i="1"/>
  <c r="BR196" i="1"/>
  <c r="BP197" i="1"/>
  <c r="BN198" i="1"/>
  <c r="BR198" i="1"/>
  <c r="BP199" i="1"/>
  <c r="BN200" i="1"/>
  <c r="BR200" i="1"/>
  <c r="BP201" i="1"/>
  <c r="BN202" i="1"/>
  <c r="BR202" i="1"/>
  <c r="BP203" i="1"/>
  <c r="BN204" i="1"/>
  <c r="BR204" i="1"/>
  <c r="BP205" i="1"/>
  <c r="BN206" i="1"/>
  <c r="BR206" i="1"/>
  <c r="BP207" i="1"/>
  <c r="BN208" i="1"/>
  <c r="BR208" i="1"/>
  <c r="BP209" i="1"/>
  <c r="BN210" i="1"/>
  <c r="BR210" i="1"/>
  <c r="BP211" i="1"/>
  <c r="BN212" i="1"/>
  <c r="BR212" i="1"/>
  <c r="BP213" i="1"/>
  <c r="BN214" i="1"/>
  <c r="BR214" i="1"/>
  <c r="BP215" i="1"/>
  <c r="BN216" i="1"/>
  <c r="BR216" i="1"/>
  <c r="BP217" i="1"/>
  <c r="BN218" i="1"/>
  <c r="BR218" i="1"/>
  <c r="BP219" i="1"/>
  <c r="BN220" i="1"/>
  <c r="BR220" i="1"/>
  <c r="BP221" i="1"/>
  <c r="BN222" i="1"/>
  <c r="BR222" i="1"/>
  <c r="BR223" i="1"/>
  <c r="BN223" i="1"/>
  <c r="BQ223" i="1"/>
  <c r="BR225" i="1"/>
  <c r="BN225" i="1"/>
  <c r="BQ225" i="1"/>
  <c r="BR227" i="1"/>
  <c r="BN227" i="1"/>
  <c r="BQ227" i="1"/>
  <c r="BR229" i="1"/>
  <c r="BN229" i="1"/>
  <c r="BQ229" i="1"/>
  <c r="BR231" i="1"/>
  <c r="BN231" i="1"/>
  <c r="BQ231" i="1"/>
  <c r="BR233" i="1"/>
  <c r="BN233" i="1"/>
  <c r="BQ233" i="1"/>
  <c r="BR235" i="1"/>
  <c r="BN235" i="1"/>
  <c r="BQ235" i="1"/>
  <c r="BR237" i="1"/>
  <c r="BN237" i="1"/>
  <c r="BQ237" i="1"/>
  <c r="BR239" i="1"/>
  <c r="BN239" i="1"/>
  <c r="BQ239" i="1"/>
  <c r="BR241" i="1"/>
  <c r="BN241" i="1"/>
  <c r="BQ241" i="1"/>
  <c r="BR243" i="1"/>
  <c r="BN243" i="1"/>
  <c r="BQ243" i="1"/>
  <c r="BR245" i="1"/>
  <c r="BN245" i="1"/>
  <c r="BQ245" i="1"/>
  <c r="BR247" i="1"/>
  <c r="BN247" i="1"/>
  <c r="BQ247" i="1"/>
  <c r="BR249" i="1"/>
  <c r="BN249" i="1"/>
  <c r="BQ249" i="1"/>
  <c r="BT251" i="1"/>
  <c r="BP251" i="1"/>
  <c r="BR251" i="1"/>
  <c r="BN251" i="1"/>
  <c r="BS251" i="1"/>
  <c r="BS285" i="1"/>
  <c r="BO285" i="1"/>
  <c r="BR285" i="1"/>
  <c r="BM285" i="1"/>
  <c r="BP285" i="1"/>
  <c r="BQ292" i="1"/>
  <c r="BM292" i="1"/>
  <c r="BP292" i="1"/>
  <c r="BS292" i="1"/>
  <c r="BN292" i="1"/>
  <c r="BS297" i="1"/>
  <c r="BO297" i="1"/>
  <c r="BP297" i="1"/>
  <c r="BR297" i="1"/>
  <c r="BM297" i="1"/>
  <c r="BQ304" i="1"/>
  <c r="BM304" i="1"/>
  <c r="BS304" i="1"/>
  <c r="BN304" i="1"/>
  <c r="BP304" i="1"/>
  <c r="BP158" i="1"/>
  <c r="BP160" i="1"/>
  <c r="BP162" i="1"/>
  <c r="BP164" i="1"/>
  <c r="BP166" i="1"/>
  <c r="BP168" i="1"/>
  <c r="BP170" i="1"/>
  <c r="BP172" i="1"/>
  <c r="BP174" i="1"/>
  <c r="BP176" i="1"/>
  <c r="BP178" i="1"/>
  <c r="BP180" i="1"/>
  <c r="BP182" i="1"/>
  <c r="BP184" i="1"/>
  <c r="BP186" i="1"/>
  <c r="BP188" i="1"/>
  <c r="BP190" i="1"/>
  <c r="BP192" i="1"/>
  <c r="BP194" i="1"/>
  <c r="BP196" i="1"/>
  <c r="BP198" i="1"/>
  <c r="BP200" i="1"/>
  <c r="BP202" i="1"/>
  <c r="BP204" i="1"/>
  <c r="BP206" i="1"/>
  <c r="BP208" i="1"/>
  <c r="BP210" i="1"/>
  <c r="BP212" i="1"/>
  <c r="BP214" i="1"/>
  <c r="BP216" i="1"/>
  <c r="BP218" i="1"/>
  <c r="BP220" i="1"/>
  <c r="BP222" i="1"/>
  <c r="BS281" i="1"/>
  <c r="BO281" i="1"/>
  <c r="BP281" i="1"/>
  <c r="BR281" i="1"/>
  <c r="BM281" i="1"/>
  <c r="BQ288" i="1"/>
  <c r="BM288" i="1"/>
  <c r="BS288" i="1"/>
  <c r="BN288" i="1"/>
  <c r="BP288" i="1"/>
  <c r="BS301" i="1"/>
  <c r="BO301" i="1"/>
  <c r="BR301" i="1"/>
  <c r="BM301" i="1"/>
  <c r="BP301" i="1"/>
  <c r="BQ308" i="1"/>
  <c r="BM308" i="1"/>
  <c r="BP308" i="1"/>
  <c r="BS308" i="1"/>
  <c r="BN308" i="1"/>
  <c r="BR324" i="1"/>
  <c r="BQ324" i="1"/>
  <c r="BM324" i="1"/>
  <c r="BT324" i="1"/>
  <c r="BN324" i="1"/>
  <c r="BP324" i="1"/>
  <c r="BO324" i="1"/>
  <c r="BS333" i="1"/>
  <c r="BO333" i="1"/>
  <c r="BR333" i="1"/>
  <c r="BN333" i="1"/>
  <c r="BM333" i="1"/>
  <c r="BQ333" i="1"/>
  <c r="BP333" i="1"/>
  <c r="BP224" i="1"/>
  <c r="BP226" i="1"/>
  <c r="BP228" i="1"/>
  <c r="BP230" i="1"/>
  <c r="BP232" i="1"/>
  <c r="BP234" i="1"/>
  <c r="BP236" i="1"/>
  <c r="BP238" i="1"/>
  <c r="BP240" i="1"/>
  <c r="BP242" i="1"/>
  <c r="BP244" i="1"/>
  <c r="BP246" i="1"/>
  <c r="BP248" i="1"/>
  <c r="BP250" i="1"/>
  <c r="BP252" i="1"/>
  <c r="BN253" i="1"/>
  <c r="BR253" i="1"/>
  <c r="BP254" i="1"/>
  <c r="BN255" i="1"/>
  <c r="BR255" i="1"/>
  <c r="BP256" i="1"/>
  <c r="BN257" i="1"/>
  <c r="BR257" i="1"/>
  <c r="BP258" i="1"/>
  <c r="BN259" i="1"/>
  <c r="BR259" i="1"/>
  <c r="BP260" i="1"/>
  <c r="BN261" i="1"/>
  <c r="BR261" i="1"/>
  <c r="BP262" i="1"/>
  <c r="BN263" i="1"/>
  <c r="BR263" i="1"/>
  <c r="BP264" i="1"/>
  <c r="BN265" i="1"/>
  <c r="BR265" i="1"/>
  <c r="BP266" i="1"/>
  <c r="BN267" i="1"/>
  <c r="BR267" i="1"/>
  <c r="BP268" i="1"/>
  <c r="BN269" i="1"/>
  <c r="BR269" i="1"/>
  <c r="BP270" i="1"/>
  <c r="BN271" i="1"/>
  <c r="BR271" i="1"/>
  <c r="BP272" i="1"/>
  <c r="BN273" i="1"/>
  <c r="BR273" i="1"/>
  <c r="BP274" i="1"/>
  <c r="BN275" i="1"/>
  <c r="BR275" i="1"/>
  <c r="BP276" i="1"/>
  <c r="BQ278" i="1"/>
  <c r="BM278" i="1"/>
  <c r="BR278" i="1"/>
  <c r="BN279" i="1"/>
  <c r="BO282" i="1"/>
  <c r="BS283" i="1"/>
  <c r="BO283" i="1"/>
  <c r="BQ283" i="1"/>
  <c r="BQ286" i="1"/>
  <c r="BM286" i="1"/>
  <c r="BR286" i="1"/>
  <c r="BN287" i="1"/>
  <c r="BO290" i="1"/>
  <c r="BS291" i="1"/>
  <c r="BO291" i="1"/>
  <c r="BQ291" i="1"/>
  <c r="BQ294" i="1"/>
  <c r="BM294" i="1"/>
  <c r="BR294" i="1"/>
  <c r="BN295" i="1"/>
  <c r="BO298" i="1"/>
  <c r="BS299" i="1"/>
  <c r="BO299" i="1"/>
  <c r="BQ299" i="1"/>
  <c r="BQ302" i="1"/>
  <c r="BM302" i="1"/>
  <c r="BR302" i="1"/>
  <c r="BN303" i="1"/>
  <c r="BO306" i="1"/>
  <c r="BS307" i="1"/>
  <c r="BO307" i="1"/>
  <c r="BQ307" i="1"/>
  <c r="BS325" i="1"/>
  <c r="BO325" i="1"/>
  <c r="BR325" i="1"/>
  <c r="BN325" i="1"/>
  <c r="BQ325" i="1"/>
  <c r="BM325" i="1"/>
  <c r="BR328" i="1"/>
  <c r="BN328" i="1"/>
  <c r="BQ328" i="1"/>
  <c r="BM328" i="1"/>
  <c r="BS328" i="1"/>
  <c r="BO328" i="1"/>
  <c r="BR336" i="1"/>
  <c r="BN336" i="1"/>
  <c r="BQ336" i="1"/>
  <c r="BM336" i="1"/>
  <c r="BO336" i="1"/>
  <c r="BS336" i="1"/>
  <c r="BR342" i="1"/>
  <c r="BN342" i="1"/>
  <c r="BT342" i="1"/>
  <c r="BO342" i="1"/>
  <c r="BS342" i="1"/>
  <c r="BM342" i="1"/>
  <c r="BP342" i="1"/>
  <c r="BS345" i="1"/>
  <c r="BO345" i="1"/>
  <c r="BQ345" i="1"/>
  <c r="BM345" i="1"/>
  <c r="BP345" i="1"/>
  <c r="BN345" i="1"/>
  <c r="BR345" i="1"/>
  <c r="BS369" i="1"/>
  <c r="BO369" i="1"/>
  <c r="BQ369" i="1"/>
  <c r="BM369" i="1"/>
  <c r="BP369" i="1"/>
  <c r="BN369" i="1"/>
  <c r="BR369" i="1"/>
  <c r="BP253" i="1"/>
  <c r="BP255" i="1"/>
  <c r="BP257" i="1"/>
  <c r="BP259" i="1"/>
  <c r="BP261" i="1"/>
  <c r="BP263" i="1"/>
  <c r="BP265" i="1"/>
  <c r="BP267" i="1"/>
  <c r="BP269" i="1"/>
  <c r="BP271" i="1"/>
  <c r="BP273" i="1"/>
  <c r="BP275" i="1"/>
  <c r="BS279" i="1"/>
  <c r="BO279" i="1"/>
  <c r="BQ279" i="1"/>
  <c r="BQ282" i="1"/>
  <c r="BM282" i="1"/>
  <c r="BR282" i="1"/>
  <c r="BS287" i="1"/>
  <c r="BO287" i="1"/>
  <c r="BQ287" i="1"/>
  <c r="BQ290" i="1"/>
  <c r="BM290" i="1"/>
  <c r="BR290" i="1"/>
  <c r="BS295" i="1"/>
  <c r="BO295" i="1"/>
  <c r="BQ295" i="1"/>
  <c r="BQ298" i="1"/>
  <c r="BM298" i="1"/>
  <c r="BR298" i="1"/>
  <c r="BS303" i="1"/>
  <c r="BO303" i="1"/>
  <c r="BQ303" i="1"/>
  <c r="BQ306" i="1"/>
  <c r="BM306" i="1"/>
  <c r="BR306" i="1"/>
  <c r="BS343" i="1"/>
  <c r="BO343" i="1"/>
  <c r="BT343" i="1"/>
  <c r="BN343" i="1"/>
  <c r="BR343" i="1"/>
  <c r="BM343" i="1"/>
  <c r="BP343" i="1"/>
  <c r="BS353" i="1"/>
  <c r="BO353" i="1"/>
  <c r="BQ353" i="1"/>
  <c r="BM353" i="1"/>
  <c r="BP353" i="1"/>
  <c r="BN353" i="1"/>
  <c r="BR353" i="1"/>
  <c r="BS361" i="1"/>
  <c r="BO361" i="1"/>
  <c r="BQ361" i="1"/>
  <c r="BM361" i="1"/>
  <c r="BP361" i="1"/>
  <c r="BN361" i="1"/>
  <c r="BR361" i="1"/>
  <c r="BP310" i="1"/>
  <c r="BN312" i="1"/>
  <c r="BR312" i="1"/>
  <c r="BP313" i="1"/>
  <c r="BN314" i="1"/>
  <c r="BR314" i="1"/>
  <c r="BP315" i="1"/>
  <c r="BN316" i="1"/>
  <c r="BR316" i="1"/>
  <c r="BP317" i="1"/>
  <c r="BN318" i="1"/>
  <c r="BR318" i="1"/>
  <c r="BR319" i="1"/>
  <c r="BN319" i="1"/>
  <c r="BQ319" i="1"/>
  <c r="BR321" i="1"/>
  <c r="BN321" i="1"/>
  <c r="BQ321" i="1"/>
  <c r="BS322" i="1"/>
  <c r="BO322" i="1"/>
  <c r="BQ322" i="1"/>
  <c r="BS329" i="1"/>
  <c r="BO329" i="1"/>
  <c r="BR329" i="1"/>
  <c r="BN329" i="1"/>
  <c r="BT329" i="1"/>
  <c r="BR332" i="1"/>
  <c r="BN332" i="1"/>
  <c r="BQ332" i="1"/>
  <c r="BM332" i="1"/>
  <c r="BT332" i="1"/>
  <c r="BS349" i="1"/>
  <c r="BO349" i="1"/>
  <c r="BQ349" i="1"/>
  <c r="BM349" i="1"/>
  <c r="BP349" i="1"/>
  <c r="BN349" i="1"/>
  <c r="BQ351" i="1"/>
  <c r="BM351" i="1"/>
  <c r="BS351" i="1"/>
  <c r="BO351" i="1"/>
  <c r="BR351" i="1"/>
  <c r="BP351" i="1"/>
  <c r="BS365" i="1"/>
  <c r="BO365" i="1"/>
  <c r="BQ365" i="1"/>
  <c r="BM365" i="1"/>
  <c r="BP365" i="1"/>
  <c r="BN365" i="1"/>
  <c r="BQ367" i="1"/>
  <c r="BM367" i="1"/>
  <c r="BS367" i="1"/>
  <c r="BO367" i="1"/>
  <c r="BR367" i="1"/>
  <c r="BP367" i="1"/>
  <c r="BP312" i="1"/>
  <c r="BP314" i="1"/>
  <c r="BP316" i="1"/>
  <c r="BP318" i="1"/>
  <c r="BS337" i="1"/>
  <c r="BO337" i="1"/>
  <c r="BR337" i="1"/>
  <c r="BN337" i="1"/>
  <c r="BT337" i="1"/>
  <c r="BT340" i="1"/>
  <c r="BP340" i="1"/>
  <c r="BS340" i="1"/>
  <c r="BN340" i="1"/>
  <c r="BR340" i="1"/>
  <c r="BM340" i="1"/>
  <c r="BQ341" i="1"/>
  <c r="BM341" i="1"/>
  <c r="BT341" i="1"/>
  <c r="BO341" i="1"/>
  <c r="BS341" i="1"/>
  <c r="BN341" i="1"/>
  <c r="BS357" i="1"/>
  <c r="BO357" i="1"/>
  <c r="BQ357" i="1"/>
  <c r="BM357" i="1"/>
  <c r="BP357" i="1"/>
  <c r="BN357" i="1"/>
  <c r="BQ359" i="1"/>
  <c r="BM359" i="1"/>
  <c r="BS359" i="1"/>
  <c r="BO359" i="1"/>
  <c r="BR359" i="1"/>
  <c r="BP359" i="1"/>
  <c r="BP320" i="1"/>
  <c r="BP323" i="1"/>
  <c r="BO326" i="1"/>
  <c r="BS326" i="1"/>
  <c r="BP327" i="1"/>
  <c r="BO330" i="1"/>
  <c r="BS330" i="1"/>
  <c r="BP331" i="1"/>
  <c r="BO334" i="1"/>
  <c r="BS334" i="1"/>
  <c r="BP335" i="1"/>
  <c r="BO338" i="1"/>
  <c r="BS338" i="1"/>
  <c r="BP339" i="1"/>
  <c r="BP326" i="1"/>
  <c r="BP330" i="1"/>
  <c r="BP334" i="1"/>
  <c r="BP338" i="1"/>
  <c r="BP344" i="1"/>
  <c r="BN346" i="1"/>
  <c r="BR346" i="1"/>
  <c r="BP348" i="1"/>
  <c r="BN350" i="1"/>
  <c r="BR350" i="1"/>
  <c r="BP352" i="1"/>
  <c r="BN354" i="1"/>
  <c r="BR354" i="1"/>
  <c r="BP356" i="1"/>
  <c r="BN358" i="1"/>
  <c r="BR358" i="1"/>
  <c r="BP360" i="1"/>
  <c r="BN362" i="1"/>
  <c r="BR362" i="1"/>
  <c r="BP364" i="1"/>
  <c r="BN366" i="1"/>
  <c r="BR366" i="1"/>
  <c r="BP368" i="1"/>
  <c r="BN370" i="1"/>
  <c r="BR370" i="1"/>
  <c r="BP346" i="1"/>
  <c r="BP350" i="1"/>
  <c r="BP354" i="1"/>
  <c r="BP358" i="1"/>
  <c r="BP362" i="1"/>
  <c r="BP366" i="1"/>
  <c r="BP370" i="1"/>
  <c r="F31" i="31"/>
  <c r="E31" i="31"/>
  <c r="F30" i="31"/>
  <c r="E30" i="31"/>
  <c r="F29" i="31"/>
  <c r="E29" i="31"/>
  <c r="F28" i="31"/>
  <c r="E28" i="31"/>
  <c r="F27" i="31"/>
  <c r="E27" i="31"/>
  <c r="F26" i="31"/>
  <c r="E26" i="31"/>
  <c r="F25" i="31"/>
  <c r="E25" i="31"/>
  <c r="F24" i="31"/>
  <c r="E24" i="31"/>
  <c r="F23" i="31"/>
  <c r="E23" i="31"/>
  <c r="F22" i="31"/>
  <c r="E22" i="31"/>
  <c r="F21" i="31"/>
  <c r="E21" i="31"/>
  <c r="F20" i="31"/>
  <c r="E20" i="31"/>
  <c r="F19" i="31"/>
  <c r="E19" i="31"/>
  <c r="F18" i="31"/>
  <c r="E18" i="31"/>
  <c r="F17" i="31"/>
  <c r="E17" i="31"/>
  <c r="F16" i="31"/>
  <c r="E16" i="31"/>
  <c r="F15" i="31"/>
  <c r="E15" i="31"/>
  <c r="F14" i="31"/>
  <c r="E14" i="31"/>
  <c r="F13" i="31"/>
  <c r="E13" i="31"/>
  <c r="F12" i="31"/>
  <c r="E12" i="31"/>
  <c r="F11" i="31"/>
  <c r="E11" i="31"/>
  <c r="F10" i="31"/>
  <c r="E10" i="31"/>
  <c r="F9" i="31"/>
  <c r="E9" i="31"/>
  <c r="F8" i="31"/>
  <c r="E8" i="31"/>
  <c r="F7" i="31"/>
  <c r="E7" i="31"/>
  <c r="O18" i="31"/>
  <c r="N18" i="31"/>
  <c r="M18" i="31"/>
  <c r="O17" i="31"/>
  <c r="N17" i="31"/>
  <c r="M17" i="31"/>
  <c r="O16" i="31"/>
  <c r="N16" i="31"/>
  <c r="M16" i="31"/>
  <c r="O15" i="31"/>
  <c r="N15" i="31"/>
  <c r="M15" i="31"/>
  <c r="O14" i="31"/>
  <c r="N14" i="31"/>
  <c r="M14" i="31"/>
  <c r="O13" i="31"/>
  <c r="N13" i="31"/>
  <c r="M13" i="31"/>
  <c r="O12" i="31"/>
  <c r="N12" i="31"/>
  <c r="M12" i="31"/>
  <c r="O11" i="31"/>
  <c r="N11" i="31"/>
  <c r="M11" i="31"/>
  <c r="O10" i="31"/>
  <c r="N10" i="31"/>
  <c r="M10" i="31"/>
  <c r="O9" i="31"/>
  <c r="N9" i="31"/>
  <c r="M9" i="31"/>
  <c r="O8" i="31"/>
  <c r="N8" i="31"/>
  <c r="M8" i="31"/>
  <c r="O7" i="31"/>
  <c r="Q7" i="31" s="1"/>
  <c r="N7" i="31"/>
  <c r="P7" i="31" s="1"/>
  <c r="M7" i="31"/>
  <c r="I34" i="29" l="1"/>
  <c r="I30" i="29"/>
  <c r="I26" i="29"/>
  <c r="I60" i="29"/>
  <c r="I56" i="29"/>
  <c r="I52" i="29"/>
  <c r="I17" i="29"/>
  <c r="I50" i="29"/>
  <c r="I46" i="29"/>
  <c r="I42" i="29"/>
  <c r="I14" i="29"/>
  <c r="A9" i="1"/>
  <c r="A8" i="29"/>
  <c r="BJ361" i="1"/>
  <c r="DA361" i="1" s="1"/>
  <c r="BJ352" i="1"/>
  <c r="DA352" i="1" s="1"/>
  <c r="BJ345" i="1"/>
  <c r="DA345" i="1" s="1"/>
  <c r="BJ327" i="1"/>
  <c r="DA327" i="1" s="1"/>
  <c r="BJ323" i="1"/>
  <c r="DA323" i="1" s="1"/>
  <c r="BJ309" i="1"/>
  <c r="DA309" i="1" s="1"/>
  <c r="BJ304" i="1"/>
  <c r="DA304" i="1" s="1"/>
  <c r="BJ290" i="1"/>
  <c r="DA290" i="1" s="1"/>
  <c r="BJ284" i="1"/>
  <c r="DA284" i="1" s="1"/>
  <c r="BJ369" i="1"/>
  <c r="DA369" i="1" s="1"/>
  <c r="BJ341" i="1"/>
  <c r="DA341" i="1" s="1"/>
  <c r="BJ306" i="1"/>
  <c r="DA306" i="1" s="1"/>
  <c r="BJ299" i="1"/>
  <c r="DA299" i="1" s="1"/>
  <c r="BJ293" i="1"/>
  <c r="DA293" i="1" s="1"/>
  <c r="BJ291" i="1"/>
  <c r="DA291" i="1" s="1"/>
  <c r="BJ279" i="1"/>
  <c r="DA279" i="1" s="1"/>
  <c r="BJ277" i="1"/>
  <c r="DA277" i="1" s="1"/>
  <c r="BJ270" i="1"/>
  <c r="DA270" i="1" s="1"/>
  <c r="BJ365" i="1"/>
  <c r="DA365" i="1" s="1"/>
  <c r="BJ363" i="1"/>
  <c r="DA363" i="1" s="1"/>
  <c r="BJ349" i="1"/>
  <c r="DA349" i="1" s="1"/>
  <c r="BJ347" i="1"/>
  <c r="DA347" i="1" s="1"/>
  <c r="BJ332" i="1"/>
  <c r="DA332" i="1" s="1"/>
  <c r="BJ322" i="1"/>
  <c r="DA322" i="1" s="1"/>
  <c r="BJ296" i="1"/>
  <c r="DA296" i="1" s="1"/>
  <c r="BJ280" i="1"/>
  <c r="DA280" i="1" s="1"/>
  <c r="BJ260" i="1"/>
  <c r="DA260" i="1" s="1"/>
  <c r="BJ258" i="1"/>
  <c r="DA258" i="1" s="1"/>
  <c r="BJ257" i="1"/>
  <c r="DA257" i="1" s="1"/>
  <c r="BJ252" i="1"/>
  <c r="DA252" i="1" s="1"/>
  <c r="BJ357" i="1"/>
  <c r="DA357" i="1" s="1"/>
  <c r="BJ339" i="1"/>
  <c r="DA339" i="1" s="1"/>
  <c r="BJ356" i="1"/>
  <c r="DA356" i="1" s="1"/>
  <c r="BJ333" i="1"/>
  <c r="DA333" i="1" s="1"/>
  <c r="BJ268" i="1"/>
  <c r="DA268" i="1" s="1"/>
  <c r="BJ228" i="1"/>
  <c r="DA228" i="1" s="1"/>
  <c r="BJ217" i="1"/>
  <c r="DA217" i="1" s="1"/>
  <c r="BJ209" i="1"/>
  <c r="DA209" i="1" s="1"/>
  <c r="BJ201" i="1"/>
  <c r="DA201" i="1" s="1"/>
  <c r="BJ193" i="1"/>
  <c r="DA193" i="1" s="1"/>
  <c r="BJ185" i="1"/>
  <c r="DA185" i="1" s="1"/>
  <c r="BJ177" i="1"/>
  <c r="DA177" i="1" s="1"/>
  <c r="BJ169" i="1"/>
  <c r="DA169" i="1" s="1"/>
  <c r="BJ161" i="1"/>
  <c r="DA161" i="1" s="1"/>
  <c r="BJ57" i="1"/>
  <c r="DA57" i="1" s="1"/>
  <c r="BJ52" i="1"/>
  <c r="DA52" i="1" s="1"/>
  <c r="BJ41" i="1"/>
  <c r="DA41" i="1" s="1"/>
  <c r="BJ36" i="1"/>
  <c r="DA36" i="1" s="1"/>
  <c r="BJ20" i="1"/>
  <c r="DA20" i="1" s="1"/>
  <c r="BJ265" i="1"/>
  <c r="DA265" i="1" s="1"/>
  <c r="BJ244" i="1"/>
  <c r="DA244" i="1" s="1"/>
  <c r="BJ253" i="1"/>
  <c r="DA253" i="1" s="1"/>
  <c r="BJ239" i="1"/>
  <c r="DA239" i="1" s="1"/>
  <c r="BJ225" i="1"/>
  <c r="DA225" i="1" s="1"/>
  <c r="BJ214" i="1"/>
  <c r="DA214" i="1" s="1"/>
  <c r="BJ198" i="1"/>
  <c r="DA198" i="1" s="1"/>
  <c r="BJ182" i="1"/>
  <c r="DA182" i="1" s="1"/>
  <c r="BJ166" i="1"/>
  <c r="DA166" i="1" s="1"/>
  <c r="BJ56" i="1"/>
  <c r="DA56" i="1" s="1"/>
  <c r="BJ46" i="1"/>
  <c r="DA46" i="1" s="1"/>
  <c r="BJ24" i="1"/>
  <c r="DA24" i="1" s="1"/>
  <c r="BJ8" i="1"/>
  <c r="DA8" i="1" s="1"/>
  <c r="BJ346" i="1"/>
  <c r="DA346" i="1" s="1"/>
  <c r="BJ159" i="1"/>
  <c r="DA159" i="1" s="1"/>
  <c r="BJ254" i="1"/>
  <c r="DA254" i="1" s="1"/>
  <c r="BJ223" i="1"/>
  <c r="DA223" i="1" s="1"/>
  <c r="BJ16" i="1"/>
  <c r="DA16" i="1" s="1"/>
  <c r="BJ49" i="1"/>
  <c r="DA49" i="1" s="1"/>
  <c r="BJ32" i="1"/>
  <c r="DA32" i="1" s="1"/>
  <c r="BJ367" i="1"/>
  <c r="DA367" i="1" s="1"/>
  <c r="BJ61" i="1"/>
  <c r="DA61" i="1" s="1"/>
  <c r="BJ48" i="1"/>
  <c r="DA48" i="1" s="1"/>
  <c r="BJ262" i="1"/>
  <c r="DA262" i="1" s="1"/>
  <c r="BJ167" i="1"/>
  <c r="DA167" i="1" s="1"/>
  <c r="BJ54" i="1"/>
  <c r="DA54" i="1" s="1"/>
  <c r="BJ43" i="1"/>
  <c r="DA43" i="1" s="1"/>
  <c r="BJ33" i="1"/>
  <c r="DA33" i="1" s="1"/>
  <c r="BJ31" i="1"/>
  <c r="DA31" i="1" s="1"/>
  <c r="BJ29" i="1"/>
  <c r="DA29" i="1" s="1"/>
  <c r="BJ7" i="1"/>
  <c r="DA7" i="1" s="1"/>
  <c r="BJ207" i="1"/>
  <c r="DA207" i="1" s="1"/>
  <c r="BJ59" i="1"/>
  <c r="DA59" i="1" s="1"/>
  <c r="BJ44" i="1"/>
  <c r="DA44" i="1" s="1"/>
  <c r="BJ287" i="1"/>
  <c r="DA287" i="1" s="1"/>
  <c r="BJ183" i="1"/>
  <c r="DA183" i="1" s="1"/>
  <c r="BJ34" i="1"/>
  <c r="DA34" i="1" s="1"/>
  <c r="BJ370" i="1"/>
  <c r="DA370" i="1" s="1"/>
  <c r="BJ350" i="1"/>
  <c r="DA350" i="1" s="1"/>
  <c r="BJ343" i="1"/>
  <c r="DA343" i="1" s="1"/>
  <c r="BJ338" i="1"/>
  <c r="DA338" i="1" s="1"/>
  <c r="BJ320" i="1"/>
  <c r="DA320" i="1" s="1"/>
  <c r="BJ267" i="1"/>
  <c r="DA267" i="1" s="1"/>
  <c r="BJ230" i="1"/>
  <c r="DA230" i="1" s="1"/>
  <c r="BJ184" i="1"/>
  <c r="DA184" i="1" s="1"/>
  <c r="BJ305" i="1"/>
  <c r="DA305" i="1" s="1"/>
  <c r="BJ289" i="1"/>
  <c r="DA289" i="1" s="1"/>
  <c r="BJ234" i="1"/>
  <c r="DA234" i="1" s="1"/>
  <c r="BJ229" i="1"/>
  <c r="DA229" i="1" s="1"/>
  <c r="BJ212" i="1"/>
  <c r="DA212" i="1" s="1"/>
  <c r="BJ180" i="1"/>
  <c r="DA180" i="1" s="1"/>
  <c r="BJ9" i="1"/>
  <c r="DA9" i="1" s="1"/>
  <c r="BJ317" i="1"/>
  <c r="DA317" i="1" s="1"/>
  <c r="BJ245" i="1"/>
  <c r="DA245" i="1" s="1"/>
  <c r="BJ281" i="1"/>
  <c r="DA281" i="1" s="1"/>
  <c r="BJ208" i="1"/>
  <c r="DA208" i="1" s="1"/>
  <c r="BJ237" i="1"/>
  <c r="DA237" i="1" s="1"/>
  <c r="BJ35" i="1"/>
  <c r="DA35" i="1" s="1"/>
  <c r="BJ51" i="1"/>
  <c r="DA51" i="1" s="1"/>
  <c r="BJ25" i="1"/>
  <c r="DA25" i="1" s="1"/>
  <c r="BJ313" i="1"/>
  <c r="DA313" i="1" s="1"/>
  <c r="BJ250" i="1"/>
  <c r="DA250" i="1" s="1"/>
  <c r="BJ242" i="1"/>
  <c r="DA242" i="1" s="1"/>
  <c r="BJ220" i="1"/>
  <c r="DA220" i="1" s="1"/>
  <c r="BJ354" i="1"/>
  <c r="DA354" i="1" s="1"/>
  <c r="BJ226" i="1"/>
  <c r="DA226" i="1" s="1"/>
  <c r="BJ176" i="1"/>
  <c r="DA176" i="1" s="1"/>
  <c r="BJ235" i="1"/>
  <c r="DA235" i="1" s="1"/>
  <c r="BJ348" i="1"/>
  <c r="DA348" i="1" s="1"/>
  <c r="BJ227" i="1"/>
  <c r="DA227" i="1" s="1"/>
  <c r="BJ17" i="1"/>
  <c r="DA17" i="1" s="1"/>
  <c r="BJ37" i="1"/>
  <c r="DA37" i="1" s="1"/>
  <c r="BJ368" i="1"/>
  <c r="DA368" i="1" s="1"/>
  <c r="BJ336" i="1"/>
  <c r="DA336" i="1" s="1"/>
  <c r="BJ334" i="1"/>
  <c r="DA334" i="1" s="1"/>
  <c r="BJ325" i="1"/>
  <c r="DA325" i="1" s="1"/>
  <c r="BJ312" i="1"/>
  <c r="DA312" i="1" s="1"/>
  <c r="BJ298" i="1"/>
  <c r="DA298" i="1" s="1"/>
  <c r="BJ286" i="1"/>
  <c r="DA286" i="1" s="1"/>
  <c r="BJ283" i="1"/>
  <c r="DA283" i="1" s="1"/>
  <c r="BJ359" i="1"/>
  <c r="DA359" i="1" s="1"/>
  <c r="BJ353" i="1"/>
  <c r="DA353" i="1" s="1"/>
  <c r="BJ328" i="1"/>
  <c r="DA328" i="1" s="1"/>
  <c r="BJ311" i="1"/>
  <c r="DA311" i="1" s="1"/>
  <c r="BJ300" i="1"/>
  <c r="DA300" i="1" s="1"/>
  <c r="BJ295" i="1"/>
  <c r="DA295" i="1" s="1"/>
  <c r="BJ292" i="1"/>
  <c r="DA292" i="1" s="1"/>
  <c r="BJ288" i="1"/>
  <c r="DA288" i="1" s="1"/>
  <c r="BJ278" i="1"/>
  <c r="DA278" i="1" s="1"/>
  <c r="BJ272" i="1"/>
  <c r="DA272" i="1" s="1"/>
  <c r="BJ269" i="1"/>
  <c r="DA269" i="1" s="1"/>
  <c r="BJ337" i="1"/>
  <c r="DA337" i="1" s="1"/>
  <c r="BJ329" i="1"/>
  <c r="DA329" i="1" s="1"/>
  <c r="BJ324" i="1"/>
  <c r="DA324" i="1" s="1"/>
  <c r="BJ303" i="1"/>
  <c r="DA303" i="1" s="1"/>
  <c r="BJ302" i="1"/>
  <c r="DA302" i="1" s="1"/>
  <c r="BJ294" i="1"/>
  <c r="DA294" i="1" s="1"/>
  <c r="BJ282" i="1"/>
  <c r="DA282" i="1" s="1"/>
  <c r="BJ340" i="1"/>
  <c r="DA340" i="1" s="1"/>
  <c r="BJ297" i="1"/>
  <c r="DA297" i="1" s="1"/>
  <c r="BJ248" i="1"/>
  <c r="DA248" i="1" s="1"/>
  <c r="BJ240" i="1"/>
  <c r="DA240" i="1" s="1"/>
  <c r="BJ232" i="1"/>
  <c r="DA232" i="1" s="1"/>
  <c r="BJ224" i="1"/>
  <c r="DA224" i="1" s="1"/>
  <c r="BJ221" i="1"/>
  <c r="DA221" i="1" s="1"/>
  <c r="BJ219" i="1"/>
  <c r="DA219" i="1" s="1"/>
  <c r="BJ218" i="1"/>
  <c r="DA218" i="1" s="1"/>
  <c r="BJ213" i="1"/>
  <c r="DA213" i="1" s="1"/>
  <c r="BJ211" i="1"/>
  <c r="DA211" i="1" s="1"/>
  <c r="BJ210" i="1"/>
  <c r="DA210" i="1" s="1"/>
  <c r="BJ205" i="1"/>
  <c r="DA205" i="1" s="1"/>
  <c r="BJ203" i="1"/>
  <c r="DA203" i="1" s="1"/>
  <c r="BJ202" i="1"/>
  <c r="DA202" i="1" s="1"/>
  <c r="BJ197" i="1"/>
  <c r="DA197" i="1" s="1"/>
  <c r="BJ195" i="1"/>
  <c r="DA195" i="1" s="1"/>
  <c r="BJ194" i="1"/>
  <c r="DA194" i="1" s="1"/>
  <c r="BJ189" i="1"/>
  <c r="DA189" i="1" s="1"/>
  <c r="BJ187" i="1"/>
  <c r="DA187" i="1" s="1"/>
  <c r="BJ186" i="1"/>
  <c r="DA186" i="1" s="1"/>
  <c r="BJ181" i="1"/>
  <c r="DA181" i="1" s="1"/>
  <c r="BJ179" i="1"/>
  <c r="DA179" i="1" s="1"/>
  <c r="BJ178" i="1"/>
  <c r="DA178" i="1" s="1"/>
  <c r="BJ173" i="1"/>
  <c r="DA173" i="1" s="1"/>
  <c r="BJ171" i="1"/>
  <c r="DA171" i="1" s="1"/>
  <c r="BJ170" i="1"/>
  <c r="DA170" i="1" s="1"/>
  <c r="BJ165" i="1"/>
  <c r="DA165" i="1" s="1"/>
  <c r="BJ163" i="1"/>
  <c r="DA163" i="1" s="1"/>
  <c r="BJ162" i="1"/>
  <c r="DA162" i="1" s="1"/>
  <c r="BJ342" i="1"/>
  <c r="DA342" i="1" s="1"/>
  <c r="BJ330" i="1"/>
  <c r="DA330" i="1" s="1"/>
  <c r="BJ316" i="1"/>
  <c r="DA316" i="1" s="1"/>
  <c r="BJ362" i="1"/>
  <c r="DA362" i="1" s="1"/>
  <c r="BJ355" i="1"/>
  <c r="DA355" i="1" s="1"/>
  <c r="BJ285" i="1"/>
  <c r="DA285" i="1" s="1"/>
  <c r="BJ271" i="1"/>
  <c r="DA271" i="1" s="1"/>
  <c r="BJ264" i="1"/>
  <c r="DA264" i="1" s="1"/>
  <c r="BJ256" i="1"/>
  <c r="DA256" i="1" s="1"/>
  <c r="BJ249" i="1"/>
  <c r="DA249" i="1" s="1"/>
  <c r="BJ231" i="1"/>
  <c r="DA231" i="1" s="1"/>
  <c r="BJ158" i="1"/>
  <c r="DA158" i="1" s="1"/>
  <c r="BJ58" i="1"/>
  <c r="DA58" i="1" s="1"/>
  <c r="BJ55" i="1"/>
  <c r="DA55" i="1" s="1"/>
  <c r="BJ42" i="1"/>
  <c r="DA42" i="1" s="1"/>
  <c r="BJ39" i="1"/>
  <c r="DA39" i="1" s="1"/>
  <c r="BJ26" i="1"/>
  <c r="DA26" i="1" s="1"/>
  <c r="BJ23" i="1"/>
  <c r="DA23" i="1" s="1"/>
  <c r="BJ10" i="1"/>
  <c r="DA10" i="1" s="1"/>
  <c r="BJ247" i="1"/>
  <c r="DA247" i="1" s="1"/>
  <c r="BJ261" i="1"/>
  <c r="DA261" i="1" s="1"/>
  <c r="BJ236" i="1"/>
  <c r="DA236" i="1" s="1"/>
  <c r="BJ222" i="1"/>
  <c r="DA222" i="1" s="1"/>
  <c r="BJ206" i="1"/>
  <c r="DA206" i="1" s="1"/>
  <c r="BJ190" i="1"/>
  <c r="DA190" i="1" s="1"/>
  <c r="BJ174" i="1"/>
  <c r="DA174" i="1" s="1"/>
  <c r="BJ40" i="1"/>
  <c r="DA40" i="1" s="1"/>
  <c r="BJ30" i="1"/>
  <c r="DA30" i="1" s="1"/>
  <c r="BJ14" i="1"/>
  <c r="DA14" i="1" s="1"/>
  <c r="BJ351" i="1"/>
  <c r="DA351" i="1" s="1"/>
  <c r="BJ233" i="1"/>
  <c r="DA233" i="1" s="1"/>
  <c r="BJ157" i="1"/>
  <c r="DA157" i="1" s="1"/>
  <c r="BJ191" i="1"/>
  <c r="DA191" i="1" s="1"/>
  <c r="BJ50" i="1"/>
  <c r="DA50" i="1" s="1"/>
  <c r="BJ38" i="1"/>
  <c r="DA38" i="1" s="1"/>
  <c r="BJ27" i="1"/>
  <c r="DA27" i="1" s="1"/>
  <c r="BJ18" i="1"/>
  <c r="DA18" i="1" s="1"/>
  <c r="BJ45" i="1"/>
  <c r="DA45" i="1" s="1"/>
  <c r="BJ308" i="1"/>
  <c r="DA308" i="1" s="1"/>
  <c r="BJ13" i="1"/>
  <c r="DA13" i="1" s="1"/>
  <c r="BJ199" i="1"/>
  <c r="DA199" i="1" s="1"/>
  <c r="BJ28" i="1"/>
  <c r="DA28" i="1" s="1"/>
  <c r="BJ22" i="1"/>
  <c r="DA22" i="1" s="1"/>
  <c r="BJ307" i="1"/>
  <c r="DA307" i="1" s="1"/>
  <c r="BJ241" i="1"/>
  <c r="DA241" i="1" s="1"/>
  <c r="BJ175" i="1"/>
  <c r="DA175" i="1" s="1"/>
  <c r="BJ47" i="1"/>
  <c r="DA47" i="1" s="1"/>
  <c r="BJ11" i="1"/>
  <c r="DA11" i="1" s="1"/>
  <c r="BJ215" i="1"/>
  <c r="DA215" i="1" s="1"/>
  <c r="BJ60" i="1"/>
  <c r="DA60" i="1" s="1"/>
  <c r="BJ12" i="1"/>
  <c r="DA12" i="1" s="1"/>
  <c r="BJ358" i="1"/>
  <c r="DA358" i="1" s="1"/>
  <c r="BJ331" i="1"/>
  <c r="DA331" i="1" s="1"/>
  <c r="BJ259" i="1"/>
  <c r="DA259" i="1" s="1"/>
  <c r="BJ318" i="1"/>
  <c r="DA318" i="1" s="1"/>
  <c r="BJ263" i="1"/>
  <c r="DA263" i="1" s="1"/>
  <c r="BJ196" i="1"/>
  <c r="DA196" i="1" s="1"/>
  <c r="BJ164" i="1"/>
  <c r="DA164" i="1" s="1"/>
  <c r="BJ321" i="1"/>
  <c r="DA321" i="1" s="1"/>
  <c r="BJ301" i="1"/>
  <c r="DA301" i="1" s="1"/>
  <c r="BJ273" i="1"/>
  <c r="DA273" i="1" s="1"/>
  <c r="BJ315" i="1"/>
  <c r="DA315" i="1" s="1"/>
  <c r="BJ246" i="1"/>
  <c r="DA246" i="1" s="1"/>
  <c r="BJ168" i="1"/>
  <c r="DA168" i="1" s="1"/>
  <c r="BJ200" i="1"/>
  <c r="DA200" i="1" s="1"/>
  <c r="BJ276" i="1"/>
  <c r="DA276" i="1" s="1"/>
  <c r="BJ216" i="1"/>
  <c r="DA216" i="1" s="1"/>
  <c r="BJ192" i="1"/>
  <c r="DA192" i="1" s="1"/>
  <c r="BJ188" i="1"/>
  <c r="DA188" i="1" s="1"/>
  <c r="BJ275" i="1"/>
  <c r="DA275" i="1" s="1"/>
  <c r="BJ53" i="1"/>
  <c r="DA53" i="1" s="1"/>
  <c r="BJ15" i="1"/>
  <c r="DA15" i="1" s="1"/>
  <c r="BJ160" i="1"/>
  <c r="DA160" i="1" s="1"/>
  <c r="BJ314" i="1"/>
  <c r="DA314" i="1" s="1"/>
  <c r="BJ310" i="1"/>
  <c r="DA310" i="1" s="1"/>
  <c r="BJ326" i="1"/>
  <c r="DA326" i="1" s="1"/>
  <c r="BJ319" i="1"/>
  <c r="DA319" i="1" s="1"/>
  <c r="BJ251" i="1"/>
  <c r="DA251" i="1" s="1"/>
  <c r="BJ243" i="1"/>
  <c r="DA243" i="1" s="1"/>
  <c r="BJ62" i="1"/>
  <c r="DA62" i="1" s="1"/>
  <c r="BJ344" i="1"/>
  <c r="DA344" i="1" s="1"/>
  <c r="BJ335" i="1"/>
  <c r="DA335" i="1" s="1"/>
  <c r="BJ274" i="1"/>
  <c r="DA274" i="1" s="1"/>
  <c r="BJ21" i="1"/>
  <c r="DA21" i="1" s="1"/>
  <c r="BJ266" i="1"/>
  <c r="DA266" i="1" s="1"/>
  <c r="BJ364" i="1"/>
  <c r="DA364" i="1" s="1"/>
  <c r="BJ172" i="1"/>
  <c r="DA172" i="1" s="1"/>
  <c r="BJ204" i="1"/>
  <c r="DA204" i="1" s="1"/>
  <c r="BJ19" i="1"/>
  <c r="DA19" i="1" s="1"/>
  <c r="BJ360" i="1"/>
  <c r="DA360" i="1" s="1"/>
  <c r="BJ255" i="1"/>
  <c r="DA255" i="1" s="1"/>
  <c r="BJ238" i="1"/>
  <c r="DA238" i="1" s="1"/>
  <c r="BJ366" i="1"/>
  <c r="DA366" i="1" s="1"/>
  <c r="BJ6" i="1"/>
  <c r="DA6" i="1" s="1"/>
  <c r="Q8" i="31"/>
  <c r="Q9" i="31" s="1"/>
  <c r="Q10" i="31" s="1"/>
  <c r="Q11" i="31" s="1"/>
  <c r="Q12" i="31" s="1"/>
  <c r="Q13" i="31" s="1"/>
  <c r="Q14" i="31" s="1"/>
  <c r="Q15" i="31" s="1"/>
  <c r="Q16" i="31" s="1"/>
  <c r="Q17" i="31" s="1"/>
  <c r="Q18" i="31" s="1"/>
  <c r="P8" i="3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A10" i="1" l="1"/>
  <c r="A9" i="29"/>
  <c r="K295" i="29"/>
  <c r="A11" i="1" l="1"/>
  <c r="A10" i="29"/>
  <c r="K338" i="29"/>
  <c r="K370" i="29"/>
  <c r="K323" i="29"/>
  <c r="K327" i="29"/>
  <c r="K331" i="29"/>
  <c r="K339" i="29"/>
  <c r="K343" i="29"/>
  <c r="K347" i="29"/>
  <c r="K351" i="29"/>
  <c r="K355" i="29"/>
  <c r="K359" i="29"/>
  <c r="K363" i="29"/>
  <c r="K367" i="29"/>
  <c r="K322" i="29"/>
  <c r="K324" i="29"/>
  <c r="K326" i="29"/>
  <c r="K328" i="29"/>
  <c r="K330" i="29"/>
  <c r="K332" i="29"/>
  <c r="K337" i="29"/>
  <c r="K341" i="29"/>
  <c r="K342" i="29"/>
  <c r="K345" i="29"/>
  <c r="K346" i="29"/>
  <c r="K348" i="29"/>
  <c r="K350" i="29"/>
  <c r="K352" i="29"/>
  <c r="K354" i="29"/>
  <c r="K356" i="29"/>
  <c r="K358" i="29"/>
  <c r="K360" i="29"/>
  <c r="K362" i="29"/>
  <c r="K364" i="29"/>
  <c r="K366" i="29"/>
  <c r="K368" i="29"/>
  <c r="K325" i="29"/>
  <c r="K329" i="29"/>
  <c r="K349" i="29"/>
  <c r="K353" i="29"/>
  <c r="K357" i="29"/>
  <c r="K361" i="29"/>
  <c r="K365" i="29"/>
  <c r="K369" i="29"/>
  <c r="K340" i="29"/>
  <c r="K344" i="29"/>
  <c r="A12" i="1" l="1"/>
  <c r="A11" i="29"/>
  <c r="A2" i="29"/>
  <c r="A13" i="1" l="1"/>
  <c r="A12" i="29"/>
  <c r="K287" i="29"/>
  <c r="K286" i="29"/>
  <c r="K285" i="29"/>
  <c r="K284" i="29"/>
  <c r="K283" i="29"/>
  <c r="K282" i="29"/>
  <c r="K281" i="29"/>
  <c r="K280" i="29"/>
  <c r="K279" i="29"/>
  <c r="K278" i="29"/>
  <c r="K277" i="29"/>
  <c r="K276" i="29"/>
  <c r="K275" i="29"/>
  <c r="K274" i="29"/>
  <c r="K273" i="29"/>
  <c r="K272" i="29"/>
  <c r="K271" i="29"/>
  <c r="K270" i="29"/>
  <c r="K269" i="29"/>
  <c r="K268" i="29"/>
  <c r="K267" i="29"/>
  <c r="K266" i="29"/>
  <c r="K265" i="29"/>
  <c r="K264" i="29"/>
  <c r="K263" i="29"/>
  <c r="K262" i="29"/>
  <c r="K261" i="29"/>
  <c r="K260" i="29"/>
  <c r="K259" i="29"/>
  <c r="K258" i="29"/>
  <c r="K257" i="29"/>
  <c r="K256" i="29"/>
  <c r="K255" i="29"/>
  <c r="K254" i="29"/>
  <c r="K253" i="29"/>
  <c r="K252" i="29"/>
  <c r="K251" i="29"/>
  <c r="K250" i="29"/>
  <c r="K249" i="29"/>
  <c r="K248" i="29"/>
  <c r="K247" i="29"/>
  <c r="K246" i="29"/>
  <c r="K245" i="29"/>
  <c r="K244" i="29"/>
  <c r="K243" i="29"/>
  <c r="K242" i="29"/>
  <c r="K241" i="29"/>
  <c r="K240" i="29"/>
  <c r="K239" i="29"/>
  <c r="K238" i="29"/>
  <c r="K237" i="29"/>
  <c r="K236" i="29"/>
  <c r="K235" i="29"/>
  <c r="K234" i="29"/>
  <c r="K233" i="29"/>
  <c r="K232" i="29"/>
  <c r="K231" i="29"/>
  <c r="K230" i="29"/>
  <c r="K229" i="29"/>
  <c r="K228" i="29"/>
  <c r="K227" i="29"/>
  <c r="K226" i="29"/>
  <c r="K225" i="29"/>
  <c r="K224" i="29"/>
  <c r="K223" i="29"/>
  <c r="K222" i="29"/>
  <c r="K221" i="29"/>
  <c r="K220" i="29"/>
  <c r="K219" i="29"/>
  <c r="K218" i="29"/>
  <c r="K217" i="29"/>
  <c r="K216" i="29"/>
  <c r="K215" i="29"/>
  <c r="K214" i="29"/>
  <c r="K213" i="29"/>
  <c r="K212" i="29"/>
  <c r="K211" i="29"/>
  <c r="K210" i="29"/>
  <c r="K209" i="29"/>
  <c r="K208" i="29"/>
  <c r="K207" i="29"/>
  <c r="K206" i="29"/>
  <c r="K205" i="29"/>
  <c r="K204" i="29"/>
  <c r="K203" i="29"/>
  <c r="K202" i="29"/>
  <c r="K201" i="29"/>
  <c r="K200" i="29"/>
  <c r="K199" i="29"/>
  <c r="K198" i="29"/>
  <c r="K197" i="29"/>
  <c r="K196" i="29"/>
  <c r="K195" i="29"/>
  <c r="K194" i="29"/>
  <c r="K193" i="29"/>
  <c r="K192" i="29"/>
  <c r="K191" i="29"/>
  <c r="K190" i="29"/>
  <c r="K189" i="29"/>
  <c r="K188" i="29"/>
  <c r="K187" i="29"/>
  <c r="K186" i="29"/>
  <c r="K185" i="29"/>
  <c r="K184" i="29"/>
  <c r="K183" i="29"/>
  <c r="A14" i="1" l="1"/>
  <c r="A13" i="29"/>
  <c r="A15" i="1" l="1"/>
  <c r="A14" i="29"/>
  <c r="A6" i="29"/>
  <c r="A16" i="1" l="1"/>
  <c r="A15" i="29"/>
  <c r="E6" i="29"/>
  <c r="D6" i="29"/>
  <c r="AY398" i="1"/>
  <c r="AY397" i="1"/>
  <c r="AY396" i="1"/>
  <c r="AY395" i="1"/>
  <c r="AY394" i="1"/>
  <c r="AY393" i="1"/>
  <c r="AY392" i="1"/>
  <c r="BH398" i="1"/>
  <c r="BH397" i="1"/>
  <c r="BH396" i="1"/>
  <c r="BI385" i="1"/>
  <c r="BH385" i="1"/>
  <c r="BI384" i="1"/>
  <c r="BH384" i="1"/>
  <c r="BI383" i="1"/>
  <c r="BH383" i="1"/>
  <c r="A17" i="1" l="1"/>
  <c r="A16" i="29"/>
  <c r="BJ383" i="1"/>
  <c r="BJ385" i="1"/>
  <c r="BJ384" i="1"/>
  <c r="F6" i="29"/>
  <c r="BI376" i="1"/>
  <c r="BI380" i="1"/>
  <c r="BI375" i="1"/>
  <c r="BH391" i="1"/>
  <c r="BH379" i="1"/>
  <c r="BH374" i="1"/>
  <c r="BH390" i="1"/>
  <c r="BI377" i="1"/>
  <c r="BH375" i="1"/>
  <c r="BH389" i="1"/>
  <c r="BH378" i="1"/>
  <c r="BI374" i="1"/>
  <c r="BH377" i="1"/>
  <c r="BH387" i="1"/>
  <c r="BH376" i="1"/>
  <c r="BI379" i="1"/>
  <c r="BH382" i="1"/>
  <c r="BH388" i="1"/>
  <c r="BH395" i="1"/>
  <c r="BI378" i="1"/>
  <c r="BH392" i="1"/>
  <c r="BH394" i="1"/>
  <c r="BI382" i="1"/>
  <c r="BH381" i="1"/>
  <c r="BH380" i="1"/>
  <c r="BI381" i="1"/>
  <c r="BH393" i="1"/>
  <c r="A18" i="1" l="1"/>
  <c r="A17" i="29"/>
  <c r="BJ374" i="1"/>
  <c r="BJ381" i="1"/>
  <c r="BJ382" i="1"/>
  <c r="BJ375" i="1"/>
  <c r="BJ379" i="1"/>
  <c r="BJ398" i="1"/>
  <c r="BM385" i="1"/>
  <c r="BL385" i="1"/>
  <c r="BJ380" i="1"/>
  <c r="BJ376" i="1"/>
  <c r="BJ377" i="1"/>
  <c r="BM379" i="1"/>
  <c r="BL379" i="1"/>
  <c r="BJ392" i="1"/>
  <c r="BJ378" i="1"/>
  <c r="BJ390" i="1"/>
  <c r="BM377" i="1"/>
  <c r="BL377" i="1"/>
  <c r="BL384" i="1"/>
  <c r="BJ397" i="1"/>
  <c r="BM384" i="1"/>
  <c r="BM383" i="1"/>
  <c r="BL383" i="1"/>
  <c r="BJ396" i="1"/>
  <c r="AB385" i="1"/>
  <c r="AA385" i="1"/>
  <c r="Z385" i="1"/>
  <c r="AB384" i="1"/>
  <c r="AA384" i="1"/>
  <c r="Z384" i="1"/>
  <c r="AB383" i="1"/>
  <c r="AA383" i="1"/>
  <c r="Z383" i="1"/>
  <c r="AB382" i="1"/>
  <c r="AA382" i="1"/>
  <c r="Z382" i="1"/>
  <c r="AB381" i="1"/>
  <c r="AA381" i="1"/>
  <c r="Z381" i="1"/>
  <c r="AB380" i="1"/>
  <c r="AA380" i="1"/>
  <c r="Z380" i="1"/>
  <c r="AB379" i="1"/>
  <c r="AA379" i="1"/>
  <c r="Z379" i="1"/>
  <c r="AB378" i="1"/>
  <c r="AA378" i="1"/>
  <c r="Z378" i="1"/>
  <c r="AB377" i="1"/>
  <c r="AA377" i="1"/>
  <c r="Z377" i="1"/>
  <c r="AB376" i="1"/>
  <c r="AA376" i="1"/>
  <c r="Z376" i="1"/>
  <c r="AB375" i="1"/>
  <c r="AA375" i="1"/>
  <c r="Z375" i="1"/>
  <c r="AB374" i="1"/>
  <c r="AA374" i="1"/>
  <c r="Z374" i="1"/>
  <c r="A19" i="1" l="1"/>
  <c r="A18" i="29"/>
  <c r="BL376" i="1"/>
  <c r="BJ389" i="1"/>
  <c r="BM376" i="1"/>
  <c r="BM375" i="1"/>
  <c r="BL375" i="1"/>
  <c r="BJ388" i="1"/>
  <c r="BJ394" i="1"/>
  <c r="BM381" i="1"/>
  <c r="BL381" i="1"/>
  <c r="BJ391" i="1"/>
  <c r="BM378" i="1"/>
  <c r="BL378" i="1"/>
  <c r="BL380" i="1"/>
  <c r="BJ393" i="1"/>
  <c r="BM380" i="1"/>
  <c r="BM382" i="1"/>
  <c r="BJ395" i="1"/>
  <c r="BL382" i="1"/>
  <c r="BM374" i="1"/>
  <c r="BJ387" i="1"/>
  <c r="BL374" i="1"/>
  <c r="M6" i="29"/>
  <c r="G6" i="29"/>
  <c r="A20" i="1" l="1"/>
  <c r="A19" i="29"/>
  <c r="Q305" i="29"/>
  <c r="R305" i="29" s="1"/>
  <c r="P306" i="29" s="1"/>
  <c r="Q306" i="29" s="1"/>
  <c r="R306" i="29" s="1"/>
  <c r="K383" i="29"/>
  <c r="K379" i="29"/>
  <c r="K380" i="29"/>
  <c r="K382" i="29"/>
  <c r="K381" i="29"/>
  <c r="M7" i="29"/>
  <c r="M8" i="29" s="1"/>
  <c r="M9" i="29" s="1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M22" i="29" s="1"/>
  <c r="M23" i="29" s="1"/>
  <c r="M24" i="29" s="1"/>
  <c r="M25" i="29" s="1"/>
  <c r="M26" i="29" s="1"/>
  <c r="M27" i="29" s="1"/>
  <c r="M28" i="29" s="1"/>
  <c r="M29" i="29" s="1"/>
  <c r="M30" i="29" s="1"/>
  <c r="M31" i="29" s="1"/>
  <c r="M32" i="29" s="1"/>
  <c r="M33" i="29" s="1"/>
  <c r="M34" i="29" s="1"/>
  <c r="M35" i="29" s="1"/>
  <c r="M36" i="29" s="1"/>
  <c r="M37" i="29" s="1"/>
  <c r="M38" i="29" s="1"/>
  <c r="M39" i="29" s="1"/>
  <c r="M40" i="29" s="1"/>
  <c r="M41" i="29" s="1"/>
  <c r="M42" i="29" s="1"/>
  <c r="M43" i="29" s="1"/>
  <c r="M44" i="29" s="1"/>
  <c r="M45" i="29" s="1"/>
  <c r="M46" i="29" s="1"/>
  <c r="M47" i="29" s="1"/>
  <c r="M48" i="29" s="1"/>
  <c r="M49" i="29" s="1"/>
  <c r="M50" i="29" s="1"/>
  <c r="M51" i="29" s="1"/>
  <c r="M52" i="29" s="1"/>
  <c r="M53" i="29" s="1"/>
  <c r="M54" i="29" s="1"/>
  <c r="M55" i="29" s="1"/>
  <c r="M56" i="29" s="1"/>
  <c r="M57" i="29" s="1"/>
  <c r="M58" i="29" s="1"/>
  <c r="M59" i="29" s="1"/>
  <c r="M60" i="29" s="1"/>
  <c r="M61" i="29" s="1"/>
  <c r="M62" i="29" s="1"/>
  <c r="M63" i="29" s="1"/>
  <c r="M64" i="29" s="1"/>
  <c r="M65" i="29" s="1"/>
  <c r="M66" i="29" s="1"/>
  <c r="M67" i="29" s="1"/>
  <c r="M68" i="29" s="1"/>
  <c r="M69" i="29" s="1"/>
  <c r="M70" i="29" s="1"/>
  <c r="M71" i="29" s="1"/>
  <c r="M72" i="29" s="1"/>
  <c r="M73" i="29" s="1"/>
  <c r="M74" i="29" s="1"/>
  <c r="M75" i="29" s="1"/>
  <c r="M76" i="29" s="1"/>
  <c r="M77" i="29" s="1"/>
  <c r="M78" i="29" s="1"/>
  <c r="M79" i="29" s="1"/>
  <c r="M80" i="29" s="1"/>
  <c r="M81" i="29" s="1"/>
  <c r="M82" i="29" s="1"/>
  <c r="M83" i="29" s="1"/>
  <c r="M84" i="29" s="1"/>
  <c r="M85" i="29" s="1"/>
  <c r="M86" i="29" s="1"/>
  <c r="M87" i="29" s="1"/>
  <c r="M88" i="29" s="1"/>
  <c r="M89" i="29" s="1"/>
  <c r="M90" i="29" s="1"/>
  <c r="M91" i="29" s="1"/>
  <c r="M92" i="29" s="1"/>
  <c r="M93" i="29" s="1"/>
  <c r="M94" i="29" s="1"/>
  <c r="M95" i="29" s="1"/>
  <c r="M96" i="29" s="1"/>
  <c r="M97" i="29" s="1"/>
  <c r="M98" i="29" s="1"/>
  <c r="M99" i="29" s="1"/>
  <c r="M100" i="29" s="1"/>
  <c r="M101" i="29" s="1"/>
  <c r="M102" i="29" s="1"/>
  <c r="M103" i="29" s="1"/>
  <c r="M104" i="29" s="1"/>
  <c r="M105" i="29" s="1"/>
  <c r="M106" i="29" s="1"/>
  <c r="M107" i="29" s="1"/>
  <c r="M108" i="29" s="1"/>
  <c r="M109" i="29" s="1"/>
  <c r="M110" i="29" s="1"/>
  <c r="M111" i="29" s="1"/>
  <c r="M112" i="29" s="1"/>
  <c r="M113" i="29" s="1"/>
  <c r="M114" i="29" s="1"/>
  <c r="M115" i="29" s="1"/>
  <c r="M116" i="29" s="1"/>
  <c r="M117" i="29" s="1"/>
  <c r="M118" i="29" s="1"/>
  <c r="M119" i="29" s="1"/>
  <c r="M120" i="29" s="1"/>
  <c r="M121" i="29" s="1"/>
  <c r="M122" i="29" s="1"/>
  <c r="M123" i="29" s="1"/>
  <c r="M124" i="29" s="1"/>
  <c r="M125" i="29" s="1"/>
  <c r="M126" i="29" s="1"/>
  <c r="M127" i="29" s="1"/>
  <c r="M128" i="29" s="1"/>
  <c r="M129" i="29" s="1"/>
  <c r="M130" i="29" s="1"/>
  <c r="M131" i="29" s="1"/>
  <c r="M132" i="29" s="1"/>
  <c r="M133" i="29" s="1"/>
  <c r="M134" i="29" s="1"/>
  <c r="M135" i="29" s="1"/>
  <c r="M136" i="29" s="1"/>
  <c r="M137" i="29" s="1"/>
  <c r="M138" i="29" s="1"/>
  <c r="M139" i="29" s="1"/>
  <c r="M140" i="29" s="1"/>
  <c r="M141" i="29" s="1"/>
  <c r="M142" i="29" s="1"/>
  <c r="M143" i="29" s="1"/>
  <c r="M144" i="29" s="1"/>
  <c r="M145" i="29" s="1"/>
  <c r="M146" i="29" s="1"/>
  <c r="M147" i="29" s="1"/>
  <c r="M148" i="29" s="1"/>
  <c r="M149" i="29" s="1"/>
  <c r="M150" i="29" s="1"/>
  <c r="M151" i="29" s="1"/>
  <c r="M152" i="29" s="1"/>
  <c r="M153" i="29" s="1"/>
  <c r="M154" i="29" s="1"/>
  <c r="M155" i="29" s="1"/>
  <c r="M156" i="29" s="1"/>
  <c r="M157" i="29" s="1"/>
  <c r="M158" i="29" s="1"/>
  <c r="M159" i="29" s="1"/>
  <c r="M160" i="29" s="1"/>
  <c r="M161" i="29" s="1"/>
  <c r="M162" i="29" s="1"/>
  <c r="M163" i="29" s="1"/>
  <c r="M164" i="29" s="1"/>
  <c r="M165" i="29" s="1"/>
  <c r="M166" i="29" s="1"/>
  <c r="M167" i="29" s="1"/>
  <c r="M168" i="29" s="1"/>
  <c r="M169" i="29" s="1"/>
  <c r="M170" i="29" s="1"/>
  <c r="M171" i="29" s="1"/>
  <c r="M172" i="29" s="1"/>
  <c r="M173" i="29" s="1"/>
  <c r="M174" i="29" s="1"/>
  <c r="M175" i="29" s="1"/>
  <c r="M176" i="29" s="1"/>
  <c r="M177" i="29" s="1"/>
  <c r="M178" i="29" s="1"/>
  <c r="M179" i="29" s="1"/>
  <c r="M180" i="29" s="1"/>
  <c r="M181" i="29" s="1"/>
  <c r="M182" i="29" s="1"/>
  <c r="M183" i="29" s="1"/>
  <c r="M184" i="29" s="1"/>
  <c r="M185" i="29" s="1"/>
  <c r="M186" i="29" s="1"/>
  <c r="M187" i="29" s="1"/>
  <c r="M188" i="29" s="1"/>
  <c r="M189" i="29" s="1"/>
  <c r="M190" i="29" s="1"/>
  <c r="M191" i="29" s="1"/>
  <c r="M192" i="29" s="1"/>
  <c r="M193" i="29" s="1"/>
  <c r="M194" i="29" s="1"/>
  <c r="M195" i="29" s="1"/>
  <c r="M196" i="29" s="1"/>
  <c r="M197" i="29" s="1"/>
  <c r="M198" i="29" s="1"/>
  <c r="M199" i="29" s="1"/>
  <c r="M200" i="29" s="1"/>
  <c r="M201" i="29" s="1"/>
  <c r="M202" i="29" s="1"/>
  <c r="M203" i="29" s="1"/>
  <c r="M204" i="29" s="1"/>
  <c r="M205" i="29" s="1"/>
  <c r="M206" i="29" s="1"/>
  <c r="M207" i="29" s="1"/>
  <c r="M208" i="29" s="1"/>
  <c r="M209" i="29" s="1"/>
  <c r="M210" i="29" s="1"/>
  <c r="M211" i="29" s="1"/>
  <c r="M212" i="29" s="1"/>
  <c r="M213" i="29" s="1"/>
  <c r="M214" i="29" s="1"/>
  <c r="M215" i="29" s="1"/>
  <c r="M216" i="29" s="1"/>
  <c r="M217" i="29" s="1"/>
  <c r="M218" i="29" s="1"/>
  <c r="M219" i="29" s="1"/>
  <c r="M220" i="29" s="1"/>
  <c r="M221" i="29" s="1"/>
  <c r="M222" i="29" s="1"/>
  <c r="M223" i="29" s="1"/>
  <c r="M224" i="29" s="1"/>
  <c r="M225" i="29" s="1"/>
  <c r="M226" i="29" s="1"/>
  <c r="M227" i="29" s="1"/>
  <c r="M228" i="29" s="1"/>
  <c r="M229" i="29" s="1"/>
  <c r="M230" i="29" s="1"/>
  <c r="M231" i="29" s="1"/>
  <c r="M232" i="29" s="1"/>
  <c r="M233" i="29" s="1"/>
  <c r="M234" i="29" s="1"/>
  <c r="M235" i="29" s="1"/>
  <c r="M236" i="29" s="1"/>
  <c r="M237" i="29" s="1"/>
  <c r="M238" i="29" s="1"/>
  <c r="M239" i="29" s="1"/>
  <c r="M240" i="29" s="1"/>
  <c r="M241" i="29" s="1"/>
  <c r="M242" i="29" s="1"/>
  <c r="M243" i="29" s="1"/>
  <c r="M244" i="29" s="1"/>
  <c r="M245" i="29" s="1"/>
  <c r="M246" i="29" s="1"/>
  <c r="M247" i="29" s="1"/>
  <c r="M248" i="29" s="1"/>
  <c r="M249" i="29" s="1"/>
  <c r="M250" i="29" s="1"/>
  <c r="M251" i="29" s="1"/>
  <c r="M252" i="29" s="1"/>
  <c r="M253" i="29" s="1"/>
  <c r="M254" i="29" s="1"/>
  <c r="M255" i="29" s="1"/>
  <c r="M256" i="29" s="1"/>
  <c r="M257" i="29" s="1"/>
  <c r="M258" i="29" s="1"/>
  <c r="M259" i="29" s="1"/>
  <c r="M260" i="29" s="1"/>
  <c r="M261" i="29" s="1"/>
  <c r="M262" i="29" s="1"/>
  <c r="M263" i="29" s="1"/>
  <c r="M264" i="29" s="1"/>
  <c r="M265" i="29" s="1"/>
  <c r="M266" i="29" s="1"/>
  <c r="M267" i="29" s="1"/>
  <c r="M268" i="29" s="1"/>
  <c r="M269" i="29" s="1"/>
  <c r="M270" i="29" s="1"/>
  <c r="M271" i="29" s="1"/>
  <c r="M272" i="29" s="1"/>
  <c r="M273" i="29" s="1"/>
  <c r="M274" i="29" s="1"/>
  <c r="M275" i="29" s="1"/>
  <c r="M276" i="29" s="1"/>
  <c r="M277" i="29" s="1"/>
  <c r="M278" i="29" s="1"/>
  <c r="M279" i="29" s="1"/>
  <c r="M280" i="29" s="1"/>
  <c r="M281" i="29" s="1"/>
  <c r="M282" i="29" s="1"/>
  <c r="M283" i="29" s="1"/>
  <c r="M284" i="29" s="1"/>
  <c r="M285" i="29" s="1"/>
  <c r="M286" i="29" s="1"/>
  <c r="M287" i="29" s="1"/>
  <c r="M288" i="29" s="1"/>
  <c r="M289" i="29" s="1"/>
  <c r="M290" i="29" s="1"/>
  <c r="M291" i="29" s="1"/>
  <c r="M292" i="29" s="1"/>
  <c r="M293" i="29" s="1"/>
  <c r="M294" i="29" s="1"/>
  <c r="M295" i="29" s="1"/>
  <c r="M296" i="29" s="1"/>
  <c r="M297" i="29" s="1"/>
  <c r="M298" i="29" s="1"/>
  <c r="M299" i="29" s="1"/>
  <c r="M300" i="29" s="1"/>
  <c r="M301" i="29" s="1"/>
  <c r="M302" i="29" s="1"/>
  <c r="M303" i="29" s="1"/>
  <c r="M304" i="29" s="1"/>
  <c r="M305" i="29" s="1"/>
  <c r="M306" i="29" s="1"/>
  <c r="M307" i="29" s="1"/>
  <c r="M308" i="29" s="1"/>
  <c r="M309" i="29" s="1"/>
  <c r="M310" i="29" s="1"/>
  <c r="M311" i="29" s="1"/>
  <c r="M312" i="29" s="1"/>
  <c r="M313" i="29" s="1"/>
  <c r="M314" i="29" s="1"/>
  <c r="M315" i="29" s="1"/>
  <c r="M316" i="29" s="1"/>
  <c r="M317" i="29" s="1"/>
  <c r="M318" i="29" s="1"/>
  <c r="M319" i="29" s="1"/>
  <c r="M320" i="29" s="1"/>
  <c r="M321" i="29" s="1"/>
  <c r="M322" i="29" s="1"/>
  <c r="M323" i="29" s="1"/>
  <c r="M324" i="29" s="1"/>
  <c r="M325" i="29" s="1"/>
  <c r="M326" i="29" s="1"/>
  <c r="M327" i="29" s="1"/>
  <c r="M328" i="29" s="1"/>
  <c r="M329" i="29" s="1"/>
  <c r="M330" i="29" s="1"/>
  <c r="M331" i="29" s="1"/>
  <c r="M332" i="29" s="1"/>
  <c r="M333" i="29" s="1"/>
  <c r="M334" i="29" s="1"/>
  <c r="M335" i="29" s="1"/>
  <c r="M336" i="29" s="1"/>
  <c r="M337" i="29" s="1"/>
  <c r="M338" i="29" s="1"/>
  <c r="M339" i="29" s="1"/>
  <c r="M340" i="29" s="1"/>
  <c r="M341" i="29" s="1"/>
  <c r="M342" i="29" s="1"/>
  <c r="M343" i="29" s="1"/>
  <c r="M344" i="29" s="1"/>
  <c r="M345" i="29" s="1"/>
  <c r="M346" i="29" s="1"/>
  <c r="M347" i="29" s="1"/>
  <c r="M348" i="29" s="1"/>
  <c r="M349" i="29" s="1"/>
  <c r="M350" i="29" s="1"/>
  <c r="M351" i="29" s="1"/>
  <c r="M352" i="29" s="1"/>
  <c r="M353" i="29" s="1"/>
  <c r="M354" i="29" s="1"/>
  <c r="M355" i="29" s="1"/>
  <c r="M356" i="29" s="1"/>
  <c r="M357" i="29" s="1"/>
  <c r="M358" i="29" s="1"/>
  <c r="M359" i="29" s="1"/>
  <c r="M360" i="29" s="1"/>
  <c r="M361" i="29" s="1"/>
  <c r="M362" i="29" s="1"/>
  <c r="M363" i="29" s="1"/>
  <c r="M364" i="29" s="1"/>
  <c r="M365" i="29" s="1"/>
  <c r="M366" i="29" s="1"/>
  <c r="M367" i="29" s="1"/>
  <c r="M368" i="29" s="1"/>
  <c r="M369" i="29" s="1"/>
  <c r="M370" i="29" s="1"/>
  <c r="P307" i="29" l="1"/>
  <c r="Q307" i="29" s="1"/>
  <c r="R307" i="29" s="1"/>
  <c r="S306" i="29"/>
  <c r="T306" i="29" s="1"/>
  <c r="A21" i="1"/>
  <c r="A20" i="29"/>
  <c r="S305" i="29"/>
  <c r="T305" i="29" s="1"/>
  <c r="K384" i="29"/>
  <c r="K385" i="29"/>
  <c r="P308" i="29" l="1"/>
  <c r="Q308" i="29" s="1"/>
  <c r="R308" i="29" s="1"/>
  <c r="S307" i="29"/>
  <c r="T307" i="29" s="1"/>
  <c r="A22" i="1"/>
  <c r="A21" i="29"/>
  <c r="C374" i="1"/>
  <c r="D374" i="1"/>
  <c r="E374" i="1"/>
  <c r="F374" i="1"/>
  <c r="G374" i="1"/>
  <c r="H374" i="1"/>
  <c r="I374" i="1"/>
  <c r="J374" i="1"/>
  <c r="K374" i="1"/>
  <c r="L374" i="1"/>
  <c r="M374" i="1"/>
  <c r="N374" i="1"/>
  <c r="P374" i="1"/>
  <c r="R374" i="1"/>
  <c r="S374" i="1"/>
  <c r="T374" i="1"/>
  <c r="U374" i="1"/>
  <c r="X374" i="1"/>
  <c r="Y374" i="1"/>
  <c r="AC374" i="1"/>
  <c r="AD374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P375" i="1"/>
  <c r="R375" i="1"/>
  <c r="S375" i="1"/>
  <c r="T375" i="1"/>
  <c r="U375" i="1"/>
  <c r="X375" i="1"/>
  <c r="Y375" i="1"/>
  <c r="AC375" i="1"/>
  <c r="AD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P376" i="1"/>
  <c r="R376" i="1"/>
  <c r="S376" i="1"/>
  <c r="T376" i="1"/>
  <c r="U376" i="1"/>
  <c r="X376" i="1"/>
  <c r="Y376" i="1"/>
  <c r="AC376" i="1"/>
  <c r="AD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P377" i="1"/>
  <c r="R377" i="1"/>
  <c r="S377" i="1"/>
  <c r="T377" i="1"/>
  <c r="U377" i="1"/>
  <c r="X377" i="1"/>
  <c r="Y377" i="1"/>
  <c r="AC377" i="1"/>
  <c r="AD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P378" i="1"/>
  <c r="R378" i="1"/>
  <c r="S378" i="1"/>
  <c r="T378" i="1"/>
  <c r="U378" i="1"/>
  <c r="X378" i="1"/>
  <c r="Y378" i="1"/>
  <c r="AC378" i="1"/>
  <c r="AD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P379" i="1"/>
  <c r="R379" i="1"/>
  <c r="S379" i="1"/>
  <c r="T379" i="1"/>
  <c r="U379" i="1"/>
  <c r="X379" i="1"/>
  <c r="Y379" i="1"/>
  <c r="AC379" i="1"/>
  <c r="AD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P380" i="1"/>
  <c r="R380" i="1"/>
  <c r="S380" i="1"/>
  <c r="T380" i="1"/>
  <c r="U380" i="1"/>
  <c r="X380" i="1"/>
  <c r="Y380" i="1"/>
  <c r="AC380" i="1"/>
  <c r="AD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P381" i="1"/>
  <c r="R381" i="1"/>
  <c r="S381" i="1"/>
  <c r="T381" i="1"/>
  <c r="U381" i="1"/>
  <c r="X381" i="1"/>
  <c r="Y381" i="1"/>
  <c r="AC381" i="1"/>
  <c r="AD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P382" i="1"/>
  <c r="R382" i="1"/>
  <c r="S382" i="1"/>
  <c r="T382" i="1"/>
  <c r="U382" i="1"/>
  <c r="X382" i="1"/>
  <c r="Y382" i="1"/>
  <c r="AC382" i="1"/>
  <c r="AD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P383" i="1"/>
  <c r="R383" i="1"/>
  <c r="S383" i="1"/>
  <c r="T383" i="1"/>
  <c r="U383" i="1"/>
  <c r="X383" i="1"/>
  <c r="Y383" i="1"/>
  <c r="AC383" i="1"/>
  <c r="AD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P384" i="1"/>
  <c r="R384" i="1"/>
  <c r="S384" i="1"/>
  <c r="T384" i="1"/>
  <c r="U384" i="1"/>
  <c r="X384" i="1"/>
  <c r="Y384" i="1"/>
  <c r="AC384" i="1"/>
  <c r="AD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P385" i="1"/>
  <c r="R385" i="1"/>
  <c r="S385" i="1"/>
  <c r="T385" i="1"/>
  <c r="U385" i="1"/>
  <c r="X385" i="1"/>
  <c r="Y385" i="1"/>
  <c r="AC385" i="1"/>
  <c r="AD385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BM387" i="1"/>
  <c r="BN387" i="1"/>
  <c r="BO387" i="1"/>
  <c r="BP387" i="1"/>
  <c r="BQ387" i="1"/>
  <c r="BR387" i="1"/>
  <c r="BS387" i="1"/>
  <c r="BT387" i="1"/>
  <c r="AO387" i="1"/>
  <c r="AP387" i="1"/>
  <c r="AQ387" i="1"/>
  <c r="AR387" i="1"/>
  <c r="AS387" i="1"/>
  <c r="AT387" i="1"/>
  <c r="AU387" i="1"/>
  <c r="AV387" i="1"/>
  <c r="AW387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BM388" i="1"/>
  <c r="BN388" i="1"/>
  <c r="BO388" i="1"/>
  <c r="BP388" i="1"/>
  <c r="BQ388" i="1"/>
  <c r="BR388" i="1"/>
  <c r="BS388" i="1"/>
  <c r="BT388" i="1"/>
  <c r="AO388" i="1"/>
  <c r="AP388" i="1"/>
  <c r="AQ388" i="1"/>
  <c r="AR388" i="1"/>
  <c r="AS388" i="1"/>
  <c r="AT388" i="1"/>
  <c r="AU388" i="1"/>
  <c r="AV388" i="1"/>
  <c r="AW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BM389" i="1"/>
  <c r="BN389" i="1"/>
  <c r="BO389" i="1"/>
  <c r="BP389" i="1"/>
  <c r="BQ389" i="1"/>
  <c r="BR389" i="1"/>
  <c r="BS389" i="1"/>
  <c r="BT389" i="1"/>
  <c r="AO389" i="1"/>
  <c r="AP389" i="1"/>
  <c r="AQ389" i="1"/>
  <c r="AR389" i="1"/>
  <c r="AS389" i="1"/>
  <c r="AT389" i="1"/>
  <c r="AU389" i="1"/>
  <c r="AV389" i="1"/>
  <c r="AW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BM390" i="1"/>
  <c r="BN390" i="1"/>
  <c r="BO390" i="1"/>
  <c r="BP390" i="1"/>
  <c r="BQ390" i="1"/>
  <c r="BR390" i="1"/>
  <c r="BS390" i="1"/>
  <c r="BT390" i="1"/>
  <c r="AO390" i="1"/>
  <c r="AP390" i="1"/>
  <c r="AQ390" i="1"/>
  <c r="AR390" i="1"/>
  <c r="AS390" i="1"/>
  <c r="AT390" i="1"/>
  <c r="AU390" i="1"/>
  <c r="AV390" i="1"/>
  <c r="AW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BM391" i="1"/>
  <c r="BN391" i="1"/>
  <c r="BO391" i="1"/>
  <c r="BP391" i="1"/>
  <c r="BQ391" i="1"/>
  <c r="BR391" i="1"/>
  <c r="BS391" i="1"/>
  <c r="BT391" i="1"/>
  <c r="AO391" i="1"/>
  <c r="AP391" i="1"/>
  <c r="AQ391" i="1"/>
  <c r="AR391" i="1"/>
  <c r="AS391" i="1"/>
  <c r="AT391" i="1"/>
  <c r="AU391" i="1"/>
  <c r="AV391" i="1"/>
  <c r="AW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BM392" i="1"/>
  <c r="BN392" i="1"/>
  <c r="BO392" i="1"/>
  <c r="BP392" i="1"/>
  <c r="BQ392" i="1"/>
  <c r="BR392" i="1"/>
  <c r="BS392" i="1"/>
  <c r="BT392" i="1"/>
  <c r="AO392" i="1"/>
  <c r="AP392" i="1"/>
  <c r="AQ392" i="1"/>
  <c r="AR392" i="1"/>
  <c r="AS392" i="1"/>
  <c r="AT392" i="1"/>
  <c r="AU392" i="1"/>
  <c r="AV392" i="1"/>
  <c r="AW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BM393" i="1"/>
  <c r="BN393" i="1"/>
  <c r="BO393" i="1"/>
  <c r="BP393" i="1"/>
  <c r="BQ393" i="1"/>
  <c r="BR393" i="1"/>
  <c r="BS393" i="1"/>
  <c r="BT393" i="1"/>
  <c r="AO393" i="1"/>
  <c r="AP393" i="1"/>
  <c r="AQ393" i="1"/>
  <c r="AR393" i="1"/>
  <c r="AS393" i="1"/>
  <c r="AT393" i="1"/>
  <c r="AU393" i="1"/>
  <c r="AV393" i="1"/>
  <c r="AW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BM394" i="1"/>
  <c r="BN394" i="1"/>
  <c r="BO394" i="1"/>
  <c r="BP394" i="1"/>
  <c r="BQ394" i="1"/>
  <c r="BR394" i="1"/>
  <c r="BS394" i="1"/>
  <c r="BT394" i="1"/>
  <c r="AO394" i="1"/>
  <c r="AP394" i="1"/>
  <c r="AQ394" i="1"/>
  <c r="AR394" i="1"/>
  <c r="AS394" i="1"/>
  <c r="AT394" i="1"/>
  <c r="AU394" i="1"/>
  <c r="AV394" i="1"/>
  <c r="AW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BM395" i="1"/>
  <c r="BN395" i="1"/>
  <c r="BO395" i="1"/>
  <c r="BP395" i="1"/>
  <c r="BQ395" i="1"/>
  <c r="BR395" i="1"/>
  <c r="BS395" i="1"/>
  <c r="BT395" i="1"/>
  <c r="AO395" i="1"/>
  <c r="AP395" i="1"/>
  <c r="AQ395" i="1"/>
  <c r="AR395" i="1"/>
  <c r="AS395" i="1"/>
  <c r="AT395" i="1"/>
  <c r="AU395" i="1"/>
  <c r="AV395" i="1"/>
  <c r="AW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BM396" i="1"/>
  <c r="BN396" i="1"/>
  <c r="BO396" i="1"/>
  <c r="BP396" i="1"/>
  <c r="BQ396" i="1"/>
  <c r="BR396" i="1"/>
  <c r="BS396" i="1"/>
  <c r="BT396" i="1"/>
  <c r="AO396" i="1"/>
  <c r="AP396" i="1"/>
  <c r="AQ396" i="1"/>
  <c r="AR396" i="1"/>
  <c r="AS396" i="1"/>
  <c r="AT396" i="1"/>
  <c r="AU396" i="1"/>
  <c r="AV396" i="1"/>
  <c r="AW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BM397" i="1"/>
  <c r="BN397" i="1"/>
  <c r="BO397" i="1"/>
  <c r="BP397" i="1"/>
  <c r="BQ397" i="1"/>
  <c r="BR397" i="1"/>
  <c r="BS397" i="1"/>
  <c r="BT397" i="1"/>
  <c r="AO397" i="1"/>
  <c r="AP397" i="1"/>
  <c r="AQ397" i="1"/>
  <c r="AR397" i="1"/>
  <c r="AS397" i="1"/>
  <c r="AT397" i="1"/>
  <c r="AU397" i="1"/>
  <c r="AV397" i="1"/>
  <c r="AW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BM398" i="1"/>
  <c r="BN398" i="1"/>
  <c r="BO398" i="1"/>
  <c r="BP398" i="1"/>
  <c r="BQ398" i="1"/>
  <c r="BR398" i="1"/>
  <c r="BS398" i="1"/>
  <c r="BT398" i="1"/>
  <c r="AO398" i="1"/>
  <c r="AP398" i="1"/>
  <c r="AQ398" i="1"/>
  <c r="AR398" i="1"/>
  <c r="AS398" i="1"/>
  <c r="AT398" i="1"/>
  <c r="AU398" i="1"/>
  <c r="AV398" i="1"/>
  <c r="AW398" i="1"/>
  <c r="AY385" i="1"/>
  <c r="AY384" i="1"/>
  <c r="AY383" i="1"/>
  <c r="AY382" i="1"/>
  <c r="AY378" i="1"/>
  <c r="P309" i="29" l="1"/>
  <c r="Q309" i="29" s="1"/>
  <c r="R309" i="29" s="1"/>
  <c r="S308" i="29"/>
  <c r="T308" i="29" s="1"/>
  <c r="A23" i="1"/>
  <c r="A22" i="29"/>
  <c r="BC395" i="1"/>
  <c r="AY388" i="1"/>
  <c r="AY389" i="1"/>
  <c r="AY387" i="1"/>
  <c r="AY390" i="1"/>
  <c r="AY391" i="1"/>
  <c r="K11" i="29"/>
  <c r="BC390" i="1"/>
  <c r="BC394" i="1"/>
  <c r="BC388" i="1"/>
  <c r="BC389" i="1"/>
  <c r="BC392" i="1"/>
  <c r="BC396" i="1"/>
  <c r="C6" i="29"/>
  <c r="BC387" i="1"/>
  <c r="BC391" i="1"/>
  <c r="BC397" i="1"/>
  <c r="BC398" i="1"/>
  <c r="BC393" i="1"/>
  <c r="K17" i="29"/>
  <c r="K8" i="29"/>
  <c r="K13" i="29"/>
  <c r="K21" i="29"/>
  <c r="K29" i="29"/>
  <c r="K33" i="29"/>
  <c r="K41" i="29"/>
  <c r="K45" i="29"/>
  <c r="K49" i="29"/>
  <c r="K53" i="29"/>
  <c r="K57" i="29"/>
  <c r="K14" i="29"/>
  <c r="K18" i="29"/>
  <c r="K30" i="29"/>
  <c r="K42" i="29"/>
  <c r="K54" i="29"/>
  <c r="K61" i="29"/>
  <c r="AY376" i="1"/>
  <c r="H6" i="29"/>
  <c r="I7" i="29" s="1"/>
  <c r="K43" i="29"/>
  <c r="K55" i="29"/>
  <c r="K12" i="29"/>
  <c r="K16" i="29"/>
  <c r="K20" i="29"/>
  <c r="K24" i="29"/>
  <c r="K28" i="29"/>
  <c r="K32" i="29"/>
  <c r="AY374" i="1"/>
  <c r="K36" i="29"/>
  <c r="K40" i="29"/>
  <c r="K44" i="29"/>
  <c r="K48" i="29"/>
  <c r="K52" i="29"/>
  <c r="K56" i="29"/>
  <c r="K60" i="29"/>
  <c r="AY375" i="1"/>
  <c r="K9" i="29"/>
  <c r="K22" i="29"/>
  <c r="K27" i="29"/>
  <c r="K34" i="29"/>
  <c r="K46" i="29"/>
  <c r="K50" i="29"/>
  <c r="K58" i="29"/>
  <c r="AY377" i="1"/>
  <c r="K15" i="29"/>
  <c r="K31" i="29"/>
  <c r="K25" i="29"/>
  <c r="BC381" i="1"/>
  <c r="BC383" i="1"/>
  <c r="BC378" i="1"/>
  <c r="BC374" i="1"/>
  <c r="BC375" i="1"/>
  <c r="BC376" i="1"/>
  <c r="BC377" i="1"/>
  <c r="BC379" i="1"/>
  <c r="BC380" i="1"/>
  <c r="BC382" i="1"/>
  <c r="BC384" i="1"/>
  <c r="BC385" i="1"/>
  <c r="P310" i="29" l="1"/>
  <c r="Q310" i="29" s="1"/>
  <c r="R310" i="29" s="1"/>
  <c r="S309" i="29"/>
  <c r="T309" i="29" s="1"/>
  <c r="A24" i="1"/>
  <c r="A23" i="29"/>
  <c r="I6" i="29"/>
  <c r="K6" i="29" s="1"/>
  <c r="K7" i="29"/>
  <c r="K38" i="29"/>
  <c r="BB397" i="1"/>
  <c r="BB398" i="1"/>
  <c r="BB385" i="1"/>
  <c r="BD385" i="1" s="1"/>
  <c r="BB384" i="1"/>
  <c r="BD384" i="1" s="1"/>
  <c r="BB396" i="1"/>
  <c r="K39" i="29"/>
  <c r="K378" i="29"/>
  <c r="K10" i="29"/>
  <c r="K59" i="29"/>
  <c r="K62" i="29"/>
  <c r="K37" i="29"/>
  <c r="K26" i="29"/>
  <c r="BB383" i="1"/>
  <c r="BD383" i="1" s="1"/>
  <c r="K51" i="29"/>
  <c r="K23" i="29"/>
  <c r="K47" i="29"/>
  <c r="K35" i="29"/>
  <c r="BB375" i="1"/>
  <c r="BD375" i="1" s="1"/>
  <c r="BB395" i="1"/>
  <c r="BB380" i="1"/>
  <c r="BD380" i="1" s="1"/>
  <c r="BB382" i="1"/>
  <c r="BD382" i="1" s="1"/>
  <c r="BB391" i="1"/>
  <c r="BB387" i="1"/>
  <c r="BB388" i="1"/>
  <c r="BB374" i="1"/>
  <c r="BD374" i="1" s="1"/>
  <c r="BB376" i="1"/>
  <c r="BD376" i="1" s="1"/>
  <c r="BB381" i="1"/>
  <c r="BD381" i="1" s="1"/>
  <c r="BB389" i="1"/>
  <c r="BB377" i="1"/>
  <c r="BD377" i="1" s="1"/>
  <c r="BB379" i="1"/>
  <c r="BD379" i="1" s="1"/>
  <c r="BB394" i="1"/>
  <c r="BB392" i="1"/>
  <c r="BB393" i="1"/>
  <c r="BB378" i="1"/>
  <c r="BD378" i="1" s="1"/>
  <c r="BB390" i="1"/>
  <c r="P6" i="29" l="1"/>
  <c r="P311" i="29"/>
  <c r="Q311" i="29" s="1"/>
  <c r="R311" i="29" s="1"/>
  <c r="S310" i="29"/>
  <c r="T310" i="29" s="1"/>
  <c r="A25" i="1"/>
  <c r="A24" i="29"/>
  <c r="N6" i="29"/>
  <c r="N7" i="29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N84" i="29" s="1"/>
  <c r="N85" i="29" s="1"/>
  <c r="N86" i="29" s="1"/>
  <c r="N87" i="29" s="1"/>
  <c r="N88" i="29" s="1"/>
  <c r="N89" i="29" s="1"/>
  <c r="N90" i="29" s="1"/>
  <c r="N91" i="29" s="1"/>
  <c r="N92" i="29" s="1"/>
  <c r="N93" i="29" s="1"/>
  <c r="N94" i="29" s="1"/>
  <c r="N95" i="29" s="1"/>
  <c r="N96" i="29" s="1"/>
  <c r="N97" i="29" s="1"/>
  <c r="N98" i="29" s="1"/>
  <c r="N99" i="29" s="1"/>
  <c r="N100" i="29" s="1"/>
  <c r="N101" i="29" s="1"/>
  <c r="N102" i="29" s="1"/>
  <c r="N103" i="29" s="1"/>
  <c r="N104" i="29" s="1"/>
  <c r="N105" i="29" s="1"/>
  <c r="N106" i="29" s="1"/>
  <c r="N107" i="29" s="1"/>
  <c r="N108" i="29" s="1"/>
  <c r="N109" i="29" s="1"/>
  <c r="N110" i="29" s="1"/>
  <c r="N111" i="29" s="1"/>
  <c r="N112" i="29" s="1"/>
  <c r="N113" i="29" s="1"/>
  <c r="N114" i="29" s="1"/>
  <c r="N115" i="29" s="1"/>
  <c r="N116" i="29" s="1"/>
  <c r="N117" i="29" s="1"/>
  <c r="N118" i="29" s="1"/>
  <c r="N119" i="29" s="1"/>
  <c r="N120" i="29" s="1"/>
  <c r="N121" i="29" s="1"/>
  <c r="N122" i="29" s="1"/>
  <c r="N123" i="29" s="1"/>
  <c r="N124" i="29" s="1"/>
  <c r="N125" i="29" s="1"/>
  <c r="N126" i="29" s="1"/>
  <c r="N127" i="29" s="1"/>
  <c r="N128" i="29" s="1"/>
  <c r="N129" i="29" s="1"/>
  <c r="N130" i="29" s="1"/>
  <c r="N131" i="29" s="1"/>
  <c r="N132" i="29" s="1"/>
  <c r="N133" i="29" s="1"/>
  <c r="N134" i="29" s="1"/>
  <c r="N135" i="29" s="1"/>
  <c r="N136" i="29" s="1"/>
  <c r="N137" i="29" s="1"/>
  <c r="N138" i="29" s="1"/>
  <c r="N139" i="29" s="1"/>
  <c r="N140" i="29" s="1"/>
  <c r="N141" i="29" s="1"/>
  <c r="N142" i="29" s="1"/>
  <c r="N143" i="29" s="1"/>
  <c r="N144" i="29" s="1"/>
  <c r="N145" i="29" s="1"/>
  <c r="N146" i="29" s="1"/>
  <c r="N147" i="29" s="1"/>
  <c r="N148" i="29" s="1"/>
  <c r="N149" i="29" s="1"/>
  <c r="N150" i="29" s="1"/>
  <c r="N151" i="29" s="1"/>
  <c r="N152" i="29" s="1"/>
  <c r="N153" i="29" s="1"/>
  <c r="N154" i="29" s="1"/>
  <c r="N155" i="29" s="1"/>
  <c r="N156" i="29" s="1"/>
  <c r="N157" i="29" s="1"/>
  <c r="N158" i="29" s="1"/>
  <c r="N159" i="29" s="1"/>
  <c r="N160" i="29" s="1"/>
  <c r="N161" i="29" s="1"/>
  <c r="N162" i="29" s="1"/>
  <c r="N163" i="29" s="1"/>
  <c r="N164" i="29" s="1"/>
  <c r="N165" i="29" s="1"/>
  <c r="N166" i="29" s="1"/>
  <c r="N167" i="29" s="1"/>
  <c r="N168" i="29" s="1"/>
  <c r="N169" i="29" s="1"/>
  <c r="N170" i="29" s="1"/>
  <c r="N171" i="29" s="1"/>
  <c r="N172" i="29" s="1"/>
  <c r="N173" i="29" s="1"/>
  <c r="N174" i="29" s="1"/>
  <c r="N175" i="29" s="1"/>
  <c r="N176" i="29" s="1"/>
  <c r="N177" i="29" s="1"/>
  <c r="N178" i="29" s="1"/>
  <c r="N179" i="29" s="1"/>
  <c r="N180" i="29" s="1"/>
  <c r="N181" i="29" s="1"/>
  <c r="N182" i="29" s="1"/>
  <c r="N183" i="29" s="1"/>
  <c r="N184" i="29" s="1"/>
  <c r="N185" i="29" s="1"/>
  <c r="N186" i="29" s="1"/>
  <c r="N187" i="29" s="1"/>
  <c r="N188" i="29" s="1"/>
  <c r="N189" i="29" s="1"/>
  <c r="N190" i="29" s="1"/>
  <c r="N191" i="29" s="1"/>
  <c r="N192" i="29" s="1"/>
  <c r="N193" i="29" s="1"/>
  <c r="N194" i="29" s="1"/>
  <c r="N195" i="29" s="1"/>
  <c r="N196" i="29" s="1"/>
  <c r="N197" i="29" s="1"/>
  <c r="N198" i="29" s="1"/>
  <c r="N199" i="29" s="1"/>
  <c r="N200" i="29" s="1"/>
  <c r="N201" i="29" s="1"/>
  <c r="N202" i="29" s="1"/>
  <c r="N203" i="29" s="1"/>
  <c r="N204" i="29" s="1"/>
  <c r="N205" i="29" s="1"/>
  <c r="N206" i="29" s="1"/>
  <c r="N207" i="29" s="1"/>
  <c r="N208" i="29" s="1"/>
  <c r="N209" i="29" s="1"/>
  <c r="N210" i="29" s="1"/>
  <c r="N211" i="29" s="1"/>
  <c r="N212" i="29" s="1"/>
  <c r="N213" i="29" s="1"/>
  <c r="N214" i="29" s="1"/>
  <c r="N215" i="29" s="1"/>
  <c r="N216" i="29" s="1"/>
  <c r="N217" i="29" s="1"/>
  <c r="N218" i="29" s="1"/>
  <c r="N219" i="29" s="1"/>
  <c r="N220" i="29" s="1"/>
  <c r="N221" i="29" s="1"/>
  <c r="N222" i="29" s="1"/>
  <c r="N223" i="29" s="1"/>
  <c r="N224" i="29" s="1"/>
  <c r="N225" i="29" s="1"/>
  <c r="N226" i="29" s="1"/>
  <c r="N227" i="29" s="1"/>
  <c r="N228" i="29" s="1"/>
  <c r="N229" i="29" s="1"/>
  <c r="N230" i="29" s="1"/>
  <c r="N231" i="29" s="1"/>
  <c r="N232" i="29" s="1"/>
  <c r="N233" i="29" s="1"/>
  <c r="N234" i="29" s="1"/>
  <c r="N235" i="29" s="1"/>
  <c r="N236" i="29" s="1"/>
  <c r="N237" i="29" s="1"/>
  <c r="N238" i="29" s="1"/>
  <c r="N239" i="29" s="1"/>
  <c r="N240" i="29" s="1"/>
  <c r="N241" i="29" s="1"/>
  <c r="N242" i="29" s="1"/>
  <c r="N243" i="29" s="1"/>
  <c r="N244" i="29" s="1"/>
  <c r="N245" i="29" s="1"/>
  <c r="N246" i="29" s="1"/>
  <c r="N247" i="29" s="1"/>
  <c r="N248" i="29" s="1"/>
  <c r="N249" i="29" s="1"/>
  <c r="N250" i="29" s="1"/>
  <c r="N251" i="29" s="1"/>
  <c r="N252" i="29" s="1"/>
  <c r="N253" i="29" s="1"/>
  <c r="N254" i="29" s="1"/>
  <c r="N255" i="29" s="1"/>
  <c r="N256" i="29" s="1"/>
  <c r="N257" i="29" s="1"/>
  <c r="N258" i="29" s="1"/>
  <c r="N259" i="29" s="1"/>
  <c r="N260" i="29" s="1"/>
  <c r="N261" i="29" s="1"/>
  <c r="N262" i="29" s="1"/>
  <c r="N263" i="29" s="1"/>
  <c r="N264" i="29" s="1"/>
  <c r="N265" i="29" s="1"/>
  <c r="N266" i="29" s="1"/>
  <c r="N267" i="29" s="1"/>
  <c r="N268" i="29" s="1"/>
  <c r="N269" i="29" s="1"/>
  <c r="N270" i="29" s="1"/>
  <c r="N271" i="29" s="1"/>
  <c r="N272" i="29" s="1"/>
  <c r="N273" i="29" s="1"/>
  <c r="N274" i="29" s="1"/>
  <c r="N275" i="29" s="1"/>
  <c r="N276" i="29" s="1"/>
  <c r="N277" i="29" s="1"/>
  <c r="N278" i="29" s="1"/>
  <c r="N279" i="29" s="1"/>
  <c r="N280" i="29" s="1"/>
  <c r="N281" i="29" s="1"/>
  <c r="N282" i="29" s="1"/>
  <c r="N283" i="29" s="1"/>
  <c r="N284" i="29" s="1"/>
  <c r="N285" i="29" s="1"/>
  <c r="N286" i="29" s="1"/>
  <c r="N287" i="29" s="1"/>
  <c r="N288" i="29" s="1"/>
  <c r="N289" i="29" s="1"/>
  <c r="N290" i="29" s="1"/>
  <c r="N291" i="29" s="1"/>
  <c r="N292" i="29" s="1"/>
  <c r="N293" i="29" s="1"/>
  <c r="N294" i="29" s="1"/>
  <c r="N295" i="29" s="1"/>
  <c r="N296" i="29" s="1"/>
  <c r="N297" i="29" s="1"/>
  <c r="N298" i="29" s="1"/>
  <c r="N299" i="29" s="1"/>
  <c r="N300" i="29" s="1"/>
  <c r="N301" i="29" s="1"/>
  <c r="N302" i="29" s="1"/>
  <c r="N303" i="29" s="1"/>
  <c r="N304" i="29" s="1"/>
  <c r="N305" i="29" s="1"/>
  <c r="N306" i="29" s="1"/>
  <c r="N307" i="29" s="1"/>
  <c r="N308" i="29" s="1"/>
  <c r="N309" i="29" s="1"/>
  <c r="N310" i="29" s="1"/>
  <c r="N311" i="29" s="1"/>
  <c r="N312" i="29" s="1"/>
  <c r="N313" i="29" s="1"/>
  <c r="N314" i="29" s="1"/>
  <c r="N315" i="29" s="1"/>
  <c r="N316" i="29" s="1"/>
  <c r="N317" i="29" s="1"/>
  <c r="N318" i="29" s="1"/>
  <c r="N319" i="29" s="1"/>
  <c r="N320" i="29" s="1"/>
  <c r="N321" i="29" s="1"/>
  <c r="N322" i="29" s="1"/>
  <c r="N323" i="29" s="1"/>
  <c r="N324" i="29" s="1"/>
  <c r="N325" i="29" s="1"/>
  <c r="N326" i="29" s="1"/>
  <c r="N327" i="29" s="1"/>
  <c r="N328" i="29" s="1"/>
  <c r="N329" i="29" s="1"/>
  <c r="N330" i="29" s="1"/>
  <c r="N331" i="29" s="1"/>
  <c r="N332" i="29" s="1"/>
  <c r="N333" i="29" s="1"/>
  <c r="N334" i="29" s="1"/>
  <c r="N335" i="29" s="1"/>
  <c r="N336" i="29" s="1"/>
  <c r="N337" i="29" s="1"/>
  <c r="N338" i="29" s="1"/>
  <c r="N339" i="29" s="1"/>
  <c r="N340" i="29" s="1"/>
  <c r="N341" i="29" s="1"/>
  <c r="N342" i="29" s="1"/>
  <c r="N343" i="29" s="1"/>
  <c r="N344" i="29" s="1"/>
  <c r="N345" i="29" s="1"/>
  <c r="N346" i="29" s="1"/>
  <c r="N347" i="29" s="1"/>
  <c r="N348" i="29" s="1"/>
  <c r="N349" i="29" s="1"/>
  <c r="N350" i="29" s="1"/>
  <c r="N351" i="29" s="1"/>
  <c r="N352" i="29" s="1"/>
  <c r="N353" i="29" s="1"/>
  <c r="N354" i="29" s="1"/>
  <c r="N355" i="29" s="1"/>
  <c r="N356" i="29" s="1"/>
  <c r="N357" i="29" s="1"/>
  <c r="N358" i="29" s="1"/>
  <c r="N359" i="29" s="1"/>
  <c r="N360" i="29" s="1"/>
  <c r="N361" i="29" s="1"/>
  <c r="N362" i="29" s="1"/>
  <c r="N363" i="29" s="1"/>
  <c r="N364" i="29" s="1"/>
  <c r="N365" i="29" s="1"/>
  <c r="N366" i="29" s="1"/>
  <c r="N367" i="29" s="1"/>
  <c r="N368" i="29" s="1"/>
  <c r="N369" i="29" s="1"/>
  <c r="N370" i="29" s="1"/>
  <c r="Q6" i="29"/>
  <c r="R6" i="29" s="1"/>
  <c r="P7" i="29" s="1"/>
  <c r="K374" i="29"/>
  <c r="K377" i="29"/>
  <c r="K375" i="29"/>
  <c r="K376" i="29"/>
  <c r="P312" i="29" l="1"/>
  <c r="Q312" i="29" s="1"/>
  <c r="R312" i="29" s="1"/>
  <c r="S311" i="29"/>
  <c r="T311" i="29" s="1"/>
  <c r="Q7" i="29"/>
  <c r="R7" i="29" s="1"/>
  <c r="P8" i="29" s="1"/>
  <c r="A26" i="1"/>
  <c r="A25" i="29"/>
  <c r="S6" i="29"/>
  <c r="T6" i="29" s="1"/>
  <c r="K387" i="29"/>
  <c r="P313" i="29" l="1"/>
  <c r="Q313" i="29" s="1"/>
  <c r="R313" i="29" s="1"/>
  <c r="S312" i="29"/>
  <c r="T312" i="29" s="1"/>
  <c r="Q8" i="29"/>
  <c r="R8" i="29" s="1"/>
  <c r="P9" i="29" s="1"/>
  <c r="S7" i="29"/>
  <c r="T7" i="29" s="1"/>
  <c r="Q9" i="29"/>
  <c r="R9" i="29" s="1"/>
  <c r="P10" i="29" s="1"/>
  <c r="A27" i="1"/>
  <c r="A26" i="29"/>
  <c r="P314" i="29" l="1"/>
  <c r="Q314" i="29" s="1"/>
  <c r="R314" i="29" s="1"/>
  <c r="S313" i="29"/>
  <c r="T313" i="29" s="1"/>
  <c r="S8" i="29"/>
  <c r="T8" i="29" s="1"/>
  <c r="S9" i="29"/>
  <c r="T9" i="29" s="1"/>
  <c r="Q10" i="29"/>
  <c r="R10" i="29" s="1"/>
  <c r="P11" i="29" s="1"/>
  <c r="A28" i="1"/>
  <c r="A27" i="29"/>
  <c r="P315" i="29" l="1"/>
  <c r="Q315" i="29" s="1"/>
  <c r="R315" i="29" s="1"/>
  <c r="S314" i="29"/>
  <c r="T314" i="29" s="1"/>
  <c r="Q11" i="29"/>
  <c r="R11" i="29" s="1"/>
  <c r="P12" i="29" s="1"/>
  <c r="S10" i="29"/>
  <c r="T10" i="29" s="1"/>
  <c r="A29" i="1"/>
  <c r="A28" i="29"/>
  <c r="P316" i="29" l="1"/>
  <c r="Q316" i="29" s="1"/>
  <c r="R316" i="29" s="1"/>
  <c r="S315" i="29"/>
  <c r="T315" i="29" s="1"/>
  <c r="Q12" i="29"/>
  <c r="R12" i="29" s="1"/>
  <c r="P13" i="29" s="1"/>
  <c r="S11" i="29"/>
  <c r="T11" i="29" s="1"/>
  <c r="A30" i="1"/>
  <c r="A29" i="29"/>
  <c r="P317" i="29" l="1"/>
  <c r="Q317" i="29" s="1"/>
  <c r="R317" i="29" s="1"/>
  <c r="S316" i="29"/>
  <c r="T316" i="29" s="1"/>
  <c r="Q13" i="29"/>
  <c r="R13" i="29" s="1"/>
  <c r="P14" i="29" s="1"/>
  <c r="S12" i="29"/>
  <c r="T12" i="29" s="1"/>
  <c r="A31" i="1"/>
  <c r="A30" i="29"/>
  <c r="P318" i="29" l="1"/>
  <c r="Q318" i="29" s="1"/>
  <c r="R318" i="29" s="1"/>
  <c r="S317" i="29"/>
  <c r="T317" i="29" s="1"/>
  <c r="S13" i="29"/>
  <c r="T13" i="29" s="1"/>
  <c r="Q14" i="29"/>
  <c r="R14" i="29" s="1"/>
  <c r="P15" i="29" s="1"/>
  <c r="A32" i="1"/>
  <c r="A31" i="29"/>
  <c r="P319" i="29" l="1"/>
  <c r="Q319" i="29" s="1"/>
  <c r="R319" i="29" s="1"/>
  <c r="S318" i="29"/>
  <c r="T318" i="29" s="1"/>
  <c r="S14" i="29"/>
  <c r="T14" i="29" s="1"/>
  <c r="Q15" i="29"/>
  <c r="R15" i="29" s="1"/>
  <c r="P16" i="29" s="1"/>
  <c r="A33" i="1"/>
  <c r="A32" i="29"/>
  <c r="P320" i="29" l="1"/>
  <c r="Q320" i="29" s="1"/>
  <c r="R320" i="29" s="1"/>
  <c r="S319" i="29"/>
  <c r="T319" i="29" s="1"/>
  <c r="Q16" i="29"/>
  <c r="R16" i="29" s="1"/>
  <c r="P17" i="29" s="1"/>
  <c r="S15" i="29"/>
  <c r="T15" i="29" s="1"/>
  <c r="A34" i="1"/>
  <c r="A33" i="29"/>
  <c r="P321" i="29" l="1"/>
  <c r="Q321" i="29" s="1"/>
  <c r="R321" i="29" s="1"/>
  <c r="S320" i="29"/>
  <c r="T320" i="29" s="1"/>
  <c r="Q17" i="29"/>
  <c r="R17" i="29" s="1"/>
  <c r="P18" i="29" s="1"/>
  <c r="S16" i="29"/>
  <c r="T16" i="29" s="1"/>
  <c r="A35" i="1"/>
  <c r="A34" i="29"/>
  <c r="P322" i="29" l="1"/>
  <c r="Q322" i="29" s="1"/>
  <c r="R322" i="29" s="1"/>
  <c r="S321" i="29"/>
  <c r="T321" i="29" s="1"/>
  <c r="S17" i="29"/>
  <c r="T17" i="29" s="1"/>
  <c r="Q18" i="29"/>
  <c r="R18" i="29" s="1"/>
  <c r="P19" i="29" s="1"/>
  <c r="A36" i="1"/>
  <c r="A35" i="29"/>
  <c r="P323" i="29" l="1"/>
  <c r="Q323" i="29" s="1"/>
  <c r="R323" i="29" s="1"/>
  <c r="S322" i="29"/>
  <c r="T322" i="29" s="1"/>
  <c r="S18" i="29"/>
  <c r="T18" i="29" s="1"/>
  <c r="Q19" i="29"/>
  <c r="R19" i="29" s="1"/>
  <c r="P20" i="29" s="1"/>
  <c r="A37" i="1"/>
  <c r="A36" i="29"/>
  <c r="P324" i="29" l="1"/>
  <c r="Q324" i="29" s="1"/>
  <c r="R324" i="29" s="1"/>
  <c r="S323" i="29"/>
  <c r="T323" i="29" s="1"/>
  <c r="Q20" i="29"/>
  <c r="R20" i="29" s="1"/>
  <c r="P21" i="29" s="1"/>
  <c r="S19" i="29"/>
  <c r="T19" i="29" s="1"/>
  <c r="A38" i="1"/>
  <c r="A37" i="29"/>
  <c r="P325" i="29" l="1"/>
  <c r="Q325" i="29" s="1"/>
  <c r="R325" i="29" s="1"/>
  <c r="S324" i="29"/>
  <c r="T324" i="29" s="1"/>
  <c r="Q21" i="29"/>
  <c r="R21" i="29" s="1"/>
  <c r="P22" i="29" s="1"/>
  <c r="S20" i="29"/>
  <c r="T20" i="29" s="1"/>
  <c r="A39" i="1"/>
  <c r="A38" i="29"/>
  <c r="P326" i="29" l="1"/>
  <c r="Q326" i="29" s="1"/>
  <c r="R326" i="29" s="1"/>
  <c r="S325" i="29"/>
  <c r="T325" i="29" s="1"/>
  <c r="S21" i="29"/>
  <c r="T21" i="29" s="1"/>
  <c r="Q22" i="29"/>
  <c r="R22" i="29" s="1"/>
  <c r="P23" i="29" s="1"/>
  <c r="A40" i="1"/>
  <c r="A39" i="29"/>
  <c r="P327" i="29" l="1"/>
  <c r="Q327" i="29" s="1"/>
  <c r="R327" i="29" s="1"/>
  <c r="S326" i="29"/>
  <c r="T326" i="29" s="1"/>
  <c r="Q23" i="29"/>
  <c r="R23" i="29" s="1"/>
  <c r="P24" i="29" s="1"/>
  <c r="S22" i="29"/>
  <c r="T22" i="29" s="1"/>
  <c r="A41" i="1"/>
  <c r="A40" i="29"/>
  <c r="P328" i="29" l="1"/>
  <c r="Q328" i="29" s="1"/>
  <c r="R328" i="29" s="1"/>
  <c r="S327" i="29"/>
  <c r="T327" i="29" s="1"/>
  <c r="Q24" i="29"/>
  <c r="R24" i="29" s="1"/>
  <c r="P25" i="29" s="1"/>
  <c r="S23" i="29"/>
  <c r="T23" i="29" s="1"/>
  <c r="A42" i="1"/>
  <c r="A41" i="29"/>
  <c r="P329" i="29" l="1"/>
  <c r="Q329" i="29" s="1"/>
  <c r="R329" i="29" s="1"/>
  <c r="S328" i="29"/>
  <c r="T328" i="29" s="1"/>
  <c r="Q25" i="29"/>
  <c r="R25" i="29" s="1"/>
  <c r="P26" i="29" s="1"/>
  <c r="S24" i="29"/>
  <c r="T24" i="29" s="1"/>
  <c r="A43" i="1"/>
  <c r="A42" i="29"/>
  <c r="P330" i="29" l="1"/>
  <c r="Q330" i="29" s="1"/>
  <c r="R330" i="29" s="1"/>
  <c r="S329" i="29"/>
  <c r="T329" i="29" s="1"/>
  <c r="S25" i="29"/>
  <c r="T25" i="29" s="1"/>
  <c r="Q26" i="29"/>
  <c r="R26" i="29" s="1"/>
  <c r="P27" i="29" s="1"/>
  <c r="A44" i="1"/>
  <c r="A43" i="29"/>
  <c r="P331" i="29" l="1"/>
  <c r="Q331" i="29" s="1"/>
  <c r="R331" i="29" s="1"/>
  <c r="S330" i="29"/>
  <c r="T330" i="29" s="1"/>
  <c r="S26" i="29"/>
  <c r="T26" i="29" s="1"/>
  <c r="Q27" i="29"/>
  <c r="R27" i="29" s="1"/>
  <c r="P28" i="29" s="1"/>
  <c r="A45" i="1"/>
  <c r="A44" i="29"/>
  <c r="P332" i="29" l="1"/>
  <c r="Q332" i="29" s="1"/>
  <c r="R332" i="29" s="1"/>
  <c r="S331" i="29"/>
  <c r="T331" i="29" s="1"/>
  <c r="Q28" i="29"/>
  <c r="R28" i="29" s="1"/>
  <c r="P29" i="29" s="1"/>
  <c r="S27" i="29"/>
  <c r="T27" i="29" s="1"/>
  <c r="A46" i="1"/>
  <c r="A45" i="29"/>
  <c r="P333" i="29" l="1"/>
  <c r="Q333" i="29" s="1"/>
  <c r="R333" i="29" s="1"/>
  <c r="S332" i="29"/>
  <c r="T332" i="29" s="1"/>
  <c r="Q29" i="29"/>
  <c r="R29" i="29" s="1"/>
  <c r="P30" i="29" s="1"/>
  <c r="S28" i="29"/>
  <c r="T28" i="29" s="1"/>
  <c r="A47" i="1"/>
  <c r="A46" i="29"/>
  <c r="P334" i="29" l="1"/>
  <c r="Q334" i="29" s="1"/>
  <c r="R334" i="29" s="1"/>
  <c r="S333" i="29"/>
  <c r="T333" i="29" s="1"/>
  <c r="S29" i="29"/>
  <c r="T29" i="29" s="1"/>
  <c r="Q30" i="29"/>
  <c r="R30" i="29" s="1"/>
  <c r="P31" i="29" s="1"/>
  <c r="A48" i="1"/>
  <c r="A47" i="29"/>
  <c r="P335" i="29" l="1"/>
  <c r="Q335" i="29" s="1"/>
  <c r="R335" i="29" s="1"/>
  <c r="S334" i="29"/>
  <c r="T334" i="29" s="1"/>
  <c r="S30" i="29"/>
  <c r="T30" i="29" s="1"/>
  <c r="Q31" i="29"/>
  <c r="R31" i="29" s="1"/>
  <c r="P32" i="29" s="1"/>
  <c r="A49" i="1"/>
  <c r="A48" i="29"/>
  <c r="P336" i="29" l="1"/>
  <c r="Q336" i="29" s="1"/>
  <c r="R336" i="29" s="1"/>
  <c r="S335" i="29"/>
  <c r="T335" i="29" s="1"/>
  <c r="Q32" i="29"/>
  <c r="R32" i="29" s="1"/>
  <c r="P33" i="29" s="1"/>
  <c r="S31" i="29"/>
  <c r="T31" i="29" s="1"/>
  <c r="A50" i="1"/>
  <c r="A49" i="29"/>
  <c r="P337" i="29" l="1"/>
  <c r="Q337" i="29" s="1"/>
  <c r="R337" i="29" s="1"/>
  <c r="S336" i="29"/>
  <c r="T336" i="29" s="1"/>
  <c r="Q33" i="29"/>
  <c r="R33" i="29" s="1"/>
  <c r="P34" i="29" s="1"/>
  <c r="S32" i="29"/>
  <c r="T32" i="29" s="1"/>
  <c r="A51" i="1"/>
  <c r="A50" i="29"/>
  <c r="P338" i="29" l="1"/>
  <c r="Q338" i="29" s="1"/>
  <c r="R338" i="29" s="1"/>
  <c r="S337" i="29"/>
  <c r="T337" i="29" s="1"/>
  <c r="S33" i="29"/>
  <c r="T33" i="29" s="1"/>
  <c r="Q34" i="29"/>
  <c r="R34" i="29" s="1"/>
  <c r="P35" i="29" s="1"/>
  <c r="A52" i="1"/>
  <c r="A51" i="29"/>
  <c r="P339" i="29" l="1"/>
  <c r="Q339" i="29" s="1"/>
  <c r="R339" i="29" s="1"/>
  <c r="S338" i="29"/>
  <c r="T338" i="29" s="1"/>
  <c r="Q35" i="29"/>
  <c r="R35" i="29" s="1"/>
  <c r="P36" i="29" s="1"/>
  <c r="S34" i="29"/>
  <c r="T34" i="29" s="1"/>
  <c r="A53" i="1"/>
  <c r="A52" i="29"/>
  <c r="P340" i="29" l="1"/>
  <c r="Q340" i="29" s="1"/>
  <c r="R340" i="29" s="1"/>
  <c r="S339" i="29"/>
  <c r="T339" i="29" s="1"/>
  <c r="Q36" i="29"/>
  <c r="R36" i="29" s="1"/>
  <c r="P37" i="29" s="1"/>
  <c r="S35" i="29"/>
  <c r="T35" i="29" s="1"/>
  <c r="A54" i="1"/>
  <c r="A53" i="29"/>
  <c r="P341" i="29" l="1"/>
  <c r="Q341" i="29" s="1"/>
  <c r="R341" i="29" s="1"/>
  <c r="S340" i="29"/>
  <c r="T340" i="29" s="1"/>
  <c r="Q37" i="29"/>
  <c r="R37" i="29" s="1"/>
  <c r="P38" i="29" s="1"/>
  <c r="S36" i="29"/>
  <c r="T36" i="29" s="1"/>
  <c r="A55" i="1"/>
  <c r="A54" i="29"/>
  <c r="P342" i="29" l="1"/>
  <c r="Q342" i="29" s="1"/>
  <c r="R342" i="29" s="1"/>
  <c r="S341" i="29"/>
  <c r="T341" i="29" s="1"/>
  <c r="Q38" i="29"/>
  <c r="R38" i="29" s="1"/>
  <c r="P39" i="29" s="1"/>
  <c r="S37" i="29"/>
  <c r="T37" i="29" s="1"/>
  <c r="A56" i="1"/>
  <c r="A55" i="29"/>
  <c r="P343" i="29" l="1"/>
  <c r="Q343" i="29" s="1"/>
  <c r="R343" i="29" s="1"/>
  <c r="S342" i="29"/>
  <c r="T342" i="29" s="1"/>
  <c r="S38" i="29"/>
  <c r="T38" i="29" s="1"/>
  <c r="Q39" i="29"/>
  <c r="R39" i="29" s="1"/>
  <c r="P40" i="29" s="1"/>
  <c r="A57" i="1"/>
  <c r="A56" i="29"/>
  <c r="P344" i="29" l="1"/>
  <c r="Q344" i="29" s="1"/>
  <c r="R344" i="29" s="1"/>
  <c r="S343" i="29"/>
  <c r="T343" i="29" s="1"/>
  <c r="Q40" i="29"/>
  <c r="R40" i="29" s="1"/>
  <c r="P41" i="29" s="1"/>
  <c r="S39" i="29"/>
  <c r="T39" i="29" s="1"/>
  <c r="A58" i="1"/>
  <c r="A57" i="29"/>
  <c r="P345" i="29" l="1"/>
  <c r="Q345" i="29" s="1"/>
  <c r="R345" i="29" s="1"/>
  <c r="S344" i="29"/>
  <c r="T344" i="29" s="1"/>
  <c r="Q41" i="29"/>
  <c r="R41" i="29" s="1"/>
  <c r="P42" i="29" s="1"/>
  <c r="S40" i="29"/>
  <c r="T40" i="29" s="1"/>
  <c r="A59" i="1"/>
  <c r="A58" i="29"/>
  <c r="P346" i="29" l="1"/>
  <c r="Q346" i="29" s="1"/>
  <c r="R346" i="29" s="1"/>
  <c r="S345" i="29"/>
  <c r="T345" i="29" s="1"/>
  <c r="S41" i="29"/>
  <c r="T41" i="29" s="1"/>
  <c r="Q42" i="29"/>
  <c r="R42" i="29" s="1"/>
  <c r="P43" i="29" s="1"/>
  <c r="A60" i="1"/>
  <c r="A59" i="29"/>
  <c r="P347" i="29" l="1"/>
  <c r="Q347" i="29" s="1"/>
  <c r="R347" i="29" s="1"/>
  <c r="S346" i="29"/>
  <c r="T346" i="29" s="1"/>
  <c r="Q43" i="29"/>
  <c r="R43" i="29" s="1"/>
  <c r="P44" i="29" s="1"/>
  <c r="S42" i="29"/>
  <c r="T42" i="29" s="1"/>
  <c r="A61" i="1"/>
  <c r="A60" i="29"/>
  <c r="P348" i="29" l="1"/>
  <c r="Q348" i="29" s="1"/>
  <c r="R348" i="29" s="1"/>
  <c r="S347" i="29"/>
  <c r="T347" i="29" s="1"/>
  <c r="Q44" i="29"/>
  <c r="R44" i="29" s="1"/>
  <c r="P45" i="29" s="1"/>
  <c r="S43" i="29"/>
  <c r="T43" i="29" s="1"/>
  <c r="A62" i="1"/>
  <c r="A61" i="29"/>
  <c r="P349" i="29" l="1"/>
  <c r="Q349" i="29" s="1"/>
  <c r="R349" i="29" s="1"/>
  <c r="S348" i="29"/>
  <c r="T348" i="29" s="1"/>
  <c r="Q45" i="29"/>
  <c r="R45" i="29" s="1"/>
  <c r="P46" i="29" s="1"/>
  <c r="S44" i="29"/>
  <c r="T44" i="29" s="1"/>
  <c r="A63" i="1"/>
  <c r="A62" i="29"/>
  <c r="P350" i="29" l="1"/>
  <c r="Q350" i="29" s="1"/>
  <c r="R350" i="29" s="1"/>
  <c r="S349" i="29"/>
  <c r="T349" i="29" s="1"/>
  <c r="Q46" i="29"/>
  <c r="R46" i="29" s="1"/>
  <c r="P47" i="29" s="1"/>
  <c r="S45" i="29"/>
  <c r="T45" i="29" s="1"/>
  <c r="A64" i="1"/>
  <c r="A63" i="29"/>
  <c r="P351" i="29" l="1"/>
  <c r="Q351" i="29" s="1"/>
  <c r="R351" i="29" s="1"/>
  <c r="S350" i="29"/>
  <c r="T350" i="29" s="1"/>
  <c r="Q47" i="29"/>
  <c r="R47" i="29" s="1"/>
  <c r="P48" i="29" s="1"/>
  <c r="S46" i="29"/>
  <c r="T46" i="29" s="1"/>
  <c r="A65" i="1"/>
  <c r="A64" i="29"/>
  <c r="P352" i="29" l="1"/>
  <c r="Q352" i="29" s="1"/>
  <c r="R352" i="29" s="1"/>
  <c r="S351" i="29"/>
  <c r="T351" i="29" s="1"/>
  <c r="Q48" i="29"/>
  <c r="R48" i="29" s="1"/>
  <c r="P49" i="29" s="1"/>
  <c r="S47" i="29"/>
  <c r="T47" i="29" s="1"/>
  <c r="A66" i="1"/>
  <c r="A65" i="29"/>
  <c r="P353" i="29" l="1"/>
  <c r="Q353" i="29" s="1"/>
  <c r="R353" i="29" s="1"/>
  <c r="S352" i="29"/>
  <c r="T352" i="29" s="1"/>
  <c r="S48" i="29"/>
  <c r="T48" i="29" s="1"/>
  <c r="Q49" i="29"/>
  <c r="R49" i="29" s="1"/>
  <c r="P50" i="29" s="1"/>
  <c r="A67" i="1"/>
  <c r="A66" i="29"/>
  <c r="P354" i="29" l="1"/>
  <c r="Q354" i="29" s="1"/>
  <c r="R354" i="29" s="1"/>
  <c r="S353" i="29"/>
  <c r="T353" i="29" s="1"/>
  <c r="Q50" i="29"/>
  <c r="R50" i="29" s="1"/>
  <c r="P51" i="29" s="1"/>
  <c r="S49" i="29"/>
  <c r="T49" i="29" s="1"/>
  <c r="A68" i="1"/>
  <c r="A67" i="29"/>
  <c r="P355" i="29" l="1"/>
  <c r="Q355" i="29" s="1"/>
  <c r="R355" i="29" s="1"/>
  <c r="S354" i="29"/>
  <c r="T354" i="29" s="1"/>
  <c r="Q51" i="29"/>
  <c r="R51" i="29" s="1"/>
  <c r="P52" i="29" s="1"/>
  <c r="S50" i="29"/>
  <c r="T50" i="29" s="1"/>
  <c r="A69" i="1"/>
  <c r="A68" i="29"/>
  <c r="P356" i="29" l="1"/>
  <c r="Q356" i="29" s="1"/>
  <c r="R356" i="29" s="1"/>
  <c r="S355" i="29"/>
  <c r="T355" i="29" s="1"/>
  <c r="Q52" i="29"/>
  <c r="R52" i="29" s="1"/>
  <c r="P53" i="29" s="1"/>
  <c r="S51" i="29"/>
  <c r="T51" i="29" s="1"/>
  <c r="A70" i="1"/>
  <c r="A69" i="29"/>
  <c r="P357" i="29" l="1"/>
  <c r="Q357" i="29" s="1"/>
  <c r="R357" i="29" s="1"/>
  <c r="S356" i="29"/>
  <c r="T356" i="29" s="1"/>
  <c r="Q53" i="29"/>
  <c r="R53" i="29" s="1"/>
  <c r="P54" i="29" s="1"/>
  <c r="S52" i="29"/>
  <c r="T52" i="29" s="1"/>
  <c r="A71" i="1"/>
  <c r="A70" i="29"/>
  <c r="P358" i="29" l="1"/>
  <c r="Q358" i="29" s="1"/>
  <c r="R358" i="29" s="1"/>
  <c r="S357" i="29"/>
  <c r="T357" i="29" s="1"/>
  <c r="Q54" i="29"/>
  <c r="R54" i="29" s="1"/>
  <c r="P55" i="29" s="1"/>
  <c r="S53" i="29"/>
  <c r="T53" i="29" s="1"/>
  <c r="A72" i="1"/>
  <c r="A71" i="29"/>
  <c r="P359" i="29" l="1"/>
  <c r="Q359" i="29" s="1"/>
  <c r="R359" i="29" s="1"/>
  <c r="S358" i="29"/>
  <c r="T358" i="29" s="1"/>
  <c r="Q55" i="29"/>
  <c r="R55" i="29" s="1"/>
  <c r="P56" i="29" s="1"/>
  <c r="S54" i="29"/>
  <c r="T54" i="29" s="1"/>
  <c r="A73" i="1"/>
  <c r="A72" i="29"/>
  <c r="P360" i="29" l="1"/>
  <c r="Q360" i="29" s="1"/>
  <c r="R360" i="29" s="1"/>
  <c r="S359" i="29"/>
  <c r="T359" i="29" s="1"/>
  <c r="Q56" i="29"/>
  <c r="R56" i="29" s="1"/>
  <c r="P57" i="29" s="1"/>
  <c r="S55" i="29"/>
  <c r="T55" i="29" s="1"/>
  <c r="A74" i="1"/>
  <c r="A73" i="29"/>
  <c r="P361" i="29" l="1"/>
  <c r="Q361" i="29" s="1"/>
  <c r="R361" i="29" s="1"/>
  <c r="S360" i="29"/>
  <c r="T360" i="29" s="1"/>
  <c r="Q57" i="29"/>
  <c r="R57" i="29" s="1"/>
  <c r="P58" i="29" s="1"/>
  <c r="S56" i="29"/>
  <c r="T56" i="29" s="1"/>
  <c r="A75" i="1"/>
  <c r="A74" i="29"/>
  <c r="P362" i="29" l="1"/>
  <c r="Q362" i="29" s="1"/>
  <c r="R362" i="29" s="1"/>
  <c r="S361" i="29"/>
  <c r="T361" i="29" s="1"/>
  <c r="Q58" i="29"/>
  <c r="R58" i="29" s="1"/>
  <c r="P59" i="29" s="1"/>
  <c r="S57" i="29"/>
  <c r="T57" i="29" s="1"/>
  <c r="A76" i="1"/>
  <c r="A75" i="29"/>
  <c r="P363" i="29" l="1"/>
  <c r="Q363" i="29" s="1"/>
  <c r="R363" i="29" s="1"/>
  <c r="S362" i="29"/>
  <c r="T362" i="29" s="1"/>
  <c r="Q59" i="29"/>
  <c r="R59" i="29" s="1"/>
  <c r="P60" i="29" s="1"/>
  <c r="S58" i="29"/>
  <c r="T58" i="29" s="1"/>
  <c r="A77" i="1"/>
  <c r="A76" i="29"/>
  <c r="P364" i="29" l="1"/>
  <c r="Q364" i="29" s="1"/>
  <c r="R364" i="29" s="1"/>
  <c r="S363" i="29"/>
  <c r="T363" i="29" s="1"/>
  <c r="S59" i="29"/>
  <c r="T59" i="29" s="1"/>
  <c r="Q60" i="29"/>
  <c r="R60" i="29" s="1"/>
  <c r="P61" i="29" s="1"/>
  <c r="A78" i="1"/>
  <c r="A77" i="29"/>
  <c r="P365" i="29" l="1"/>
  <c r="Q365" i="29" s="1"/>
  <c r="R365" i="29" s="1"/>
  <c r="S364" i="29"/>
  <c r="T364" i="29" s="1"/>
  <c r="Q61" i="29"/>
  <c r="R61" i="29" s="1"/>
  <c r="P62" i="29" s="1"/>
  <c r="S60" i="29"/>
  <c r="T60" i="29" s="1"/>
  <c r="A79" i="1"/>
  <c r="A78" i="29"/>
  <c r="P366" i="29" l="1"/>
  <c r="Q366" i="29" s="1"/>
  <c r="R366" i="29" s="1"/>
  <c r="S365" i="29"/>
  <c r="T365" i="29" s="1"/>
  <c r="S61" i="29"/>
  <c r="T61" i="29" s="1"/>
  <c r="Q62" i="29"/>
  <c r="R62" i="29" s="1"/>
  <c r="P63" i="29" s="1"/>
  <c r="A80" i="1"/>
  <c r="A79" i="29"/>
  <c r="P367" i="29" l="1"/>
  <c r="Q367" i="29" s="1"/>
  <c r="R367" i="29" s="1"/>
  <c r="S366" i="29"/>
  <c r="T366" i="29" s="1"/>
  <c r="Q63" i="29"/>
  <c r="R63" i="29" s="1"/>
  <c r="P64" i="29" s="1"/>
  <c r="S62" i="29"/>
  <c r="T62" i="29" s="1"/>
  <c r="A81" i="1"/>
  <c r="A80" i="29"/>
  <c r="P368" i="29" l="1"/>
  <c r="Q368" i="29" s="1"/>
  <c r="R368" i="29" s="1"/>
  <c r="S367" i="29"/>
  <c r="T367" i="29" s="1"/>
  <c r="S63" i="29"/>
  <c r="T63" i="29" s="1"/>
  <c r="Q64" i="29"/>
  <c r="R64" i="29" s="1"/>
  <c r="P65" i="29" s="1"/>
  <c r="A82" i="1"/>
  <c r="A81" i="29"/>
  <c r="P369" i="29" l="1"/>
  <c r="Q369" i="29" s="1"/>
  <c r="R369" i="29" s="1"/>
  <c r="S368" i="29"/>
  <c r="T368" i="29" s="1"/>
  <c r="Q65" i="29"/>
  <c r="R65" i="29" s="1"/>
  <c r="P66" i="29" s="1"/>
  <c r="S64" i="29"/>
  <c r="T64" i="29" s="1"/>
  <c r="A83" i="1"/>
  <c r="A82" i="29"/>
  <c r="P370" i="29" l="1"/>
  <c r="Q370" i="29" s="1"/>
  <c r="R370" i="29" s="1"/>
  <c r="S370" i="29" s="1"/>
  <c r="T370" i="29" s="1"/>
  <c r="S369" i="29"/>
  <c r="T369" i="29" s="1"/>
  <c r="Q66" i="29"/>
  <c r="R66" i="29" s="1"/>
  <c r="P67" i="29" s="1"/>
  <c r="S65" i="29"/>
  <c r="T65" i="29" s="1"/>
  <c r="A84" i="1"/>
  <c r="A83" i="29"/>
  <c r="Q67" i="29" l="1"/>
  <c r="R67" i="29" s="1"/>
  <c r="P68" i="29" s="1"/>
  <c r="S66" i="29"/>
  <c r="T66" i="29" s="1"/>
  <c r="A85" i="1"/>
  <c r="A84" i="29"/>
  <c r="S67" i="29" l="1"/>
  <c r="T67" i="29" s="1"/>
  <c r="Q68" i="29"/>
  <c r="R68" i="29" s="1"/>
  <c r="P69" i="29" s="1"/>
  <c r="A86" i="1"/>
  <c r="A85" i="29"/>
  <c r="Q69" i="29" l="1"/>
  <c r="R69" i="29" s="1"/>
  <c r="P70" i="29" s="1"/>
  <c r="S68" i="29"/>
  <c r="T68" i="29" s="1"/>
  <c r="A87" i="1"/>
  <c r="A86" i="29"/>
  <c r="Q70" i="29" l="1"/>
  <c r="R70" i="29" s="1"/>
  <c r="P71" i="29" s="1"/>
  <c r="S69" i="29"/>
  <c r="T69" i="29" s="1"/>
  <c r="A88" i="1"/>
  <c r="A87" i="29"/>
  <c r="Q71" i="29" l="1"/>
  <c r="R71" i="29" s="1"/>
  <c r="P72" i="29" s="1"/>
  <c r="S70" i="29"/>
  <c r="T70" i="29" s="1"/>
  <c r="A89" i="1"/>
  <c r="A88" i="29"/>
  <c r="S71" i="29" l="1"/>
  <c r="T71" i="29" s="1"/>
  <c r="Q72" i="29"/>
  <c r="R72" i="29" s="1"/>
  <c r="P73" i="29" s="1"/>
  <c r="A90" i="1"/>
  <c r="A89" i="29"/>
  <c r="Q73" i="29" l="1"/>
  <c r="R73" i="29" s="1"/>
  <c r="P74" i="29" s="1"/>
  <c r="S72" i="29"/>
  <c r="T72" i="29" s="1"/>
  <c r="A91" i="1"/>
  <c r="A90" i="29"/>
  <c r="Q74" i="29" l="1"/>
  <c r="R74" i="29" s="1"/>
  <c r="P75" i="29" s="1"/>
  <c r="S73" i="29"/>
  <c r="T73" i="29" s="1"/>
  <c r="A92" i="1"/>
  <c r="A91" i="29"/>
  <c r="Q75" i="29" l="1"/>
  <c r="R75" i="29" s="1"/>
  <c r="P76" i="29" s="1"/>
  <c r="S74" i="29"/>
  <c r="T74" i="29" s="1"/>
  <c r="A93" i="1"/>
  <c r="A92" i="29"/>
  <c r="S75" i="29" l="1"/>
  <c r="T75" i="29" s="1"/>
  <c r="Q76" i="29"/>
  <c r="R76" i="29" s="1"/>
  <c r="P77" i="29" s="1"/>
  <c r="A94" i="1"/>
  <c r="A93" i="29"/>
  <c r="Q77" i="29" l="1"/>
  <c r="R77" i="29" s="1"/>
  <c r="P78" i="29" s="1"/>
  <c r="S76" i="29"/>
  <c r="T76" i="29" s="1"/>
  <c r="A95" i="1"/>
  <c r="A94" i="29"/>
  <c r="S77" i="29" l="1"/>
  <c r="T77" i="29" s="1"/>
  <c r="Q78" i="29"/>
  <c r="R78" i="29" s="1"/>
  <c r="P79" i="29" s="1"/>
  <c r="A96" i="1"/>
  <c r="A95" i="29"/>
  <c r="Q79" i="29" l="1"/>
  <c r="R79" i="29" s="1"/>
  <c r="P80" i="29" s="1"/>
  <c r="S78" i="29"/>
  <c r="T78" i="29" s="1"/>
  <c r="A97" i="1"/>
  <c r="A96" i="29"/>
  <c r="S79" i="29" l="1"/>
  <c r="T79" i="29" s="1"/>
  <c r="Q80" i="29"/>
  <c r="R80" i="29" s="1"/>
  <c r="P81" i="29" s="1"/>
  <c r="A98" i="1"/>
  <c r="A97" i="29"/>
  <c r="Q81" i="29" l="1"/>
  <c r="R81" i="29" s="1"/>
  <c r="P82" i="29" s="1"/>
  <c r="S80" i="29"/>
  <c r="T80" i="29" s="1"/>
  <c r="A99" i="1"/>
  <c r="A98" i="29"/>
  <c r="Q82" i="29" l="1"/>
  <c r="R82" i="29" s="1"/>
  <c r="P83" i="29" s="1"/>
  <c r="S81" i="29"/>
  <c r="T81" i="29" s="1"/>
  <c r="A100" i="1"/>
  <c r="A99" i="29"/>
  <c r="Q83" i="29" l="1"/>
  <c r="R83" i="29" s="1"/>
  <c r="P84" i="29" s="1"/>
  <c r="S82" i="29"/>
  <c r="T82" i="29" s="1"/>
  <c r="A101" i="1"/>
  <c r="A100" i="29"/>
  <c r="S83" i="29" l="1"/>
  <c r="T83" i="29" s="1"/>
  <c r="Q84" i="29"/>
  <c r="R84" i="29" s="1"/>
  <c r="P85" i="29" s="1"/>
  <c r="A102" i="1"/>
  <c r="A101" i="29"/>
  <c r="Q85" i="29" l="1"/>
  <c r="R85" i="29" s="1"/>
  <c r="P86" i="29" s="1"/>
  <c r="S84" i="29"/>
  <c r="T84" i="29" s="1"/>
  <c r="A103" i="1"/>
  <c r="A102" i="29"/>
  <c r="S85" i="29" l="1"/>
  <c r="T85" i="29" s="1"/>
  <c r="Q86" i="29"/>
  <c r="R86" i="29" s="1"/>
  <c r="P87" i="29" s="1"/>
  <c r="A104" i="1"/>
  <c r="A103" i="29"/>
  <c r="Q87" i="29" l="1"/>
  <c r="R87" i="29" s="1"/>
  <c r="P88" i="29" s="1"/>
  <c r="S86" i="29"/>
  <c r="T86" i="29" s="1"/>
  <c r="A105" i="1"/>
  <c r="A104" i="29"/>
  <c r="S87" i="29" l="1"/>
  <c r="T87" i="29" s="1"/>
  <c r="Q88" i="29"/>
  <c r="R88" i="29" s="1"/>
  <c r="P89" i="29" s="1"/>
  <c r="A106" i="1"/>
  <c r="A105" i="29"/>
  <c r="Q89" i="29" l="1"/>
  <c r="R89" i="29" s="1"/>
  <c r="P90" i="29" s="1"/>
  <c r="S88" i="29"/>
  <c r="T88" i="29" s="1"/>
  <c r="A107" i="1"/>
  <c r="A106" i="29"/>
  <c r="Q90" i="29" l="1"/>
  <c r="R90" i="29" s="1"/>
  <c r="P91" i="29" s="1"/>
  <c r="S89" i="29"/>
  <c r="T89" i="29" s="1"/>
  <c r="A108" i="1"/>
  <c r="A107" i="29"/>
  <c r="Q91" i="29" l="1"/>
  <c r="R91" i="29" s="1"/>
  <c r="P92" i="29" s="1"/>
  <c r="S90" i="29"/>
  <c r="T90" i="29" s="1"/>
  <c r="A109" i="1"/>
  <c r="A108" i="29"/>
  <c r="S91" i="29" l="1"/>
  <c r="T91" i="29" s="1"/>
  <c r="Q92" i="29"/>
  <c r="R92" i="29" s="1"/>
  <c r="P93" i="29" s="1"/>
  <c r="A110" i="1"/>
  <c r="A109" i="29"/>
  <c r="Q93" i="29" l="1"/>
  <c r="R93" i="29" s="1"/>
  <c r="P94" i="29" s="1"/>
  <c r="S92" i="29"/>
  <c r="T92" i="29" s="1"/>
  <c r="A111" i="1"/>
  <c r="A110" i="29"/>
  <c r="Q94" i="29" l="1"/>
  <c r="R94" i="29" s="1"/>
  <c r="P95" i="29" s="1"/>
  <c r="S93" i="29"/>
  <c r="T93" i="29" s="1"/>
  <c r="A112" i="1"/>
  <c r="A111" i="29"/>
  <c r="Q95" i="29" l="1"/>
  <c r="R95" i="29" s="1"/>
  <c r="P96" i="29" s="1"/>
  <c r="S94" i="29"/>
  <c r="T94" i="29" s="1"/>
  <c r="A113" i="1"/>
  <c r="A112" i="29"/>
  <c r="S95" i="29" l="1"/>
  <c r="T95" i="29" s="1"/>
  <c r="Q96" i="29"/>
  <c r="R96" i="29" s="1"/>
  <c r="P97" i="29" s="1"/>
  <c r="A114" i="1"/>
  <c r="A113" i="29"/>
  <c r="Q97" i="29" l="1"/>
  <c r="R97" i="29" s="1"/>
  <c r="P98" i="29" s="1"/>
  <c r="S96" i="29"/>
  <c r="T96" i="29" s="1"/>
  <c r="A115" i="1"/>
  <c r="A114" i="29"/>
  <c r="Q98" i="29" l="1"/>
  <c r="R98" i="29" s="1"/>
  <c r="P99" i="29" s="1"/>
  <c r="S97" i="29"/>
  <c r="T97" i="29" s="1"/>
  <c r="A116" i="1"/>
  <c r="A115" i="29"/>
  <c r="S98" i="29" l="1"/>
  <c r="T98" i="29" s="1"/>
  <c r="Q99" i="29"/>
  <c r="R99" i="29" s="1"/>
  <c r="P100" i="29" s="1"/>
  <c r="A117" i="1"/>
  <c r="A116" i="29"/>
  <c r="S99" i="29" l="1"/>
  <c r="T99" i="29" s="1"/>
  <c r="Q100" i="29"/>
  <c r="R100" i="29" s="1"/>
  <c r="P101" i="29" s="1"/>
  <c r="A118" i="1"/>
  <c r="A117" i="29"/>
  <c r="Q101" i="29" l="1"/>
  <c r="R101" i="29" s="1"/>
  <c r="P102" i="29" s="1"/>
  <c r="S100" i="29"/>
  <c r="T100" i="29" s="1"/>
  <c r="A119" i="1"/>
  <c r="A118" i="29"/>
  <c r="Q102" i="29" l="1"/>
  <c r="R102" i="29" s="1"/>
  <c r="P103" i="29" s="1"/>
  <c r="S101" i="29"/>
  <c r="T101" i="29" s="1"/>
  <c r="A120" i="1"/>
  <c r="A119" i="29"/>
  <c r="Q103" i="29" l="1"/>
  <c r="R103" i="29" s="1"/>
  <c r="P104" i="29" s="1"/>
  <c r="S102" i="29"/>
  <c r="T102" i="29" s="1"/>
  <c r="A121" i="1"/>
  <c r="A120" i="29"/>
  <c r="S103" i="29" l="1"/>
  <c r="T103" i="29" s="1"/>
  <c r="Q104" i="29"/>
  <c r="R104" i="29" s="1"/>
  <c r="P105" i="29" s="1"/>
  <c r="A122" i="1"/>
  <c r="A121" i="29"/>
  <c r="Q105" i="29" l="1"/>
  <c r="R105" i="29" s="1"/>
  <c r="P106" i="29" s="1"/>
  <c r="S104" i="29"/>
  <c r="T104" i="29" s="1"/>
  <c r="A123" i="1"/>
  <c r="A122" i="29"/>
  <c r="Q106" i="29" l="1"/>
  <c r="R106" i="29" s="1"/>
  <c r="P107" i="29" s="1"/>
  <c r="S105" i="29"/>
  <c r="T105" i="29" s="1"/>
  <c r="A124" i="1"/>
  <c r="A123" i="29"/>
  <c r="S106" i="29" l="1"/>
  <c r="T106" i="29" s="1"/>
  <c r="Q107" i="29"/>
  <c r="R107" i="29" s="1"/>
  <c r="P108" i="29" s="1"/>
  <c r="A125" i="1"/>
  <c r="A124" i="29"/>
  <c r="Q108" i="29" l="1"/>
  <c r="R108" i="29" s="1"/>
  <c r="P109" i="29" s="1"/>
  <c r="S107" i="29"/>
  <c r="T107" i="29" s="1"/>
  <c r="A126" i="1"/>
  <c r="A125" i="29"/>
  <c r="S108" i="29" l="1"/>
  <c r="T108" i="29" s="1"/>
  <c r="Q109" i="29"/>
  <c r="R109" i="29" s="1"/>
  <c r="P110" i="29" s="1"/>
  <c r="A127" i="1"/>
  <c r="A126" i="29"/>
  <c r="Q110" i="29" l="1"/>
  <c r="R110" i="29" s="1"/>
  <c r="P111" i="29" s="1"/>
  <c r="S109" i="29"/>
  <c r="T109" i="29" s="1"/>
  <c r="A128" i="1"/>
  <c r="A127" i="29"/>
  <c r="Q111" i="29" l="1"/>
  <c r="R111" i="29" s="1"/>
  <c r="P112" i="29" s="1"/>
  <c r="S110" i="29"/>
  <c r="T110" i="29" s="1"/>
  <c r="A129" i="1"/>
  <c r="A128" i="29"/>
  <c r="Q112" i="29" l="1"/>
  <c r="R112" i="29" s="1"/>
  <c r="P113" i="29" s="1"/>
  <c r="S111" i="29"/>
  <c r="T111" i="29" s="1"/>
  <c r="A130" i="1"/>
  <c r="A129" i="29"/>
  <c r="S112" i="29" l="1"/>
  <c r="T112" i="29" s="1"/>
  <c r="Q113" i="29"/>
  <c r="R113" i="29" s="1"/>
  <c r="P114" i="29" s="1"/>
  <c r="A131" i="1"/>
  <c r="A130" i="29"/>
  <c r="Q114" i="29" l="1"/>
  <c r="R114" i="29" s="1"/>
  <c r="P115" i="29" s="1"/>
  <c r="S113" i="29"/>
  <c r="T113" i="29" s="1"/>
  <c r="A132" i="1"/>
  <c r="A131" i="29"/>
  <c r="S114" i="29" l="1"/>
  <c r="T114" i="29" s="1"/>
  <c r="Q115" i="29"/>
  <c r="R115" i="29" s="1"/>
  <c r="P116" i="29" s="1"/>
  <c r="A133" i="1"/>
  <c r="A132" i="29"/>
  <c r="Q116" i="29" l="1"/>
  <c r="R116" i="29" s="1"/>
  <c r="P117" i="29" s="1"/>
  <c r="S115" i="29"/>
  <c r="T115" i="29" s="1"/>
  <c r="A134" i="1"/>
  <c r="A133" i="29"/>
  <c r="S116" i="29" l="1"/>
  <c r="T116" i="29" s="1"/>
  <c r="Q117" i="29"/>
  <c r="R117" i="29" s="1"/>
  <c r="P118" i="29" s="1"/>
  <c r="A135" i="1"/>
  <c r="A134" i="29"/>
  <c r="S117" i="29" l="1"/>
  <c r="T117" i="29" s="1"/>
  <c r="Q118" i="29"/>
  <c r="R118" i="29" s="1"/>
  <c r="P119" i="29" s="1"/>
  <c r="A136" i="1"/>
  <c r="A135" i="29"/>
  <c r="Q119" i="29" l="1"/>
  <c r="R119" i="29" s="1"/>
  <c r="P120" i="29" s="1"/>
  <c r="S118" i="29"/>
  <c r="T118" i="29" s="1"/>
  <c r="A137" i="1"/>
  <c r="A136" i="29"/>
  <c r="Q120" i="29" l="1"/>
  <c r="R120" i="29" s="1"/>
  <c r="P121" i="29" s="1"/>
  <c r="S119" i="29"/>
  <c r="T119" i="29" s="1"/>
  <c r="A138" i="1"/>
  <c r="A137" i="29"/>
  <c r="S120" i="29" l="1"/>
  <c r="T120" i="29" s="1"/>
  <c r="Q121" i="29"/>
  <c r="R121" i="29" s="1"/>
  <c r="P122" i="29" s="1"/>
  <c r="A139" i="1"/>
  <c r="A138" i="29"/>
  <c r="Q122" i="29" l="1"/>
  <c r="R122" i="29" s="1"/>
  <c r="P123" i="29" s="1"/>
  <c r="S121" i="29"/>
  <c r="T121" i="29" s="1"/>
  <c r="A140" i="1"/>
  <c r="A139" i="29"/>
  <c r="Q123" i="29" l="1"/>
  <c r="R123" i="29" s="1"/>
  <c r="P124" i="29" s="1"/>
  <c r="S122" i="29"/>
  <c r="T122" i="29" s="1"/>
  <c r="A141" i="1"/>
  <c r="A140" i="29"/>
  <c r="S123" i="29" l="1"/>
  <c r="T123" i="29" s="1"/>
  <c r="Q124" i="29"/>
  <c r="R124" i="29" s="1"/>
  <c r="P125" i="29" s="1"/>
  <c r="A142" i="1"/>
  <c r="A141" i="29"/>
  <c r="S124" i="29" l="1"/>
  <c r="T124" i="29" s="1"/>
  <c r="Q125" i="29"/>
  <c r="R125" i="29" s="1"/>
  <c r="P126" i="29" s="1"/>
  <c r="A143" i="1"/>
  <c r="A142" i="29"/>
  <c r="Q126" i="29" l="1"/>
  <c r="R126" i="29" s="1"/>
  <c r="P127" i="29" s="1"/>
  <c r="S125" i="29"/>
  <c r="T125" i="29" s="1"/>
  <c r="A144" i="1"/>
  <c r="A143" i="29"/>
  <c r="Q127" i="29" l="1"/>
  <c r="R127" i="29" s="1"/>
  <c r="P128" i="29" s="1"/>
  <c r="S126" i="29"/>
  <c r="T126" i="29" s="1"/>
  <c r="A145" i="1"/>
  <c r="A144" i="29"/>
  <c r="Q128" i="29" l="1"/>
  <c r="R128" i="29" s="1"/>
  <c r="P129" i="29" s="1"/>
  <c r="S127" i="29"/>
  <c r="T127" i="29" s="1"/>
  <c r="A146" i="1"/>
  <c r="A145" i="29"/>
  <c r="S128" i="29" l="1"/>
  <c r="T128" i="29" s="1"/>
  <c r="Q129" i="29"/>
  <c r="R129" i="29" s="1"/>
  <c r="P130" i="29" s="1"/>
  <c r="A147" i="1"/>
  <c r="A146" i="29"/>
  <c r="Q130" i="29" l="1"/>
  <c r="R130" i="29" s="1"/>
  <c r="P131" i="29" s="1"/>
  <c r="S129" i="29"/>
  <c r="T129" i="29" s="1"/>
  <c r="A148" i="1"/>
  <c r="A147" i="29"/>
  <c r="Q131" i="29" l="1"/>
  <c r="R131" i="29" s="1"/>
  <c r="P132" i="29" s="1"/>
  <c r="S130" i="29"/>
  <c r="T130" i="29" s="1"/>
  <c r="A149" i="1"/>
  <c r="A148" i="29"/>
  <c r="Q132" i="29" l="1"/>
  <c r="R132" i="29" s="1"/>
  <c r="P133" i="29" s="1"/>
  <c r="S131" i="29"/>
  <c r="T131" i="29" s="1"/>
  <c r="A150" i="1"/>
  <c r="A149" i="29"/>
  <c r="S132" i="29" l="1"/>
  <c r="T132" i="29" s="1"/>
  <c r="Q133" i="29"/>
  <c r="R133" i="29" s="1"/>
  <c r="P134" i="29" s="1"/>
  <c r="A151" i="1"/>
  <c r="A150" i="29"/>
  <c r="Q134" i="29" l="1"/>
  <c r="R134" i="29" s="1"/>
  <c r="P135" i="29" s="1"/>
  <c r="S133" i="29"/>
  <c r="T133" i="29" s="1"/>
  <c r="A152" i="1"/>
  <c r="A151" i="29"/>
  <c r="Q135" i="29" l="1"/>
  <c r="R135" i="29" s="1"/>
  <c r="P136" i="29" s="1"/>
  <c r="S134" i="29"/>
  <c r="T134" i="29" s="1"/>
  <c r="A153" i="1"/>
  <c r="A152" i="29"/>
  <c r="Q136" i="29" l="1"/>
  <c r="R136" i="29" s="1"/>
  <c r="P137" i="29" s="1"/>
  <c r="S135" i="29"/>
  <c r="T135" i="29" s="1"/>
  <c r="A154" i="1"/>
  <c r="A153" i="29"/>
  <c r="S136" i="29" l="1"/>
  <c r="T136" i="29" s="1"/>
  <c r="Q137" i="29"/>
  <c r="R137" i="29" s="1"/>
  <c r="P138" i="29" s="1"/>
  <c r="A155" i="1"/>
  <c r="A154" i="29"/>
  <c r="Q138" i="29" l="1"/>
  <c r="R138" i="29" s="1"/>
  <c r="P139" i="29" s="1"/>
  <c r="S137" i="29"/>
  <c r="T137" i="29" s="1"/>
  <c r="A156" i="1"/>
  <c r="A155" i="29"/>
  <c r="Q139" i="29" l="1"/>
  <c r="R139" i="29" s="1"/>
  <c r="P140" i="29" s="1"/>
  <c r="S138" i="29"/>
  <c r="T138" i="29" s="1"/>
  <c r="A157" i="1"/>
  <c r="A156" i="29"/>
  <c r="Q140" i="29" l="1"/>
  <c r="R140" i="29" s="1"/>
  <c r="S139" i="29"/>
  <c r="T139" i="29" s="1"/>
  <c r="A158" i="1"/>
  <c r="A157" i="29"/>
  <c r="S140" i="29" l="1"/>
  <c r="T140" i="29" s="1"/>
  <c r="S141" i="29"/>
  <c r="T141" i="29" s="1"/>
  <c r="A159" i="1"/>
  <c r="A158" i="29"/>
  <c r="A160" i="1" l="1"/>
  <c r="A159" i="29"/>
  <c r="A161" i="1" l="1"/>
  <c r="A160" i="29"/>
  <c r="A162" i="1" l="1"/>
  <c r="A161" i="29"/>
  <c r="A163" i="1" l="1"/>
  <c r="A162" i="29"/>
  <c r="A164" i="1" l="1"/>
  <c r="A163" i="29"/>
  <c r="A165" i="1" l="1"/>
  <c r="A164" i="29"/>
  <c r="A166" i="1" l="1"/>
  <c r="A165" i="29"/>
  <c r="A167" i="1" l="1"/>
  <c r="A166" i="29"/>
  <c r="A168" i="1" l="1"/>
  <c r="A167" i="29"/>
  <c r="A169" i="1" l="1"/>
  <c r="A168" i="29"/>
  <c r="A170" i="1" l="1"/>
  <c r="A169" i="29"/>
  <c r="A171" i="1" l="1"/>
  <c r="A170" i="29"/>
  <c r="A172" i="1" l="1"/>
  <c r="A171" i="29"/>
  <c r="A173" i="1" l="1"/>
  <c r="A172" i="29"/>
  <c r="A174" i="1" l="1"/>
  <c r="A173" i="29"/>
  <c r="A175" i="1" l="1"/>
  <c r="A174" i="29"/>
  <c r="A176" i="1" l="1"/>
  <c r="A175" i="29"/>
  <c r="A177" i="1" l="1"/>
  <c r="A176" i="29"/>
  <c r="A178" i="1" l="1"/>
  <c r="A177" i="29"/>
  <c r="A179" i="1" l="1"/>
  <c r="A178" i="29"/>
  <c r="A180" i="1" l="1"/>
  <c r="A179" i="29"/>
  <c r="A181" i="1" l="1"/>
  <c r="A180" i="29"/>
  <c r="A182" i="1" l="1"/>
  <c r="A181" i="29"/>
  <c r="A183" i="1" l="1"/>
  <c r="A182" i="29"/>
  <c r="A184" i="1" l="1"/>
  <c r="A183" i="29"/>
  <c r="A185" i="1" l="1"/>
  <c r="A184" i="29"/>
  <c r="A186" i="1" l="1"/>
  <c r="A185" i="29"/>
  <c r="A187" i="1" l="1"/>
  <c r="A186" i="29"/>
  <c r="A188" i="1" l="1"/>
  <c r="A187" i="29"/>
  <c r="A189" i="1" l="1"/>
  <c r="A188" i="29"/>
  <c r="A190" i="1" l="1"/>
  <c r="A189" i="29"/>
  <c r="A191" i="1" l="1"/>
  <c r="A190" i="29"/>
  <c r="A192" i="1" l="1"/>
  <c r="A191" i="29"/>
  <c r="A193" i="1" l="1"/>
  <c r="A192" i="29"/>
  <c r="A194" i="1" l="1"/>
  <c r="A193" i="29"/>
  <c r="A195" i="1" l="1"/>
  <c r="A194" i="29"/>
  <c r="A196" i="1" l="1"/>
  <c r="A195" i="29"/>
  <c r="A197" i="1" l="1"/>
  <c r="A196" i="29"/>
  <c r="A198" i="1" l="1"/>
  <c r="A197" i="29"/>
  <c r="A199" i="1" l="1"/>
  <c r="A198" i="29"/>
  <c r="A200" i="1" l="1"/>
  <c r="A199" i="29"/>
  <c r="A201" i="1" l="1"/>
  <c r="A200" i="29"/>
  <c r="A202" i="1" l="1"/>
  <c r="A201" i="29"/>
  <c r="A203" i="1" l="1"/>
  <c r="A202" i="29"/>
  <c r="A204" i="1" l="1"/>
  <c r="A203" i="29"/>
  <c r="A205" i="1" l="1"/>
  <c r="A204" i="29"/>
  <c r="A206" i="1" l="1"/>
  <c r="A205" i="29"/>
  <c r="A207" i="1" l="1"/>
  <c r="A206" i="29"/>
  <c r="A208" i="1" l="1"/>
  <c r="A207" i="29"/>
  <c r="A209" i="1" l="1"/>
  <c r="A208" i="29"/>
  <c r="A210" i="1" l="1"/>
  <c r="A209" i="29"/>
  <c r="A211" i="1" l="1"/>
  <c r="A210" i="29"/>
  <c r="A212" i="1" l="1"/>
  <c r="A211" i="29"/>
  <c r="A213" i="1" l="1"/>
  <c r="A212" i="29"/>
  <c r="A214" i="1" l="1"/>
  <c r="A213" i="29"/>
  <c r="A215" i="1" l="1"/>
  <c r="A214" i="29"/>
  <c r="A216" i="1" l="1"/>
  <c r="A215" i="29"/>
  <c r="A217" i="1" l="1"/>
  <c r="A216" i="29"/>
  <c r="A218" i="1" l="1"/>
  <c r="A217" i="29"/>
  <c r="A219" i="1" l="1"/>
  <c r="A218" i="29"/>
  <c r="A220" i="1" l="1"/>
  <c r="A219" i="29"/>
  <c r="A221" i="1" l="1"/>
  <c r="A220" i="29"/>
  <c r="A222" i="1" l="1"/>
  <c r="A221" i="29"/>
  <c r="A223" i="1" l="1"/>
  <c r="A222" i="29"/>
  <c r="A224" i="1" l="1"/>
  <c r="A223" i="29"/>
  <c r="A225" i="1" l="1"/>
  <c r="A224" i="29"/>
  <c r="A226" i="1" l="1"/>
  <c r="A225" i="29"/>
  <c r="A227" i="1" l="1"/>
  <c r="A226" i="29"/>
  <c r="A228" i="1" l="1"/>
  <c r="A227" i="29"/>
  <c r="A229" i="1" l="1"/>
  <c r="A228" i="29"/>
  <c r="A230" i="1" l="1"/>
  <c r="A229" i="29"/>
  <c r="A231" i="1" l="1"/>
  <c r="A230" i="29"/>
  <c r="A232" i="1" l="1"/>
  <c r="A231" i="29"/>
  <c r="A233" i="1" l="1"/>
  <c r="A232" i="29"/>
  <c r="A234" i="1" l="1"/>
  <c r="A233" i="29"/>
  <c r="A235" i="1" l="1"/>
  <c r="A234" i="29"/>
  <c r="A236" i="1" l="1"/>
  <c r="A235" i="29"/>
  <c r="A237" i="1" l="1"/>
  <c r="A236" i="29"/>
  <c r="A238" i="1" l="1"/>
  <c r="A237" i="29"/>
  <c r="A239" i="1" l="1"/>
  <c r="A238" i="29"/>
  <c r="A240" i="1" l="1"/>
  <c r="A239" i="29"/>
  <c r="A241" i="1" l="1"/>
  <c r="A240" i="29"/>
  <c r="A242" i="1" l="1"/>
  <c r="A241" i="29"/>
  <c r="A243" i="1" l="1"/>
  <c r="A242" i="29"/>
  <c r="A244" i="1" l="1"/>
  <c r="A243" i="29"/>
  <c r="A245" i="1" l="1"/>
  <c r="A244" i="29"/>
  <c r="A246" i="1" l="1"/>
  <c r="A245" i="29"/>
  <c r="A247" i="1" l="1"/>
  <c r="A246" i="29"/>
  <c r="A248" i="1" l="1"/>
  <c r="A247" i="29"/>
  <c r="A249" i="1" l="1"/>
  <c r="A248" i="29"/>
  <c r="A250" i="1" l="1"/>
  <c r="A249" i="29"/>
  <c r="A251" i="1" l="1"/>
  <c r="A250" i="29"/>
  <c r="A252" i="1" l="1"/>
  <c r="A251" i="29"/>
  <c r="A253" i="1" l="1"/>
  <c r="A252" i="29"/>
  <c r="A254" i="1" l="1"/>
  <c r="A253" i="29"/>
  <c r="A255" i="1" l="1"/>
  <c r="A254" i="29"/>
  <c r="A256" i="1" l="1"/>
  <c r="A255" i="29"/>
  <c r="A257" i="1" l="1"/>
  <c r="A256" i="29"/>
  <c r="A258" i="1" l="1"/>
  <c r="A257" i="29"/>
  <c r="A259" i="1" l="1"/>
  <c r="A258" i="29"/>
  <c r="A260" i="1" l="1"/>
  <c r="A259" i="29"/>
  <c r="A261" i="1" l="1"/>
  <c r="A260" i="29"/>
  <c r="A262" i="1" l="1"/>
  <c r="A261" i="29"/>
  <c r="A263" i="1" l="1"/>
  <c r="A262" i="29"/>
  <c r="A264" i="1" l="1"/>
  <c r="A263" i="29"/>
  <c r="A265" i="1" l="1"/>
  <c r="A264" i="29"/>
  <c r="A266" i="1" l="1"/>
  <c r="A265" i="29"/>
  <c r="A267" i="1" l="1"/>
  <c r="A266" i="29"/>
  <c r="A268" i="1" l="1"/>
  <c r="A267" i="29"/>
  <c r="A269" i="1" l="1"/>
  <c r="A268" i="29"/>
  <c r="A270" i="1" l="1"/>
  <c r="A269" i="29"/>
  <c r="A271" i="1" l="1"/>
  <c r="A270" i="29"/>
  <c r="A272" i="1" l="1"/>
  <c r="A271" i="29"/>
  <c r="A273" i="1" l="1"/>
  <c r="A272" i="29"/>
  <c r="A274" i="1" l="1"/>
  <c r="A273" i="29"/>
  <c r="A275" i="1" l="1"/>
  <c r="A274" i="29"/>
  <c r="A276" i="1" l="1"/>
  <c r="A275" i="29"/>
  <c r="A277" i="1" l="1"/>
  <c r="A276" i="29"/>
  <c r="A278" i="1" l="1"/>
  <c r="A277" i="29"/>
  <c r="A279" i="1" l="1"/>
  <c r="A278" i="29"/>
  <c r="A280" i="1" l="1"/>
  <c r="A279" i="29"/>
  <c r="A281" i="1" l="1"/>
  <c r="A280" i="29"/>
  <c r="A282" i="1" l="1"/>
  <c r="A281" i="29"/>
  <c r="A283" i="1" l="1"/>
  <c r="A282" i="29"/>
  <c r="A284" i="1" l="1"/>
  <c r="A283" i="29"/>
  <c r="A285" i="1" l="1"/>
  <c r="A284" i="29"/>
  <c r="A286" i="1" l="1"/>
  <c r="A285" i="29"/>
  <c r="A287" i="1" l="1"/>
  <c r="A286" i="29"/>
  <c r="A288" i="1" l="1"/>
  <c r="A287" i="29"/>
  <c r="A289" i="1" l="1"/>
  <c r="A288" i="29"/>
  <c r="A290" i="1" l="1"/>
  <c r="A289" i="29"/>
  <c r="A291" i="1" l="1"/>
  <c r="A290" i="29"/>
  <c r="A292" i="1" l="1"/>
  <c r="A291" i="29"/>
  <c r="A293" i="1" l="1"/>
  <c r="A292" i="29"/>
  <c r="A294" i="1" l="1"/>
  <c r="A293" i="29"/>
  <c r="A295" i="1" l="1"/>
  <c r="A294" i="29"/>
  <c r="A296" i="1" l="1"/>
  <c r="A295" i="29"/>
  <c r="A297" i="1" l="1"/>
  <c r="A296" i="29"/>
  <c r="A298" i="1" l="1"/>
  <c r="A297" i="29"/>
  <c r="A299" i="1" l="1"/>
  <c r="A298" i="29"/>
  <c r="A300" i="1" l="1"/>
  <c r="A299" i="29"/>
  <c r="A301" i="1" l="1"/>
  <c r="A300" i="29"/>
  <c r="A302" i="1" l="1"/>
  <c r="A301" i="29"/>
  <c r="A303" i="1" l="1"/>
  <c r="A302" i="29"/>
  <c r="A304" i="1" l="1"/>
  <c r="A303" i="29"/>
  <c r="A305" i="1" l="1"/>
  <c r="A304" i="29"/>
  <c r="A306" i="1" l="1"/>
  <c r="A305" i="29"/>
  <c r="A307" i="1" l="1"/>
  <c r="A306" i="29"/>
  <c r="A308" i="1" l="1"/>
  <c r="A307" i="29"/>
  <c r="A309" i="1" l="1"/>
  <c r="A308" i="29"/>
  <c r="A310" i="1" l="1"/>
  <c r="A309" i="29"/>
  <c r="A311" i="1" l="1"/>
  <c r="A310" i="29"/>
  <c r="A312" i="1" l="1"/>
  <c r="A311" i="29"/>
  <c r="A313" i="1" l="1"/>
  <c r="A312" i="29"/>
  <c r="A314" i="1" l="1"/>
  <c r="A313" i="29"/>
  <c r="A315" i="1" l="1"/>
  <c r="A314" i="29"/>
  <c r="A316" i="1" l="1"/>
  <c r="A315" i="29"/>
  <c r="A317" i="1" l="1"/>
  <c r="A316" i="29"/>
  <c r="A318" i="1" l="1"/>
  <c r="A317" i="29"/>
  <c r="A319" i="1" l="1"/>
  <c r="A318" i="29"/>
  <c r="A320" i="1" l="1"/>
  <c r="A319" i="29"/>
  <c r="A321" i="1" l="1"/>
  <c r="A320" i="29"/>
  <c r="A322" i="1" l="1"/>
  <c r="A321" i="29"/>
  <c r="A323" i="1" l="1"/>
  <c r="A322" i="29"/>
  <c r="A324" i="1" l="1"/>
  <c r="A323" i="29"/>
  <c r="A325" i="1" l="1"/>
  <c r="A324" i="29"/>
  <c r="A326" i="1" l="1"/>
  <c r="A325" i="29"/>
  <c r="A327" i="1" l="1"/>
  <c r="A326" i="29"/>
  <c r="A328" i="1" l="1"/>
  <c r="A327" i="29"/>
  <c r="A329" i="1" l="1"/>
  <c r="A328" i="29"/>
  <c r="A330" i="1" l="1"/>
  <c r="A329" i="29"/>
  <c r="A331" i="1" l="1"/>
  <c r="A330" i="29"/>
  <c r="A332" i="1" l="1"/>
  <c r="A331" i="29"/>
  <c r="A333" i="1" l="1"/>
  <c r="A332" i="29"/>
  <c r="A334" i="1" l="1"/>
  <c r="A333" i="29"/>
  <c r="A335" i="1" l="1"/>
  <c r="A334" i="29"/>
  <c r="A336" i="1" l="1"/>
  <c r="A335" i="29"/>
  <c r="A337" i="1" l="1"/>
  <c r="A336" i="29"/>
  <c r="A338" i="1" l="1"/>
  <c r="A337" i="29"/>
  <c r="A339" i="1" l="1"/>
  <c r="A338" i="29"/>
  <c r="A340" i="1" l="1"/>
  <c r="A339" i="29"/>
  <c r="A341" i="1" l="1"/>
  <c r="A340" i="29"/>
  <c r="A342" i="1" l="1"/>
  <c r="A341" i="29"/>
  <c r="A343" i="1" l="1"/>
  <c r="A342" i="29"/>
  <c r="A344" i="1" l="1"/>
  <c r="A343" i="29"/>
  <c r="A345" i="1" l="1"/>
  <c r="A344" i="29"/>
  <c r="A346" i="1" l="1"/>
  <c r="A345" i="29"/>
  <c r="A347" i="1" l="1"/>
  <c r="A346" i="29"/>
  <c r="A348" i="1" l="1"/>
  <c r="A347" i="29"/>
  <c r="A349" i="1" l="1"/>
  <c r="A348" i="29"/>
  <c r="A350" i="1" l="1"/>
  <c r="A349" i="29"/>
  <c r="A351" i="1" l="1"/>
  <c r="A350" i="29"/>
  <c r="A352" i="1" l="1"/>
  <c r="A351" i="29"/>
  <c r="A353" i="1" l="1"/>
  <c r="A352" i="29"/>
  <c r="A354" i="1" l="1"/>
  <c r="A353" i="29"/>
  <c r="A355" i="1" l="1"/>
  <c r="A354" i="29"/>
  <c r="A356" i="1" l="1"/>
  <c r="A355" i="29"/>
  <c r="A357" i="1" l="1"/>
  <c r="A356" i="29"/>
  <c r="A358" i="1" l="1"/>
  <c r="A357" i="29"/>
  <c r="A359" i="1" l="1"/>
  <c r="A358" i="29"/>
  <c r="A360" i="1" l="1"/>
  <c r="A359" i="29"/>
  <c r="A361" i="1" l="1"/>
  <c r="A360" i="29"/>
  <c r="A362" i="1" l="1"/>
  <c r="A361" i="29"/>
  <c r="A363" i="1" l="1"/>
  <c r="A362" i="29"/>
  <c r="A364" i="1" l="1"/>
  <c r="A363" i="29"/>
  <c r="A365" i="1" l="1"/>
  <c r="A364" i="29"/>
  <c r="A366" i="1" l="1"/>
  <c r="A365" i="29"/>
  <c r="A367" i="1" l="1"/>
  <c r="A366" i="29"/>
  <c r="A368" i="1" l="1"/>
  <c r="A367" i="29"/>
  <c r="A369" i="1" l="1"/>
  <c r="A368" i="29"/>
  <c r="A370" i="1" l="1"/>
  <c r="A370" i="29" s="1"/>
  <c r="A369" i="29"/>
</calcChain>
</file>

<file path=xl/sharedStrings.xml><?xml version="1.0" encoding="utf-8"?>
<sst xmlns="http://schemas.openxmlformats.org/spreadsheetml/2006/main" count="1475" uniqueCount="198">
  <si>
    <t>Wind Rose: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</si>
  <si>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</si>
  <si>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</si>
  <si>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</si>
  <si>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</si>
  <si>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</si>
  <si>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</si>
  <si>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</si>
  <si>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</si>
  <si>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</si>
  <si>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</si>
  <si>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</si>
  <si>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</si>
  <si>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</si>
  <si>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</si>
  <si>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</si>
  <si>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</si>
  <si>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</si>
  <si>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</si>
  <si>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</si>
  <si>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</si>
  <si>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</si>
  <si>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</si>
  <si>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</si>
  <si>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</si>
  <si>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</si>
  <si>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</si>
  <si>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</si>
  <si>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</si>
  <si>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</si>
  <si>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</si>
  <si>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</si>
  <si>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</si>
  <si>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</si>
  <si>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Total</t>
  </si>
  <si>
    <t>Solar</t>
  </si>
  <si>
    <t>Avg.</t>
  </si>
  <si>
    <t>Rain</t>
  </si>
  <si>
    <t>Max.</t>
  </si>
  <si>
    <t>Min.</t>
  </si>
  <si>
    <t>Tsoil_Duff</t>
  </si>
  <si>
    <t xml:space="preserve">Tsoil_0.15 </t>
  </si>
  <si>
    <t>Tsoil_0.5</t>
  </si>
  <si>
    <t>Solarmax</t>
  </si>
  <si>
    <t>FWS</t>
  </si>
  <si>
    <t>Precip.from</t>
  </si>
  <si>
    <t>snow depth</t>
  </si>
  <si>
    <t>Cts</t>
  </si>
  <si>
    <t>Dist</t>
  </si>
  <si>
    <t>m</t>
  </si>
  <si>
    <t>DoY</t>
  </si>
  <si>
    <t>Reflect</t>
  </si>
  <si>
    <t>Albedo</t>
  </si>
  <si>
    <t>Monthly Averages</t>
  </si>
  <si>
    <t>Refl</t>
  </si>
  <si>
    <t>Ta 6X</t>
  </si>
  <si>
    <t>Ta 3x</t>
  </si>
  <si>
    <t>Ta 3xx</t>
  </si>
  <si>
    <t>Ta 0.25X</t>
  </si>
  <si>
    <t>Tduffx</t>
  </si>
  <si>
    <t>WindX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</si>
  <si>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</si>
  <si>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</si>
  <si>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</si>
  <si>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</si>
  <si>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</si>
  <si>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</si>
  <si>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</si>
  <si>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</si>
  <si>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</si>
  <si>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</si>
  <si>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</si>
  <si>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</si>
  <si>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</si>
  <si>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</si>
  <si>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</si>
  <si>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</si>
  <si>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</si>
  <si>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</si>
  <si>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</si>
  <si>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</si>
  <si>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</si>
  <si>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SnowDepthChange</t>
  </si>
  <si>
    <t>Tmax</t>
  </si>
  <si>
    <t>Tmin</t>
  </si>
  <si>
    <t>Rhmin</t>
  </si>
  <si>
    <t>SnowD</t>
  </si>
  <si>
    <t>Sicamous</t>
  </si>
  <si>
    <t>Monthly Totals</t>
  </si>
  <si>
    <t>Max density</t>
  </si>
  <si>
    <t>density</t>
  </si>
  <si>
    <t>SWE</t>
  </si>
  <si>
    <t>dSWE</t>
  </si>
  <si>
    <t>Melt</t>
  </si>
  <si>
    <t>g/cm3</t>
  </si>
  <si>
    <t>FWS*</t>
  </si>
  <si>
    <t>vpd</t>
  </si>
  <si>
    <t>vpdxx</t>
  </si>
  <si>
    <t xml:space="preserve">Solar </t>
  </si>
  <si>
    <t>Adjusted</t>
  </si>
  <si>
    <t>RHAvg</t>
  </si>
  <si>
    <t>RHMax</t>
  </si>
  <si>
    <t>RHMin</t>
  </si>
  <si>
    <t>Kmax from 10 min simulation</t>
  </si>
  <si>
    <t xml:space="preserve">Tair C </t>
  </si>
  <si>
    <t>HMP45C in RMYoung pie plate sheild at 6 m</t>
  </si>
  <si>
    <t>RH %</t>
  </si>
  <si>
    <t>Corrected RH based on Rhmax=100. Calculated vpres (kPa)</t>
  </si>
  <si>
    <t>Soil temperature C</t>
  </si>
  <si>
    <t>Precip mm</t>
  </si>
  <si>
    <t>Snow depth m, mm</t>
  </si>
  <si>
    <t>CSI  SR50A</t>
  </si>
  <si>
    <t>Wind m/s</t>
  </si>
  <si>
    <t xml:space="preserve">MetOne Wind vane at 6 m </t>
  </si>
  <si>
    <t>Meta data for Sicamous base station</t>
  </si>
  <si>
    <t>Corrected from hourly</t>
  </si>
  <si>
    <t>From hourly</t>
  </si>
  <si>
    <t>Chromel constantan thermocouples referenced to thermistor on panel at 3 m, 1.5 m and 0.25 m</t>
  </si>
  <si>
    <t>Solar MJ/m2/d</t>
  </si>
  <si>
    <t>Reflected  MJ/m2/d</t>
  </si>
  <si>
    <t>vpres</t>
  </si>
  <si>
    <t>TXRHn</t>
  </si>
  <si>
    <t>Wind Rose: # Scans</t>
  </si>
  <si>
    <t>Scans</t>
  </si>
  <si>
    <t>Summed to daily</t>
  </si>
  <si>
    <t>Derived variables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</si>
  <si>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</si>
  <si>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</si>
  <si>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</si>
  <si>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</si>
  <si>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</si>
  <si>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</si>
  <si>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</si>
  <si>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</si>
  <si>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CR1000 data logger</t>
  </si>
  <si>
    <t xml:space="preserve">Referenced to logger panel </t>
  </si>
  <si>
    <t>Chromel constantan thermocouples referenced tologger panel at Duff, 0.15 m and 0.5 m</t>
  </si>
  <si>
    <t>Wind direction degrees - number of occurances in 8 bins</t>
  </si>
  <si>
    <t xml:space="preserve">MetOne anemometer at 6 m </t>
  </si>
  <si>
    <t>Scrtchdensity</t>
  </si>
  <si>
    <t>Adjusted by assuming a fixed albedo and the measured reflected radiation</t>
  </si>
  <si>
    <t>SR50A</t>
  </si>
  <si>
    <t>Quality</t>
  </si>
  <si>
    <t>Month</t>
  </si>
  <si>
    <t>Summary</t>
  </si>
  <si>
    <t>Sicamous base station 2025</t>
  </si>
  <si>
    <t>Start Density</t>
  </si>
  <si>
    <t>Midnight</t>
  </si>
  <si>
    <t>Relected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</si>
  <si>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</si>
  <si>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</si>
  <si>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</si>
  <si>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</si>
  <si>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</si>
  <si>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</si>
  <si>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</si>
  <si>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</si>
  <si>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Vapres</t>
  </si>
  <si>
    <t>vpdX</t>
  </si>
  <si>
    <t>BatV</t>
  </si>
  <si>
    <t>mm/d</t>
  </si>
  <si>
    <t>V</t>
  </si>
  <si>
    <t>NA</t>
  </si>
  <si>
    <t>Jan 26-29 have solar radiation substantailly above the clear sky value. May be due to snow focus radiation onto sensor.</t>
  </si>
  <si>
    <t>Adjusting for snow on sensor using reflected and max albedo of 0.92</t>
  </si>
  <si>
    <t>Adjusting for spectral response of pyranometer =0.93*Measured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</si>
  <si>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</si>
  <si>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</si>
  <si>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</si>
  <si>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</si>
  <si>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</si>
  <si>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</si>
  <si>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</si>
  <si>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</si>
  <si>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</si>
  <si>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</si>
  <si>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</si>
  <si>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</si>
  <si>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</si>
  <si>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</si>
  <si>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</si>
  <si>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</si>
  <si>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 xml:space="preserve">Adjusted to zero at night in hourly file. </t>
  </si>
  <si>
    <t>PPT= snow+rain</t>
  </si>
  <si>
    <t>Snow = Daily increase in pack depth and assumed compacted density of 0.13 Mg/m3</t>
  </si>
  <si>
    <t xml:space="preserve">Rain = Rain gauge.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</si>
  <si>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</si>
  <si>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</si>
  <si>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</si>
  <si>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</si>
  <si>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</si>
  <si>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</si>
  <si>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Sicamous Fire Weather Station rainfall not included</t>
  </si>
  <si>
    <t>TexasElectronic tipping bucketmm/tip</t>
  </si>
  <si>
    <t>Last edit  19/04/25</t>
  </si>
  <si>
    <t>Kipp and Zonen silicon Pyranometer at 6 m</t>
  </si>
  <si>
    <t>LiCor silicon pyranometer at 6 m above surface.</t>
  </si>
  <si>
    <t>Last edit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</si>
</sst>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_)"/>
    <numFmt numFmtId="165" formatCode="0.000"/>
    <numFmt numFmtId="166" formatCode="0.00_)"/>
    <numFmt numFmtId="167" formatCode="0.0"/>
    <numFmt numFmtId="168" formatCode="0.0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Border="1"/>
    <xf numFmtId="167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165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Fill="1" applyBorder="1"/>
    <xf numFmtId="164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 applyFill="1"/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Fill="1"/>
    <xf numFmtId="167" fontId="1" fillId="0" borderId="0" xfId="0" applyNumberFormat="1" applyFont="1"/>
    <xf numFmtId="166" fontId="1" fillId="0" borderId="0" xfId="0" applyNumberFormat="1" applyFont="1" applyFill="1" applyBorder="1"/>
    <xf numFmtId="164" fontId="1" fillId="0" borderId="0" xfId="0" applyNumberFormat="1" applyFont="1" applyFill="1" applyBorder="1"/>
    <xf numFmtId="0" fontId="1" fillId="2" borderId="0" xfId="0" applyFont="1" applyFill="1" applyBorder="1"/>
    <xf numFmtId="0" fontId="1" fillId="4" borderId="0" xfId="0" applyFont="1" applyFill="1" applyBorder="1"/>
    <xf numFmtId="164" fontId="1" fillId="4" borderId="0" xfId="0" applyNumberFormat="1" applyFont="1" applyFill="1" applyBorder="1"/>
    <xf numFmtId="164" fontId="1" fillId="2" borderId="0" xfId="0" applyNumberFormat="1" applyFont="1" applyFill="1" applyBorder="1"/>
    <xf numFmtId="164" fontId="1" fillId="4" borderId="0" xfId="0" applyNumberFormat="1" applyFont="1" applyFill="1"/>
    <xf numFmtId="165" fontId="1" fillId="3" borderId="0" xfId="0" applyNumberFormat="1" applyFont="1" applyFill="1"/>
    <xf numFmtId="165" fontId="1" fillId="6" borderId="0" xfId="0" applyNumberFormat="1" applyFont="1" applyFill="1"/>
    <xf numFmtId="0" fontId="1" fillId="5" borderId="0" xfId="0" applyFont="1" applyFill="1" applyBorder="1" applyAlignment="1">
      <alignment horizontal="right"/>
    </xf>
    <xf numFmtId="166" fontId="1" fillId="0" borderId="0" xfId="0" applyNumberFormat="1" applyFont="1" applyFill="1"/>
    <xf numFmtId="164" fontId="1" fillId="2" borderId="0" xfId="0" applyNumberFormat="1" applyFont="1" applyFill="1"/>
    <xf numFmtId="0" fontId="1" fillId="0" borderId="0" xfId="0" applyFont="1" applyProtection="1"/>
    <xf numFmtId="168" fontId="1" fillId="0" borderId="0" xfId="0" applyNumberFormat="1" applyFont="1"/>
    <xf numFmtId="168" fontId="1" fillId="0" borderId="0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2" fontId="1" fillId="0" borderId="0" xfId="0" applyNumberFormat="1" applyFont="1" applyFill="1" applyBorder="1"/>
    <xf numFmtId="0" fontId="1" fillId="0" borderId="0" xfId="0" applyFont="1" applyAlignment="1">
      <alignment horizontal="right"/>
    </xf>
    <xf numFmtId="167" fontId="1" fillId="0" borderId="0" xfId="0" applyNumberFormat="1" applyFont="1" applyFill="1" applyBorder="1"/>
    <xf numFmtId="0" fontId="0" fillId="0" borderId="0" xfId="0" applyFill="1"/>
    <xf numFmtId="0" fontId="1" fillId="0" borderId="0" xfId="0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165" fontId="1" fillId="0" borderId="0" xfId="0" applyNumberFormat="1" applyFont="1" applyFill="1"/>
    <xf numFmtId="0" fontId="1" fillId="7" borderId="0" xfId="0" applyFont="1" applyFill="1" applyBorder="1"/>
    <xf numFmtId="1" fontId="1" fillId="0" borderId="0" xfId="0" applyNumberFormat="1" applyFont="1" applyFill="1"/>
    <xf numFmtId="167" fontId="1" fillId="0" borderId="0" xfId="0" applyNumberFormat="1" applyFont="1" applyFill="1"/>
    <xf numFmtId="0" fontId="2" fillId="0" borderId="0" xfId="0" applyFont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chartsheet" Target="chartsheets/sheet20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chartsheet" Target="chartsheets/sheet19.xml"/><Relationship Id="rId28" Type="http://schemas.openxmlformats.org/officeDocument/2006/relationships/sharedStrings" Target="sharedStrings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styles" Target="styles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PPTest!$N$6:$N$370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2.6</c:v>
                </c:pt>
                <c:pt idx="2">
                  <c:v>2.6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3.9000000000000004</c:v>
                </c:pt>
                <c:pt idx="7">
                  <c:v>4.2</c:v>
                </c:pt>
                <c:pt idx="8">
                  <c:v>4.2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18.600000000000001</c:v>
                </c:pt>
                <c:pt idx="16">
                  <c:v>18.600000000000001</c:v>
                </c:pt>
                <c:pt idx="17">
                  <c:v>18.600000000000001</c:v>
                </c:pt>
                <c:pt idx="18">
                  <c:v>18.600000000000001</c:v>
                </c:pt>
                <c:pt idx="19">
                  <c:v>18.600000000000001</c:v>
                </c:pt>
                <c:pt idx="20">
                  <c:v>18.600000000000001</c:v>
                </c:pt>
                <c:pt idx="21">
                  <c:v>20.6</c:v>
                </c:pt>
                <c:pt idx="22">
                  <c:v>26.1</c:v>
                </c:pt>
                <c:pt idx="23">
                  <c:v>26.1</c:v>
                </c:pt>
                <c:pt idx="24">
                  <c:v>26.1</c:v>
                </c:pt>
                <c:pt idx="25">
                  <c:v>26.1</c:v>
                </c:pt>
                <c:pt idx="26">
                  <c:v>26.1</c:v>
                </c:pt>
                <c:pt idx="27">
                  <c:v>27</c:v>
                </c:pt>
                <c:pt idx="28">
                  <c:v>27</c:v>
                </c:pt>
                <c:pt idx="29">
                  <c:v>42.6</c:v>
                </c:pt>
                <c:pt idx="30">
                  <c:v>66.3</c:v>
                </c:pt>
                <c:pt idx="31">
                  <c:v>66.3</c:v>
                </c:pt>
                <c:pt idx="32">
                  <c:v>66.3</c:v>
                </c:pt>
                <c:pt idx="33">
                  <c:v>66.3</c:v>
                </c:pt>
                <c:pt idx="34">
                  <c:v>66.3</c:v>
                </c:pt>
                <c:pt idx="35">
                  <c:v>66.3</c:v>
                </c:pt>
                <c:pt idx="36">
                  <c:v>66.3</c:v>
                </c:pt>
                <c:pt idx="37">
                  <c:v>66.3</c:v>
                </c:pt>
                <c:pt idx="38">
                  <c:v>69.399999999999991</c:v>
                </c:pt>
                <c:pt idx="39">
                  <c:v>69.399999999999991</c:v>
                </c:pt>
                <c:pt idx="40">
                  <c:v>69.399999999999991</c:v>
                </c:pt>
                <c:pt idx="41">
                  <c:v>69.399999999999991</c:v>
                </c:pt>
                <c:pt idx="42">
                  <c:v>69.399999999999991</c:v>
                </c:pt>
                <c:pt idx="43">
                  <c:v>69.899999999999991</c:v>
                </c:pt>
                <c:pt idx="44">
                  <c:v>71.699999999999989</c:v>
                </c:pt>
                <c:pt idx="45">
                  <c:v>71.699999999999989</c:v>
                </c:pt>
                <c:pt idx="46">
                  <c:v>85.999999999999986</c:v>
                </c:pt>
                <c:pt idx="47">
                  <c:v>85.999999999999986</c:v>
                </c:pt>
                <c:pt idx="48">
                  <c:v>85.999999999999986</c:v>
                </c:pt>
                <c:pt idx="49">
                  <c:v>86.999999999999986</c:v>
                </c:pt>
                <c:pt idx="50">
                  <c:v>86.999999999999986</c:v>
                </c:pt>
                <c:pt idx="51">
                  <c:v>99.899999999999991</c:v>
                </c:pt>
                <c:pt idx="52">
                  <c:v>99.899999999999991</c:v>
                </c:pt>
                <c:pt idx="53">
                  <c:v>100.69999999999999</c:v>
                </c:pt>
                <c:pt idx="54">
                  <c:v>100.69999999999999</c:v>
                </c:pt>
                <c:pt idx="55">
                  <c:v>103.19999999999999</c:v>
                </c:pt>
                <c:pt idx="56">
                  <c:v>103.19999999999999</c:v>
                </c:pt>
                <c:pt idx="57">
                  <c:v>103.19999999999999</c:v>
                </c:pt>
                <c:pt idx="58">
                  <c:v>103.19999999999999</c:v>
                </c:pt>
                <c:pt idx="59">
                  <c:v>103.19999999999999</c:v>
                </c:pt>
                <c:pt idx="60">
                  <c:v>103.19999999999999</c:v>
                </c:pt>
                <c:pt idx="61">
                  <c:v>103.19999999999999</c:v>
                </c:pt>
                <c:pt idx="62">
                  <c:v>103.19999999999999</c:v>
                </c:pt>
                <c:pt idx="63">
                  <c:v>103.19999999999999</c:v>
                </c:pt>
                <c:pt idx="64">
                  <c:v>103.19999999999999</c:v>
                </c:pt>
                <c:pt idx="65">
                  <c:v>103.19999999999999</c:v>
                </c:pt>
                <c:pt idx="66">
                  <c:v>103.19999999999999</c:v>
                </c:pt>
                <c:pt idx="67">
                  <c:v>103.19999999999999</c:v>
                </c:pt>
                <c:pt idx="68">
                  <c:v>103.19999999999999</c:v>
                </c:pt>
                <c:pt idx="69">
                  <c:v>103.19999999999999</c:v>
                </c:pt>
                <c:pt idx="70">
                  <c:v>103.19999999999999</c:v>
                </c:pt>
                <c:pt idx="71">
                  <c:v>103.19999999999999</c:v>
                </c:pt>
                <c:pt idx="72">
                  <c:v>103.19999999999999</c:v>
                </c:pt>
                <c:pt idx="73">
                  <c:v>103.19999999999999</c:v>
                </c:pt>
                <c:pt idx="74">
                  <c:v>103.19999999999999</c:v>
                </c:pt>
                <c:pt idx="75">
                  <c:v>103.19999999999999</c:v>
                </c:pt>
                <c:pt idx="76">
                  <c:v>103.19999999999999</c:v>
                </c:pt>
                <c:pt idx="77">
                  <c:v>103.19999999999999</c:v>
                </c:pt>
                <c:pt idx="78">
                  <c:v>103.19999999999999</c:v>
                </c:pt>
                <c:pt idx="79">
                  <c:v>103.19999999999999</c:v>
                </c:pt>
                <c:pt idx="80">
                  <c:v>103.19999999999999</c:v>
                </c:pt>
                <c:pt idx="81">
                  <c:v>103.19999999999999</c:v>
                </c:pt>
                <c:pt idx="82">
                  <c:v>103.19999999999999</c:v>
                </c:pt>
                <c:pt idx="83">
                  <c:v>103.19999999999999</c:v>
                </c:pt>
                <c:pt idx="84">
                  <c:v>103.19999999999999</c:v>
                </c:pt>
                <c:pt idx="85">
                  <c:v>103.19999999999999</c:v>
                </c:pt>
                <c:pt idx="86">
                  <c:v>103.19999999999999</c:v>
                </c:pt>
                <c:pt idx="87">
                  <c:v>103.19999999999999</c:v>
                </c:pt>
                <c:pt idx="88">
                  <c:v>103.19999999999999</c:v>
                </c:pt>
                <c:pt idx="89">
                  <c:v>103.19999999999999</c:v>
                </c:pt>
                <c:pt idx="90">
                  <c:v>103.19999999999999</c:v>
                </c:pt>
                <c:pt idx="91">
                  <c:v>103.19999999999999</c:v>
                </c:pt>
                <c:pt idx="92">
                  <c:v>103.19999999999999</c:v>
                </c:pt>
                <c:pt idx="93">
                  <c:v>103.19999999999999</c:v>
                </c:pt>
                <c:pt idx="94">
                  <c:v>103.19999999999999</c:v>
                </c:pt>
                <c:pt idx="95">
                  <c:v>103.19999999999999</c:v>
                </c:pt>
                <c:pt idx="96">
                  <c:v>103.19999999999999</c:v>
                </c:pt>
                <c:pt idx="97">
                  <c:v>103.19999999999999</c:v>
                </c:pt>
                <c:pt idx="98">
                  <c:v>103.19999999999999</c:v>
                </c:pt>
                <c:pt idx="99">
                  <c:v>103.19999999999999</c:v>
                </c:pt>
                <c:pt idx="100">
                  <c:v>103.19999999999999</c:v>
                </c:pt>
                <c:pt idx="101">
                  <c:v>103.19999999999999</c:v>
                </c:pt>
                <c:pt idx="102">
                  <c:v>103.19999999999999</c:v>
                </c:pt>
                <c:pt idx="103">
                  <c:v>103.19999999999999</c:v>
                </c:pt>
                <c:pt idx="104">
                  <c:v>103.19999999999999</c:v>
                </c:pt>
                <c:pt idx="105">
                  <c:v>103.19999999999999</c:v>
                </c:pt>
                <c:pt idx="106">
                  <c:v>103.19999999999999</c:v>
                </c:pt>
                <c:pt idx="107">
                  <c:v>103.19999999999999</c:v>
                </c:pt>
                <c:pt idx="108">
                  <c:v>103.19999999999999</c:v>
                </c:pt>
                <c:pt idx="109">
                  <c:v>103.19999999999999</c:v>
                </c:pt>
                <c:pt idx="110">
                  <c:v>103.19999999999999</c:v>
                </c:pt>
                <c:pt idx="111">
                  <c:v>103.19999999999999</c:v>
                </c:pt>
                <c:pt idx="112">
                  <c:v>103.19999999999999</c:v>
                </c:pt>
                <c:pt idx="113">
                  <c:v>103.19999999999999</c:v>
                </c:pt>
                <c:pt idx="114">
                  <c:v>103.19999999999999</c:v>
                </c:pt>
                <c:pt idx="115">
                  <c:v>103.19999999999999</c:v>
                </c:pt>
                <c:pt idx="116">
                  <c:v>103.19999999999999</c:v>
                </c:pt>
                <c:pt idx="117">
                  <c:v>103.19999999999999</c:v>
                </c:pt>
                <c:pt idx="118">
                  <c:v>103.19999999999999</c:v>
                </c:pt>
                <c:pt idx="119">
                  <c:v>103.19999999999999</c:v>
                </c:pt>
                <c:pt idx="120">
                  <c:v>103.19999999999999</c:v>
                </c:pt>
                <c:pt idx="121">
                  <c:v>103.19999999999999</c:v>
                </c:pt>
                <c:pt idx="122">
                  <c:v>103.19999999999999</c:v>
                </c:pt>
                <c:pt idx="123">
                  <c:v>103.19999999999999</c:v>
                </c:pt>
                <c:pt idx="124">
                  <c:v>103.19999999999999</c:v>
                </c:pt>
                <c:pt idx="125">
                  <c:v>103.19999999999999</c:v>
                </c:pt>
                <c:pt idx="126">
                  <c:v>103.19999999999999</c:v>
                </c:pt>
                <c:pt idx="127">
                  <c:v>103.19999999999999</c:v>
                </c:pt>
                <c:pt idx="128">
                  <c:v>103.19999999999999</c:v>
                </c:pt>
                <c:pt idx="129">
                  <c:v>103.19999999999999</c:v>
                </c:pt>
                <c:pt idx="130">
                  <c:v>103.19999999999999</c:v>
                </c:pt>
                <c:pt idx="131">
                  <c:v>103.19999999999999</c:v>
                </c:pt>
                <c:pt idx="132">
                  <c:v>103.19999999999999</c:v>
                </c:pt>
                <c:pt idx="133">
                  <c:v>103.19999999999999</c:v>
                </c:pt>
                <c:pt idx="134">
                  <c:v>103.19999999999999</c:v>
                </c:pt>
                <c:pt idx="135">
                  <c:v>103.19999999999999</c:v>
                </c:pt>
                <c:pt idx="136">
                  <c:v>103.19999999999999</c:v>
                </c:pt>
                <c:pt idx="137">
                  <c:v>103.19999999999999</c:v>
                </c:pt>
                <c:pt idx="138">
                  <c:v>103.19999999999999</c:v>
                </c:pt>
                <c:pt idx="139">
                  <c:v>103.19999999999999</c:v>
                </c:pt>
                <c:pt idx="140">
                  <c:v>103.19999999999999</c:v>
                </c:pt>
                <c:pt idx="141">
                  <c:v>103.19999999999999</c:v>
                </c:pt>
                <c:pt idx="142">
                  <c:v>103.19999999999999</c:v>
                </c:pt>
                <c:pt idx="143">
                  <c:v>103.19999999999999</c:v>
                </c:pt>
                <c:pt idx="144">
                  <c:v>103.19999999999999</c:v>
                </c:pt>
                <c:pt idx="145">
                  <c:v>103.19999999999999</c:v>
                </c:pt>
                <c:pt idx="146">
                  <c:v>103.19999999999999</c:v>
                </c:pt>
                <c:pt idx="147">
                  <c:v>103.19999999999999</c:v>
                </c:pt>
                <c:pt idx="148">
                  <c:v>103.19999999999999</c:v>
                </c:pt>
                <c:pt idx="149">
                  <c:v>103.19999999999999</c:v>
                </c:pt>
                <c:pt idx="150">
                  <c:v>103.19999999999999</c:v>
                </c:pt>
                <c:pt idx="151">
                  <c:v>103.19999999999999</c:v>
                </c:pt>
                <c:pt idx="152">
                  <c:v>103.19999999999999</c:v>
                </c:pt>
                <c:pt idx="153">
                  <c:v>103.19999999999999</c:v>
                </c:pt>
                <c:pt idx="154">
                  <c:v>103.19999999999999</c:v>
                </c:pt>
                <c:pt idx="155">
                  <c:v>103.19999999999999</c:v>
                </c:pt>
                <c:pt idx="156">
                  <c:v>103.19999999999999</c:v>
                </c:pt>
                <c:pt idx="157">
                  <c:v>103.19999999999999</c:v>
                </c:pt>
                <c:pt idx="158">
                  <c:v>103.19999999999999</c:v>
                </c:pt>
                <c:pt idx="159">
                  <c:v>103.19999999999999</c:v>
                </c:pt>
                <c:pt idx="160">
                  <c:v>103.19999999999999</c:v>
                </c:pt>
                <c:pt idx="161">
                  <c:v>103.19999999999999</c:v>
                </c:pt>
                <c:pt idx="162">
                  <c:v>103.19999999999999</c:v>
                </c:pt>
                <c:pt idx="163">
                  <c:v>103.19999999999999</c:v>
                </c:pt>
                <c:pt idx="164">
                  <c:v>103.19999999999999</c:v>
                </c:pt>
                <c:pt idx="165">
                  <c:v>103.19999999999999</c:v>
                </c:pt>
                <c:pt idx="166">
                  <c:v>103.19999999999999</c:v>
                </c:pt>
                <c:pt idx="167">
                  <c:v>103.19999999999999</c:v>
                </c:pt>
                <c:pt idx="168">
                  <c:v>103.19999999999999</c:v>
                </c:pt>
                <c:pt idx="169">
                  <c:v>103.19999999999999</c:v>
                </c:pt>
                <c:pt idx="170">
                  <c:v>103.19999999999999</c:v>
                </c:pt>
                <c:pt idx="171">
                  <c:v>103.19999999999999</c:v>
                </c:pt>
                <c:pt idx="172">
                  <c:v>103.19999999999999</c:v>
                </c:pt>
                <c:pt idx="173">
                  <c:v>103.19999999999999</c:v>
                </c:pt>
                <c:pt idx="174">
                  <c:v>103.19999999999999</c:v>
                </c:pt>
                <c:pt idx="175">
                  <c:v>103.19999999999999</c:v>
                </c:pt>
                <c:pt idx="176">
                  <c:v>103.19999999999999</c:v>
                </c:pt>
                <c:pt idx="177">
                  <c:v>103.19999999999999</c:v>
                </c:pt>
                <c:pt idx="178">
                  <c:v>103.19999999999999</c:v>
                </c:pt>
                <c:pt idx="179">
                  <c:v>103.19999999999999</c:v>
                </c:pt>
                <c:pt idx="180">
                  <c:v>103.19999999999999</c:v>
                </c:pt>
                <c:pt idx="181">
                  <c:v>103.19999999999999</c:v>
                </c:pt>
                <c:pt idx="182">
                  <c:v>103.19999999999999</c:v>
                </c:pt>
                <c:pt idx="183">
                  <c:v>103.19999999999999</c:v>
                </c:pt>
                <c:pt idx="184">
                  <c:v>103.19999999999999</c:v>
                </c:pt>
                <c:pt idx="185">
                  <c:v>103.19999999999999</c:v>
                </c:pt>
                <c:pt idx="186">
                  <c:v>103.19999999999999</c:v>
                </c:pt>
                <c:pt idx="187">
                  <c:v>103.19999999999999</c:v>
                </c:pt>
                <c:pt idx="188">
                  <c:v>103.19999999999999</c:v>
                </c:pt>
                <c:pt idx="189">
                  <c:v>103.19999999999999</c:v>
                </c:pt>
                <c:pt idx="190">
                  <c:v>103.19999999999999</c:v>
                </c:pt>
                <c:pt idx="191">
                  <c:v>103.19999999999999</c:v>
                </c:pt>
                <c:pt idx="192">
                  <c:v>103.19999999999999</c:v>
                </c:pt>
                <c:pt idx="193">
                  <c:v>103.19999999999999</c:v>
                </c:pt>
                <c:pt idx="194">
                  <c:v>103.19999999999999</c:v>
                </c:pt>
                <c:pt idx="195">
                  <c:v>103.19999999999999</c:v>
                </c:pt>
                <c:pt idx="196">
                  <c:v>103.19999999999999</c:v>
                </c:pt>
                <c:pt idx="197">
                  <c:v>103.19999999999999</c:v>
                </c:pt>
                <c:pt idx="198">
                  <c:v>103.19999999999999</c:v>
                </c:pt>
                <c:pt idx="199">
                  <c:v>103.19999999999999</c:v>
                </c:pt>
                <c:pt idx="200">
                  <c:v>103.19999999999999</c:v>
                </c:pt>
                <c:pt idx="201">
                  <c:v>103.19999999999999</c:v>
                </c:pt>
                <c:pt idx="202">
                  <c:v>103.19999999999999</c:v>
                </c:pt>
                <c:pt idx="203">
                  <c:v>103.19999999999999</c:v>
                </c:pt>
                <c:pt idx="204">
                  <c:v>103.19999999999999</c:v>
                </c:pt>
                <c:pt idx="205">
                  <c:v>103.19999999999999</c:v>
                </c:pt>
                <c:pt idx="206">
                  <c:v>103.19999999999999</c:v>
                </c:pt>
                <c:pt idx="207">
                  <c:v>103.19999999999999</c:v>
                </c:pt>
                <c:pt idx="208">
                  <c:v>103.19999999999999</c:v>
                </c:pt>
                <c:pt idx="209">
                  <c:v>103.19999999999999</c:v>
                </c:pt>
                <c:pt idx="210">
                  <c:v>103.19999999999999</c:v>
                </c:pt>
                <c:pt idx="211">
                  <c:v>103.19999999999999</c:v>
                </c:pt>
                <c:pt idx="212">
                  <c:v>103.19999999999999</c:v>
                </c:pt>
                <c:pt idx="213">
                  <c:v>103.19999999999999</c:v>
                </c:pt>
                <c:pt idx="214">
                  <c:v>103.19999999999999</c:v>
                </c:pt>
                <c:pt idx="215">
                  <c:v>103.19999999999999</c:v>
                </c:pt>
                <c:pt idx="216">
                  <c:v>103.19999999999999</c:v>
                </c:pt>
                <c:pt idx="217">
                  <c:v>103.19999999999999</c:v>
                </c:pt>
                <c:pt idx="218">
                  <c:v>103.19999999999999</c:v>
                </c:pt>
                <c:pt idx="219">
                  <c:v>103.19999999999999</c:v>
                </c:pt>
                <c:pt idx="220">
                  <c:v>103.19999999999999</c:v>
                </c:pt>
                <c:pt idx="221">
                  <c:v>103.19999999999999</c:v>
                </c:pt>
                <c:pt idx="222">
                  <c:v>103.19999999999999</c:v>
                </c:pt>
                <c:pt idx="223">
                  <c:v>103.19999999999999</c:v>
                </c:pt>
                <c:pt idx="224">
                  <c:v>103.19999999999999</c:v>
                </c:pt>
                <c:pt idx="225">
                  <c:v>103.19999999999999</c:v>
                </c:pt>
                <c:pt idx="226">
                  <c:v>103.19999999999999</c:v>
                </c:pt>
                <c:pt idx="227">
                  <c:v>103.19999999999999</c:v>
                </c:pt>
                <c:pt idx="228">
                  <c:v>103.19999999999999</c:v>
                </c:pt>
                <c:pt idx="229">
                  <c:v>103.19999999999999</c:v>
                </c:pt>
                <c:pt idx="230">
                  <c:v>103.19999999999999</c:v>
                </c:pt>
                <c:pt idx="231">
                  <c:v>103.19999999999999</c:v>
                </c:pt>
                <c:pt idx="232">
                  <c:v>103.19999999999999</c:v>
                </c:pt>
                <c:pt idx="233">
                  <c:v>103.19999999999999</c:v>
                </c:pt>
                <c:pt idx="234">
                  <c:v>103.19999999999999</c:v>
                </c:pt>
                <c:pt idx="235">
                  <c:v>103.19999999999999</c:v>
                </c:pt>
                <c:pt idx="236">
                  <c:v>103.19999999999999</c:v>
                </c:pt>
                <c:pt idx="237">
                  <c:v>103.19999999999999</c:v>
                </c:pt>
                <c:pt idx="238">
                  <c:v>103.19999999999999</c:v>
                </c:pt>
                <c:pt idx="239">
                  <c:v>103.19999999999999</c:v>
                </c:pt>
                <c:pt idx="240">
                  <c:v>103.19999999999999</c:v>
                </c:pt>
                <c:pt idx="241">
                  <c:v>103.19999999999999</c:v>
                </c:pt>
                <c:pt idx="242">
                  <c:v>103.19999999999999</c:v>
                </c:pt>
                <c:pt idx="243">
                  <c:v>103.19999999999999</c:v>
                </c:pt>
                <c:pt idx="244">
                  <c:v>103.19999999999999</c:v>
                </c:pt>
                <c:pt idx="245">
                  <c:v>103.19999999999999</c:v>
                </c:pt>
                <c:pt idx="246">
                  <c:v>103.19999999999999</c:v>
                </c:pt>
                <c:pt idx="247">
                  <c:v>103.19999999999999</c:v>
                </c:pt>
                <c:pt idx="248">
                  <c:v>103.19999999999999</c:v>
                </c:pt>
                <c:pt idx="249">
                  <c:v>103.19999999999999</c:v>
                </c:pt>
                <c:pt idx="250">
                  <c:v>103.19999999999999</c:v>
                </c:pt>
                <c:pt idx="251">
                  <c:v>103.19999999999999</c:v>
                </c:pt>
                <c:pt idx="252">
                  <c:v>103.19999999999999</c:v>
                </c:pt>
                <c:pt idx="253">
                  <c:v>103.19999999999999</c:v>
                </c:pt>
                <c:pt idx="254">
                  <c:v>103.19999999999999</c:v>
                </c:pt>
                <c:pt idx="255">
                  <c:v>103.19999999999999</c:v>
                </c:pt>
                <c:pt idx="256">
                  <c:v>103.19999999999999</c:v>
                </c:pt>
                <c:pt idx="257">
                  <c:v>103.19999999999999</c:v>
                </c:pt>
                <c:pt idx="258">
                  <c:v>103.19999999999999</c:v>
                </c:pt>
                <c:pt idx="259">
                  <c:v>103.19999999999999</c:v>
                </c:pt>
                <c:pt idx="260">
                  <c:v>103.19999999999999</c:v>
                </c:pt>
                <c:pt idx="261">
                  <c:v>103.19999999999999</c:v>
                </c:pt>
                <c:pt idx="262">
                  <c:v>103.19999999999999</c:v>
                </c:pt>
                <c:pt idx="263">
                  <c:v>103.19999999999999</c:v>
                </c:pt>
                <c:pt idx="264">
                  <c:v>103.19999999999999</c:v>
                </c:pt>
                <c:pt idx="265">
                  <c:v>103.19999999999999</c:v>
                </c:pt>
                <c:pt idx="266">
                  <c:v>103.19999999999999</c:v>
                </c:pt>
                <c:pt idx="267">
                  <c:v>103.19999999999999</c:v>
                </c:pt>
                <c:pt idx="268">
                  <c:v>103.19999999999999</c:v>
                </c:pt>
                <c:pt idx="269">
                  <c:v>103.19999999999999</c:v>
                </c:pt>
                <c:pt idx="270">
                  <c:v>103.19999999999999</c:v>
                </c:pt>
                <c:pt idx="271">
                  <c:v>103.19999999999999</c:v>
                </c:pt>
                <c:pt idx="272">
                  <c:v>103.19999999999999</c:v>
                </c:pt>
                <c:pt idx="273">
                  <c:v>103.19999999999999</c:v>
                </c:pt>
                <c:pt idx="274">
                  <c:v>103.19999999999999</c:v>
                </c:pt>
                <c:pt idx="275">
                  <c:v>103.19999999999999</c:v>
                </c:pt>
                <c:pt idx="276">
                  <c:v>103.19999999999999</c:v>
                </c:pt>
                <c:pt idx="277">
                  <c:v>103.19999999999999</c:v>
                </c:pt>
                <c:pt idx="278">
                  <c:v>103.19999999999999</c:v>
                </c:pt>
                <c:pt idx="279">
                  <c:v>103.19999999999999</c:v>
                </c:pt>
                <c:pt idx="280">
                  <c:v>103.19999999999999</c:v>
                </c:pt>
                <c:pt idx="281">
                  <c:v>103.19999999999999</c:v>
                </c:pt>
                <c:pt idx="282">
                  <c:v>103.19999999999999</c:v>
                </c:pt>
                <c:pt idx="283">
                  <c:v>103.19999999999999</c:v>
                </c:pt>
                <c:pt idx="284">
                  <c:v>103.19999999999999</c:v>
                </c:pt>
                <c:pt idx="285">
                  <c:v>103.19999999999999</c:v>
                </c:pt>
                <c:pt idx="286">
                  <c:v>103.19999999999999</c:v>
                </c:pt>
                <c:pt idx="287">
                  <c:v>103.19999999999999</c:v>
                </c:pt>
                <c:pt idx="288">
                  <c:v>103.19999999999999</c:v>
                </c:pt>
                <c:pt idx="289">
                  <c:v>103.19999999999999</c:v>
                </c:pt>
                <c:pt idx="290">
                  <c:v>103.19999999999999</c:v>
                </c:pt>
                <c:pt idx="291">
                  <c:v>103.19999999999999</c:v>
                </c:pt>
                <c:pt idx="292">
                  <c:v>103.19999999999999</c:v>
                </c:pt>
                <c:pt idx="293">
                  <c:v>103.19999999999999</c:v>
                </c:pt>
                <c:pt idx="294">
                  <c:v>103.19999999999999</c:v>
                </c:pt>
                <c:pt idx="295">
                  <c:v>103.19999999999999</c:v>
                </c:pt>
                <c:pt idx="296">
                  <c:v>103.19999999999999</c:v>
                </c:pt>
                <c:pt idx="297">
                  <c:v>103.19999999999999</c:v>
                </c:pt>
                <c:pt idx="298">
                  <c:v>103.19999999999999</c:v>
                </c:pt>
                <c:pt idx="299">
                  <c:v>103.19999999999999</c:v>
                </c:pt>
                <c:pt idx="300">
                  <c:v>103.19999999999999</c:v>
                </c:pt>
                <c:pt idx="301">
                  <c:v>103.19999999999999</c:v>
                </c:pt>
                <c:pt idx="302">
                  <c:v>103.19999999999999</c:v>
                </c:pt>
                <c:pt idx="303">
                  <c:v>103.19999999999999</c:v>
                </c:pt>
                <c:pt idx="304">
                  <c:v>103.19999999999999</c:v>
                </c:pt>
                <c:pt idx="305">
                  <c:v>103.19999999999999</c:v>
                </c:pt>
                <c:pt idx="306">
                  <c:v>103.19999999999999</c:v>
                </c:pt>
                <c:pt idx="307">
                  <c:v>103.19999999999999</c:v>
                </c:pt>
                <c:pt idx="308">
                  <c:v>103.19999999999999</c:v>
                </c:pt>
                <c:pt idx="309">
                  <c:v>103.19999999999999</c:v>
                </c:pt>
                <c:pt idx="310">
                  <c:v>103.19999999999999</c:v>
                </c:pt>
                <c:pt idx="311">
                  <c:v>103.19999999999999</c:v>
                </c:pt>
                <c:pt idx="312">
                  <c:v>103.19999999999999</c:v>
                </c:pt>
                <c:pt idx="313">
                  <c:v>103.19999999999999</c:v>
                </c:pt>
                <c:pt idx="314">
                  <c:v>103.19999999999999</c:v>
                </c:pt>
                <c:pt idx="315">
                  <c:v>103.19999999999999</c:v>
                </c:pt>
                <c:pt idx="316">
                  <c:v>103.19999999999999</c:v>
                </c:pt>
                <c:pt idx="317">
                  <c:v>103.19999999999999</c:v>
                </c:pt>
                <c:pt idx="318">
                  <c:v>103.19999999999999</c:v>
                </c:pt>
                <c:pt idx="319">
                  <c:v>103.19999999999999</c:v>
                </c:pt>
                <c:pt idx="320">
                  <c:v>103.19999999999999</c:v>
                </c:pt>
                <c:pt idx="321">
                  <c:v>103.19999999999999</c:v>
                </c:pt>
                <c:pt idx="322">
                  <c:v>103.19999999999999</c:v>
                </c:pt>
                <c:pt idx="323">
                  <c:v>103.19999999999999</c:v>
                </c:pt>
                <c:pt idx="324">
                  <c:v>103.19999999999999</c:v>
                </c:pt>
                <c:pt idx="325">
                  <c:v>103.19999999999999</c:v>
                </c:pt>
                <c:pt idx="326">
                  <c:v>103.19999999999999</c:v>
                </c:pt>
                <c:pt idx="327">
                  <c:v>103.19999999999999</c:v>
                </c:pt>
                <c:pt idx="328">
                  <c:v>103.19999999999999</c:v>
                </c:pt>
                <c:pt idx="329">
                  <c:v>103.19999999999999</c:v>
                </c:pt>
                <c:pt idx="330">
                  <c:v>103.19999999999999</c:v>
                </c:pt>
                <c:pt idx="331">
                  <c:v>103.19999999999999</c:v>
                </c:pt>
                <c:pt idx="332">
                  <c:v>103.19999999999999</c:v>
                </c:pt>
                <c:pt idx="333">
                  <c:v>103.19999999999999</c:v>
                </c:pt>
                <c:pt idx="334">
                  <c:v>103.19999999999999</c:v>
                </c:pt>
                <c:pt idx="335">
                  <c:v>103.19999999999999</c:v>
                </c:pt>
                <c:pt idx="336">
                  <c:v>103.19999999999999</c:v>
                </c:pt>
                <c:pt idx="337">
                  <c:v>103.19999999999999</c:v>
                </c:pt>
                <c:pt idx="338">
                  <c:v>103.19999999999999</c:v>
                </c:pt>
                <c:pt idx="339">
                  <c:v>103.19999999999999</c:v>
                </c:pt>
                <c:pt idx="340">
                  <c:v>103.19999999999999</c:v>
                </c:pt>
                <c:pt idx="341">
                  <c:v>103.19999999999999</c:v>
                </c:pt>
                <c:pt idx="342">
                  <c:v>103.19999999999999</c:v>
                </c:pt>
                <c:pt idx="343">
                  <c:v>103.19999999999999</c:v>
                </c:pt>
                <c:pt idx="344">
                  <c:v>103.19999999999999</c:v>
                </c:pt>
                <c:pt idx="345">
                  <c:v>103.19999999999999</c:v>
                </c:pt>
                <c:pt idx="346">
                  <c:v>103.19999999999999</c:v>
                </c:pt>
                <c:pt idx="347">
                  <c:v>103.19999999999999</c:v>
                </c:pt>
                <c:pt idx="348">
                  <c:v>103.19999999999999</c:v>
                </c:pt>
                <c:pt idx="349">
                  <c:v>103.19999999999999</c:v>
                </c:pt>
                <c:pt idx="350">
                  <c:v>103.19999999999999</c:v>
                </c:pt>
                <c:pt idx="351">
                  <c:v>103.19999999999999</c:v>
                </c:pt>
                <c:pt idx="352">
                  <c:v>103.19999999999999</c:v>
                </c:pt>
                <c:pt idx="353">
                  <c:v>103.19999999999999</c:v>
                </c:pt>
                <c:pt idx="354">
                  <c:v>103.19999999999999</c:v>
                </c:pt>
                <c:pt idx="355">
                  <c:v>103.19999999999999</c:v>
                </c:pt>
                <c:pt idx="356">
                  <c:v>103.19999999999999</c:v>
                </c:pt>
                <c:pt idx="357">
                  <c:v>103.19999999999999</c:v>
                </c:pt>
                <c:pt idx="358">
                  <c:v>103.19999999999999</c:v>
                </c:pt>
                <c:pt idx="359">
                  <c:v>103.19999999999999</c:v>
                </c:pt>
                <c:pt idx="360">
                  <c:v>103.19999999999999</c:v>
                </c:pt>
                <c:pt idx="361">
                  <c:v>103.19999999999999</c:v>
                </c:pt>
                <c:pt idx="362">
                  <c:v>103.19999999999999</c:v>
                </c:pt>
                <c:pt idx="363">
                  <c:v>103.19999999999999</c:v>
                </c:pt>
                <c:pt idx="364">
                  <c:v>103.19999999999999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PPTest!$M$6:$M$370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01344"/>
        <c:axId val="50203648"/>
      </c:lineChart>
      <c:catAx>
        <c:axId val="502013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50203648"/>
        <c:crosses val="autoZero"/>
        <c:auto val="1"/>
        <c:lblAlgn val="ctr"/>
        <c:lblOffset val="100"/>
        <c:tickMarkSkip val="15"/>
        <c:noMultiLvlLbl val="0"/>
      </c:catAx>
      <c:valAx>
        <c:axId val="50203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50201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PPTest!$R$6:$R$370</c:f>
              <c:numCache>
                <c:formatCode>0</c:formatCode>
                <c:ptCount val="365"/>
                <c:pt idx="0">
                  <c:v>184.23000000000002</c:v>
                </c:pt>
                <c:pt idx="1">
                  <c:v>186.91200000000003</c:v>
                </c:pt>
                <c:pt idx="2">
                  <c:v>186.91200000000003</c:v>
                </c:pt>
                <c:pt idx="3">
                  <c:v>186.91200000000003</c:v>
                </c:pt>
                <c:pt idx="4">
                  <c:v>186.91200000000003</c:v>
                </c:pt>
                <c:pt idx="5">
                  <c:v>186.91200000000003</c:v>
                </c:pt>
                <c:pt idx="6">
                  <c:v>188.21200000000005</c:v>
                </c:pt>
                <c:pt idx="7">
                  <c:v>188.51200000000009</c:v>
                </c:pt>
                <c:pt idx="8">
                  <c:v>188.51200000000009</c:v>
                </c:pt>
                <c:pt idx="9">
                  <c:v>202.3120000000001</c:v>
                </c:pt>
                <c:pt idx="10">
                  <c:v>202.31200000000013</c:v>
                </c:pt>
                <c:pt idx="11">
                  <c:v>202.31200000000013</c:v>
                </c:pt>
                <c:pt idx="12">
                  <c:v>202.31200000000013</c:v>
                </c:pt>
                <c:pt idx="13">
                  <c:v>202.31200000000013</c:v>
                </c:pt>
                <c:pt idx="14">
                  <c:v>202.31200000000013</c:v>
                </c:pt>
                <c:pt idx="15">
                  <c:v>202.91200000000012</c:v>
                </c:pt>
                <c:pt idx="16">
                  <c:v>202.91200000000009</c:v>
                </c:pt>
                <c:pt idx="17">
                  <c:v>202.91200000000006</c:v>
                </c:pt>
                <c:pt idx="18">
                  <c:v>202.91200000000003</c:v>
                </c:pt>
                <c:pt idx="19">
                  <c:v>202.91200000000003</c:v>
                </c:pt>
                <c:pt idx="20">
                  <c:v>202.91200000000003</c:v>
                </c:pt>
                <c:pt idx="21">
                  <c:v>204.91200000000006</c:v>
                </c:pt>
                <c:pt idx="22">
                  <c:v>210.41200000000009</c:v>
                </c:pt>
                <c:pt idx="23">
                  <c:v>210.41200000000009</c:v>
                </c:pt>
                <c:pt idx="24">
                  <c:v>210.41200000000009</c:v>
                </c:pt>
                <c:pt idx="25">
                  <c:v>210.41200000000009</c:v>
                </c:pt>
                <c:pt idx="26">
                  <c:v>210.41200000000009</c:v>
                </c:pt>
                <c:pt idx="27">
                  <c:v>211.31200000000013</c:v>
                </c:pt>
                <c:pt idx="28">
                  <c:v>211.3120000000001</c:v>
                </c:pt>
                <c:pt idx="29">
                  <c:v>226.91200000000009</c:v>
                </c:pt>
                <c:pt idx="30">
                  <c:v>250.61200000000008</c:v>
                </c:pt>
                <c:pt idx="31">
                  <c:v>250.61200000000008</c:v>
                </c:pt>
                <c:pt idx="32">
                  <c:v>250.61200000000008</c:v>
                </c:pt>
                <c:pt idx="33">
                  <c:v>250.61200000000005</c:v>
                </c:pt>
                <c:pt idx="34">
                  <c:v>250.61200000000005</c:v>
                </c:pt>
                <c:pt idx="35">
                  <c:v>250.61200000000005</c:v>
                </c:pt>
                <c:pt idx="36">
                  <c:v>250.61200000000005</c:v>
                </c:pt>
                <c:pt idx="37">
                  <c:v>250.61200000000005</c:v>
                </c:pt>
                <c:pt idx="38">
                  <c:v>253.71200000000002</c:v>
                </c:pt>
                <c:pt idx="39">
                  <c:v>253.71200000000002</c:v>
                </c:pt>
                <c:pt idx="40">
                  <c:v>253.71200000000002</c:v>
                </c:pt>
                <c:pt idx="41">
                  <c:v>253.71200000000005</c:v>
                </c:pt>
                <c:pt idx="42">
                  <c:v>253.71200000000007</c:v>
                </c:pt>
                <c:pt idx="43">
                  <c:v>254.21200000000007</c:v>
                </c:pt>
                <c:pt idx="44">
                  <c:v>256.01200000000006</c:v>
                </c:pt>
                <c:pt idx="45">
                  <c:v>256.01200000000006</c:v>
                </c:pt>
                <c:pt idx="46">
                  <c:v>270.31200000000007</c:v>
                </c:pt>
                <c:pt idx="47">
                  <c:v>270.31200000000007</c:v>
                </c:pt>
                <c:pt idx="48">
                  <c:v>270.31200000000007</c:v>
                </c:pt>
                <c:pt idx="49">
                  <c:v>271.31200000000007</c:v>
                </c:pt>
                <c:pt idx="50">
                  <c:v>271.31200000000007</c:v>
                </c:pt>
                <c:pt idx="51">
                  <c:v>284.21200000000005</c:v>
                </c:pt>
                <c:pt idx="52">
                  <c:v>284.21200000000005</c:v>
                </c:pt>
                <c:pt idx="53">
                  <c:v>285.01200000000006</c:v>
                </c:pt>
                <c:pt idx="54">
                  <c:v>285.01200000000006</c:v>
                </c:pt>
                <c:pt idx="55">
                  <c:v>287.51200000000006</c:v>
                </c:pt>
                <c:pt idx="56">
                  <c:v>287.51200000000006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86688"/>
        <c:axId val="51287936"/>
      </c:lineChart>
      <c:catAx>
        <c:axId val="511866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51287936"/>
        <c:crosses val="autoZero"/>
        <c:auto val="1"/>
        <c:lblAlgn val="ctr"/>
        <c:lblOffset val="100"/>
        <c:tickMarkSkip val="18"/>
        <c:noMultiLvlLbl val="0"/>
      </c:catAx>
      <c:valAx>
        <c:axId val="51287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51186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PPTest!$T$6:$T$370</c:f>
              <c:numCache>
                <c:formatCode>0.0</c:formatCode>
                <c:ptCount val="365"/>
                <c:pt idx="0">
                  <c:v>0</c:v>
                </c:pt>
                <c:pt idx="1">
                  <c:v>-0.1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342912"/>
        <c:axId val="154359296"/>
      </c:barChart>
      <c:catAx>
        <c:axId val="1543429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4359296"/>
        <c:crosses val="autoZero"/>
        <c:auto val="1"/>
        <c:lblAlgn val="ctr"/>
        <c:lblOffset val="100"/>
        <c:tickMarkSkip val="18"/>
        <c:noMultiLvlLbl val="0"/>
      </c:catAx>
      <c:valAx>
        <c:axId val="154359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54342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PPTest!$Q$6:$Q$370</c:f>
              <c:numCache>
                <c:formatCode>0.000</c:formatCode>
                <c:ptCount val="365"/>
                <c:pt idx="0">
                  <c:v>0.23863989637305694</c:v>
                </c:pt>
                <c:pt idx="1">
                  <c:v>0.23599999999999999</c:v>
                </c:pt>
                <c:pt idx="2">
                  <c:v>0.23599999999999999</c:v>
                </c:pt>
                <c:pt idx="3">
                  <c:v>0.24274285714285718</c:v>
                </c:pt>
                <c:pt idx="4">
                  <c:v>0.25292557510148844</c:v>
                </c:pt>
                <c:pt idx="5">
                  <c:v>0.25996105702364386</c:v>
                </c:pt>
                <c:pt idx="6">
                  <c:v>0.2581783264746228</c:v>
                </c:pt>
                <c:pt idx="7">
                  <c:v>0.25788235294117645</c:v>
                </c:pt>
                <c:pt idx="8">
                  <c:v>0.26550985915492953</c:v>
                </c:pt>
                <c:pt idx="9">
                  <c:v>0.24793137254901965</c:v>
                </c:pt>
                <c:pt idx="10">
                  <c:v>0.25194520547945209</c:v>
                </c:pt>
                <c:pt idx="11">
                  <c:v>0.26004113110539862</c:v>
                </c:pt>
                <c:pt idx="12">
                  <c:v>0.26377053455019561</c:v>
                </c:pt>
                <c:pt idx="13">
                  <c:v>0.26831830238726806</c:v>
                </c:pt>
                <c:pt idx="14">
                  <c:v>0.27488043478260876</c:v>
                </c:pt>
                <c:pt idx="15">
                  <c:v>0.27383535762483141</c:v>
                </c:pt>
                <c:pt idx="16">
                  <c:v>0.27457645466847092</c:v>
                </c:pt>
                <c:pt idx="17">
                  <c:v>0.27949311294765833</c:v>
                </c:pt>
                <c:pt idx="18">
                  <c:v>0.27987862068965519</c:v>
                </c:pt>
                <c:pt idx="19">
                  <c:v>0.28065283540802205</c:v>
                </c:pt>
                <c:pt idx="20">
                  <c:v>0.2818222222222222</c:v>
                </c:pt>
                <c:pt idx="21">
                  <c:v>0.27879183673469382</c:v>
                </c:pt>
                <c:pt idx="22">
                  <c:v>0.27080051480051487</c:v>
                </c:pt>
                <c:pt idx="23">
                  <c:v>0.27433116036505867</c:v>
                </c:pt>
                <c:pt idx="24">
                  <c:v>0.27613123359580066</c:v>
                </c:pt>
                <c:pt idx="25">
                  <c:v>0.28281182795698928</c:v>
                </c:pt>
                <c:pt idx="26">
                  <c:v>0.28942503438789546</c:v>
                </c:pt>
                <c:pt idx="27">
                  <c:v>0.2878910081743869</c:v>
                </c:pt>
                <c:pt idx="28">
                  <c:v>0.2894684931506849</c:v>
                </c:pt>
                <c:pt idx="29">
                  <c:v>0.26695529411764712</c:v>
                </c:pt>
                <c:pt idx="30">
                  <c:v>0.2428410852713179</c:v>
                </c:pt>
                <c:pt idx="31">
                  <c:v>0.24449951219512192</c:v>
                </c:pt>
                <c:pt idx="32">
                  <c:v>0.25288799192734618</c:v>
                </c:pt>
                <c:pt idx="33">
                  <c:v>0.2559877425944842</c:v>
                </c:pt>
                <c:pt idx="34">
                  <c:v>0.26380210526315789</c:v>
                </c:pt>
                <c:pt idx="35">
                  <c:v>0.2668924387646433</c:v>
                </c:pt>
                <c:pt idx="36">
                  <c:v>0.27329552889858233</c:v>
                </c:pt>
                <c:pt idx="37">
                  <c:v>0.27389289617486345</c:v>
                </c:pt>
                <c:pt idx="38">
                  <c:v>0.27019382321618746</c:v>
                </c:pt>
                <c:pt idx="39">
                  <c:v>0.275175704989154</c:v>
                </c:pt>
                <c:pt idx="40">
                  <c:v>0.27697816593886454</c:v>
                </c:pt>
                <c:pt idx="41">
                  <c:v>0.28003532008830023</c:v>
                </c:pt>
                <c:pt idx="42">
                  <c:v>0.2837941834451902</c:v>
                </c:pt>
                <c:pt idx="43">
                  <c:v>0.28308685968819602</c:v>
                </c:pt>
                <c:pt idx="44">
                  <c:v>0.28071491228070172</c:v>
                </c:pt>
                <c:pt idx="45">
                  <c:v>0.28133186813186817</c:v>
                </c:pt>
                <c:pt idx="46">
                  <c:v>0.26501176470588245</c:v>
                </c:pt>
                <c:pt idx="47">
                  <c:v>0.27611031664964253</c:v>
                </c:pt>
                <c:pt idx="48">
                  <c:v>0.28186861313868616</c:v>
                </c:pt>
                <c:pt idx="49">
                  <c:v>0.28057083764219237</c:v>
                </c:pt>
                <c:pt idx="50">
                  <c:v>0.28320668058455117</c:v>
                </c:pt>
                <c:pt idx="51">
                  <c:v>0.26888552507095548</c:v>
                </c:pt>
                <c:pt idx="52">
                  <c:v>0.27727999999999992</c:v>
                </c:pt>
                <c:pt idx="53">
                  <c:v>0.2764422890397672</c:v>
                </c:pt>
                <c:pt idx="54">
                  <c:v>0.28275000000000006</c:v>
                </c:pt>
                <c:pt idx="55">
                  <c:v>0.27995326192794545</c:v>
                </c:pt>
                <c:pt idx="56">
                  <c:v>0.28953877139979856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0.4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819200"/>
        <c:axId val="214820736"/>
      </c:lineChart>
      <c:catAx>
        <c:axId val="2148192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4820736"/>
        <c:crosses val="autoZero"/>
        <c:auto val="1"/>
        <c:lblAlgn val="ctr"/>
        <c:lblOffset val="100"/>
        <c:tickMarkSkip val="18"/>
        <c:noMultiLvlLbl val="0"/>
      </c:catAx>
      <c:valAx>
        <c:axId val="214820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14819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38E-2"/>
          <c:y val="0.12111292962356793"/>
          <c:w val="0.90969899665551912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Data!$AV$6:$AV$370</c:f>
              <c:numCache>
                <c:formatCode>General</c:formatCode>
                <c:ptCount val="365"/>
                <c:pt idx="0">
                  <c:v>12.86</c:v>
                </c:pt>
                <c:pt idx="1">
                  <c:v>12.85</c:v>
                </c:pt>
                <c:pt idx="2">
                  <c:v>12.84</c:v>
                </c:pt>
                <c:pt idx="3">
                  <c:v>12.84</c:v>
                </c:pt>
                <c:pt idx="4">
                  <c:v>12.96</c:v>
                </c:pt>
                <c:pt idx="5">
                  <c:v>12.84</c:v>
                </c:pt>
                <c:pt idx="6">
                  <c:v>12.83</c:v>
                </c:pt>
                <c:pt idx="7">
                  <c:v>12.83</c:v>
                </c:pt>
                <c:pt idx="8">
                  <c:v>13.06</c:v>
                </c:pt>
                <c:pt idx="9">
                  <c:v>12.83</c:v>
                </c:pt>
                <c:pt idx="10">
                  <c:v>12.82</c:v>
                </c:pt>
                <c:pt idx="11">
                  <c:v>12.82</c:v>
                </c:pt>
                <c:pt idx="12">
                  <c:v>13.16</c:v>
                </c:pt>
                <c:pt idx="13">
                  <c:v>13.18</c:v>
                </c:pt>
                <c:pt idx="14">
                  <c:v>13.23</c:v>
                </c:pt>
                <c:pt idx="15">
                  <c:v>13.17</c:v>
                </c:pt>
                <c:pt idx="16">
                  <c:v>13.11</c:v>
                </c:pt>
                <c:pt idx="17">
                  <c:v>13.22</c:v>
                </c:pt>
                <c:pt idx="18">
                  <c:v>13.23</c:v>
                </c:pt>
                <c:pt idx="19">
                  <c:v>13.26</c:v>
                </c:pt>
                <c:pt idx="20">
                  <c:v>13.16</c:v>
                </c:pt>
                <c:pt idx="21">
                  <c:v>13.24</c:v>
                </c:pt>
                <c:pt idx="22">
                  <c:v>13.13</c:v>
                </c:pt>
                <c:pt idx="23">
                  <c:v>13.15</c:v>
                </c:pt>
                <c:pt idx="24">
                  <c:v>13.22</c:v>
                </c:pt>
                <c:pt idx="25">
                  <c:v>13.22</c:v>
                </c:pt>
                <c:pt idx="26">
                  <c:v>13.21</c:v>
                </c:pt>
                <c:pt idx="27">
                  <c:v>13.21</c:v>
                </c:pt>
                <c:pt idx="28">
                  <c:v>13.2</c:v>
                </c:pt>
                <c:pt idx="29">
                  <c:v>13.15</c:v>
                </c:pt>
                <c:pt idx="30">
                  <c:v>13.09</c:v>
                </c:pt>
                <c:pt idx="31">
                  <c:v>13.18</c:v>
                </c:pt>
                <c:pt idx="32">
                  <c:v>13.18</c:v>
                </c:pt>
                <c:pt idx="33">
                  <c:v>13.14</c:v>
                </c:pt>
                <c:pt idx="34">
                  <c:v>13.18</c:v>
                </c:pt>
                <c:pt idx="35">
                  <c:v>13.18</c:v>
                </c:pt>
                <c:pt idx="36">
                  <c:v>13.17</c:v>
                </c:pt>
                <c:pt idx="37">
                  <c:v>13.16</c:v>
                </c:pt>
                <c:pt idx="38">
                  <c:v>13.08</c:v>
                </c:pt>
                <c:pt idx="39">
                  <c:v>13.04</c:v>
                </c:pt>
                <c:pt idx="40">
                  <c:v>13.13</c:v>
                </c:pt>
                <c:pt idx="41">
                  <c:v>13.13</c:v>
                </c:pt>
                <c:pt idx="42">
                  <c:v>13.14</c:v>
                </c:pt>
                <c:pt idx="43">
                  <c:v>13.14</c:v>
                </c:pt>
                <c:pt idx="44">
                  <c:v>13.14</c:v>
                </c:pt>
                <c:pt idx="45">
                  <c:v>13.13</c:v>
                </c:pt>
                <c:pt idx="46">
                  <c:v>13.05</c:v>
                </c:pt>
                <c:pt idx="47">
                  <c:v>13.1</c:v>
                </c:pt>
                <c:pt idx="48">
                  <c:v>13.14</c:v>
                </c:pt>
                <c:pt idx="49">
                  <c:v>13.14</c:v>
                </c:pt>
                <c:pt idx="50">
                  <c:v>13.12</c:v>
                </c:pt>
                <c:pt idx="51">
                  <c:v>13.03</c:v>
                </c:pt>
                <c:pt idx="52">
                  <c:v>13.08</c:v>
                </c:pt>
                <c:pt idx="53">
                  <c:v>13.16</c:v>
                </c:pt>
                <c:pt idx="54">
                  <c:v>13.15</c:v>
                </c:pt>
                <c:pt idx="55">
                  <c:v>13.15</c:v>
                </c:pt>
                <c:pt idx="56">
                  <c:v>13.15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267200"/>
        <c:axId val="219912064"/>
      </c:lineChart>
      <c:catAx>
        <c:axId val="2172672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9912064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99120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2672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Data!$C$6:$C$371</c:f>
              <c:numCache>
                <c:formatCode>General</c:formatCode>
                <c:ptCount val="366"/>
                <c:pt idx="0">
                  <c:v>0.36499999999999999</c:v>
                </c:pt>
                <c:pt idx="1">
                  <c:v>0.311</c:v>
                </c:pt>
                <c:pt idx="2">
                  <c:v>0.52200000000000002</c:v>
                </c:pt>
                <c:pt idx="3">
                  <c:v>0.51400000000000001</c:v>
                </c:pt>
                <c:pt idx="4">
                  <c:v>0.63400000000000001</c:v>
                </c:pt>
                <c:pt idx="5">
                  <c:v>0.371</c:v>
                </c:pt>
                <c:pt idx="6">
                  <c:v>0.67800000000000005</c:v>
                </c:pt>
                <c:pt idx="7">
                  <c:v>0.308</c:v>
                </c:pt>
                <c:pt idx="8">
                  <c:v>0.89100000000000001</c:v>
                </c:pt>
                <c:pt idx="9">
                  <c:v>0.26200000000000001</c:v>
                </c:pt>
                <c:pt idx="10">
                  <c:v>0.22500000000000001</c:v>
                </c:pt>
                <c:pt idx="11">
                  <c:v>0.28299999999999997</c:v>
                </c:pt>
                <c:pt idx="12">
                  <c:v>2.5529999999999999</c:v>
                </c:pt>
                <c:pt idx="13">
                  <c:v>2.0329999999999999</c:v>
                </c:pt>
                <c:pt idx="14">
                  <c:v>4.1740000000000004</c:v>
                </c:pt>
                <c:pt idx="15">
                  <c:v>1.821</c:v>
                </c:pt>
                <c:pt idx="16">
                  <c:v>0.98199999999999998</c:v>
                </c:pt>
                <c:pt idx="17">
                  <c:v>3.9140000000000001</c:v>
                </c:pt>
                <c:pt idx="18">
                  <c:v>4.5659999999999998</c:v>
                </c:pt>
                <c:pt idx="19">
                  <c:v>4.7709999999999999</c:v>
                </c:pt>
                <c:pt idx="20">
                  <c:v>0.69699999999999995</c:v>
                </c:pt>
                <c:pt idx="21">
                  <c:v>5.2389999999999999</c:v>
                </c:pt>
                <c:pt idx="22">
                  <c:v>0.66800000000000004</c:v>
                </c:pt>
                <c:pt idx="23">
                  <c:v>0.98399999999999999</c:v>
                </c:pt>
                <c:pt idx="24">
                  <c:v>2.0139999999999998</c:v>
                </c:pt>
                <c:pt idx="25">
                  <c:v>5.0270000000000001</c:v>
                </c:pt>
                <c:pt idx="26">
                  <c:v>8.57</c:v>
                </c:pt>
                <c:pt idx="27">
                  <c:v>6.9669999999999996</c:v>
                </c:pt>
                <c:pt idx="28">
                  <c:v>6.5259999999999998</c:v>
                </c:pt>
                <c:pt idx="29">
                  <c:v>2.1190000000000002</c:v>
                </c:pt>
                <c:pt idx="30">
                  <c:v>0.433</c:v>
                </c:pt>
                <c:pt idx="31">
                  <c:v>5.9080000000000004</c:v>
                </c:pt>
                <c:pt idx="32">
                  <c:v>3.129</c:v>
                </c:pt>
                <c:pt idx="33">
                  <c:v>1.2909999999999999</c:v>
                </c:pt>
                <c:pt idx="34">
                  <c:v>2.871</c:v>
                </c:pt>
                <c:pt idx="35">
                  <c:v>2.4990000000000001</c:v>
                </c:pt>
                <c:pt idx="36">
                  <c:v>4.0439999999999996</c:v>
                </c:pt>
                <c:pt idx="37">
                  <c:v>6.22</c:v>
                </c:pt>
                <c:pt idx="38">
                  <c:v>1.601</c:v>
                </c:pt>
                <c:pt idx="39">
                  <c:v>1.204</c:v>
                </c:pt>
                <c:pt idx="40">
                  <c:v>4.3159999999999998</c:v>
                </c:pt>
                <c:pt idx="41">
                  <c:v>4.3470000000000004</c:v>
                </c:pt>
                <c:pt idx="42">
                  <c:v>4.2309999999999999</c:v>
                </c:pt>
                <c:pt idx="43">
                  <c:v>5.9130000000000003</c:v>
                </c:pt>
                <c:pt idx="44">
                  <c:v>3.383</c:v>
                </c:pt>
                <c:pt idx="45">
                  <c:v>7.1059999999999999</c:v>
                </c:pt>
                <c:pt idx="46">
                  <c:v>1.212</c:v>
                </c:pt>
                <c:pt idx="47">
                  <c:v>0.998</c:v>
                </c:pt>
                <c:pt idx="48">
                  <c:v>3.431</c:v>
                </c:pt>
                <c:pt idx="49">
                  <c:v>1.9790000000000001</c:v>
                </c:pt>
                <c:pt idx="50">
                  <c:v>1.7450000000000001</c:v>
                </c:pt>
                <c:pt idx="51">
                  <c:v>0.48399999999999999</c:v>
                </c:pt>
                <c:pt idx="52">
                  <c:v>2.5179999999999998</c:v>
                </c:pt>
                <c:pt idx="53">
                  <c:v>10.66</c:v>
                </c:pt>
                <c:pt idx="54">
                  <c:v>7.9429999999999996</c:v>
                </c:pt>
                <c:pt idx="55">
                  <c:v>4.8579999999999997</c:v>
                </c:pt>
                <c:pt idx="56">
                  <c:v>8.3000000000000007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Data!$D$6:$D$371</c:f>
              <c:numCache>
                <c:formatCode>General</c:formatCode>
                <c:ptCount val="366"/>
                <c:pt idx="0">
                  <c:v>1.351</c:v>
                </c:pt>
                <c:pt idx="1">
                  <c:v>1.1679999999999999</c:v>
                </c:pt>
                <c:pt idx="2">
                  <c:v>1.768</c:v>
                </c:pt>
                <c:pt idx="3">
                  <c:v>1.6879999999999999</c:v>
                </c:pt>
                <c:pt idx="4">
                  <c:v>1.8129999999999999</c:v>
                </c:pt>
                <c:pt idx="5">
                  <c:v>1.403</c:v>
                </c:pt>
                <c:pt idx="6">
                  <c:v>1.774</c:v>
                </c:pt>
                <c:pt idx="7">
                  <c:v>1.2130000000000001</c:v>
                </c:pt>
                <c:pt idx="8">
                  <c:v>2.1619999999999999</c:v>
                </c:pt>
                <c:pt idx="9">
                  <c:v>1.0269999999999999</c:v>
                </c:pt>
                <c:pt idx="10">
                  <c:v>0.86099999999999999</c:v>
                </c:pt>
                <c:pt idx="11">
                  <c:v>1.071</c:v>
                </c:pt>
                <c:pt idx="12">
                  <c:v>2.1949999999999998</c:v>
                </c:pt>
                <c:pt idx="13">
                  <c:v>2.0299999999999998</c:v>
                </c:pt>
                <c:pt idx="14">
                  <c:v>2.6480000000000001</c:v>
                </c:pt>
                <c:pt idx="15">
                  <c:v>1.232</c:v>
                </c:pt>
                <c:pt idx="16">
                  <c:v>0.67</c:v>
                </c:pt>
                <c:pt idx="17">
                  <c:v>2.5670000000000002</c:v>
                </c:pt>
                <c:pt idx="18">
                  <c:v>2.738</c:v>
                </c:pt>
                <c:pt idx="19">
                  <c:v>3.121</c:v>
                </c:pt>
                <c:pt idx="20">
                  <c:v>1.008</c:v>
                </c:pt>
                <c:pt idx="21">
                  <c:v>3.5960000000000001</c:v>
                </c:pt>
                <c:pt idx="22">
                  <c:v>1.1399999999999999</c:v>
                </c:pt>
                <c:pt idx="23">
                  <c:v>2.1659999999999999</c:v>
                </c:pt>
                <c:pt idx="24">
                  <c:v>2.9249999999999998</c:v>
                </c:pt>
                <c:pt idx="25">
                  <c:v>3.556</c:v>
                </c:pt>
                <c:pt idx="26">
                  <c:v>4.1310000000000002</c:v>
                </c:pt>
                <c:pt idx="27">
                  <c:v>5.5030000000000001</c:v>
                </c:pt>
                <c:pt idx="28">
                  <c:v>3.3759999999999999</c:v>
                </c:pt>
                <c:pt idx="29">
                  <c:v>1.4710000000000001</c:v>
                </c:pt>
                <c:pt idx="30">
                  <c:v>1.4610000000000001</c:v>
                </c:pt>
                <c:pt idx="31">
                  <c:v>3.8340000000000001</c:v>
                </c:pt>
                <c:pt idx="32">
                  <c:v>4.6349999999999998</c:v>
                </c:pt>
                <c:pt idx="33">
                  <c:v>3.427</c:v>
                </c:pt>
                <c:pt idx="34">
                  <c:v>4.6859999999999999</c:v>
                </c:pt>
                <c:pt idx="35">
                  <c:v>4.4340000000000002</c:v>
                </c:pt>
                <c:pt idx="36">
                  <c:v>4.7359999999999998</c:v>
                </c:pt>
                <c:pt idx="37">
                  <c:v>5.0289999999999999</c:v>
                </c:pt>
                <c:pt idx="38">
                  <c:v>3.7309999999999999</c:v>
                </c:pt>
                <c:pt idx="39">
                  <c:v>2.964</c:v>
                </c:pt>
                <c:pt idx="40">
                  <c:v>5.6980000000000004</c:v>
                </c:pt>
                <c:pt idx="41">
                  <c:v>6.1239999999999997</c:v>
                </c:pt>
                <c:pt idx="42">
                  <c:v>5.12</c:v>
                </c:pt>
                <c:pt idx="43">
                  <c:v>5.4320000000000004</c:v>
                </c:pt>
                <c:pt idx="44">
                  <c:v>4</c:v>
                </c:pt>
                <c:pt idx="45">
                  <c:v>5.4610000000000003</c:v>
                </c:pt>
                <c:pt idx="46">
                  <c:v>2.625</c:v>
                </c:pt>
                <c:pt idx="47">
                  <c:v>3.577</c:v>
                </c:pt>
                <c:pt idx="48">
                  <c:v>6.7119999999999997</c:v>
                </c:pt>
                <c:pt idx="49">
                  <c:v>2.7919999999999998</c:v>
                </c:pt>
                <c:pt idx="50">
                  <c:v>3.4790000000000001</c:v>
                </c:pt>
                <c:pt idx="51">
                  <c:v>1.34</c:v>
                </c:pt>
                <c:pt idx="52">
                  <c:v>4.141</c:v>
                </c:pt>
                <c:pt idx="53">
                  <c:v>6.73</c:v>
                </c:pt>
                <c:pt idx="54">
                  <c:v>5.1989999999999998</c:v>
                </c:pt>
                <c:pt idx="55">
                  <c:v>3.68</c:v>
                </c:pt>
                <c:pt idx="56">
                  <c:v>5.6870000000000003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693440"/>
        <c:axId val="285927680"/>
      </c:lineChart>
      <c:catAx>
        <c:axId val="285693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592768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85927680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5693440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</a:t>
            </a:r>
          </a:p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Data!$BB$6:$BB$371</c:f>
              <c:numCache>
                <c:formatCode>0.00</c:formatCode>
                <c:ptCount val="366"/>
                <c:pt idx="0">
                  <c:v>1.35</c:v>
                </c:pt>
                <c:pt idx="1">
                  <c:v>1.17</c:v>
                </c:pt>
                <c:pt idx="2">
                  <c:v>1.77</c:v>
                </c:pt>
                <c:pt idx="3">
                  <c:v>1.68</c:v>
                </c:pt>
                <c:pt idx="4">
                  <c:v>1.81</c:v>
                </c:pt>
                <c:pt idx="5">
                  <c:v>1.4</c:v>
                </c:pt>
                <c:pt idx="6">
                  <c:v>1.77</c:v>
                </c:pt>
                <c:pt idx="7">
                  <c:v>1.21</c:v>
                </c:pt>
                <c:pt idx="8">
                  <c:v>2.16</c:v>
                </c:pt>
                <c:pt idx="9">
                  <c:v>1.03</c:v>
                </c:pt>
                <c:pt idx="10">
                  <c:v>0.86</c:v>
                </c:pt>
                <c:pt idx="11">
                  <c:v>1.07</c:v>
                </c:pt>
                <c:pt idx="12">
                  <c:v>3.15</c:v>
                </c:pt>
                <c:pt idx="13">
                  <c:v>2.4500000000000002</c:v>
                </c:pt>
                <c:pt idx="14">
                  <c:v>4.2</c:v>
                </c:pt>
                <c:pt idx="15">
                  <c:v>1.82</c:v>
                </c:pt>
                <c:pt idx="16">
                  <c:v>0.98</c:v>
                </c:pt>
                <c:pt idx="17">
                  <c:v>3.91</c:v>
                </c:pt>
                <c:pt idx="18">
                  <c:v>4.57</c:v>
                </c:pt>
                <c:pt idx="19">
                  <c:v>4.7699999999999996</c:v>
                </c:pt>
                <c:pt idx="20">
                  <c:v>1.01</c:v>
                </c:pt>
                <c:pt idx="21">
                  <c:v>5.24</c:v>
                </c:pt>
                <c:pt idx="22">
                  <c:v>1.1399999999999999</c:v>
                </c:pt>
                <c:pt idx="23">
                  <c:v>2.17</c:v>
                </c:pt>
                <c:pt idx="24">
                  <c:v>2.92</c:v>
                </c:pt>
                <c:pt idx="25">
                  <c:v>5.03</c:v>
                </c:pt>
                <c:pt idx="26">
                  <c:v>4.08</c:v>
                </c:pt>
                <c:pt idx="27">
                  <c:v>4.75</c:v>
                </c:pt>
                <c:pt idx="28">
                  <c:v>6.33</c:v>
                </c:pt>
                <c:pt idx="29">
                  <c:v>3.88</c:v>
                </c:pt>
                <c:pt idx="30">
                  <c:v>1.46</c:v>
                </c:pt>
                <c:pt idx="31">
                  <c:v>5.91</c:v>
                </c:pt>
                <c:pt idx="32">
                  <c:v>4.71</c:v>
                </c:pt>
                <c:pt idx="33">
                  <c:v>3.43</c:v>
                </c:pt>
                <c:pt idx="34">
                  <c:v>4.68</c:v>
                </c:pt>
                <c:pt idx="35">
                  <c:v>4.43</c:v>
                </c:pt>
                <c:pt idx="36">
                  <c:v>4.8899999999999997</c:v>
                </c:pt>
                <c:pt idx="37">
                  <c:v>6.28</c:v>
                </c:pt>
                <c:pt idx="38">
                  <c:v>3.73</c:v>
                </c:pt>
                <c:pt idx="39">
                  <c:v>2.96</c:v>
                </c:pt>
                <c:pt idx="40">
                  <c:v>5.74</c:v>
                </c:pt>
                <c:pt idx="41">
                  <c:v>6.14</c:v>
                </c:pt>
                <c:pt idx="42">
                  <c:v>5.2</c:v>
                </c:pt>
                <c:pt idx="43">
                  <c:v>6</c:v>
                </c:pt>
                <c:pt idx="44">
                  <c:v>3.93</c:v>
                </c:pt>
                <c:pt idx="45">
                  <c:v>7.22</c:v>
                </c:pt>
                <c:pt idx="46">
                  <c:v>2.62</c:v>
                </c:pt>
                <c:pt idx="47">
                  <c:v>3.57</c:v>
                </c:pt>
                <c:pt idx="48">
                  <c:v>6.82</c:v>
                </c:pt>
                <c:pt idx="49">
                  <c:v>2.79</c:v>
                </c:pt>
                <c:pt idx="50">
                  <c:v>3.48</c:v>
                </c:pt>
                <c:pt idx="51">
                  <c:v>1.34</c:v>
                </c:pt>
                <c:pt idx="52">
                  <c:v>4.38</c:v>
                </c:pt>
                <c:pt idx="53">
                  <c:v>10.66</c:v>
                </c:pt>
                <c:pt idx="54">
                  <c:v>7.94</c:v>
                </c:pt>
                <c:pt idx="55">
                  <c:v>4.92</c:v>
                </c:pt>
                <c:pt idx="56">
                  <c:v>8.3000000000000007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Data!$BC$6:$BC$371</c:f>
              <c:numCache>
                <c:formatCode>0.00</c:formatCode>
                <c:ptCount val="366"/>
                <c:pt idx="0">
                  <c:v>1.24</c:v>
                </c:pt>
                <c:pt idx="1">
                  <c:v>1.07</c:v>
                </c:pt>
                <c:pt idx="2">
                  <c:v>1.62</c:v>
                </c:pt>
                <c:pt idx="3">
                  <c:v>1.55</c:v>
                </c:pt>
                <c:pt idx="4">
                  <c:v>1.66</c:v>
                </c:pt>
                <c:pt idx="5">
                  <c:v>1.29</c:v>
                </c:pt>
                <c:pt idx="6">
                  <c:v>1.63</c:v>
                </c:pt>
                <c:pt idx="7">
                  <c:v>1.1100000000000001</c:v>
                </c:pt>
                <c:pt idx="8">
                  <c:v>1.99</c:v>
                </c:pt>
                <c:pt idx="9">
                  <c:v>0.94</c:v>
                </c:pt>
                <c:pt idx="10">
                  <c:v>0.79</c:v>
                </c:pt>
                <c:pt idx="11">
                  <c:v>0.98</c:v>
                </c:pt>
                <c:pt idx="12">
                  <c:v>2.02</c:v>
                </c:pt>
                <c:pt idx="13">
                  <c:v>1.87</c:v>
                </c:pt>
                <c:pt idx="14">
                  <c:v>2.44</c:v>
                </c:pt>
                <c:pt idx="15">
                  <c:v>1.1299999999999999</c:v>
                </c:pt>
                <c:pt idx="16">
                  <c:v>0.61</c:v>
                </c:pt>
                <c:pt idx="17">
                  <c:v>2.36</c:v>
                </c:pt>
                <c:pt idx="18">
                  <c:v>2.52</c:v>
                </c:pt>
                <c:pt idx="19">
                  <c:v>2.87</c:v>
                </c:pt>
                <c:pt idx="20">
                  <c:v>0.93</c:v>
                </c:pt>
                <c:pt idx="21">
                  <c:v>3.31</c:v>
                </c:pt>
                <c:pt idx="22">
                  <c:v>1.05</c:v>
                </c:pt>
                <c:pt idx="23">
                  <c:v>1.99</c:v>
                </c:pt>
                <c:pt idx="24">
                  <c:v>2.69</c:v>
                </c:pt>
                <c:pt idx="25">
                  <c:v>3.27</c:v>
                </c:pt>
                <c:pt idx="26">
                  <c:v>3.27</c:v>
                </c:pt>
                <c:pt idx="27">
                  <c:v>3.8</c:v>
                </c:pt>
                <c:pt idx="28">
                  <c:v>5.0599999999999996</c:v>
                </c:pt>
                <c:pt idx="29">
                  <c:v>3.11</c:v>
                </c:pt>
                <c:pt idx="30">
                  <c:v>1.34</c:v>
                </c:pt>
                <c:pt idx="31">
                  <c:v>3.53</c:v>
                </c:pt>
                <c:pt idx="32">
                  <c:v>4.26</c:v>
                </c:pt>
                <c:pt idx="33">
                  <c:v>3.15</c:v>
                </c:pt>
                <c:pt idx="34">
                  <c:v>4.3099999999999996</c:v>
                </c:pt>
                <c:pt idx="35">
                  <c:v>4.08</c:v>
                </c:pt>
                <c:pt idx="36">
                  <c:v>4.3600000000000003</c:v>
                </c:pt>
                <c:pt idx="37">
                  <c:v>4.63</c:v>
                </c:pt>
                <c:pt idx="38">
                  <c:v>3.43</c:v>
                </c:pt>
                <c:pt idx="39">
                  <c:v>2.73</c:v>
                </c:pt>
                <c:pt idx="40">
                  <c:v>5.24</c:v>
                </c:pt>
                <c:pt idx="41">
                  <c:v>5.63</c:v>
                </c:pt>
                <c:pt idx="42">
                  <c:v>4.71</c:v>
                </c:pt>
                <c:pt idx="43">
                  <c:v>5</c:v>
                </c:pt>
                <c:pt idx="44">
                  <c:v>3.68</c:v>
                </c:pt>
                <c:pt idx="45">
                  <c:v>5.0199999999999996</c:v>
                </c:pt>
                <c:pt idx="46">
                  <c:v>2.41</c:v>
                </c:pt>
                <c:pt idx="47">
                  <c:v>3.29</c:v>
                </c:pt>
                <c:pt idx="48">
                  <c:v>6.17</c:v>
                </c:pt>
                <c:pt idx="49">
                  <c:v>2.57</c:v>
                </c:pt>
                <c:pt idx="50">
                  <c:v>3.2</c:v>
                </c:pt>
                <c:pt idx="51">
                  <c:v>1.23</c:v>
                </c:pt>
                <c:pt idx="52">
                  <c:v>3.81</c:v>
                </c:pt>
                <c:pt idx="53">
                  <c:v>6.19</c:v>
                </c:pt>
                <c:pt idx="54">
                  <c:v>4.7699999999999996</c:v>
                </c:pt>
                <c:pt idx="55">
                  <c:v>3.37</c:v>
                </c:pt>
                <c:pt idx="56">
                  <c:v>5.22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678272"/>
        <c:axId val="315188352"/>
      </c:lineChart>
      <c:catAx>
        <c:axId val="31467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518835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315188352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4678272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 - corrected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52E-2"/>
          <c:y val="0.12111292962356793"/>
          <c:w val="0.90969899665551934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Data!$BD$6:$BD$370</c:f>
              <c:numCache>
                <c:formatCode>0.000</c:formatCode>
                <c:ptCount val="365"/>
                <c:pt idx="0">
                  <c:v>0.9185185185185184</c:v>
                </c:pt>
                <c:pt idx="1">
                  <c:v>0.91452991452991461</c:v>
                </c:pt>
                <c:pt idx="2">
                  <c:v>0.9152542372881356</c:v>
                </c:pt>
                <c:pt idx="3">
                  <c:v>0.92261904761904767</c:v>
                </c:pt>
                <c:pt idx="4">
                  <c:v>0.9171270718232043</c:v>
                </c:pt>
                <c:pt idx="5">
                  <c:v>0.92142857142857149</c:v>
                </c:pt>
                <c:pt idx="6">
                  <c:v>0.92090395480225984</c:v>
                </c:pt>
                <c:pt idx="7">
                  <c:v>0.9173553719008265</c:v>
                </c:pt>
                <c:pt idx="8">
                  <c:v>0.92129629629629628</c:v>
                </c:pt>
                <c:pt idx="9">
                  <c:v>0.9126213592233009</c:v>
                </c:pt>
                <c:pt idx="10">
                  <c:v>0.91860465116279078</c:v>
                </c:pt>
                <c:pt idx="11">
                  <c:v>0.9158878504672896</c:v>
                </c:pt>
                <c:pt idx="12">
                  <c:v>0.64126984126984132</c:v>
                </c:pt>
                <c:pt idx="13">
                  <c:v>0.76326530612244892</c:v>
                </c:pt>
                <c:pt idx="14">
                  <c:v>0.58095238095238089</c:v>
                </c:pt>
                <c:pt idx="15">
                  <c:v>0.62087912087912078</c:v>
                </c:pt>
                <c:pt idx="16">
                  <c:v>0.62244897959183676</c:v>
                </c:pt>
                <c:pt idx="17">
                  <c:v>0.6035805626598465</c:v>
                </c:pt>
                <c:pt idx="18">
                  <c:v>0.55142231947483589</c:v>
                </c:pt>
                <c:pt idx="19">
                  <c:v>0.60167714884696022</c:v>
                </c:pt>
                <c:pt idx="20">
                  <c:v>0.92079207920792083</c:v>
                </c:pt>
                <c:pt idx="21">
                  <c:v>0.63167938931297707</c:v>
                </c:pt>
                <c:pt idx="22">
                  <c:v>0.92105263157894746</c:v>
                </c:pt>
                <c:pt idx="23">
                  <c:v>0.91705069124423966</c:v>
                </c:pt>
                <c:pt idx="24">
                  <c:v>0.92123287671232879</c:v>
                </c:pt>
                <c:pt idx="25">
                  <c:v>0.6500994035785288</c:v>
                </c:pt>
                <c:pt idx="26">
                  <c:v>0.80147058823529416</c:v>
                </c:pt>
                <c:pt idx="27">
                  <c:v>0.79999999999999993</c:v>
                </c:pt>
                <c:pt idx="28">
                  <c:v>0.79936808846761442</c:v>
                </c:pt>
                <c:pt idx="29">
                  <c:v>0.80154639175257736</c:v>
                </c:pt>
                <c:pt idx="30">
                  <c:v>0.91780821917808231</c:v>
                </c:pt>
                <c:pt idx="31">
                  <c:v>0.59729272419627744</c:v>
                </c:pt>
                <c:pt idx="32">
                  <c:v>0.90445859872611456</c:v>
                </c:pt>
                <c:pt idx="33">
                  <c:v>0.91836734693877542</c:v>
                </c:pt>
                <c:pt idx="34">
                  <c:v>0.92094017094017089</c:v>
                </c:pt>
                <c:pt idx="35">
                  <c:v>0.92099322799097072</c:v>
                </c:pt>
                <c:pt idx="36">
                  <c:v>0.89161554192229053</c:v>
                </c:pt>
                <c:pt idx="37">
                  <c:v>0.73726114649681529</c:v>
                </c:pt>
                <c:pt idx="38">
                  <c:v>0.91957104557640756</c:v>
                </c:pt>
                <c:pt idx="39">
                  <c:v>0.92229729729729726</c:v>
                </c:pt>
                <c:pt idx="40">
                  <c:v>0.91289198606271782</c:v>
                </c:pt>
                <c:pt idx="41">
                  <c:v>0.91693811074918574</c:v>
                </c:pt>
                <c:pt idx="42">
                  <c:v>0.90576923076923077</c:v>
                </c:pt>
                <c:pt idx="43">
                  <c:v>0.83333333333333337</c:v>
                </c:pt>
                <c:pt idx="44">
                  <c:v>0.93638676844783719</c:v>
                </c:pt>
                <c:pt idx="45">
                  <c:v>0.69529085872576168</c:v>
                </c:pt>
                <c:pt idx="46">
                  <c:v>0.91984732824427484</c:v>
                </c:pt>
                <c:pt idx="47">
                  <c:v>0.92156862745098045</c:v>
                </c:pt>
                <c:pt idx="48">
                  <c:v>0.90469208211143692</c:v>
                </c:pt>
                <c:pt idx="49">
                  <c:v>0.92114695340501784</c:v>
                </c:pt>
                <c:pt idx="50">
                  <c:v>0.91954022988505757</c:v>
                </c:pt>
                <c:pt idx="51">
                  <c:v>0.91791044776119401</c:v>
                </c:pt>
                <c:pt idx="52">
                  <c:v>0.86986301369863017</c:v>
                </c:pt>
                <c:pt idx="53">
                  <c:v>0.58067542213883683</c:v>
                </c:pt>
                <c:pt idx="54">
                  <c:v>0.60075566750629716</c:v>
                </c:pt>
                <c:pt idx="55">
                  <c:v>0.68495934959349591</c:v>
                </c:pt>
                <c:pt idx="56">
                  <c:v>0.62891566265060228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30112"/>
        <c:axId val="186331904"/>
      </c:lineChart>
      <c:catAx>
        <c:axId val="186330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331904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1863319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330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94"/>
          <c:h val="0.8445171849427162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-8.0299999999999994</c:v>
                </c:pt>
                <c:pt idx="1">
                  <c:v>-7.9139999999999997</c:v>
                </c:pt>
                <c:pt idx="2">
                  <c:v>-6.298</c:v>
                </c:pt>
                <c:pt idx="3">
                  <c:v>-4.1870000000000003</c:v>
                </c:pt>
                <c:pt idx="4">
                  <c:v>-3.9550000000000001</c:v>
                </c:pt>
                <c:pt idx="5">
                  <c:v>-5.1609999999999996</c:v>
                </c:pt>
                <c:pt idx="6">
                  <c:v>-7.4640000000000004</c:v>
                </c:pt>
                <c:pt idx="7">
                  <c:v>-4.8179999999999996</c:v>
                </c:pt>
                <c:pt idx="8">
                  <c:v>-6.3609999999999998</c:v>
                </c:pt>
                <c:pt idx="9">
                  <c:v>-4.9669999999999996</c:v>
                </c:pt>
                <c:pt idx="10">
                  <c:v>-4.4320000000000004</c:v>
                </c:pt>
                <c:pt idx="11">
                  <c:v>-5.5359999999999996</c:v>
                </c:pt>
                <c:pt idx="12">
                  <c:v>-10.07</c:v>
                </c:pt>
                <c:pt idx="13">
                  <c:v>-5.7229999999999999</c:v>
                </c:pt>
                <c:pt idx="14">
                  <c:v>-3.9390000000000001</c:v>
                </c:pt>
                <c:pt idx="15">
                  <c:v>-5.2750000000000004</c:v>
                </c:pt>
                <c:pt idx="16">
                  <c:v>-8.84</c:v>
                </c:pt>
                <c:pt idx="17">
                  <c:v>-11.82</c:v>
                </c:pt>
                <c:pt idx="18">
                  <c:v>-13.43</c:v>
                </c:pt>
                <c:pt idx="19">
                  <c:v>-12.72</c:v>
                </c:pt>
                <c:pt idx="20">
                  <c:v>-11.3</c:v>
                </c:pt>
                <c:pt idx="21">
                  <c:v>-13.64</c:v>
                </c:pt>
                <c:pt idx="22">
                  <c:v>-8.7200000000000006</c:v>
                </c:pt>
                <c:pt idx="23">
                  <c:v>-10.27</c:v>
                </c:pt>
                <c:pt idx="24">
                  <c:v>-14.47</c:v>
                </c:pt>
                <c:pt idx="25">
                  <c:v>-12.53</c:v>
                </c:pt>
                <c:pt idx="26">
                  <c:v>-12.56</c:v>
                </c:pt>
                <c:pt idx="27">
                  <c:v>-9.3699999999999992</c:v>
                </c:pt>
                <c:pt idx="28">
                  <c:v>-8.85</c:v>
                </c:pt>
                <c:pt idx="29">
                  <c:v>-3.8319999999999999</c:v>
                </c:pt>
                <c:pt idx="30">
                  <c:v>-3.1059999999999999</c:v>
                </c:pt>
                <c:pt idx="31">
                  <c:v>-7.78</c:v>
                </c:pt>
                <c:pt idx="32">
                  <c:v>-12.74</c:v>
                </c:pt>
                <c:pt idx="33">
                  <c:v>-15.34</c:v>
                </c:pt>
                <c:pt idx="34">
                  <c:v>-21.12</c:v>
                </c:pt>
                <c:pt idx="35">
                  <c:v>-22.31</c:v>
                </c:pt>
                <c:pt idx="36">
                  <c:v>-19.75</c:v>
                </c:pt>
                <c:pt idx="37">
                  <c:v>-19.260000000000002</c:v>
                </c:pt>
                <c:pt idx="38">
                  <c:v>-15.44</c:v>
                </c:pt>
                <c:pt idx="39">
                  <c:v>-17.010000000000002</c:v>
                </c:pt>
                <c:pt idx="40">
                  <c:v>-22.75</c:v>
                </c:pt>
                <c:pt idx="41">
                  <c:v>-22.12</c:v>
                </c:pt>
                <c:pt idx="42">
                  <c:v>-20.46</c:v>
                </c:pt>
                <c:pt idx="43">
                  <c:v>-16.440000000000001</c:v>
                </c:pt>
                <c:pt idx="44">
                  <c:v>-11.51</c:v>
                </c:pt>
                <c:pt idx="45">
                  <c:v>-12.09</c:v>
                </c:pt>
                <c:pt idx="46">
                  <c:v>-7.0960000000000001</c:v>
                </c:pt>
                <c:pt idx="47">
                  <c:v>-7.6449999999999996</c:v>
                </c:pt>
                <c:pt idx="48">
                  <c:v>-7.8179999999999996</c:v>
                </c:pt>
                <c:pt idx="49">
                  <c:v>-3.722</c:v>
                </c:pt>
                <c:pt idx="50">
                  <c:v>-2.6139999999999999</c:v>
                </c:pt>
                <c:pt idx="51">
                  <c:v>-2.5779999999999998</c:v>
                </c:pt>
                <c:pt idx="52">
                  <c:v>-0.505</c:v>
                </c:pt>
                <c:pt idx="53">
                  <c:v>0.63500000000000001</c:v>
                </c:pt>
                <c:pt idx="54">
                  <c:v>-0.90900000000000003</c:v>
                </c:pt>
                <c:pt idx="55">
                  <c:v>-1.8759999999999999</c:v>
                </c:pt>
                <c:pt idx="56">
                  <c:v>-1.65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Data!$G$6:$G$370</c:f>
              <c:numCache>
                <c:formatCode>General</c:formatCode>
                <c:ptCount val="365"/>
                <c:pt idx="0">
                  <c:v>-7.74</c:v>
                </c:pt>
                <c:pt idx="1">
                  <c:v>-7.6820000000000004</c:v>
                </c:pt>
                <c:pt idx="2">
                  <c:v>-6.2149999999999999</c:v>
                </c:pt>
                <c:pt idx="3">
                  <c:v>-4.0629999999999997</c:v>
                </c:pt>
                <c:pt idx="4">
                  <c:v>-3.6949999999999998</c:v>
                </c:pt>
                <c:pt idx="5">
                  <c:v>-4.8620000000000001</c:v>
                </c:pt>
                <c:pt idx="6">
                  <c:v>-7.1260000000000003</c:v>
                </c:pt>
                <c:pt idx="7">
                  <c:v>-4.649</c:v>
                </c:pt>
                <c:pt idx="8">
                  <c:v>-6.3470000000000004</c:v>
                </c:pt>
                <c:pt idx="9">
                  <c:v>-4.5869999999999997</c:v>
                </c:pt>
                <c:pt idx="10">
                  <c:v>-4.09</c:v>
                </c:pt>
                <c:pt idx="11">
                  <c:v>-5.2939999999999996</c:v>
                </c:pt>
                <c:pt idx="12">
                  <c:v>-10.15</c:v>
                </c:pt>
                <c:pt idx="13">
                  <c:v>-5.8179999999999996</c:v>
                </c:pt>
                <c:pt idx="14">
                  <c:v>-4.28</c:v>
                </c:pt>
                <c:pt idx="15">
                  <c:v>-5.2149999999999999</c:v>
                </c:pt>
                <c:pt idx="16">
                  <c:v>-8.6199999999999992</c:v>
                </c:pt>
                <c:pt idx="17">
                  <c:v>-11.62</c:v>
                </c:pt>
                <c:pt idx="18">
                  <c:v>-13.26</c:v>
                </c:pt>
                <c:pt idx="19">
                  <c:v>-12.43</c:v>
                </c:pt>
                <c:pt idx="20">
                  <c:v>-11.14</c:v>
                </c:pt>
                <c:pt idx="21">
                  <c:v>-14</c:v>
                </c:pt>
                <c:pt idx="22">
                  <c:v>-8.4499999999999993</c:v>
                </c:pt>
                <c:pt idx="23">
                  <c:v>-10.19</c:v>
                </c:pt>
                <c:pt idx="24">
                  <c:v>-14.21</c:v>
                </c:pt>
                <c:pt idx="25">
                  <c:v>-12.5</c:v>
                </c:pt>
                <c:pt idx="26">
                  <c:v>-13.18</c:v>
                </c:pt>
                <c:pt idx="27">
                  <c:v>-10.1</c:v>
                </c:pt>
                <c:pt idx="28">
                  <c:v>-9.4600000000000009</c:v>
                </c:pt>
                <c:pt idx="29">
                  <c:v>-3.8690000000000002</c:v>
                </c:pt>
                <c:pt idx="30">
                  <c:v>-2.774</c:v>
                </c:pt>
                <c:pt idx="31">
                  <c:v>-7.4550000000000001</c:v>
                </c:pt>
                <c:pt idx="32">
                  <c:v>-12.62</c:v>
                </c:pt>
                <c:pt idx="33">
                  <c:v>-15</c:v>
                </c:pt>
                <c:pt idx="34">
                  <c:v>-21.03</c:v>
                </c:pt>
                <c:pt idx="35">
                  <c:v>-21.89</c:v>
                </c:pt>
                <c:pt idx="36">
                  <c:v>-19.73</c:v>
                </c:pt>
                <c:pt idx="37">
                  <c:v>-19.309999999999999</c:v>
                </c:pt>
                <c:pt idx="38">
                  <c:v>-15.16</c:v>
                </c:pt>
                <c:pt idx="39">
                  <c:v>-16.649999999999999</c:v>
                </c:pt>
                <c:pt idx="40">
                  <c:v>-22.9</c:v>
                </c:pt>
                <c:pt idx="41">
                  <c:v>-21.83</c:v>
                </c:pt>
                <c:pt idx="42">
                  <c:v>-20.49</c:v>
                </c:pt>
                <c:pt idx="43">
                  <c:v>-16.52</c:v>
                </c:pt>
                <c:pt idx="44">
                  <c:v>-11.22</c:v>
                </c:pt>
                <c:pt idx="45">
                  <c:v>-12.17</c:v>
                </c:pt>
                <c:pt idx="46">
                  <c:v>-6.7729999999999997</c:v>
                </c:pt>
                <c:pt idx="47">
                  <c:v>-7.3019999999999996</c:v>
                </c:pt>
                <c:pt idx="48">
                  <c:v>-7.7770000000000001</c:v>
                </c:pt>
                <c:pt idx="49">
                  <c:v>-3.4289999999999998</c:v>
                </c:pt>
                <c:pt idx="50">
                  <c:v>-2.3650000000000002</c:v>
                </c:pt>
                <c:pt idx="51">
                  <c:v>-2.3250000000000002</c:v>
                </c:pt>
                <c:pt idx="52">
                  <c:v>-0.223</c:v>
                </c:pt>
                <c:pt idx="53">
                  <c:v>1.014</c:v>
                </c:pt>
                <c:pt idx="54">
                  <c:v>-0.51900000000000002</c:v>
                </c:pt>
                <c:pt idx="55">
                  <c:v>-1.603</c:v>
                </c:pt>
                <c:pt idx="56">
                  <c:v>-1.4219999999999999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Data!$H$6:$H$370</c:f>
              <c:numCache>
                <c:formatCode>General</c:formatCode>
                <c:ptCount val="365"/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0.85899999999999999</c:v>
                </c:pt>
                <c:pt idx="1">
                  <c:v>0.85</c:v>
                </c:pt>
                <c:pt idx="2">
                  <c:v>0.84699999999999998</c:v>
                </c:pt>
                <c:pt idx="3">
                  <c:v>0.84699999999999998</c:v>
                </c:pt>
                <c:pt idx="4">
                  <c:v>0.84199999999999997</c:v>
                </c:pt>
                <c:pt idx="5">
                  <c:v>0.83299999999999996</c:v>
                </c:pt>
                <c:pt idx="6">
                  <c:v>0.82899999999999996</c:v>
                </c:pt>
                <c:pt idx="7">
                  <c:v>0.82499999999999996</c:v>
                </c:pt>
                <c:pt idx="8">
                  <c:v>0.82399999999999995</c:v>
                </c:pt>
                <c:pt idx="9">
                  <c:v>0.81299999999999994</c:v>
                </c:pt>
                <c:pt idx="10">
                  <c:v>0.80800000000000005</c:v>
                </c:pt>
                <c:pt idx="11">
                  <c:v>0.80500000000000005</c:v>
                </c:pt>
                <c:pt idx="12">
                  <c:v>0.80900000000000005</c:v>
                </c:pt>
                <c:pt idx="13">
                  <c:v>0.79900000000000004</c:v>
                </c:pt>
                <c:pt idx="14">
                  <c:v>0.80500000000000005</c:v>
                </c:pt>
                <c:pt idx="15">
                  <c:v>0.78700000000000003</c:v>
                </c:pt>
                <c:pt idx="16">
                  <c:v>0.77700000000000002</c:v>
                </c:pt>
                <c:pt idx="17">
                  <c:v>0.76300000000000001</c:v>
                </c:pt>
                <c:pt idx="18">
                  <c:v>0.74399999999999999</c:v>
                </c:pt>
                <c:pt idx="19">
                  <c:v>0.747</c:v>
                </c:pt>
                <c:pt idx="20">
                  <c:v>0.746</c:v>
                </c:pt>
                <c:pt idx="21">
                  <c:v>0.72</c:v>
                </c:pt>
                <c:pt idx="22">
                  <c:v>0.74</c:v>
                </c:pt>
                <c:pt idx="23">
                  <c:v>0.75700000000000001</c:v>
                </c:pt>
                <c:pt idx="24">
                  <c:v>0.76500000000000001</c:v>
                </c:pt>
                <c:pt idx="25">
                  <c:v>0.76200000000000001</c:v>
                </c:pt>
                <c:pt idx="26">
                  <c:v>0.752</c:v>
                </c:pt>
                <c:pt idx="27">
                  <c:v>0.74099999999999999</c:v>
                </c:pt>
                <c:pt idx="28">
                  <c:v>0.73699999999999999</c:v>
                </c:pt>
                <c:pt idx="29">
                  <c:v>0.73099999999999998</c:v>
                </c:pt>
                <c:pt idx="30">
                  <c:v>0.72499999999999998</c:v>
                </c:pt>
                <c:pt idx="31">
                  <c:v>0.73</c:v>
                </c:pt>
                <c:pt idx="32">
                  <c:v>0.73699999999999999</c:v>
                </c:pt>
                <c:pt idx="33">
                  <c:v>0.73299999999999998</c:v>
                </c:pt>
                <c:pt idx="34">
                  <c:v>0.73699999999999999</c:v>
                </c:pt>
                <c:pt idx="35">
                  <c:v>0.71899999999999997</c:v>
                </c:pt>
                <c:pt idx="36">
                  <c:v>0.72099999999999997</c:v>
                </c:pt>
                <c:pt idx="37">
                  <c:v>0.71</c:v>
                </c:pt>
                <c:pt idx="38">
                  <c:v>0.70599999999999996</c:v>
                </c:pt>
                <c:pt idx="39">
                  <c:v>0.69299999999999995</c:v>
                </c:pt>
                <c:pt idx="40">
                  <c:v>0.68899999999999995</c:v>
                </c:pt>
                <c:pt idx="41">
                  <c:v>0.69899999999999995</c:v>
                </c:pt>
                <c:pt idx="42">
                  <c:v>0.68899999999999995</c:v>
                </c:pt>
                <c:pt idx="43">
                  <c:v>0.67100000000000004</c:v>
                </c:pt>
                <c:pt idx="44">
                  <c:v>0.66</c:v>
                </c:pt>
                <c:pt idx="45">
                  <c:v>0.65500000000000003</c:v>
                </c:pt>
                <c:pt idx="46">
                  <c:v>0.64800000000000002</c:v>
                </c:pt>
                <c:pt idx="47">
                  <c:v>0.65600000000000003</c:v>
                </c:pt>
                <c:pt idx="48">
                  <c:v>0.66200000000000003</c:v>
                </c:pt>
                <c:pt idx="49">
                  <c:v>0.66600000000000004</c:v>
                </c:pt>
                <c:pt idx="50">
                  <c:v>0.67400000000000004</c:v>
                </c:pt>
                <c:pt idx="51">
                  <c:v>0.67500000000000004</c:v>
                </c:pt>
                <c:pt idx="52">
                  <c:v>0.67400000000000004</c:v>
                </c:pt>
                <c:pt idx="53">
                  <c:v>0.68100000000000005</c:v>
                </c:pt>
                <c:pt idx="54">
                  <c:v>0.67400000000000004</c:v>
                </c:pt>
                <c:pt idx="55">
                  <c:v>0.67500000000000004</c:v>
                </c:pt>
                <c:pt idx="56">
                  <c:v>0.67500000000000004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50976"/>
        <c:axId val="186356864"/>
      </c:lineChart>
      <c:catAx>
        <c:axId val="18635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356864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1863568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3509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59"/>
          <c:y val="0.4746317512274959"/>
          <c:w val="0.10367892976588636"/>
          <c:h val="0.139116202945990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68450390189522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22E-2"/>
          <c:y val="0.12111292962356793"/>
          <c:w val="0.82831661092530651"/>
          <c:h val="0.81625552120071132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0.63900000000000001</c:v>
                </c:pt>
                <c:pt idx="1">
                  <c:v>0.629</c:v>
                </c:pt>
                <c:pt idx="2">
                  <c:v>0.624</c:v>
                </c:pt>
                <c:pt idx="3">
                  <c:v>0.621</c:v>
                </c:pt>
                <c:pt idx="4">
                  <c:v>0.61699999999999999</c:v>
                </c:pt>
                <c:pt idx="5">
                  <c:v>0.61199999999999999</c:v>
                </c:pt>
                <c:pt idx="6">
                  <c:v>0.61099999999999999</c:v>
                </c:pt>
                <c:pt idx="7">
                  <c:v>0.60599999999999998</c:v>
                </c:pt>
                <c:pt idx="8">
                  <c:v>0.60799999999999998</c:v>
                </c:pt>
                <c:pt idx="9">
                  <c:v>0.59599999999999997</c:v>
                </c:pt>
                <c:pt idx="10">
                  <c:v>0.59099999999999997</c:v>
                </c:pt>
                <c:pt idx="11">
                  <c:v>0.58899999999999997</c:v>
                </c:pt>
                <c:pt idx="12">
                  <c:v>0.59699999999999998</c:v>
                </c:pt>
                <c:pt idx="13">
                  <c:v>0.58699999999999997</c:v>
                </c:pt>
                <c:pt idx="14">
                  <c:v>0.59</c:v>
                </c:pt>
                <c:pt idx="15">
                  <c:v>0.57399999999999995</c:v>
                </c:pt>
                <c:pt idx="16">
                  <c:v>0.56499999999999995</c:v>
                </c:pt>
                <c:pt idx="17">
                  <c:v>0.55200000000000005</c:v>
                </c:pt>
                <c:pt idx="18">
                  <c:v>0.53400000000000003</c:v>
                </c:pt>
                <c:pt idx="19">
                  <c:v>0.52600000000000002</c:v>
                </c:pt>
                <c:pt idx="20">
                  <c:v>0.50600000000000001</c:v>
                </c:pt>
                <c:pt idx="21">
                  <c:v>0.46600000000000003</c:v>
                </c:pt>
                <c:pt idx="22">
                  <c:v>0.45900000000000002</c:v>
                </c:pt>
                <c:pt idx="23">
                  <c:v>0.45100000000000001</c:v>
                </c:pt>
                <c:pt idx="24">
                  <c:v>0.443</c:v>
                </c:pt>
                <c:pt idx="25">
                  <c:v>0.43</c:v>
                </c:pt>
                <c:pt idx="26">
                  <c:v>0.41299999999999998</c:v>
                </c:pt>
                <c:pt idx="27">
                  <c:v>0.39500000000000002</c:v>
                </c:pt>
                <c:pt idx="28">
                  <c:v>0.378</c:v>
                </c:pt>
                <c:pt idx="29">
                  <c:v>0.34899999999999998</c:v>
                </c:pt>
                <c:pt idx="30">
                  <c:v>0.32200000000000001</c:v>
                </c:pt>
                <c:pt idx="31">
                  <c:v>0.317</c:v>
                </c:pt>
                <c:pt idx="32">
                  <c:v>0.32100000000000001</c:v>
                </c:pt>
                <c:pt idx="33">
                  <c:v>0.32400000000000001</c:v>
                </c:pt>
                <c:pt idx="34">
                  <c:v>0.33500000000000002</c:v>
                </c:pt>
                <c:pt idx="35">
                  <c:v>0.32600000000000001</c:v>
                </c:pt>
                <c:pt idx="36">
                  <c:v>0.33300000000000002</c:v>
                </c:pt>
                <c:pt idx="37">
                  <c:v>0.32100000000000001</c:v>
                </c:pt>
                <c:pt idx="38">
                  <c:v>0.307</c:v>
                </c:pt>
                <c:pt idx="39">
                  <c:v>0.28199999999999997</c:v>
                </c:pt>
                <c:pt idx="40">
                  <c:v>0.26800000000000002</c:v>
                </c:pt>
                <c:pt idx="41">
                  <c:v>0.26100000000000001</c:v>
                </c:pt>
                <c:pt idx="42">
                  <c:v>0.252</c:v>
                </c:pt>
                <c:pt idx="43">
                  <c:v>0.22900000000000001</c:v>
                </c:pt>
                <c:pt idx="44">
                  <c:v>0.20599999999999999</c:v>
                </c:pt>
                <c:pt idx="45">
                  <c:v>0.19</c:v>
                </c:pt>
                <c:pt idx="46">
                  <c:v>0.16400000000000001</c:v>
                </c:pt>
                <c:pt idx="47">
                  <c:v>0.14899999999999999</c:v>
                </c:pt>
                <c:pt idx="48">
                  <c:v>0.14299999999999999</c:v>
                </c:pt>
                <c:pt idx="49">
                  <c:v>0.13400000000000001</c:v>
                </c:pt>
                <c:pt idx="50">
                  <c:v>0.14099999999999999</c:v>
                </c:pt>
                <c:pt idx="51">
                  <c:v>0.14699999999999999</c:v>
                </c:pt>
                <c:pt idx="52">
                  <c:v>0.155</c:v>
                </c:pt>
                <c:pt idx="53">
                  <c:v>0.17399999999999999</c:v>
                </c:pt>
                <c:pt idx="54">
                  <c:v>0.182</c:v>
                </c:pt>
                <c:pt idx="55">
                  <c:v>0.186</c:v>
                </c:pt>
                <c:pt idx="56">
                  <c:v>0.19700000000000001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1.248</c:v>
                </c:pt>
                <c:pt idx="1">
                  <c:v>1.234</c:v>
                </c:pt>
                <c:pt idx="2">
                  <c:v>1.2270000000000001</c:v>
                </c:pt>
                <c:pt idx="3">
                  <c:v>1.2250000000000001</c:v>
                </c:pt>
                <c:pt idx="4">
                  <c:v>1.2210000000000001</c:v>
                </c:pt>
                <c:pt idx="5">
                  <c:v>1.208</c:v>
                </c:pt>
                <c:pt idx="6">
                  <c:v>1.198</c:v>
                </c:pt>
                <c:pt idx="7">
                  <c:v>1.194</c:v>
                </c:pt>
                <c:pt idx="8">
                  <c:v>1.19</c:v>
                </c:pt>
                <c:pt idx="9">
                  <c:v>1.177</c:v>
                </c:pt>
                <c:pt idx="10">
                  <c:v>1.1739999999999999</c:v>
                </c:pt>
                <c:pt idx="11">
                  <c:v>1.1679999999999999</c:v>
                </c:pt>
                <c:pt idx="12">
                  <c:v>1.169</c:v>
                </c:pt>
                <c:pt idx="13">
                  <c:v>1.155</c:v>
                </c:pt>
                <c:pt idx="14">
                  <c:v>1.1599999999999999</c:v>
                </c:pt>
                <c:pt idx="15">
                  <c:v>1.1419999999999999</c:v>
                </c:pt>
                <c:pt idx="16">
                  <c:v>1.127</c:v>
                </c:pt>
                <c:pt idx="17">
                  <c:v>1.1180000000000001</c:v>
                </c:pt>
                <c:pt idx="18">
                  <c:v>1.0980000000000001</c:v>
                </c:pt>
                <c:pt idx="19">
                  <c:v>1.0940000000000001</c:v>
                </c:pt>
                <c:pt idx="20">
                  <c:v>1.0840000000000001</c:v>
                </c:pt>
                <c:pt idx="21">
                  <c:v>1.069</c:v>
                </c:pt>
                <c:pt idx="22">
                  <c:v>1.054</c:v>
                </c:pt>
                <c:pt idx="23">
                  <c:v>1.0569999999999999</c:v>
                </c:pt>
                <c:pt idx="24">
                  <c:v>1.048</c:v>
                </c:pt>
                <c:pt idx="25">
                  <c:v>1.0369999999999999</c:v>
                </c:pt>
                <c:pt idx="26">
                  <c:v>1.0249999999999999</c:v>
                </c:pt>
                <c:pt idx="27">
                  <c:v>1.0109999999999999</c:v>
                </c:pt>
                <c:pt idx="28">
                  <c:v>0.996</c:v>
                </c:pt>
                <c:pt idx="29">
                  <c:v>0.98</c:v>
                </c:pt>
                <c:pt idx="30">
                  <c:v>0.96399999999999997</c:v>
                </c:pt>
                <c:pt idx="31">
                  <c:v>0.95699999999999996</c:v>
                </c:pt>
                <c:pt idx="32">
                  <c:v>0.95699999999999996</c:v>
                </c:pt>
                <c:pt idx="33">
                  <c:v>0.94899999999999995</c:v>
                </c:pt>
                <c:pt idx="34">
                  <c:v>0.95299999999999996</c:v>
                </c:pt>
                <c:pt idx="35">
                  <c:v>0.93600000000000005</c:v>
                </c:pt>
                <c:pt idx="36">
                  <c:v>0.94</c:v>
                </c:pt>
                <c:pt idx="37">
                  <c:v>0.92600000000000005</c:v>
                </c:pt>
                <c:pt idx="38">
                  <c:v>0.91800000000000004</c:v>
                </c:pt>
                <c:pt idx="39">
                  <c:v>0.89900000000000002</c:v>
                </c:pt>
                <c:pt idx="40">
                  <c:v>0.89</c:v>
                </c:pt>
                <c:pt idx="41">
                  <c:v>0.88500000000000001</c:v>
                </c:pt>
                <c:pt idx="42">
                  <c:v>0.879</c:v>
                </c:pt>
                <c:pt idx="43">
                  <c:v>0.85599999999999998</c:v>
                </c:pt>
                <c:pt idx="44">
                  <c:v>0.84399999999999997</c:v>
                </c:pt>
                <c:pt idx="45">
                  <c:v>0.83599999999999997</c:v>
                </c:pt>
                <c:pt idx="46">
                  <c:v>0.81499999999999995</c:v>
                </c:pt>
                <c:pt idx="47">
                  <c:v>0.80600000000000005</c:v>
                </c:pt>
                <c:pt idx="48">
                  <c:v>0.80100000000000005</c:v>
                </c:pt>
                <c:pt idx="49">
                  <c:v>0.78600000000000003</c:v>
                </c:pt>
                <c:pt idx="50">
                  <c:v>0.78800000000000003</c:v>
                </c:pt>
                <c:pt idx="51">
                  <c:v>0.78600000000000003</c:v>
                </c:pt>
                <c:pt idx="52">
                  <c:v>0.78900000000000003</c:v>
                </c:pt>
                <c:pt idx="53">
                  <c:v>0.80500000000000005</c:v>
                </c:pt>
                <c:pt idx="54">
                  <c:v>0.8</c:v>
                </c:pt>
                <c:pt idx="55">
                  <c:v>0.80200000000000005</c:v>
                </c:pt>
                <c:pt idx="56">
                  <c:v>0.80400000000000005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1.8160000000000001</c:v>
                </c:pt>
                <c:pt idx="1">
                  <c:v>1.802</c:v>
                </c:pt>
                <c:pt idx="2">
                  <c:v>1.796</c:v>
                </c:pt>
                <c:pt idx="3">
                  <c:v>1.792</c:v>
                </c:pt>
                <c:pt idx="4">
                  <c:v>1.788</c:v>
                </c:pt>
                <c:pt idx="5">
                  <c:v>1.7769999999999999</c:v>
                </c:pt>
                <c:pt idx="6">
                  <c:v>1.7669999999999999</c:v>
                </c:pt>
                <c:pt idx="7">
                  <c:v>1.764</c:v>
                </c:pt>
                <c:pt idx="8">
                  <c:v>1.7609999999999999</c:v>
                </c:pt>
                <c:pt idx="9">
                  <c:v>1.7490000000000001</c:v>
                </c:pt>
                <c:pt idx="10">
                  <c:v>1.746</c:v>
                </c:pt>
                <c:pt idx="11">
                  <c:v>1.7390000000000001</c:v>
                </c:pt>
                <c:pt idx="12">
                  <c:v>1.74</c:v>
                </c:pt>
                <c:pt idx="13">
                  <c:v>1.7250000000000001</c:v>
                </c:pt>
                <c:pt idx="14">
                  <c:v>1.7310000000000001</c:v>
                </c:pt>
                <c:pt idx="15">
                  <c:v>1.712</c:v>
                </c:pt>
                <c:pt idx="16">
                  <c:v>1.6970000000000001</c:v>
                </c:pt>
                <c:pt idx="17">
                  <c:v>1.6910000000000001</c:v>
                </c:pt>
                <c:pt idx="18">
                  <c:v>1.6719999999999999</c:v>
                </c:pt>
                <c:pt idx="19">
                  <c:v>1.67</c:v>
                </c:pt>
                <c:pt idx="20">
                  <c:v>1.66</c:v>
                </c:pt>
                <c:pt idx="21">
                  <c:v>1.6559999999999999</c:v>
                </c:pt>
                <c:pt idx="22">
                  <c:v>1.645</c:v>
                </c:pt>
                <c:pt idx="23">
                  <c:v>1.655</c:v>
                </c:pt>
                <c:pt idx="24">
                  <c:v>1.6579999999999999</c:v>
                </c:pt>
                <c:pt idx="25">
                  <c:v>1.6539999999999999</c:v>
                </c:pt>
                <c:pt idx="26">
                  <c:v>1.649</c:v>
                </c:pt>
                <c:pt idx="27">
                  <c:v>1.64</c:v>
                </c:pt>
                <c:pt idx="28">
                  <c:v>1.631</c:v>
                </c:pt>
                <c:pt idx="29">
                  <c:v>1.621</c:v>
                </c:pt>
                <c:pt idx="30">
                  <c:v>1.6140000000000001</c:v>
                </c:pt>
                <c:pt idx="31">
                  <c:v>1.6120000000000001</c:v>
                </c:pt>
                <c:pt idx="32">
                  <c:v>1.613</c:v>
                </c:pt>
                <c:pt idx="33">
                  <c:v>1.6040000000000001</c:v>
                </c:pt>
                <c:pt idx="34">
                  <c:v>1.605</c:v>
                </c:pt>
                <c:pt idx="35">
                  <c:v>1.5860000000000001</c:v>
                </c:pt>
                <c:pt idx="36">
                  <c:v>1.5860000000000001</c:v>
                </c:pt>
                <c:pt idx="37">
                  <c:v>1.573</c:v>
                </c:pt>
                <c:pt idx="38">
                  <c:v>1.5649999999999999</c:v>
                </c:pt>
                <c:pt idx="39">
                  <c:v>1.5509999999999999</c:v>
                </c:pt>
                <c:pt idx="40">
                  <c:v>1.546</c:v>
                </c:pt>
                <c:pt idx="41">
                  <c:v>1.548</c:v>
                </c:pt>
                <c:pt idx="42">
                  <c:v>1.546</c:v>
                </c:pt>
                <c:pt idx="43">
                  <c:v>1.528</c:v>
                </c:pt>
                <c:pt idx="44">
                  <c:v>1.518</c:v>
                </c:pt>
                <c:pt idx="45">
                  <c:v>1.516</c:v>
                </c:pt>
                <c:pt idx="46">
                  <c:v>1.4990000000000001</c:v>
                </c:pt>
                <c:pt idx="47">
                  <c:v>1.494</c:v>
                </c:pt>
                <c:pt idx="48">
                  <c:v>1.4910000000000001</c:v>
                </c:pt>
                <c:pt idx="49">
                  <c:v>1.476</c:v>
                </c:pt>
                <c:pt idx="50">
                  <c:v>1.4730000000000001</c:v>
                </c:pt>
                <c:pt idx="51">
                  <c:v>1.464</c:v>
                </c:pt>
                <c:pt idx="52">
                  <c:v>1.4630000000000001</c:v>
                </c:pt>
                <c:pt idx="53">
                  <c:v>1.472</c:v>
                </c:pt>
                <c:pt idx="54">
                  <c:v>1.4630000000000001</c:v>
                </c:pt>
                <c:pt idx="55">
                  <c:v>1.4590000000000001</c:v>
                </c:pt>
                <c:pt idx="56">
                  <c:v>1.4570000000000001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46592"/>
        <c:axId val="212452480"/>
      </c:lineChart>
      <c:catAx>
        <c:axId val="21244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452480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12452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446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53"/>
          <c:y val="0.49099836333878916"/>
          <c:w val="8.8071348940914215E-2"/>
          <c:h val="0.104746317512274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7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814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Data!$P$6:$P$371</c:f>
              <c:numCache>
                <c:formatCode>General</c:formatCode>
                <c:ptCount val="366"/>
                <c:pt idx="0">
                  <c:v>-6.0330000000000004</c:v>
                </c:pt>
                <c:pt idx="1">
                  <c:v>-5.625</c:v>
                </c:pt>
                <c:pt idx="2">
                  <c:v>-3.2469999999999999</c:v>
                </c:pt>
                <c:pt idx="3">
                  <c:v>-0.46200000000000002</c:v>
                </c:pt>
                <c:pt idx="4">
                  <c:v>-1.141</c:v>
                </c:pt>
                <c:pt idx="5">
                  <c:v>-3.6549999999999998</c:v>
                </c:pt>
                <c:pt idx="6">
                  <c:v>-4.6059999999999999</c:v>
                </c:pt>
                <c:pt idx="7">
                  <c:v>-2.3639999999999999</c:v>
                </c:pt>
                <c:pt idx="8">
                  <c:v>-0.73399999999999999</c:v>
                </c:pt>
                <c:pt idx="9">
                  <c:v>-3.7229999999999999</c:v>
                </c:pt>
                <c:pt idx="10">
                  <c:v>-3.859</c:v>
                </c:pt>
                <c:pt idx="11">
                  <c:v>-4.1980000000000004</c:v>
                </c:pt>
                <c:pt idx="12">
                  <c:v>-1.413</c:v>
                </c:pt>
                <c:pt idx="13">
                  <c:v>1.236</c:v>
                </c:pt>
                <c:pt idx="14">
                  <c:v>5.6520000000000001</c:v>
                </c:pt>
                <c:pt idx="15">
                  <c:v>-0.66600000000000004</c:v>
                </c:pt>
                <c:pt idx="16">
                  <c:v>-7.72</c:v>
                </c:pt>
                <c:pt idx="17">
                  <c:v>-9.42</c:v>
                </c:pt>
                <c:pt idx="18">
                  <c:v>-9.34</c:v>
                </c:pt>
                <c:pt idx="19">
                  <c:v>-8.74</c:v>
                </c:pt>
                <c:pt idx="20">
                  <c:v>-8.33</c:v>
                </c:pt>
                <c:pt idx="21">
                  <c:v>-4.6459999999999999</c:v>
                </c:pt>
                <c:pt idx="22">
                  <c:v>-6.0209999999999999</c:v>
                </c:pt>
                <c:pt idx="23">
                  <c:v>-7.2450000000000001</c:v>
                </c:pt>
                <c:pt idx="24">
                  <c:v>-6.7759999999999998</c:v>
                </c:pt>
                <c:pt idx="25">
                  <c:v>-4.7370000000000001</c:v>
                </c:pt>
                <c:pt idx="26">
                  <c:v>2.202</c:v>
                </c:pt>
                <c:pt idx="27">
                  <c:v>3.2890000000000001</c:v>
                </c:pt>
                <c:pt idx="28">
                  <c:v>1.794</c:v>
                </c:pt>
                <c:pt idx="29">
                  <c:v>-1.2030000000000001</c:v>
                </c:pt>
                <c:pt idx="30">
                  <c:v>-0.93700000000000006</c:v>
                </c:pt>
                <c:pt idx="31">
                  <c:v>-2.5</c:v>
                </c:pt>
                <c:pt idx="32">
                  <c:v>-7.1870000000000003</c:v>
                </c:pt>
                <c:pt idx="33">
                  <c:v>-10.38</c:v>
                </c:pt>
                <c:pt idx="34">
                  <c:v>-15.61</c:v>
                </c:pt>
                <c:pt idx="35">
                  <c:v>-17.920000000000002</c:v>
                </c:pt>
                <c:pt idx="36">
                  <c:v>-9.5</c:v>
                </c:pt>
                <c:pt idx="37">
                  <c:v>-8.48</c:v>
                </c:pt>
                <c:pt idx="38">
                  <c:v>-10.65</c:v>
                </c:pt>
                <c:pt idx="39">
                  <c:v>-14.25</c:v>
                </c:pt>
                <c:pt idx="40">
                  <c:v>-11.94</c:v>
                </c:pt>
                <c:pt idx="41">
                  <c:v>-14.05</c:v>
                </c:pt>
                <c:pt idx="42">
                  <c:v>-10.039999999999999</c:v>
                </c:pt>
                <c:pt idx="43">
                  <c:v>-5.2809999999999997</c:v>
                </c:pt>
                <c:pt idx="44">
                  <c:v>-7.109</c:v>
                </c:pt>
                <c:pt idx="45">
                  <c:v>-5.2809999999999997</c:v>
                </c:pt>
                <c:pt idx="46">
                  <c:v>-4.67</c:v>
                </c:pt>
                <c:pt idx="47">
                  <c:v>-4.5380000000000003</c:v>
                </c:pt>
                <c:pt idx="48">
                  <c:v>-1.821</c:v>
                </c:pt>
                <c:pt idx="49">
                  <c:v>-0.59799999999999998</c:v>
                </c:pt>
                <c:pt idx="50">
                  <c:v>1.371</c:v>
                </c:pt>
                <c:pt idx="51">
                  <c:v>7.9000000000000001E-2</c:v>
                </c:pt>
                <c:pt idx="52">
                  <c:v>4.5510000000000002</c:v>
                </c:pt>
                <c:pt idx="53">
                  <c:v>4.6859999999999999</c:v>
                </c:pt>
                <c:pt idx="54">
                  <c:v>2.105</c:v>
                </c:pt>
                <c:pt idx="55">
                  <c:v>0.88300000000000001</c:v>
                </c:pt>
                <c:pt idx="56">
                  <c:v>4.4139999999999997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Data!$Y$7:$Y$371</c:f>
              <c:numCache>
                <c:formatCode>General</c:formatCode>
                <c:ptCount val="365"/>
                <c:pt idx="0">
                  <c:v>-9.9700000000000006</c:v>
                </c:pt>
                <c:pt idx="1">
                  <c:v>-10.72</c:v>
                </c:pt>
                <c:pt idx="2">
                  <c:v>-6.508</c:v>
                </c:pt>
                <c:pt idx="3">
                  <c:v>-5.4889999999999999</c:v>
                </c:pt>
                <c:pt idx="4">
                  <c:v>-7.867</c:v>
                </c:pt>
                <c:pt idx="5">
                  <c:v>-10.58</c:v>
                </c:pt>
                <c:pt idx="6">
                  <c:v>-7.7309999999999999</c:v>
                </c:pt>
                <c:pt idx="7">
                  <c:v>-11.67</c:v>
                </c:pt>
                <c:pt idx="8">
                  <c:v>-6.7119999999999997</c:v>
                </c:pt>
                <c:pt idx="9">
                  <c:v>-5.4889999999999999</c:v>
                </c:pt>
                <c:pt idx="10">
                  <c:v>-8.89</c:v>
                </c:pt>
                <c:pt idx="11">
                  <c:v>-13.98</c:v>
                </c:pt>
                <c:pt idx="12">
                  <c:v>-11.67</c:v>
                </c:pt>
                <c:pt idx="13">
                  <c:v>-8.68</c:v>
                </c:pt>
                <c:pt idx="14">
                  <c:v>-8.27</c:v>
                </c:pt>
                <c:pt idx="15">
                  <c:v>-10.44</c:v>
                </c:pt>
                <c:pt idx="16">
                  <c:v>-15.25</c:v>
                </c:pt>
                <c:pt idx="17">
                  <c:v>-18.510000000000002</c:v>
                </c:pt>
                <c:pt idx="18">
                  <c:v>-15.12</c:v>
                </c:pt>
                <c:pt idx="19">
                  <c:v>-16.48</c:v>
                </c:pt>
                <c:pt idx="20">
                  <c:v>-21.23</c:v>
                </c:pt>
                <c:pt idx="21">
                  <c:v>-13.83</c:v>
                </c:pt>
                <c:pt idx="22">
                  <c:v>-20.09</c:v>
                </c:pt>
                <c:pt idx="23">
                  <c:v>-20.57</c:v>
                </c:pt>
                <c:pt idx="24">
                  <c:v>-18.05</c:v>
                </c:pt>
                <c:pt idx="25">
                  <c:v>-20.09</c:v>
                </c:pt>
                <c:pt idx="26">
                  <c:v>-16.55</c:v>
                </c:pt>
                <c:pt idx="27">
                  <c:v>-15.87</c:v>
                </c:pt>
                <c:pt idx="28">
                  <c:v>-7.7880000000000003</c:v>
                </c:pt>
                <c:pt idx="29">
                  <c:v>-4.4020000000000001</c:v>
                </c:pt>
                <c:pt idx="30">
                  <c:v>-10.039999999999999</c:v>
                </c:pt>
                <c:pt idx="31">
                  <c:v>-20.03</c:v>
                </c:pt>
                <c:pt idx="32">
                  <c:v>-18.600000000000001</c:v>
                </c:pt>
                <c:pt idx="33">
                  <c:v>-28.79</c:v>
                </c:pt>
                <c:pt idx="34">
                  <c:v>-29.61</c:v>
                </c:pt>
                <c:pt idx="35">
                  <c:v>-27.43</c:v>
                </c:pt>
                <c:pt idx="36">
                  <c:v>-27.36</c:v>
                </c:pt>
                <c:pt idx="37">
                  <c:v>-22.88</c:v>
                </c:pt>
                <c:pt idx="38">
                  <c:v>-21.79</c:v>
                </c:pt>
                <c:pt idx="39">
                  <c:v>-30.62</c:v>
                </c:pt>
                <c:pt idx="40">
                  <c:v>-30.29</c:v>
                </c:pt>
                <c:pt idx="41">
                  <c:v>-30.22</c:v>
                </c:pt>
                <c:pt idx="42">
                  <c:v>-24.98</c:v>
                </c:pt>
                <c:pt idx="43">
                  <c:v>-18.32</c:v>
                </c:pt>
                <c:pt idx="44">
                  <c:v>-22.13</c:v>
                </c:pt>
                <c:pt idx="45">
                  <c:v>-8.82</c:v>
                </c:pt>
                <c:pt idx="46">
                  <c:v>-9.9700000000000006</c:v>
                </c:pt>
                <c:pt idx="47">
                  <c:v>-16.22</c:v>
                </c:pt>
                <c:pt idx="48">
                  <c:v>-6.0330000000000004</c:v>
                </c:pt>
                <c:pt idx="49">
                  <c:v>-5.56</c:v>
                </c:pt>
                <c:pt idx="50">
                  <c:v>-6.444</c:v>
                </c:pt>
                <c:pt idx="51">
                  <c:v>-3.3220000000000001</c:v>
                </c:pt>
                <c:pt idx="52">
                  <c:v>-1.698</c:v>
                </c:pt>
                <c:pt idx="53">
                  <c:v>-2.5129999999999999</c:v>
                </c:pt>
                <c:pt idx="54">
                  <c:v>-5.6369999999999996</c:v>
                </c:pt>
                <c:pt idx="55">
                  <c:v>-8.08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66304"/>
        <c:axId val="212468480"/>
      </c:lineChart>
      <c:catAx>
        <c:axId val="212466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5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46848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2468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206219312602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4663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Data!$R$6:$R$371</c:f>
              <c:numCache>
                <c:formatCode>General</c:formatCode>
                <c:ptCount val="366"/>
                <c:pt idx="0">
                  <c:v>-5.3440000000000003</c:v>
                </c:pt>
                <c:pt idx="1">
                  <c:v>-5.1189999999999998</c:v>
                </c:pt>
                <c:pt idx="2">
                  <c:v>-2.7530000000000001</c:v>
                </c:pt>
                <c:pt idx="3">
                  <c:v>0.59599999999999997</c:v>
                </c:pt>
                <c:pt idx="4">
                  <c:v>1.036</c:v>
                </c:pt>
                <c:pt idx="5">
                  <c:v>-3.1360000000000001</c:v>
                </c:pt>
                <c:pt idx="6">
                  <c:v>-4.45</c:v>
                </c:pt>
                <c:pt idx="7">
                  <c:v>-2.1800000000000002</c:v>
                </c:pt>
                <c:pt idx="8">
                  <c:v>-1.0209999999999999</c:v>
                </c:pt>
                <c:pt idx="9">
                  <c:v>-3.1840000000000002</c:v>
                </c:pt>
                <c:pt idx="10">
                  <c:v>-3.181</c:v>
                </c:pt>
                <c:pt idx="11">
                  <c:v>-3.9729999999999999</c:v>
                </c:pt>
                <c:pt idx="12">
                  <c:v>1.581</c:v>
                </c:pt>
                <c:pt idx="13">
                  <c:v>2.0510000000000002</c:v>
                </c:pt>
                <c:pt idx="14">
                  <c:v>4.5369999999999999</c:v>
                </c:pt>
                <c:pt idx="15">
                  <c:v>1.0669999999999999</c:v>
                </c:pt>
                <c:pt idx="16">
                  <c:v>-6.9029999999999996</c:v>
                </c:pt>
                <c:pt idx="17">
                  <c:v>-7.8579999999999997</c:v>
                </c:pt>
                <c:pt idx="18">
                  <c:v>-6.875</c:v>
                </c:pt>
                <c:pt idx="19">
                  <c:v>-7.3250000000000002</c:v>
                </c:pt>
                <c:pt idx="20">
                  <c:v>-7.899</c:v>
                </c:pt>
                <c:pt idx="21">
                  <c:v>-1.4690000000000001</c:v>
                </c:pt>
                <c:pt idx="22">
                  <c:v>-5.1529999999999996</c:v>
                </c:pt>
                <c:pt idx="23">
                  <c:v>-5.976</c:v>
                </c:pt>
                <c:pt idx="24">
                  <c:v>-3.3959999999999999</c:v>
                </c:pt>
                <c:pt idx="25">
                  <c:v>-1.746</c:v>
                </c:pt>
                <c:pt idx="26">
                  <c:v>5.2350000000000003</c:v>
                </c:pt>
                <c:pt idx="27">
                  <c:v>7.2880000000000003</c:v>
                </c:pt>
                <c:pt idx="28">
                  <c:v>6.4669999999999996</c:v>
                </c:pt>
                <c:pt idx="29">
                  <c:v>-0.183</c:v>
                </c:pt>
                <c:pt idx="30">
                  <c:v>-9.4E-2</c:v>
                </c:pt>
                <c:pt idx="31">
                  <c:v>-1.546</c:v>
                </c:pt>
                <c:pt idx="32">
                  <c:v>-2.9390000000000001</c:v>
                </c:pt>
                <c:pt idx="33">
                  <c:v>-7.8659999999999997</c:v>
                </c:pt>
                <c:pt idx="34">
                  <c:v>-14.36</c:v>
                </c:pt>
                <c:pt idx="35">
                  <c:v>-15.15</c:v>
                </c:pt>
                <c:pt idx="36">
                  <c:v>-6.2089999999999996</c:v>
                </c:pt>
                <c:pt idx="37">
                  <c:v>-5.35</c:v>
                </c:pt>
                <c:pt idx="38">
                  <c:v>-7.7560000000000002</c:v>
                </c:pt>
                <c:pt idx="39">
                  <c:v>-12.72</c:v>
                </c:pt>
                <c:pt idx="40">
                  <c:v>-7.7469999999999999</c:v>
                </c:pt>
                <c:pt idx="41">
                  <c:v>-9.99</c:v>
                </c:pt>
                <c:pt idx="42">
                  <c:v>-5.8849999999999998</c:v>
                </c:pt>
                <c:pt idx="43">
                  <c:v>-2.012</c:v>
                </c:pt>
                <c:pt idx="44">
                  <c:v>-6.0220000000000002</c:v>
                </c:pt>
                <c:pt idx="45">
                  <c:v>-2.1309999999999998</c:v>
                </c:pt>
                <c:pt idx="46">
                  <c:v>-3.2959999999999998</c:v>
                </c:pt>
                <c:pt idx="47">
                  <c:v>-3.1819999999999999</c:v>
                </c:pt>
                <c:pt idx="48">
                  <c:v>3.181</c:v>
                </c:pt>
                <c:pt idx="49">
                  <c:v>0.47099999999999997</c:v>
                </c:pt>
                <c:pt idx="50">
                  <c:v>3.1349999999999998</c:v>
                </c:pt>
                <c:pt idx="51">
                  <c:v>0.44400000000000001</c:v>
                </c:pt>
                <c:pt idx="52">
                  <c:v>7.0060000000000002</c:v>
                </c:pt>
                <c:pt idx="53">
                  <c:v>7.8639999999999999</c:v>
                </c:pt>
                <c:pt idx="54">
                  <c:v>5.8490000000000002</c:v>
                </c:pt>
                <c:pt idx="55">
                  <c:v>2.488</c:v>
                </c:pt>
                <c:pt idx="56">
                  <c:v>7.266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Data!$AA$6:$AA$371</c:f>
              <c:numCache>
                <c:formatCode>General</c:formatCode>
                <c:ptCount val="366"/>
                <c:pt idx="0">
                  <c:v>-9.1</c:v>
                </c:pt>
                <c:pt idx="1">
                  <c:v>-9.83</c:v>
                </c:pt>
                <c:pt idx="2">
                  <c:v>-11.64</c:v>
                </c:pt>
                <c:pt idx="3">
                  <c:v>-6.5039999999999996</c:v>
                </c:pt>
                <c:pt idx="4">
                  <c:v>-5.3360000000000003</c:v>
                </c:pt>
                <c:pt idx="5">
                  <c:v>-7.4189999999999996</c:v>
                </c:pt>
                <c:pt idx="6">
                  <c:v>-10.37</c:v>
                </c:pt>
                <c:pt idx="7">
                  <c:v>-8.3699999999999992</c:v>
                </c:pt>
                <c:pt idx="8">
                  <c:v>-12.43</c:v>
                </c:pt>
                <c:pt idx="9">
                  <c:v>-6.274</c:v>
                </c:pt>
                <c:pt idx="10">
                  <c:v>-5.226</c:v>
                </c:pt>
                <c:pt idx="11">
                  <c:v>-9.61</c:v>
                </c:pt>
                <c:pt idx="12">
                  <c:v>-14.27</c:v>
                </c:pt>
                <c:pt idx="13">
                  <c:v>-12.07</c:v>
                </c:pt>
                <c:pt idx="14">
                  <c:v>-9</c:v>
                </c:pt>
                <c:pt idx="15">
                  <c:v>-8.31</c:v>
                </c:pt>
                <c:pt idx="16">
                  <c:v>-10.43</c:v>
                </c:pt>
                <c:pt idx="17">
                  <c:v>-15.27</c:v>
                </c:pt>
                <c:pt idx="18">
                  <c:v>-18.93</c:v>
                </c:pt>
                <c:pt idx="19">
                  <c:v>-15.22</c:v>
                </c:pt>
                <c:pt idx="20">
                  <c:v>-17.41</c:v>
                </c:pt>
                <c:pt idx="21">
                  <c:v>-21.88</c:v>
                </c:pt>
                <c:pt idx="22">
                  <c:v>-14.3</c:v>
                </c:pt>
                <c:pt idx="23">
                  <c:v>-20.62</c:v>
                </c:pt>
                <c:pt idx="24">
                  <c:v>-20.75</c:v>
                </c:pt>
                <c:pt idx="25">
                  <c:v>-18.53</c:v>
                </c:pt>
                <c:pt idx="26">
                  <c:v>-20.91</c:v>
                </c:pt>
                <c:pt idx="27">
                  <c:v>-17.559999999999999</c:v>
                </c:pt>
                <c:pt idx="28">
                  <c:v>-16.77</c:v>
                </c:pt>
                <c:pt idx="29">
                  <c:v>-8.31</c:v>
                </c:pt>
                <c:pt idx="30">
                  <c:v>-4.0309999999999997</c:v>
                </c:pt>
                <c:pt idx="31">
                  <c:v>-10.07</c:v>
                </c:pt>
                <c:pt idx="32">
                  <c:v>-20.37</c:v>
                </c:pt>
                <c:pt idx="33">
                  <c:v>-18.25</c:v>
                </c:pt>
                <c:pt idx="34">
                  <c:v>-29.37</c:v>
                </c:pt>
                <c:pt idx="35">
                  <c:v>-30.22</c:v>
                </c:pt>
                <c:pt idx="36">
                  <c:v>-27.9</c:v>
                </c:pt>
                <c:pt idx="37">
                  <c:v>-27.78</c:v>
                </c:pt>
                <c:pt idx="38">
                  <c:v>-23.15</c:v>
                </c:pt>
                <c:pt idx="39">
                  <c:v>-21.17</c:v>
                </c:pt>
                <c:pt idx="40">
                  <c:v>-31.08</c:v>
                </c:pt>
                <c:pt idx="41">
                  <c:v>-30.5</c:v>
                </c:pt>
                <c:pt idx="42">
                  <c:v>-30.67</c:v>
                </c:pt>
                <c:pt idx="43">
                  <c:v>-25.9</c:v>
                </c:pt>
                <c:pt idx="44">
                  <c:v>-18.29</c:v>
                </c:pt>
                <c:pt idx="45">
                  <c:v>-22.61</c:v>
                </c:pt>
                <c:pt idx="46">
                  <c:v>-8.52</c:v>
                </c:pt>
                <c:pt idx="47">
                  <c:v>-9.69</c:v>
                </c:pt>
                <c:pt idx="48">
                  <c:v>-16.940000000000001</c:v>
                </c:pt>
                <c:pt idx="49">
                  <c:v>-7.07</c:v>
                </c:pt>
                <c:pt idx="50">
                  <c:v>-5.8239999999999998</c:v>
                </c:pt>
                <c:pt idx="51">
                  <c:v>-6.6630000000000003</c:v>
                </c:pt>
                <c:pt idx="52">
                  <c:v>-3.1469999999999998</c:v>
                </c:pt>
                <c:pt idx="53">
                  <c:v>-1.762</c:v>
                </c:pt>
                <c:pt idx="54">
                  <c:v>-2.927</c:v>
                </c:pt>
                <c:pt idx="55">
                  <c:v>-5.8949999999999996</c:v>
                </c:pt>
                <c:pt idx="56">
                  <c:v>-8.42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527360"/>
        <c:axId val="212529536"/>
      </c:lineChart>
      <c:catAx>
        <c:axId val="212527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52953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2529536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527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Data!$S$6:$S$371</c:f>
              <c:numCache>
                <c:formatCode>General</c:formatCode>
                <c:ptCount val="366"/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Data!$AB$6:$AB$371</c:f>
              <c:numCache>
                <c:formatCode>General</c:formatCode>
                <c:ptCount val="366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23328"/>
        <c:axId val="213925248"/>
      </c:lineChart>
      <c:catAx>
        <c:axId val="21392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2524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392524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233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7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Data!$T$6:$T$371</c:f>
              <c:numCache>
                <c:formatCode>General</c:formatCode>
                <c:ptCount val="366"/>
                <c:pt idx="0">
                  <c:v>0.94</c:v>
                </c:pt>
                <c:pt idx="1">
                  <c:v>0.93200000000000005</c:v>
                </c:pt>
                <c:pt idx="2">
                  <c:v>0.93200000000000005</c:v>
                </c:pt>
                <c:pt idx="3">
                  <c:v>0.92</c:v>
                </c:pt>
                <c:pt idx="4">
                  <c:v>0.91100000000000003</c:v>
                </c:pt>
                <c:pt idx="5">
                  <c:v>0.92800000000000005</c:v>
                </c:pt>
                <c:pt idx="6">
                  <c:v>0.91500000000000004</c:v>
                </c:pt>
                <c:pt idx="7">
                  <c:v>0.9</c:v>
                </c:pt>
                <c:pt idx="8">
                  <c:v>0.90600000000000003</c:v>
                </c:pt>
                <c:pt idx="9">
                  <c:v>0.88200000000000001</c:v>
                </c:pt>
                <c:pt idx="10">
                  <c:v>0.88700000000000001</c:v>
                </c:pt>
                <c:pt idx="11">
                  <c:v>0.88600000000000001</c:v>
                </c:pt>
                <c:pt idx="12">
                  <c:v>0.88400000000000001</c:v>
                </c:pt>
                <c:pt idx="13">
                  <c:v>0.879</c:v>
                </c:pt>
                <c:pt idx="14">
                  <c:v>0.88700000000000001</c:v>
                </c:pt>
                <c:pt idx="15">
                  <c:v>0.874</c:v>
                </c:pt>
                <c:pt idx="16">
                  <c:v>0.84799999999999998</c:v>
                </c:pt>
                <c:pt idx="17">
                  <c:v>0.85399999999999998</c:v>
                </c:pt>
                <c:pt idx="18">
                  <c:v>0.85299999999999998</c:v>
                </c:pt>
                <c:pt idx="19">
                  <c:v>0.84599999999999997</c:v>
                </c:pt>
                <c:pt idx="20">
                  <c:v>0.83199999999999996</c:v>
                </c:pt>
                <c:pt idx="21">
                  <c:v>0.83399999999999996</c:v>
                </c:pt>
                <c:pt idx="22">
                  <c:v>0.82699999999999996</c:v>
                </c:pt>
                <c:pt idx="23">
                  <c:v>0.84199999999999997</c:v>
                </c:pt>
                <c:pt idx="24">
                  <c:v>0.86099999999999999</c:v>
                </c:pt>
                <c:pt idx="25">
                  <c:v>0.84599999999999997</c:v>
                </c:pt>
                <c:pt idx="26">
                  <c:v>0.84499999999999997</c:v>
                </c:pt>
                <c:pt idx="27">
                  <c:v>0.85199999999999998</c:v>
                </c:pt>
                <c:pt idx="28">
                  <c:v>0.83799999999999997</c:v>
                </c:pt>
                <c:pt idx="29">
                  <c:v>0.82499999999999996</c:v>
                </c:pt>
                <c:pt idx="30">
                  <c:v>0.81200000000000006</c:v>
                </c:pt>
                <c:pt idx="31">
                  <c:v>0.82099999999999995</c:v>
                </c:pt>
                <c:pt idx="32">
                  <c:v>0.82399999999999995</c:v>
                </c:pt>
                <c:pt idx="33">
                  <c:v>0.83099999999999996</c:v>
                </c:pt>
                <c:pt idx="34">
                  <c:v>0.83</c:v>
                </c:pt>
                <c:pt idx="35">
                  <c:v>0.80500000000000005</c:v>
                </c:pt>
                <c:pt idx="36">
                  <c:v>0.80300000000000005</c:v>
                </c:pt>
                <c:pt idx="37">
                  <c:v>0.79600000000000004</c:v>
                </c:pt>
                <c:pt idx="38">
                  <c:v>0.78800000000000003</c:v>
                </c:pt>
                <c:pt idx="39">
                  <c:v>0.76300000000000001</c:v>
                </c:pt>
                <c:pt idx="40">
                  <c:v>0.76700000000000002</c:v>
                </c:pt>
                <c:pt idx="41">
                  <c:v>0.89700000000000002</c:v>
                </c:pt>
                <c:pt idx="42">
                  <c:v>0.77600000000000002</c:v>
                </c:pt>
                <c:pt idx="43">
                  <c:v>0.76800000000000002</c:v>
                </c:pt>
                <c:pt idx="44">
                  <c:v>0.76800000000000002</c:v>
                </c:pt>
                <c:pt idx="45">
                  <c:v>0.73799999999999999</c:v>
                </c:pt>
                <c:pt idx="46">
                  <c:v>0.71899999999999997</c:v>
                </c:pt>
                <c:pt idx="47">
                  <c:v>0.73699999999999999</c:v>
                </c:pt>
                <c:pt idx="48">
                  <c:v>0.73899999999999999</c:v>
                </c:pt>
                <c:pt idx="49">
                  <c:v>0.753</c:v>
                </c:pt>
                <c:pt idx="50">
                  <c:v>0.76200000000000001</c:v>
                </c:pt>
                <c:pt idx="51">
                  <c:v>0.747</c:v>
                </c:pt>
                <c:pt idx="52">
                  <c:v>0.76</c:v>
                </c:pt>
                <c:pt idx="53">
                  <c:v>0.753</c:v>
                </c:pt>
                <c:pt idx="54">
                  <c:v>0.754</c:v>
                </c:pt>
                <c:pt idx="55">
                  <c:v>0.76300000000000001</c:v>
                </c:pt>
                <c:pt idx="56">
                  <c:v>0.755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0.76300000000000001</c:v>
                </c:pt>
                <c:pt idx="1">
                  <c:v>0.77300000000000002</c:v>
                </c:pt>
                <c:pt idx="2">
                  <c:v>0.77500000000000002</c:v>
                </c:pt>
                <c:pt idx="3">
                  <c:v>0.76600000000000001</c:v>
                </c:pt>
                <c:pt idx="4">
                  <c:v>0.76900000000000002</c:v>
                </c:pt>
                <c:pt idx="5">
                  <c:v>0.75700000000000001</c:v>
                </c:pt>
                <c:pt idx="6">
                  <c:v>0.752</c:v>
                </c:pt>
                <c:pt idx="7">
                  <c:v>0.751</c:v>
                </c:pt>
                <c:pt idx="8">
                  <c:v>0.74399999999999999</c:v>
                </c:pt>
                <c:pt idx="9">
                  <c:v>0.72099999999999997</c:v>
                </c:pt>
                <c:pt idx="10">
                  <c:v>0.72599999999999998</c:v>
                </c:pt>
                <c:pt idx="11">
                  <c:v>0.71799999999999997</c:v>
                </c:pt>
                <c:pt idx="12">
                  <c:v>0.72899999999999998</c:v>
                </c:pt>
                <c:pt idx="13">
                  <c:v>0.71799999999999997</c:v>
                </c:pt>
                <c:pt idx="14">
                  <c:v>0.71599999999999997</c:v>
                </c:pt>
                <c:pt idx="15">
                  <c:v>0.70299999999999996</c:v>
                </c:pt>
                <c:pt idx="16">
                  <c:v>0.70099999999999996</c:v>
                </c:pt>
                <c:pt idx="17">
                  <c:v>0.67700000000000005</c:v>
                </c:pt>
                <c:pt idx="18">
                  <c:v>0.66500000000000004</c:v>
                </c:pt>
                <c:pt idx="19">
                  <c:v>0.66500000000000004</c:v>
                </c:pt>
                <c:pt idx="20">
                  <c:v>0.65900000000000003</c:v>
                </c:pt>
                <c:pt idx="21">
                  <c:v>0.621</c:v>
                </c:pt>
                <c:pt idx="22">
                  <c:v>0.65500000000000003</c:v>
                </c:pt>
                <c:pt idx="23">
                  <c:v>0.67600000000000005</c:v>
                </c:pt>
                <c:pt idx="24">
                  <c:v>0.68500000000000005</c:v>
                </c:pt>
                <c:pt idx="25">
                  <c:v>0.66700000000000004</c:v>
                </c:pt>
                <c:pt idx="26">
                  <c:v>0.66900000000000004</c:v>
                </c:pt>
                <c:pt idx="27">
                  <c:v>0.629</c:v>
                </c:pt>
                <c:pt idx="28">
                  <c:v>0.64300000000000002</c:v>
                </c:pt>
                <c:pt idx="29">
                  <c:v>0.65200000000000002</c:v>
                </c:pt>
                <c:pt idx="30">
                  <c:v>0.64400000000000002</c:v>
                </c:pt>
                <c:pt idx="31">
                  <c:v>0.65700000000000003</c:v>
                </c:pt>
                <c:pt idx="32">
                  <c:v>0.66400000000000003</c:v>
                </c:pt>
                <c:pt idx="33">
                  <c:v>0.65200000000000002</c:v>
                </c:pt>
                <c:pt idx="34">
                  <c:v>0.63100000000000001</c:v>
                </c:pt>
                <c:pt idx="35">
                  <c:v>0.63700000000000001</c:v>
                </c:pt>
                <c:pt idx="36">
                  <c:v>0.64500000000000002</c:v>
                </c:pt>
                <c:pt idx="37">
                  <c:v>0.624</c:v>
                </c:pt>
                <c:pt idx="38">
                  <c:v>0.628</c:v>
                </c:pt>
                <c:pt idx="39">
                  <c:v>0.61599999999999999</c:v>
                </c:pt>
                <c:pt idx="40">
                  <c:v>0.59799999999999998</c:v>
                </c:pt>
                <c:pt idx="41">
                  <c:v>0.61599999999999999</c:v>
                </c:pt>
                <c:pt idx="42">
                  <c:v>0.59599999999999997</c:v>
                </c:pt>
                <c:pt idx="43">
                  <c:v>0.58799999999999997</c:v>
                </c:pt>
                <c:pt idx="44">
                  <c:v>0.57699999999999996</c:v>
                </c:pt>
                <c:pt idx="45">
                  <c:v>0.57299999999999995</c:v>
                </c:pt>
                <c:pt idx="46">
                  <c:v>0.57499999999999996</c:v>
                </c:pt>
                <c:pt idx="47">
                  <c:v>0.57999999999999996</c:v>
                </c:pt>
                <c:pt idx="48">
                  <c:v>0.54400000000000004</c:v>
                </c:pt>
                <c:pt idx="49">
                  <c:v>0.58299999999999996</c:v>
                </c:pt>
                <c:pt idx="50">
                  <c:v>0.59799999999999998</c:v>
                </c:pt>
                <c:pt idx="51">
                  <c:v>0.59399999999999997</c:v>
                </c:pt>
                <c:pt idx="52">
                  <c:v>0.59599999999999997</c:v>
                </c:pt>
                <c:pt idx="53">
                  <c:v>0.6</c:v>
                </c:pt>
                <c:pt idx="54">
                  <c:v>0.59</c:v>
                </c:pt>
                <c:pt idx="55">
                  <c:v>0.58499999999999996</c:v>
                </c:pt>
                <c:pt idx="56">
                  <c:v>0.59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96288"/>
        <c:axId val="213998208"/>
      </c:lineChart>
      <c:catAx>
        <c:axId val="21399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9820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399820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96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14"/>
          <c:y val="0.13420621931260229"/>
          <c:w val="0.88405797101449279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Data!$Q$6:$Q$371</c:f>
              <c:numCache>
                <c:formatCode>General</c:formatCode>
                <c:ptCount val="366"/>
                <c:pt idx="0">
                  <c:v>94.2</c:v>
                </c:pt>
                <c:pt idx="1">
                  <c:v>93.5</c:v>
                </c:pt>
                <c:pt idx="2">
                  <c:v>94.4</c:v>
                </c:pt>
                <c:pt idx="3">
                  <c:v>95.8</c:v>
                </c:pt>
                <c:pt idx="4">
                  <c:v>96.1</c:v>
                </c:pt>
                <c:pt idx="5">
                  <c:v>96.3</c:v>
                </c:pt>
                <c:pt idx="6">
                  <c:v>94.8</c:v>
                </c:pt>
                <c:pt idx="7">
                  <c:v>95.9</c:v>
                </c:pt>
                <c:pt idx="8">
                  <c:v>95.4</c:v>
                </c:pt>
                <c:pt idx="9">
                  <c:v>96.1</c:v>
                </c:pt>
                <c:pt idx="10">
                  <c:v>95.2</c:v>
                </c:pt>
                <c:pt idx="11">
                  <c:v>95</c:v>
                </c:pt>
                <c:pt idx="12">
                  <c:v>92.7</c:v>
                </c:pt>
                <c:pt idx="13">
                  <c:v>95.2</c:v>
                </c:pt>
                <c:pt idx="14">
                  <c:v>96.8</c:v>
                </c:pt>
                <c:pt idx="15">
                  <c:v>95.8</c:v>
                </c:pt>
                <c:pt idx="16">
                  <c:v>92.4</c:v>
                </c:pt>
                <c:pt idx="17">
                  <c:v>92.4</c:v>
                </c:pt>
                <c:pt idx="18">
                  <c:v>91.5</c:v>
                </c:pt>
                <c:pt idx="19">
                  <c:v>92.5</c:v>
                </c:pt>
                <c:pt idx="20">
                  <c:v>92.2</c:v>
                </c:pt>
                <c:pt idx="21">
                  <c:v>90.6</c:v>
                </c:pt>
                <c:pt idx="22">
                  <c:v>94.5</c:v>
                </c:pt>
                <c:pt idx="23">
                  <c:v>93.5</c:v>
                </c:pt>
                <c:pt idx="24">
                  <c:v>91.7</c:v>
                </c:pt>
                <c:pt idx="25">
                  <c:v>89.8</c:v>
                </c:pt>
                <c:pt idx="26">
                  <c:v>91.5</c:v>
                </c:pt>
                <c:pt idx="27">
                  <c:v>93.2</c:v>
                </c:pt>
                <c:pt idx="28">
                  <c:v>92.6</c:v>
                </c:pt>
                <c:pt idx="29">
                  <c:v>94.6</c:v>
                </c:pt>
                <c:pt idx="30">
                  <c:v>94.5</c:v>
                </c:pt>
                <c:pt idx="31">
                  <c:v>92.9</c:v>
                </c:pt>
                <c:pt idx="32">
                  <c:v>92</c:v>
                </c:pt>
                <c:pt idx="33">
                  <c:v>89.2</c:v>
                </c:pt>
                <c:pt idx="34">
                  <c:v>86.4</c:v>
                </c:pt>
                <c:pt idx="35">
                  <c:v>82.8</c:v>
                </c:pt>
                <c:pt idx="36">
                  <c:v>85.4</c:v>
                </c:pt>
                <c:pt idx="37">
                  <c:v>84.8</c:v>
                </c:pt>
                <c:pt idx="38">
                  <c:v>88.4</c:v>
                </c:pt>
                <c:pt idx="39">
                  <c:v>88.7</c:v>
                </c:pt>
                <c:pt idx="40">
                  <c:v>83.9</c:v>
                </c:pt>
                <c:pt idx="41">
                  <c:v>86.9</c:v>
                </c:pt>
                <c:pt idx="42">
                  <c:v>85.2</c:v>
                </c:pt>
                <c:pt idx="43">
                  <c:v>87.1</c:v>
                </c:pt>
                <c:pt idx="44">
                  <c:v>90.6</c:v>
                </c:pt>
                <c:pt idx="45">
                  <c:v>90.1</c:v>
                </c:pt>
                <c:pt idx="46">
                  <c:v>92.2</c:v>
                </c:pt>
                <c:pt idx="47">
                  <c:v>94.2</c:v>
                </c:pt>
                <c:pt idx="48">
                  <c:v>92.8</c:v>
                </c:pt>
                <c:pt idx="49">
                  <c:v>95.4</c:v>
                </c:pt>
                <c:pt idx="50">
                  <c:v>95.6</c:v>
                </c:pt>
                <c:pt idx="51">
                  <c:v>95.6</c:v>
                </c:pt>
                <c:pt idx="52">
                  <c:v>95.9</c:v>
                </c:pt>
                <c:pt idx="53">
                  <c:v>95</c:v>
                </c:pt>
                <c:pt idx="54">
                  <c:v>91</c:v>
                </c:pt>
                <c:pt idx="55">
                  <c:v>95.6</c:v>
                </c:pt>
                <c:pt idx="56">
                  <c:v>96.3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Data!$Z$6:$Z$371</c:f>
              <c:numCache>
                <c:formatCode>General</c:formatCode>
                <c:ptCount val="366"/>
                <c:pt idx="0">
                  <c:v>85.3</c:v>
                </c:pt>
                <c:pt idx="1">
                  <c:v>84.6</c:v>
                </c:pt>
                <c:pt idx="2">
                  <c:v>79.62</c:v>
                </c:pt>
                <c:pt idx="3">
                  <c:v>80.599999999999994</c:v>
                </c:pt>
                <c:pt idx="4">
                  <c:v>84.8</c:v>
                </c:pt>
                <c:pt idx="5">
                  <c:v>88.5</c:v>
                </c:pt>
                <c:pt idx="6">
                  <c:v>90</c:v>
                </c:pt>
                <c:pt idx="7">
                  <c:v>92.1</c:v>
                </c:pt>
                <c:pt idx="8">
                  <c:v>83.6</c:v>
                </c:pt>
                <c:pt idx="9">
                  <c:v>92</c:v>
                </c:pt>
                <c:pt idx="10">
                  <c:v>92.3</c:v>
                </c:pt>
                <c:pt idx="11">
                  <c:v>88.5</c:v>
                </c:pt>
                <c:pt idx="12">
                  <c:v>73.23</c:v>
                </c:pt>
                <c:pt idx="13">
                  <c:v>74.319999999999993</c:v>
                </c:pt>
                <c:pt idx="14">
                  <c:v>67.39</c:v>
                </c:pt>
                <c:pt idx="15">
                  <c:v>72.55</c:v>
                </c:pt>
                <c:pt idx="16">
                  <c:v>83</c:v>
                </c:pt>
                <c:pt idx="17">
                  <c:v>79.099999999999994</c:v>
                </c:pt>
                <c:pt idx="18">
                  <c:v>77.5</c:v>
                </c:pt>
                <c:pt idx="19">
                  <c:v>76.260000000000005</c:v>
                </c:pt>
                <c:pt idx="20">
                  <c:v>86.3</c:v>
                </c:pt>
                <c:pt idx="21">
                  <c:v>73.36</c:v>
                </c:pt>
                <c:pt idx="22">
                  <c:v>87.6</c:v>
                </c:pt>
                <c:pt idx="23">
                  <c:v>82.7</c:v>
                </c:pt>
                <c:pt idx="24">
                  <c:v>73.92</c:v>
                </c:pt>
                <c:pt idx="25">
                  <c:v>71.069999999999993</c:v>
                </c:pt>
                <c:pt idx="26">
                  <c:v>53.75</c:v>
                </c:pt>
                <c:pt idx="27">
                  <c:v>51.17</c:v>
                </c:pt>
                <c:pt idx="28">
                  <c:v>47.3</c:v>
                </c:pt>
                <c:pt idx="29">
                  <c:v>54.83</c:v>
                </c:pt>
                <c:pt idx="30">
                  <c:v>83.6</c:v>
                </c:pt>
                <c:pt idx="31">
                  <c:v>60.12</c:v>
                </c:pt>
                <c:pt idx="32">
                  <c:v>63.38</c:v>
                </c:pt>
                <c:pt idx="33">
                  <c:v>70.72</c:v>
                </c:pt>
                <c:pt idx="34">
                  <c:v>74.319999999999993</c:v>
                </c:pt>
                <c:pt idx="35">
                  <c:v>73.64</c:v>
                </c:pt>
                <c:pt idx="36">
                  <c:v>68.209999999999994</c:v>
                </c:pt>
                <c:pt idx="37">
                  <c:v>60.12</c:v>
                </c:pt>
                <c:pt idx="38">
                  <c:v>76.569999999999993</c:v>
                </c:pt>
                <c:pt idx="39">
                  <c:v>70.52</c:v>
                </c:pt>
                <c:pt idx="40">
                  <c:v>35.46</c:v>
                </c:pt>
                <c:pt idx="41">
                  <c:v>69.97</c:v>
                </c:pt>
                <c:pt idx="42">
                  <c:v>60.88</c:v>
                </c:pt>
                <c:pt idx="43">
                  <c:v>41.1</c:v>
                </c:pt>
                <c:pt idx="44">
                  <c:v>58.65</c:v>
                </c:pt>
                <c:pt idx="45">
                  <c:v>64.819999999999993</c:v>
                </c:pt>
                <c:pt idx="46">
                  <c:v>72.5</c:v>
                </c:pt>
                <c:pt idx="47">
                  <c:v>67.8</c:v>
                </c:pt>
                <c:pt idx="48">
                  <c:v>53.74</c:v>
                </c:pt>
                <c:pt idx="49">
                  <c:v>69.84</c:v>
                </c:pt>
                <c:pt idx="50">
                  <c:v>75.540000000000006</c:v>
                </c:pt>
                <c:pt idx="51">
                  <c:v>90.8</c:v>
                </c:pt>
                <c:pt idx="52">
                  <c:v>69.069999999999993</c:v>
                </c:pt>
                <c:pt idx="53">
                  <c:v>53.99</c:v>
                </c:pt>
                <c:pt idx="54">
                  <c:v>56.5</c:v>
                </c:pt>
                <c:pt idx="55">
                  <c:v>73.55</c:v>
                </c:pt>
                <c:pt idx="56">
                  <c:v>51.21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20096"/>
        <c:axId val="214022016"/>
      </c:lineChart>
      <c:catAx>
        <c:axId val="214020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2201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022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5188216039279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20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0.71699999999999997</c:v>
                </c:pt>
                <c:pt idx="1">
                  <c:v>0.71399999999999997</c:v>
                </c:pt>
                <c:pt idx="2">
                  <c:v>0.71399999999999997</c:v>
                </c:pt>
                <c:pt idx="3">
                  <c:v>0.69</c:v>
                </c:pt>
                <c:pt idx="4">
                  <c:v>0.70799999999999996</c:v>
                </c:pt>
                <c:pt idx="5">
                  <c:v>0.68700000000000006</c:v>
                </c:pt>
                <c:pt idx="6">
                  <c:v>0.69599999999999995</c:v>
                </c:pt>
                <c:pt idx="7">
                  <c:v>0.69</c:v>
                </c:pt>
                <c:pt idx="8">
                  <c:v>0.69599999999999995</c:v>
                </c:pt>
                <c:pt idx="9">
                  <c:v>0.67700000000000005</c:v>
                </c:pt>
                <c:pt idx="10">
                  <c:v>0.67100000000000004</c:v>
                </c:pt>
                <c:pt idx="11">
                  <c:v>0.67</c:v>
                </c:pt>
                <c:pt idx="12">
                  <c:v>0.67</c:v>
                </c:pt>
                <c:pt idx="13">
                  <c:v>0.67500000000000004</c:v>
                </c:pt>
                <c:pt idx="14">
                  <c:v>0.67700000000000005</c:v>
                </c:pt>
                <c:pt idx="15">
                  <c:v>0.65300000000000002</c:v>
                </c:pt>
                <c:pt idx="16">
                  <c:v>0.65300000000000002</c:v>
                </c:pt>
                <c:pt idx="17">
                  <c:v>0.66100000000000003</c:v>
                </c:pt>
                <c:pt idx="18">
                  <c:v>0.63300000000000001</c:v>
                </c:pt>
                <c:pt idx="19">
                  <c:v>0.64</c:v>
                </c:pt>
                <c:pt idx="20">
                  <c:v>0.59399999999999997</c:v>
                </c:pt>
                <c:pt idx="21">
                  <c:v>0.55400000000000005</c:v>
                </c:pt>
                <c:pt idx="22">
                  <c:v>0.54100000000000004</c:v>
                </c:pt>
                <c:pt idx="23">
                  <c:v>0.53100000000000003</c:v>
                </c:pt>
                <c:pt idx="24">
                  <c:v>0.54500000000000004</c:v>
                </c:pt>
                <c:pt idx="25">
                  <c:v>0.52700000000000002</c:v>
                </c:pt>
                <c:pt idx="26">
                  <c:v>0.51400000000000001</c:v>
                </c:pt>
                <c:pt idx="27">
                  <c:v>0.496</c:v>
                </c:pt>
                <c:pt idx="28">
                  <c:v>0.47499999999999998</c:v>
                </c:pt>
                <c:pt idx="29">
                  <c:v>0.45500000000000002</c:v>
                </c:pt>
                <c:pt idx="30">
                  <c:v>0.42099999999999999</c:v>
                </c:pt>
                <c:pt idx="31">
                  <c:v>0.40600000000000003</c:v>
                </c:pt>
                <c:pt idx="32">
                  <c:v>0.41099999999999998</c:v>
                </c:pt>
                <c:pt idx="33">
                  <c:v>0.41699999999999998</c:v>
                </c:pt>
                <c:pt idx="34">
                  <c:v>0.43</c:v>
                </c:pt>
                <c:pt idx="35">
                  <c:v>0.42199999999999999</c:v>
                </c:pt>
                <c:pt idx="36">
                  <c:v>0.42399999999999999</c:v>
                </c:pt>
                <c:pt idx="37">
                  <c:v>0.40500000000000003</c:v>
                </c:pt>
                <c:pt idx="38">
                  <c:v>0.38700000000000001</c:v>
                </c:pt>
                <c:pt idx="39">
                  <c:v>0.36</c:v>
                </c:pt>
                <c:pt idx="40">
                  <c:v>0.35</c:v>
                </c:pt>
                <c:pt idx="41">
                  <c:v>0.34300000000000003</c:v>
                </c:pt>
                <c:pt idx="42">
                  <c:v>0.33800000000000002</c:v>
                </c:pt>
                <c:pt idx="43">
                  <c:v>0.34300000000000003</c:v>
                </c:pt>
                <c:pt idx="44">
                  <c:v>0.28899999999999998</c:v>
                </c:pt>
                <c:pt idx="45">
                  <c:v>0.27500000000000002</c:v>
                </c:pt>
                <c:pt idx="46">
                  <c:v>0.24399999999999999</c:v>
                </c:pt>
                <c:pt idx="47">
                  <c:v>0.23100000000000001</c:v>
                </c:pt>
                <c:pt idx="48">
                  <c:v>0.23599999999999999</c:v>
                </c:pt>
                <c:pt idx="49">
                  <c:v>0.21199999999999999</c:v>
                </c:pt>
                <c:pt idx="50">
                  <c:v>0.23</c:v>
                </c:pt>
                <c:pt idx="51">
                  <c:v>0.216</c:v>
                </c:pt>
                <c:pt idx="52">
                  <c:v>0.24399999999999999</c:v>
                </c:pt>
                <c:pt idx="53">
                  <c:v>0.255</c:v>
                </c:pt>
                <c:pt idx="54">
                  <c:v>0.26200000000000001</c:v>
                </c:pt>
                <c:pt idx="55">
                  <c:v>0.26800000000000002</c:v>
                </c:pt>
                <c:pt idx="56">
                  <c:v>0.28000000000000003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0.56299999999999994</c:v>
                </c:pt>
                <c:pt idx="1">
                  <c:v>0.55600000000000005</c:v>
                </c:pt>
                <c:pt idx="2">
                  <c:v>0.54500000000000004</c:v>
                </c:pt>
                <c:pt idx="3">
                  <c:v>0.54100000000000004</c:v>
                </c:pt>
                <c:pt idx="4">
                  <c:v>0.55200000000000005</c:v>
                </c:pt>
                <c:pt idx="5">
                  <c:v>0.53700000000000003</c:v>
                </c:pt>
                <c:pt idx="6">
                  <c:v>0.53700000000000003</c:v>
                </c:pt>
                <c:pt idx="7">
                  <c:v>0.53400000000000003</c:v>
                </c:pt>
                <c:pt idx="8">
                  <c:v>0.52800000000000002</c:v>
                </c:pt>
                <c:pt idx="9">
                  <c:v>0.52100000000000002</c:v>
                </c:pt>
                <c:pt idx="10">
                  <c:v>0.51</c:v>
                </c:pt>
                <c:pt idx="11">
                  <c:v>0.51700000000000002</c:v>
                </c:pt>
                <c:pt idx="12">
                  <c:v>0.52100000000000002</c:v>
                </c:pt>
                <c:pt idx="13">
                  <c:v>0.51100000000000001</c:v>
                </c:pt>
                <c:pt idx="14">
                  <c:v>0.51200000000000001</c:v>
                </c:pt>
                <c:pt idx="15">
                  <c:v>0.497</c:v>
                </c:pt>
                <c:pt idx="16">
                  <c:v>0.48899999999999999</c:v>
                </c:pt>
                <c:pt idx="17">
                  <c:v>0.47199999999999998</c:v>
                </c:pt>
                <c:pt idx="18">
                  <c:v>0.436</c:v>
                </c:pt>
                <c:pt idx="19">
                  <c:v>0.435</c:v>
                </c:pt>
                <c:pt idx="20">
                  <c:v>0.40400000000000003</c:v>
                </c:pt>
                <c:pt idx="21">
                  <c:v>0.375</c:v>
                </c:pt>
                <c:pt idx="22">
                  <c:v>0.373</c:v>
                </c:pt>
                <c:pt idx="23">
                  <c:v>0.36599999999999999</c:v>
                </c:pt>
                <c:pt idx="24">
                  <c:v>0.35499999999999998</c:v>
                </c:pt>
                <c:pt idx="25">
                  <c:v>0.33900000000000002</c:v>
                </c:pt>
                <c:pt idx="26">
                  <c:v>0.32700000000000001</c:v>
                </c:pt>
                <c:pt idx="27">
                  <c:v>0.30499999999999999</c:v>
                </c:pt>
                <c:pt idx="28">
                  <c:v>0.29699999999999999</c:v>
                </c:pt>
                <c:pt idx="29">
                  <c:v>0.26100000000000001</c:v>
                </c:pt>
                <c:pt idx="30">
                  <c:v>0.252</c:v>
                </c:pt>
                <c:pt idx="31">
                  <c:v>0.246</c:v>
                </c:pt>
                <c:pt idx="32">
                  <c:v>0.23899999999999999</c:v>
                </c:pt>
                <c:pt idx="33">
                  <c:v>0.24199999999999999</c:v>
                </c:pt>
                <c:pt idx="34">
                  <c:v>0.251</c:v>
                </c:pt>
                <c:pt idx="35">
                  <c:v>0.253</c:v>
                </c:pt>
                <c:pt idx="36">
                  <c:v>0.251</c:v>
                </c:pt>
                <c:pt idx="37">
                  <c:v>0.23499999999999999</c:v>
                </c:pt>
                <c:pt idx="38">
                  <c:v>0.23</c:v>
                </c:pt>
                <c:pt idx="39">
                  <c:v>0.21099999999999999</c:v>
                </c:pt>
                <c:pt idx="40">
                  <c:v>0.2</c:v>
                </c:pt>
                <c:pt idx="41">
                  <c:v>0.17799999999999999</c:v>
                </c:pt>
                <c:pt idx="42">
                  <c:v>0.17</c:v>
                </c:pt>
                <c:pt idx="43">
                  <c:v>0.14799999999999999</c:v>
                </c:pt>
                <c:pt idx="44">
                  <c:v>0.128</c:v>
                </c:pt>
                <c:pt idx="45">
                  <c:v>0.113</c:v>
                </c:pt>
                <c:pt idx="46">
                  <c:v>7.9000000000000001E-2</c:v>
                </c:pt>
                <c:pt idx="47">
                  <c:v>7.3999999999999996E-2</c:v>
                </c:pt>
                <c:pt idx="48">
                  <c:v>6.2E-2</c:v>
                </c:pt>
                <c:pt idx="49">
                  <c:v>5.2999999999999999E-2</c:v>
                </c:pt>
                <c:pt idx="50">
                  <c:v>5.7000000000000002E-2</c:v>
                </c:pt>
                <c:pt idx="51">
                  <c:v>7.5999999999999998E-2</c:v>
                </c:pt>
                <c:pt idx="52">
                  <c:v>7.9000000000000001E-2</c:v>
                </c:pt>
                <c:pt idx="53">
                  <c:v>0.10100000000000001</c:v>
                </c:pt>
                <c:pt idx="54">
                  <c:v>0.106</c:v>
                </c:pt>
                <c:pt idx="55">
                  <c:v>0.107</c:v>
                </c:pt>
                <c:pt idx="56">
                  <c:v>0.11600000000000001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31360"/>
        <c:axId val="214070400"/>
      </c:lineChart>
      <c:catAx>
        <c:axId val="21403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70400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14070400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99345335515548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3136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1.3320000000000001</c:v>
                </c:pt>
                <c:pt idx="1">
                  <c:v>1.3080000000000001</c:v>
                </c:pt>
                <c:pt idx="2">
                  <c:v>1.3120000000000001</c:v>
                </c:pt>
                <c:pt idx="3">
                  <c:v>1.3140000000000001</c:v>
                </c:pt>
                <c:pt idx="4">
                  <c:v>1.3029999999999999</c:v>
                </c:pt>
                <c:pt idx="5">
                  <c:v>1.2789999999999999</c:v>
                </c:pt>
                <c:pt idx="6">
                  <c:v>1.2769999999999999</c:v>
                </c:pt>
                <c:pt idx="7">
                  <c:v>1.2729999999999999</c:v>
                </c:pt>
                <c:pt idx="8">
                  <c:v>1.2729999999999999</c:v>
                </c:pt>
                <c:pt idx="9">
                  <c:v>1.2589999999999999</c:v>
                </c:pt>
                <c:pt idx="10">
                  <c:v>1.246</c:v>
                </c:pt>
                <c:pt idx="11">
                  <c:v>1.2370000000000001</c:v>
                </c:pt>
                <c:pt idx="12">
                  <c:v>1.2589999999999999</c:v>
                </c:pt>
                <c:pt idx="13">
                  <c:v>1.234</c:v>
                </c:pt>
                <c:pt idx="14">
                  <c:v>1.238</c:v>
                </c:pt>
                <c:pt idx="15">
                  <c:v>1.2310000000000001</c:v>
                </c:pt>
                <c:pt idx="16">
                  <c:v>1.214</c:v>
                </c:pt>
                <c:pt idx="17">
                  <c:v>1.1890000000000001</c:v>
                </c:pt>
                <c:pt idx="18">
                  <c:v>1.196</c:v>
                </c:pt>
                <c:pt idx="19">
                  <c:v>1.1819999999999999</c:v>
                </c:pt>
                <c:pt idx="20">
                  <c:v>1.161</c:v>
                </c:pt>
                <c:pt idx="21">
                  <c:v>1.177</c:v>
                </c:pt>
                <c:pt idx="22">
                  <c:v>1.135</c:v>
                </c:pt>
                <c:pt idx="23">
                  <c:v>1.1279999999999999</c:v>
                </c:pt>
                <c:pt idx="24">
                  <c:v>1.151</c:v>
                </c:pt>
                <c:pt idx="25">
                  <c:v>1.117</c:v>
                </c:pt>
                <c:pt idx="26">
                  <c:v>1.117</c:v>
                </c:pt>
                <c:pt idx="27">
                  <c:v>1.089</c:v>
                </c:pt>
                <c:pt idx="28">
                  <c:v>1.077</c:v>
                </c:pt>
                <c:pt idx="29">
                  <c:v>1.079</c:v>
                </c:pt>
                <c:pt idx="30">
                  <c:v>1.0529999999999999</c:v>
                </c:pt>
                <c:pt idx="31">
                  <c:v>1.042</c:v>
                </c:pt>
                <c:pt idx="32">
                  <c:v>1.046</c:v>
                </c:pt>
                <c:pt idx="33">
                  <c:v>1.0349999999999999</c:v>
                </c:pt>
                <c:pt idx="34">
                  <c:v>1.0529999999999999</c:v>
                </c:pt>
                <c:pt idx="35">
                  <c:v>1.02</c:v>
                </c:pt>
                <c:pt idx="36">
                  <c:v>1.022</c:v>
                </c:pt>
                <c:pt idx="37">
                  <c:v>1.0089999999999999</c:v>
                </c:pt>
                <c:pt idx="38">
                  <c:v>0.99199999999999999</c:v>
                </c:pt>
                <c:pt idx="39">
                  <c:v>0.98099999999999998</c:v>
                </c:pt>
                <c:pt idx="40">
                  <c:v>0.97099999999999997</c:v>
                </c:pt>
                <c:pt idx="41">
                  <c:v>0.96599999999999997</c:v>
                </c:pt>
                <c:pt idx="42">
                  <c:v>0.96799999999999997</c:v>
                </c:pt>
                <c:pt idx="43">
                  <c:v>0.94399999999999995</c:v>
                </c:pt>
                <c:pt idx="44">
                  <c:v>0.93</c:v>
                </c:pt>
                <c:pt idx="45">
                  <c:v>0.91500000000000004</c:v>
                </c:pt>
                <c:pt idx="46">
                  <c:v>0.89100000000000001</c:v>
                </c:pt>
                <c:pt idx="47">
                  <c:v>0.89700000000000002</c:v>
                </c:pt>
                <c:pt idx="48">
                  <c:v>0.88100000000000001</c:v>
                </c:pt>
                <c:pt idx="49">
                  <c:v>0.86899999999999999</c:v>
                </c:pt>
                <c:pt idx="50">
                  <c:v>0.876</c:v>
                </c:pt>
                <c:pt idx="51">
                  <c:v>0.86099999999999999</c:v>
                </c:pt>
                <c:pt idx="52">
                  <c:v>0.86499999999999999</c:v>
                </c:pt>
                <c:pt idx="53">
                  <c:v>0.88800000000000001</c:v>
                </c:pt>
                <c:pt idx="54">
                  <c:v>0.871</c:v>
                </c:pt>
                <c:pt idx="55">
                  <c:v>0.88100000000000001</c:v>
                </c:pt>
                <c:pt idx="56">
                  <c:v>0.88900000000000001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Data!$AE$6:$AE$371</c:f>
              <c:numCache>
                <c:formatCode>General</c:formatCode>
                <c:ptCount val="366"/>
                <c:pt idx="0">
                  <c:v>1.161</c:v>
                </c:pt>
                <c:pt idx="1">
                  <c:v>1.1539999999999999</c:v>
                </c:pt>
                <c:pt idx="2">
                  <c:v>1.1539999999999999</c:v>
                </c:pt>
                <c:pt idx="3">
                  <c:v>1.145</c:v>
                </c:pt>
                <c:pt idx="4">
                  <c:v>1.1319999999999999</c:v>
                </c:pt>
                <c:pt idx="5">
                  <c:v>1.127</c:v>
                </c:pt>
                <c:pt idx="6">
                  <c:v>1.1220000000000001</c:v>
                </c:pt>
                <c:pt idx="7">
                  <c:v>1.1180000000000001</c:v>
                </c:pt>
                <c:pt idx="8">
                  <c:v>1.109</c:v>
                </c:pt>
                <c:pt idx="9">
                  <c:v>1.095</c:v>
                </c:pt>
                <c:pt idx="10">
                  <c:v>1.089</c:v>
                </c:pt>
                <c:pt idx="11">
                  <c:v>1.097</c:v>
                </c:pt>
                <c:pt idx="12">
                  <c:v>1.085</c:v>
                </c:pt>
                <c:pt idx="13">
                  <c:v>1.0780000000000001</c:v>
                </c:pt>
                <c:pt idx="14">
                  <c:v>1.081</c:v>
                </c:pt>
                <c:pt idx="15">
                  <c:v>1.0609999999999999</c:v>
                </c:pt>
                <c:pt idx="16">
                  <c:v>1.0529999999999999</c:v>
                </c:pt>
                <c:pt idx="17">
                  <c:v>1.0409999999999999</c:v>
                </c:pt>
                <c:pt idx="18">
                  <c:v>1.0189999999999999</c:v>
                </c:pt>
                <c:pt idx="19">
                  <c:v>1.0229999999999999</c:v>
                </c:pt>
                <c:pt idx="20">
                  <c:v>0.99</c:v>
                </c:pt>
                <c:pt idx="21">
                  <c:v>0.98699999999999999</c:v>
                </c:pt>
                <c:pt idx="22">
                  <c:v>0.96499999999999997</c:v>
                </c:pt>
                <c:pt idx="23">
                  <c:v>0.98</c:v>
                </c:pt>
                <c:pt idx="24">
                  <c:v>0.97199999999999998</c:v>
                </c:pt>
                <c:pt idx="25">
                  <c:v>0.95899999999999996</c:v>
                </c:pt>
                <c:pt idx="26">
                  <c:v>0.94299999999999995</c:v>
                </c:pt>
                <c:pt idx="27">
                  <c:v>0.93100000000000005</c:v>
                </c:pt>
                <c:pt idx="28">
                  <c:v>0.91600000000000004</c:v>
                </c:pt>
                <c:pt idx="29">
                  <c:v>0.89500000000000002</c:v>
                </c:pt>
                <c:pt idx="30">
                  <c:v>0.88500000000000001</c:v>
                </c:pt>
                <c:pt idx="31">
                  <c:v>0.88700000000000001</c:v>
                </c:pt>
                <c:pt idx="32">
                  <c:v>0.88</c:v>
                </c:pt>
                <c:pt idx="33">
                  <c:v>0.86699999999999999</c:v>
                </c:pt>
                <c:pt idx="34">
                  <c:v>0.872</c:v>
                </c:pt>
                <c:pt idx="35">
                  <c:v>0.85399999999999998</c:v>
                </c:pt>
                <c:pt idx="36">
                  <c:v>0.85799999999999998</c:v>
                </c:pt>
                <c:pt idx="37">
                  <c:v>0.84599999999999997</c:v>
                </c:pt>
                <c:pt idx="38">
                  <c:v>0.83899999999999997</c:v>
                </c:pt>
                <c:pt idx="39">
                  <c:v>0.83199999999999996</c:v>
                </c:pt>
                <c:pt idx="40">
                  <c:v>0.81599999999999995</c:v>
                </c:pt>
                <c:pt idx="41">
                  <c:v>0.80400000000000005</c:v>
                </c:pt>
                <c:pt idx="42">
                  <c:v>0.79200000000000004</c:v>
                </c:pt>
                <c:pt idx="43">
                  <c:v>0.77200000000000002</c:v>
                </c:pt>
                <c:pt idx="44">
                  <c:v>0.75700000000000001</c:v>
                </c:pt>
                <c:pt idx="45">
                  <c:v>0.749</c:v>
                </c:pt>
                <c:pt idx="46">
                  <c:v>0.73599999999999999</c:v>
                </c:pt>
                <c:pt idx="47">
                  <c:v>0.73199999999999998</c:v>
                </c:pt>
                <c:pt idx="48">
                  <c:v>0.71799999999999997</c:v>
                </c:pt>
                <c:pt idx="49">
                  <c:v>0.71</c:v>
                </c:pt>
                <c:pt idx="50">
                  <c:v>0.70899999999999996</c:v>
                </c:pt>
                <c:pt idx="51">
                  <c:v>0.71399999999999997</c:v>
                </c:pt>
                <c:pt idx="52">
                  <c:v>0.69899999999999995</c:v>
                </c:pt>
                <c:pt idx="53">
                  <c:v>0.72699999999999998</c:v>
                </c:pt>
                <c:pt idx="54">
                  <c:v>0.70499999999999996</c:v>
                </c:pt>
                <c:pt idx="55">
                  <c:v>0.73099999999999998</c:v>
                </c:pt>
                <c:pt idx="56">
                  <c:v>0.71199999999999997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84224"/>
        <c:axId val="214090496"/>
      </c:lineChart>
      <c:catAx>
        <c:axId val="214084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90496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1409049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8422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Data!$W$6:$W$371</c:f>
              <c:numCache>
                <c:formatCode>General</c:formatCode>
                <c:ptCount val="366"/>
                <c:pt idx="0">
                  <c:v>1.9059999999999999</c:v>
                </c:pt>
                <c:pt idx="1">
                  <c:v>1.8939999999999999</c:v>
                </c:pt>
                <c:pt idx="2">
                  <c:v>1.8859999999999999</c:v>
                </c:pt>
                <c:pt idx="3">
                  <c:v>1.875</c:v>
                </c:pt>
                <c:pt idx="4">
                  <c:v>1.859</c:v>
                </c:pt>
                <c:pt idx="5">
                  <c:v>1.8560000000000001</c:v>
                </c:pt>
                <c:pt idx="6">
                  <c:v>1.84</c:v>
                </c:pt>
                <c:pt idx="7">
                  <c:v>1.85</c:v>
                </c:pt>
                <c:pt idx="8">
                  <c:v>1.8480000000000001</c:v>
                </c:pt>
                <c:pt idx="9">
                  <c:v>1.8149999999999999</c:v>
                </c:pt>
                <c:pt idx="10">
                  <c:v>1.8180000000000001</c:v>
                </c:pt>
                <c:pt idx="11">
                  <c:v>1.8140000000000001</c:v>
                </c:pt>
                <c:pt idx="12">
                  <c:v>1.819</c:v>
                </c:pt>
                <c:pt idx="13">
                  <c:v>1.8129999999999999</c:v>
                </c:pt>
                <c:pt idx="14">
                  <c:v>1.8120000000000001</c:v>
                </c:pt>
                <c:pt idx="15">
                  <c:v>1.794</c:v>
                </c:pt>
                <c:pt idx="16">
                  <c:v>1.7769999999999999</c:v>
                </c:pt>
                <c:pt idx="17">
                  <c:v>1.764</c:v>
                </c:pt>
                <c:pt idx="18">
                  <c:v>1.7829999999999999</c:v>
                </c:pt>
                <c:pt idx="19">
                  <c:v>1.754</c:v>
                </c:pt>
                <c:pt idx="20">
                  <c:v>1.7350000000000001</c:v>
                </c:pt>
                <c:pt idx="21">
                  <c:v>1.7609999999999999</c:v>
                </c:pt>
                <c:pt idx="22">
                  <c:v>1.72</c:v>
                </c:pt>
                <c:pt idx="23">
                  <c:v>1.734</c:v>
                </c:pt>
                <c:pt idx="24">
                  <c:v>1.746</c:v>
                </c:pt>
                <c:pt idx="25">
                  <c:v>1.738</c:v>
                </c:pt>
                <c:pt idx="26">
                  <c:v>1.7270000000000001</c:v>
                </c:pt>
                <c:pt idx="27">
                  <c:v>1.7210000000000001</c:v>
                </c:pt>
                <c:pt idx="28">
                  <c:v>1.7190000000000001</c:v>
                </c:pt>
                <c:pt idx="29">
                  <c:v>1.7150000000000001</c:v>
                </c:pt>
                <c:pt idx="30">
                  <c:v>1.696</c:v>
                </c:pt>
                <c:pt idx="31">
                  <c:v>1.706</c:v>
                </c:pt>
                <c:pt idx="32">
                  <c:v>1.7090000000000001</c:v>
                </c:pt>
                <c:pt idx="33">
                  <c:v>1.7130000000000001</c:v>
                </c:pt>
                <c:pt idx="34">
                  <c:v>1.696</c:v>
                </c:pt>
                <c:pt idx="35">
                  <c:v>1.673</c:v>
                </c:pt>
                <c:pt idx="36">
                  <c:v>1.665</c:v>
                </c:pt>
                <c:pt idx="37">
                  <c:v>1.6519999999999999</c:v>
                </c:pt>
                <c:pt idx="38">
                  <c:v>1.647</c:v>
                </c:pt>
                <c:pt idx="39">
                  <c:v>1.625</c:v>
                </c:pt>
                <c:pt idx="40">
                  <c:v>1.629</c:v>
                </c:pt>
                <c:pt idx="41">
                  <c:v>1.63</c:v>
                </c:pt>
                <c:pt idx="42">
                  <c:v>1.635</c:v>
                </c:pt>
                <c:pt idx="43">
                  <c:v>1.63</c:v>
                </c:pt>
                <c:pt idx="44">
                  <c:v>1.5980000000000001</c:v>
                </c:pt>
                <c:pt idx="45">
                  <c:v>1.6040000000000001</c:v>
                </c:pt>
                <c:pt idx="46">
                  <c:v>1.5780000000000001</c:v>
                </c:pt>
                <c:pt idx="47">
                  <c:v>1.5760000000000001</c:v>
                </c:pt>
                <c:pt idx="48">
                  <c:v>1.5720000000000001</c:v>
                </c:pt>
                <c:pt idx="49">
                  <c:v>1.569</c:v>
                </c:pt>
                <c:pt idx="50">
                  <c:v>1.5629999999999999</c:v>
                </c:pt>
                <c:pt idx="51">
                  <c:v>1.536</c:v>
                </c:pt>
                <c:pt idx="52">
                  <c:v>1.5529999999999999</c:v>
                </c:pt>
                <c:pt idx="53">
                  <c:v>1.5660000000000001</c:v>
                </c:pt>
                <c:pt idx="54">
                  <c:v>1.5409999999999999</c:v>
                </c:pt>
                <c:pt idx="55">
                  <c:v>1.536</c:v>
                </c:pt>
                <c:pt idx="56">
                  <c:v>1.536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1.736</c:v>
                </c:pt>
                <c:pt idx="1">
                  <c:v>1.73</c:v>
                </c:pt>
                <c:pt idx="2">
                  <c:v>1.7210000000000001</c:v>
                </c:pt>
                <c:pt idx="3">
                  <c:v>1.7170000000000001</c:v>
                </c:pt>
                <c:pt idx="4">
                  <c:v>1.708</c:v>
                </c:pt>
                <c:pt idx="5">
                  <c:v>1.696</c:v>
                </c:pt>
                <c:pt idx="6">
                  <c:v>1.675</c:v>
                </c:pt>
                <c:pt idx="7">
                  <c:v>1.6930000000000001</c:v>
                </c:pt>
                <c:pt idx="8">
                  <c:v>1.6830000000000001</c:v>
                </c:pt>
                <c:pt idx="9">
                  <c:v>1.6659999999999999</c:v>
                </c:pt>
                <c:pt idx="10">
                  <c:v>1.6679999999999999</c:v>
                </c:pt>
                <c:pt idx="11">
                  <c:v>1.667</c:v>
                </c:pt>
                <c:pt idx="12">
                  <c:v>1.667</c:v>
                </c:pt>
                <c:pt idx="13">
                  <c:v>1.645</c:v>
                </c:pt>
                <c:pt idx="14">
                  <c:v>1.6619999999999999</c:v>
                </c:pt>
                <c:pt idx="15">
                  <c:v>1.623</c:v>
                </c:pt>
                <c:pt idx="16">
                  <c:v>1.6080000000000001</c:v>
                </c:pt>
                <c:pt idx="17">
                  <c:v>1.62</c:v>
                </c:pt>
                <c:pt idx="18">
                  <c:v>1.5880000000000001</c:v>
                </c:pt>
                <c:pt idx="19">
                  <c:v>1.589</c:v>
                </c:pt>
                <c:pt idx="20">
                  <c:v>1.583</c:v>
                </c:pt>
                <c:pt idx="21">
                  <c:v>1.5740000000000001</c:v>
                </c:pt>
                <c:pt idx="22">
                  <c:v>1.573</c:v>
                </c:pt>
                <c:pt idx="23">
                  <c:v>1.579</c:v>
                </c:pt>
                <c:pt idx="24">
                  <c:v>1.5740000000000001</c:v>
                </c:pt>
                <c:pt idx="25">
                  <c:v>1.575</c:v>
                </c:pt>
                <c:pt idx="26">
                  <c:v>1.5620000000000001</c:v>
                </c:pt>
                <c:pt idx="27">
                  <c:v>1.5680000000000001</c:v>
                </c:pt>
                <c:pt idx="28">
                  <c:v>1.546</c:v>
                </c:pt>
                <c:pt idx="29">
                  <c:v>1.552</c:v>
                </c:pt>
                <c:pt idx="30">
                  <c:v>1.534</c:v>
                </c:pt>
                <c:pt idx="31">
                  <c:v>1.542</c:v>
                </c:pt>
                <c:pt idx="32">
                  <c:v>1.5369999999999999</c:v>
                </c:pt>
                <c:pt idx="33">
                  <c:v>1.5309999999999999</c:v>
                </c:pt>
                <c:pt idx="34">
                  <c:v>1.5149999999999999</c:v>
                </c:pt>
                <c:pt idx="35">
                  <c:v>1.506</c:v>
                </c:pt>
                <c:pt idx="36">
                  <c:v>1.5109999999999999</c:v>
                </c:pt>
                <c:pt idx="37">
                  <c:v>1.4890000000000001</c:v>
                </c:pt>
                <c:pt idx="38">
                  <c:v>1.4890000000000001</c:v>
                </c:pt>
                <c:pt idx="39">
                  <c:v>1.4870000000000001</c:v>
                </c:pt>
                <c:pt idx="40">
                  <c:v>1.46</c:v>
                </c:pt>
                <c:pt idx="41">
                  <c:v>1.4670000000000001</c:v>
                </c:pt>
                <c:pt idx="42">
                  <c:v>1.4690000000000001</c:v>
                </c:pt>
                <c:pt idx="43">
                  <c:v>1.4379999999999999</c:v>
                </c:pt>
                <c:pt idx="44">
                  <c:v>1.4390000000000001</c:v>
                </c:pt>
                <c:pt idx="45">
                  <c:v>1.4319999999999999</c:v>
                </c:pt>
                <c:pt idx="46">
                  <c:v>1.4139999999999999</c:v>
                </c:pt>
                <c:pt idx="47">
                  <c:v>1.4179999999999999</c:v>
                </c:pt>
                <c:pt idx="48">
                  <c:v>1.4159999999999999</c:v>
                </c:pt>
                <c:pt idx="49">
                  <c:v>1.391</c:v>
                </c:pt>
                <c:pt idx="50">
                  <c:v>1.391</c:v>
                </c:pt>
                <c:pt idx="51">
                  <c:v>1.389</c:v>
                </c:pt>
                <c:pt idx="52">
                  <c:v>1.3839999999999999</c:v>
                </c:pt>
                <c:pt idx="53">
                  <c:v>1.3979999999999999</c:v>
                </c:pt>
                <c:pt idx="54">
                  <c:v>1.3859999999999999</c:v>
                </c:pt>
                <c:pt idx="55">
                  <c:v>1.3859999999999999</c:v>
                </c:pt>
                <c:pt idx="56">
                  <c:v>1.381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40800"/>
        <c:axId val="214147072"/>
      </c:lineChart>
      <c:catAx>
        <c:axId val="214140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47072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14147072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4080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3584288052373167"/>
          <c:w val="0.90635451505016718"/>
          <c:h val="0.74795417348608884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3.0000000000000001E-3</c:v>
                </c:pt>
                <c:pt idx="10">
                  <c:v>4.0000000000000001E-3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7.0000000000000001E-3</c:v>
                </c:pt>
                <c:pt idx="15">
                  <c:v>0.313</c:v>
                </c:pt>
                <c:pt idx="16">
                  <c:v>0.14099999999999999</c:v>
                </c:pt>
                <c:pt idx="17">
                  <c:v>5.8000000000000003E-2</c:v>
                </c:pt>
                <c:pt idx="18">
                  <c:v>1.0999999999999999E-2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4.0000000000000001E-3</c:v>
                </c:pt>
                <c:pt idx="23">
                  <c:v>5.0000000000000001E-3</c:v>
                </c:pt>
                <c:pt idx="24">
                  <c:v>0</c:v>
                </c:pt>
                <c:pt idx="25">
                  <c:v>1.2999999999999999E-2</c:v>
                </c:pt>
                <c:pt idx="26">
                  <c:v>0</c:v>
                </c:pt>
                <c:pt idx="27">
                  <c:v>0</c:v>
                </c:pt>
                <c:pt idx="28">
                  <c:v>2E-3</c:v>
                </c:pt>
                <c:pt idx="29">
                  <c:v>1.7999999999999999E-2</c:v>
                </c:pt>
                <c:pt idx="30">
                  <c:v>4.4999999999999998E-2</c:v>
                </c:pt>
                <c:pt idx="31">
                  <c:v>0.67100000000000004</c:v>
                </c:pt>
                <c:pt idx="32">
                  <c:v>0.124</c:v>
                </c:pt>
                <c:pt idx="33">
                  <c:v>3.6999999999999998E-2</c:v>
                </c:pt>
                <c:pt idx="34">
                  <c:v>2.7E-2</c:v>
                </c:pt>
                <c:pt idx="35">
                  <c:v>0</c:v>
                </c:pt>
                <c:pt idx="36">
                  <c:v>0</c:v>
                </c:pt>
                <c:pt idx="37">
                  <c:v>8.9999999999999993E-3</c:v>
                </c:pt>
                <c:pt idx="38">
                  <c:v>2.1000000000000001E-2</c:v>
                </c:pt>
                <c:pt idx="39">
                  <c:v>0</c:v>
                </c:pt>
                <c:pt idx="40">
                  <c:v>0</c:v>
                </c:pt>
                <c:pt idx="41">
                  <c:v>3.0000000000000001E-3</c:v>
                </c:pt>
                <c:pt idx="42">
                  <c:v>0</c:v>
                </c:pt>
                <c:pt idx="43">
                  <c:v>1.9E-2</c:v>
                </c:pt>
                <c:pt idx="44">
                  <c:v>1E-3</c:v>
                </c:pt>
                <c:pt idx="45">
                  <c:v>4.0000000000000001E-3</c:v>
                </c:pt>
                <c:pt idx="46">
                  <c:v>5.0000000000000001E-3</c:v>
                </c:pt>
                <c:pt idx="47">
                  <c:v>1E-3</c:v>
                </c:pt>
                <c:pt idx="48">
                  <c:v>1.2E-2</c:v>
                </c:pt>
                <c:pt idx="49">
                  <c:v>8.5999999999999993E-2</c:v>
                </c:pt>
                <c:pt idx="50">
                  <c:v>0</c:v>
                </c:pt>
                <c:pt idx="51">
                  <c:v>1E-3</c:v>
                </c:pt>
                <c:pt idx="52">
                  <c:v>7.9000000000000001E-2</c:v>
                </c:pt>
                <c:pt idx="53">
                  <c:v>0.247</c:v>
                </c:pt>
                <c:pt idx="54">
                  <c:v>0.09</c:v>
                </c:pt>
                <c:pt idx="55">
                  <c:v>0</c:v>
                </c:pt>
                <c:pt idx="56">
                  <c:v>1.2999999999999999E-2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Data!$X$6:$X$371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0.52700000000000002</c:v>
                </c:pt>
                <c:pt idx="6">
                  <c:v>0</c:v>
                </c:pt>
                <c:pt idx="7">
                  <c:v>0</c:v>
                </c:pt>
                <c:pt idx="8">
                  <c:v>0.5</c:v>
                </c:pt>
                <c:pt idx="9">
                  <c:v>0.57999999999999996</c:v>
                </c:pt>
                <c:pt idx="10">
                  <c:v>0.57999999999999996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1.7270000000000001</c:v>
                </c:pt>
                <c:pt idx="15">
                  <c:v>3.94</c:v>
                </c:pt>
                <c:pt idx="16">
                  <c:v>2.82</c:v>
                </c:pt>
                <c:pt idx="17">
                  <c:v>2.66</c:v>
                </c:pt>
                <c:pt idx="18">
                  <c:v>2.2599999999999998</c:v>
                </c:pt>
                <c:pt idx="19">
                  <c:v>0.98</c:v>
                </c:pt>
                <c:pt idx="20">
                  <c:v>0.82</c:v>
                </c:pt>
                <c:pt idx="21">
                  <c:v>0.68700000000000006</c:v>
                </c:pt>
                <c:pt idx="22">
                  <c:v>0.84699999999999998</c:v>
                </c:pt>
                <c:pt idx="23">
                  <c:v>1.1399999999999999</c:v>
                </c:pt>
                <c:pt idx="24">
                  <c:v>0.5</c:v>
                </c:pt>
                <c:pt idx="25">
                  <c:v>1.9139999999999999</c:v>
                </c:pt>
                <c:pt idx="26">
                  <c:v>0.52700000000000002</c:v>
                </c:pt>
                <c:pt idx="27">
                  <c:v>0</c:v>
                </c:pt>
                <c:pt idx="28">
                  <c:v>1.1399999999999999</c:v>
                </c:pt>
                <c:pt idx="29">
                  <c:v>2.2069999999999999</c:v>
                </c:pt>
                <c:pt idx="30">
                  <c:v>2.8740000000000001</c:v>
                </c:pt>
                <c:pt idx="31">
                  <c:v>6.26</c:v>
                </c:pt>
                <c:pt idx="32">
                  <c:v>2.6339999999999999</c:v>
                </c:pt>
                <c:pt idx="33">
                  <c:v>2.34</c:v>
                </c:pt>
                <c:pt idx="34">
                  <c:v>2.1269999999999998</c:v>
                </c:pt>
                <c:pt idx="35">
                  <c:v>0</c:v>
                </c:pt>
                <c:pt idx="36">
                  <c:v>0.52700000000000002</c:v>
                </c:pt>
                <c:pt idx="37">
                  <c:v>1.9670000000000001</c:v>
                </c:pt>
                <c:pt idx="38">
                  <c:v>2.74</c:v>
                </c:pt>
                <c:pt idx="39">
                  <c:v>0</c:v>
                </c:pt>
                <c:pt idx="40">
                  <c:v>0.5</c:v>
                </c:pt>
                <c:pt idx="41">
                  <c:v>1.3</c:v>
                </c:pt>
                <c:pt idx="42">
                  <c:v>0.68700000000000006</c:v>
                </c:pt>
                <c:pt idx="43">
                  <c:v>2.794</c:v>
                </c:pt>
                <c:pt idx="44">
                  <c:v>0.52700000000000002</c:v>
                </c:pt>
                <c:pt idx="45">
                  <c:v>1.5669999999999999</c:v>
                </c:pt>
                <c:pt idx="46">
                  <c:v>1.78</c:v>
                </c:pt>
                <c:pt idx="47">
                  <c:v>0.5</c:v>
                </c:pt>
                <c:pt idx="48">
                  <c:v>2.6869999999999998</c:v>
                </c:pt>
                <c:pt idx="49">
                  <c:v>4.5</c:v>
                </c:pt>
                <c:pt idx="50">
                  <c:v>0</c:v>
                </c:pt>
                <c:pt idx="51">
                  <c:v>0.57999999999999996</c:v>
                </c:pt>
                <c:pt idx="52">
                  <c:v>4.0999999999999996</c:v>
                </c:pt>
                <c:pt idx="53">
                  <c:v>5.1139999999999999</c:v>
                </c:pt>
                <c:pt idx="54">
                  <c:v>3.4870000000000001</c:v>
                </c:pt>
                <c:pt idx="55">
                  <c:v>0.5</c:v>
                </c:pt>
                <c:pt idx="56">
                  <c:v>3.8340000000000001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64608"/>
        <c:axId val="214166528"/>
      </c:lineChart>
      <c:catAx>
        <c:axId val="214164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5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66528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1416652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6460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Data!$B$126:$B$310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Data!$N$126:$N$310</c:f>
              <c:numCache>
                <c:formatCode>General</c:formatCode>
                <c:ptCount val="18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244736"/>
        <c:axId val="214283776"/>
      </c:barChart>
      <c:catAx>
        <c:axId val="21424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83776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14283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73158756137479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44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Snow Depth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Data!$AY$6:$AY$370</c:f>
              <c:numCache>
                <c:formatCode>0</c:formatCode>
                <c:ptCount val="365"/>
                <c:pt idx="0">
                  <c:v>772.00000000000023</c:v>
                </c:pt>
                <c:pt idx="1">
                  <c:v>792.00000000000023</c:v>
                </c:pt>
                <c:pt idx="2">
                  <c:v>792.00000000000023</c:v>
                </c:pt>
                <c:pt idx="3">
                  <c:v>770</c:v>
                </c:pt>
                <c:pt idx="4">
                  <c:v>739.00000000000034</c:v>
                </c:pt>
                <c:pt idx="5">
                  <c:v>719.00000000000034</c:v>
                </c:pt>
                <c:pt idx="6">
                  <c:v>729.00000000000011</c:v>
                </c:pt>
                <c:pt idx="7">
                  <c:v>731.00000000000034</c:v>
                </c:pt>
                <c:pt idx="8">
                  <c:v>710.00000000000045</c:v>
                </c:pt>
                <c:pt idx="9">
                  <c:v>816.00000000000023</c:v>
                </c:pt>
                <c:pt idx="10">
                  <c:v>803.00000000000034</c:v>
                </c:pt>
                <c:pt idx="11">
                  <c:v>778</c:v>
                </c:pt>
                <c:pt idx="12">
                  <c:v>767.00000000000034</c:v>
                </c:pt>
                <c:pt idx="13">
                  <c:v>754</c:v>
                </c:pt>
                <c:pt idx="14">
                  <c:v>736.00000000000023</c:v>
                </c:pt>
                <c:pt idx="15">
                  <c:v>741.00000000000011</c:v>
                </c:pt>
                <c:pt idx="16">
                  <c:v>739.00000000000034</c:v>
                </c:pt>
                <c:pt idx="17">
                  <c:v>726.00000000000045</c:v>
                </c:pt>
                <c:pt idx="18">
                  <c:v>725.00000000000011</c:v>
                </c:pt>
                <c:pt idx="19">
                  <c:v>723.00000000000034</c:v>
                </c:pt>
                <c:pt idx="20">
                  <c:v>720.00000000000023</c:v>
                </c:pt>
                <c:pt idx="21">
                  <c:v>735.00000000000034</c:v>
                </c:pt>
                <c:pt idx="22">
                  <c:v>777.00000000000011</c:v>
                </c:pt>
                <c:pt idx="23">
                  <c:v>767.00000000000034</c:v>
                </c:pt>
                <c:pt idx="24">
                  <c:v>762</c:v>
                </c:pt>
                <c:pt idx="25">
                  <c:v>744.00000000000023</c:v>
                </c:pt>
                <c:pt idx="26">
                  <c:v>727.00000000000034</c:v>
                </c:pt>
                <c:pt idx="27">
                  <c:v>734.00000000000045</c:v>
                </c:pt>
                <c:pt idx="28">
                  <c:v>730.00000000000045</c:v>
                </c:pt>
                <c:pt idx="29">
                  <c:v>850.00000000000011</c:v>
                </c:pt>
                <c:pt idx="30">
                  <c:v>1032</c:v>
                </c:pt>
                <c:pt idx="31">
                  <c:v>1025.0000000000005</c:v>
                </c:pt>
                <c:pt idx="32">
                  <c:v>991.00000000000011</c:v>
                </c:pt>
                <c:pt idx="33">
                  <c:v>979.00000000000011</c:v>
                </c:pt>
                <c:pt idx="34">
                  <c:v>950.00000000000023</c:v>
                </c:pt>
                <c:pt idx="35">
                  <c:v>939</c:v>
                </c:pt>
                <c:pt idx="36">
                  <c:v>917.00000000000023</c:v>
                </c:pt>
                <c:pt idx="37">
                  <c:v>915</c:v>
                </c:pt>
                <c:pt idx="38">
                  <c:v>939</c:v>
                </c:pt>
                <c:pt idx="39">
                  <c:v>922.00000000000011</c:v>
                </c:pt>
                <c:pt idx="40">
                  <c:v>916.00000000000034</c:v>
                </c:pt>
                <c:pt idx="41">
                  <c:v>906.00000000000011</c:v>
                </c:pt>
                <c:pt idx="42">
                  <c:v>894.00000000000011</c:v>
                </c:pt>
                <c:pt idx="43">
                  <c:v>898.00000000000011</c:v>
                </c:pt>
                <c:pt idx="44">
                  <c:v>912.00000000000034</c:v>
                </c:pt>
                <c:pt idx="45">
                  <c:v>910.00000000000011</c:v>
                </c:pt>
                <c:pt idx="46">
                  <c:v>1020</c:v>
                </c:pt>
                <c:pt idx="47">
                  <c:v>979.00000000000011</c:v>
                </c:pt>
                <c:pt idx="48">
                  <c:v>959.00000000000011</c:v>
                </c:pt>
                <c:pt idx="49">
                  <c:v>967.00000000000011</c:v>
                </c:pt>
                <c:pt idx="50">
                  <c:v>958.00000000000023</c:v>
                </c:pt>
                <c:pt idx="51">
                  <c:v>1057.0000000000005</c:v>
                </c:pt>
                <c:pt idx="52">
                  <c:v>1025.0000000000005</c:v>
                </c:pt>
                <c:pt idx="53">
                  <c:v>1031.0000000000002</c:v>
                </c:pt>
                <c:pt idx="54">
                  <c:v>1008</c:v>
                </c:pt>
                <c:pt idx="55">
                  <c:v>1027.0000000000002</c:v>
                </c:pt>
                <c:pt idx="56">
                  <c:v>993.00000000000034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21024"/>
        <c:axId val="214327296"/>
      </c:lineChart>
      <c:catAx>
        <c:axId val="21432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27296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143272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(mm)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210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vapour pressure deficit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Data!$BJ$6:$BJ$370</c:f>
              <c:numCache>
                <c:formatCode>General</c:formatCode>
                <c:ptCount val="365"/>
                <c:pt idx="0">
                  <c:v>5.7000000000000002E-2</c:v>
                </c:pt>
                <c:pt idx="1">
                  <c:v>6.2E-2</c:v>
                </c:pt>
                <c:pt idx="2">
                  <c:v>9.8000000000000004E-2</c:v>
                </c:pt>
                <c:pt idx="3">
                  <c:v>0.115</c:v>
                </c:pt>
                <c:pt idx="4">
                  <c:v>8.5000000000000006E-2</c:v>
                </c:pt>
                <c:pt idx="5">
                  <c:v>5.3999999999999999E-2</c:v>
                </c:pt>
                <c:pt idx="6">
                  <c:v>4.2999999999999997E-2</c:v>
                </c:pt>
                <c:pt idx="7">
                  <c:v>4.1000000000000002E-2</c:v>
                </c:pt>
                <c:pt idx="8">
                  <c:v>9.5000000000000001E-2</c:v>
                </c:pt>
                <c:pt idx="9">
                  <c:v>3.6999999999999998E-2</c:v>
                </c:pt>
                <c:pt idx="10">
                  <c:v>3.5000000000000003E-2</c:v>
                </c:pt>
                <c:pt idx="11">
                  <c:v>5.0999999999999997E-2</c:v>
                </c:pt>
                <c:pt idx="12">
                  <c:v>0.14799999999999999</c:v>
                </c:pt>
                <c:pt idx="13">
                  <c:v>0.17199999999999999</c:v>
                </c:pt>
                <c:pt idx="14">
                  <c:v>0.29699999999999999</c:v>
                </c:pt>
                <c:pt idx="15">
                  <c:v>0.159</c:v>
                </c:pt>
                <c:pt idx="16">
                  <c:v>5.8000000000000003E-2</c:v>
                </c:pt>
                <c:pt idx="17">
                  <c:v>6.2E-2</c:v>
                </c:pt>
                <c:pt idx="18">
                  <c:v>6.8000000000000005E-2</c:v>
                </c:pt>
                <c:pt idx="19">
                  <c:v>7.4999999999999997E-2</c:v>
                </c:pt>
                <c:pt idx="20">
                  <c:v>4.4999999999999998E-2</c:v>
                </c:pt>
                <c:pt idx="21">
                  <c:v>0.115</c:v>
                </c:pt>
                <c:pt idx="22">
                  <c:v>4.8000000000000001E-2</c:v>
                </c:pt>
                <c:pt idx="23">
                  <c:v>6.0999999999999999E-2</c:v>
                </c:pt>
                <c:pt idx="24">
                  <c:v>9.6000000000000002E-2</c:v>
                </c:pt>
                <c:pt idx="25">
                  <c:v>0.124</c:v>
                </c:pt>
                <c:pt idx="26">
                  <c:v>0.33100000000000002</c:v>
                </c:pt>
                <c:pt idx="27">
                  <c:v>0.377</c:v>
                </c:pt>
                <c:pt idx="28">
                  <c:v>0.36699999999999999</c:v>
                </c:pt>
                <c:pt idx="29">
                  <c:v>0.252</c:v>
                </c:pt>
                <c:pt idx="30">
                  <c:v>9.4E-2</c:v>
                </c:pt>
                <c:pt idx="31">
                  <c:v>0.20200000000000001</c:v>
                </c:pt>
                <c:pt idx="32">
                  <c:v>0.13</c:v>
                </c:pt>
                <c:pt idx="33">
                  <c:v>8.1000000000000003E-2</c:v>
                </c:pt>
                <c:pt idx="34">
                  <c:v>4.5999999999999999E-2</c:v>
                </c:pt>
                <c:pt idx="35">
                  <c:v>3.9E-2</c:v>
                </c:pt>
                <c:pt idx="36">
                  <c:v>9.5000000000000001E-2</c:v>
                </c:pt>
                <c:pt idx="37">
                  <c:v>0.128</c:v>
                </c:pt>
                <c:pt idx="38">
                  <c:v>6.4000000000000001E-2</c:v>
                </c:pt>
                <c:pt idx="39">
                  <c:v>0.06</c:v>
                </c:pt>
                <c:pt idx="40">
                  <c:v>0.158</c:v>
                </c:pt>
                <c:pt idx="41">
                  <c:v>6.2E-2</c:v>
                </c:pt>
                <c:pt idx="42">
                  <c:v>0.111</c:v>
                </c:pt>
                <c:pt idx="43">
                  <c:v>0.24199999999999999</c:v>
                </c:pt>
                <c:pt idx="44">
                  <c:v>0.14799999999999999</c:v>
                </c:pt>
                <c:pt idx="45">
                  <c:v>0.14499999999999999</c:v>
                </c:pt>
                <c:pt idx="46">
                  <c:v>0.11899999999999999</c:v>
                </c:pt>
                <c:pt idx="47">
                  <c:v>0.14099999999999999</c:v>
                </c:pt>
                <c:pt idx="48">
                  <c:v>0.247</c:v>
                </c:pt>
                <c:pt idx="49">
                  <c:v>0.17699999999999999</c:v>
                </c:pt>
                <c:pt idx="50">
                  <c:v>0.16500000000000001</c:v>
                </c:pt>
                <c:pt idx="51">
                  <c:v>5.7000000000000002E-2</c:v>
                </c:pt>
                <c:pt idx="52">
                  <c:v>0.26100000000000001</c:v>
                </c:pt>
                <c:pt idx="53">
                  <c:v>0.39300000000000002</c:v>
                </c:pt>
                <c:pt idx="54">
                  <c:v>0.31</c:v>
                </c:pt>
                <c:pt idx="55">
                  <c:v>0.17199999999999999</c:v>
                </c:pt>
                <c:pt idx="56">
                  <c:v>0.40799999999999997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85024"/>
        <c:axId val="214386944"/>
      </c:lineChart>
      <c:catAx>
        <c:axId val="21438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86944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14386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vpdX (kPa))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850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</a:t>
            </a:r>
            <a:r>
              <a:rPr lang="en-CA" baseline="0"/>
              <a:t>North to South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N-NE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Data!$BM$6:$BM$370</c:f>
              <c:numCache>
                <c:formatCode>0.000</c:formatCode>
                <c:ptCount val="365"/>
                <c:pt idx="0">
                  <c:v>0.11600000000000001</c:v>
                </c:pt>
                <c:pt idx="1">
                  <c:v>0.27</c:v>
                </c:pt>
                <c:pt idx="2">
                  <c:v>0.54100000000000004</c:v>
                </c:pt>
                <c:pt idx="3">
                  <c:v>0.53900000000000003</c:v>
                </c:pt>
                <c:pt idx="4">
                  <c:v>0.13400000000000001</c:v>
                </c:pt>
                <c:pt idx="5">
                  <c:v>9.5000000000000001E-2</c:v>
                </c:pt>
                <c:pt idx="6">
                  <c:v>0.126</c:v>
                </c:pt>
                <c:pt idx="7">
                  <c:v>6.6000000000000003E-2</c:v>
                </c:pt>
                <c:pt idx="8">
                  <c:v>0.09</c:v>
                </c:pt>
                <c:pt idx="9">
                  <c:v>1.9E-2</c:v>
                </c:pt>
                <c:pt idx="10">
                  <c:v>6.0000000000000001E-3</c:v>
                </c:pt>
                <c:pt idx="11">
                  <c:v>5.0000000000000001E-3</c:v>
                </c:pt>
                <c:pt idx="12">
                  <c:v>2.4E-2</c:v>
                </c:pt>
                <c:pt idx="13">
                  <c:v>0.14699999999999999</c:v>
                </c:pt>
                <c:pt idx="14">
                  <c:v>0.14299999999999999</c:v>
                </c:pt>
                <c:pt idx="15">
                  <c:v>2.9000000000000001E-2</c:v>
                </c:pt>
                <c:pt idx="16">
                  <c:v>3.5999999999999997E-2</c:v>
                </c:pt>
                <c:pt idx="17">
                  <c:v>9.5000000000000001E-2</c:v>
                </c:pt>
                <c:pt idx="18">
                  <c:v>0.115</c:v>
                </c:pt>
                <c:pt idx="19">
                  <c:v>0.1</c:v>
                </c:pt>
                <c:pt idx="20">
                  <c:v>7.8E-2</c:v>
                </c:pt>
                <c:pt idx="21">
                  <c:v>3.9E-2</c:v>
                </c:pt>
                <c:pt idx="22">
                  <c:v>9.9000000000000005E-2</c:v>
                </c:pt>
                <c:pt idx="23">
                  <c:v>7.9000000000000001E-2</c:v>
                </c:pt>
                <c:pt idx="24">
                  <c:v>0.16700000000000001</c:v>
                </c:pt>
                <c:pt idx="25">
                  <c:v>0.113</c:v>
                </c:pt>
                <c:pt idx="26">
                  <c:v>4.8000000000000001E-2</c:v>
                </c:pt>
                <c:pt idx="27">
                  <c:v>9.6000000000000002E-2</c:v>
                </c:pt>
                <c:pt idx="28">
                  <c:v>0.184</c:v>
                </c:pt>
                <c:pt idx="29">
                  <c:v>0.124</c:v>
                </c:pt>
                <c:pt idx="30">
                  <c:v>0.159</c:v>
                </c:pt>
                <c:pt idx="31">
                  <c:v>3.9E-2</c:v>
                </c:pt>
                <c:pt idx="32">
                  <c:v>7.0000000000000007E-2</c:v>
                </c:pt>
                <c:pt idx="33">
                  <c:v>0.108</c:v>
                </c:pt>
                <c:pt idx="34">
                  <c:v>7.3999999999999996E-2</c:v>
                </c:pt>
                <c:pt idx="35">
                  <c:v>8.5000000000000006E-2</c:v>
                </c:pt>
                <c:pt idx="36">
                  <c:v>7.4999999999999997E-2</c:v>
                </c:pt>
                <c:pt idx="37">
                  <c:v>5.0999999999999997E-2</c:v>
                </c:pt>
                <c:pt idx="38">
                  <c:v>0.13300000000000001</c:v>
                </c:pt>
                <c:pt idx="39">
                  <c:v>7.8E-2</c:v>
                </c:pt>
                <c:pt idx="40">
                  <c:v>3.7999999999999999E-2</c:v>
                </c:pt>
                <c:pt idx="41">
                  <c:v>0.109</c:v>
                </c:pt>
                <c:pt idx="42">
                  <c:v>6.8000000000000005E-2</c:v>
                </c:pt>
                <c:pt idx="43">
                  <c:v>0.24199999999999999</c:v>
                </c:pt>
                <c:pt idx="44">
                  <c:v>5.3999999999999999E-2</c:v>
                </c:pt>
                <c:pt idx="45">
                  <c:v>7.5999999999999998E-2</c:v>
                </c:pt>
                <c:pt idx="46">
                  <c:v>0.20100000000000001</c:v>
                </c:pt>
                <c:pt idx="47">
                  <c:v>8.1000000000000003E-2</c:v>
                </c:pt>
                <c:pt idx="48">
                  <c:v>9.9000000000000005E-2</c:v>
                </c:pt>
                <c:pt idx="49">
                  <c:v>0.126</c:v>
                </c:pt>
                <c:pt idx="50">
                  <c:v>0.09</c:v>
                </c:pt>
                <c:pt idx="51">
                  <c:v>9.2999999999999999E-2</c:v>
                </c:pt>
                <c:pt idx="52">
                  <c:v>8.7999999999999995E-2</c:v>
                </c:pt>
                <c:pt idx="53">
                  <c:v>2.5000000000000001E-2</c:v>
                </c:pt>
                <c:pt idx="54">
                  <c:v>6.6000000000000003E-2</c:v>
                </c:pt>
                <c:pt idx="55">
                  <c:v>6.7000000000000004E-2</c:v>
                </c:pt>
                <c:pt idx="56">
                  <c:v>0.13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ser>
          <c:idx val="1"/>
          <c:order val="1"/>
          <c:tx>
            <c:v>NE-E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Data!$BN$6:$BN$370</c:f>
              <c:numCache>
                <c:formatCode>0.000</c:formatCode>
                <c:ptCount val="365"/>
                <c:pt idx="0">
                  <c:v>0.23599999999999999</c:v>
                </c:pt>
                <c:pt idx="1">
                  <c:v>0.29499999999999998</c:v>
                </c:pt>
                <c:pt idx="2">
                  <c:v>0.20799999999999999</c:v>
                </c:pt>
                <c:pt idx="3">
                  <c:v>9.4E-2</c:v>
                </c:pt>
                <c:pt idx="4">
                  <c:v>0.184</c:v>
                </c:pt>
                <c:pt idx="5">
                  <c:v>0.111</c:v>
                </c:pt>
                <c:pt idx="6">
                  <c:v>0.23100000000000001</c:v>
                </c:pt>
                <c:pt idx="7">
                  <c:v>0.14299999999999999</c:v>
                </c:pt>
                <c:pt idx="8">
                  <c:v>0.315</c:v>
                </c:pt>
                <c:pt idx="9">
                  <c:v>1.9E-2</c:v>
                </c:pt>
                <c:pt idx="10">
                  <c:v>5.0000000000000001E-3</c:v>
                </c:pt>
                <c:pt idx="11">
                  <c:v>3.0000000000000001E-3</c:v>
                </c:pt>
                <c:pt idx="12">
                  <c:v>0.105</c:v>
                </c:pt>
                <c:pt idx="13">
                  <c:v>0.36399999999999999</c:v>
                </c:pt>
                <c:pt idx="14">
                  <c:v>0.46</c:v>
                </c:pt>
                <c:pt idx="15">
                  <c:v>1.7000000000000001E-2</c:v>
                </c:pt>
                <c:pt idx="16">
                  <c:v>3.7999999999999999E-2</c:v>
                </c:pt>
                <c:pt idx="17">
                  <c:v>0.107</c:v>
                </c:pt>
                <c:pt idx="18">
                  <c:v>0.13900000000000001</c:v>
                </c:pt>
                <c:pt idx="19">
                  <c:v>0.18099999999999999</c:v>
                </c:pt>
                <c:pt idx="20">
                  <c:v>0.108</c:v>
                </c:pt>
                <c:pt idx="21">
                  <c:v>0.24099999999999999</c:v>
                </c:pt>
                <c:pt idx="22">
                  <c:v>0.03</c:v>
                </c:pt>
                <c:pt idx="23">
                  <c:v>5.7000000000000002E-2</c:v>
                </c:pt>
                <c:pt idx="24">
                  <c:v>0.17799999999999999</c:v>
                </c:pt>
                <c:pt idx="25">
                  <c:v>0.33300000000000002</c:v>
                </c:pt>
                <c:pt idx="26">
                  <c:v>0.40899999999999997</c:v>
                </c:pt>
                <c:pt idx="27">
                  <c:v>0.498</c:v>
                </c:pt>
                <c:pt idx="28">
                  <c:v>0.248</c:v>
                </c:pt>
                <c:pt idx="29">
                  <c:v>0.129</c:v>
                </c:pt>
                <c:pt idx="30">
                  <c:v>3.5999999999999997E-2</c:v>
                </c:pt>
                <c:pt idx="31">
                  <c:v>3.2000000000000001E-2</c:v>
                </c:pt>
                <c:pt idx="32">
                  <c:v>0.34899999999999998</c:v>
                </c:pt>
                <c:pt idx="33">
                  <c:v>0.27400000000000002</c:v>
                </c:pt>
                <c:pt idx="34">
                  <c:v>0.309</c:v>
                </c:pt>
                <c:pt idx="35">
                  <c:v>0.27900000000000003</c:v>
                </c:pt>
                <c:pt idx="36">
                  <c:v>0.496</c:v>
                </c:pt>
                <c:pt idx="37">
                  <c:v>0.48499999999999999</c:v>
                </c:pt>
                <c:pt idx="38">
                  <c:v>0.25800000000000001</c:v>
                </c:pt>
                <c:pt idx="39">
                  <c:v>0.23699999999999999</c:v>
                </c:pt>
                <c:pt idx="40">
                  <c:v>0.503</c:v>
                </c:pt>
                <c:pt idx="41">
                  <c:v>0.42199999999999999</c:v>
                </c:pt>
                <c:pt idx="42">
                  <c:v>0.51800000000000002</c:v>
                </c:pt>
                <c:pt idx="43">
                  <c:v>0.42299999999999999</c:v>
                </c:pt>
                <c:pt idx="44">
                  <c:v>0.28799999999999998</c:v>
                </c:pt>
                <c:pt idx="45">
                  <c:v>0.435</c:v>
                </c:pt>
                <c:pt idx="46">
                  <c:v>0.35599999999999998</c:v>
                </c:pt>
                <c:pt idx="47">
                  <c:v>0.221</c:v>
                </c:pt>
                <c:pt idx="48">
                  <c:v>0.255</c:v>
                </c:pt>
                <c:pt idx="49">
                  <c:v>0.16900000000000001</c:v>
                </c:pt>
                <c:pt idx="50">
                  <c:v>7.1999999999999995E-2</c:v>
                </c:pt>
                <c:pt idx="51">
                  <c:v>0.13400000000000001</c:v>
                </c:pt>
                <c:pt idx="52">
                  <c:v>6.7000000000000004E-2</c:v>
                </c:pt>
                <c:pt idx="53">
                  <c:v>2.1999999999999999E-2</c:v>
                </c:pt>
                <c:pt idx="54">
                  <c:v>8.5000000000000006E-2</c:v>
                </c:pt>
                <c:pt idx="55">
                  <c:v>0.111</c:v>
                </c:pt>
                <c:pt idx="56">
                  <c:v>0.27200000000000002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ser>
          <c:idx val="2"/>
          <c:order val="2"/>
          <c:tx>
            <c:v>E-SE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Data!$BO$6:$BO$370</c:f>
              <c:numCache>
                <c:formatCode>0.000</c:formatCode>
                <c:ptCount val="365"/>
                <c:pt idx="0">
                  <c:v>0.156</c:v>
                </c:pt>
                <c:pt idx="1">
                  <c:v>0.216</c:v>
                </c:pt>
                <c:pt idx="2">
                  <c:v>0.125</c:v>
                </c:pt>
                <c:pt idx="3">
                  <c:v>9.2999999999999999E-2</c:v>
                </c:pt>
                <c:pt idx="4">
                  <c:v>0.13300000000000001</c:v>
                </c:pt>
                <c:pt idx="5">
                  <c:v>0.21299999999999999</c:v>
                </c:pt>
                <c:pt idx="6">
                  <c:v>0.23300000000000001</c:v>
                </c:pt>
                <c:pt idx="7">
                  <c:v>0.14699999999999999</c:v>
                </c:pt>
                <c:pt idx="8">
                  <c:v>0.30599999999999999</c:v>
                </c:pt>
                <c:pt idx="9">
                  <c:v>1.4999999999999999E-2</c:v>
                </c:pt>
                <c:pt idx="10">
                  <c:v>6.0000000000000001E-3</c:v>
                </c:pt>
                <c:pt idx="11">
                  <c:v>2E-3</c:v>
                </c:pt>
                <c:pt idx="12">
                  <c:v>8.1000000000000003E-2</c:v>
                </c:pt>
                <c:pt idx="13">
                  <c:v>0.246</c:v>
                </c:pt>
                <c:pt idx="14">
                  <c:v>0.23699999999999999</c:v>
                </c:pt>
                <c:pt idx="15">
                  <c:v>4.7E-2</c:v>
                </c:pt>
                <c:pt idx="16">
                  <c:v>0.06</c:v>
                </c:pt>
                <c:pt idx="17">
                  <c:v>0.17599999999999999</c:v>
                </c:pt>
                <c:pt idx="18">
                  <c:v>0.16700000000000001</c:v>
                </c:pt>
                <c:pt idx="19">
                  <c:v>0.247</c:v>
                </c:pt>
                <c:pt idx="20">
                  <c:v>9.5000000000000001E-2</c:v>
                </c:pt>
                <c:pt idx="21">
                  <c:v>0.17499999999999999</c:v>
                </c:pt>
                <c:pt idx="22">
                  <c:v>5.8000000000000003E-2</c:v>
                </c:pt>
                <c:pt idx="23">
                  <c:v>9.0999999999999998E-2</c:v>
                </c:pt>
                <c:pt idx="24">
                  <c:v>0.192</c:v>
                </c:pt>
                <c:pt idx="25">
                  <c:v>0.115</c:v>
                </c:pt>
                <c:pt idx="26">
                  <c:v>0.183</c:v>
                </c:pt>
                <c:pt idx="27">
                  <c:v>0.24399999999999999</c:v>
                </c:pt>
                <c:pt idx="28">
                  <c:v>0.186</c:v>
                </c:pt>
                <c:pt idx="29">
                  <c:v>0.127</c:v>
                </c:pt>
                <c:pt idx="30">
                  <c:v>4.2999999999999997E-2</c:v>
                </c:pt>
                <c:pt idx="31">
                  <c:v>3.7999999999999999E-2</c:v>
                </c:pt>
                <c:pt idx="32">
                  <c:v>0.188</c:v>
                </c:pt>
                <c:pt idx="33">
                  <c:v>0.17799999999999999</c:v>
                </c:pt>
                <c:pt idx="34">
                  <c:v>0.115</c:v>
                </c:pt>
                <c:pt idx="35">
                  <c:v>0.13800000000000001</c:v>
                </c:pt>
                <c:pt idx="36">
                  <c:v>0.24399999999999999</c:v>
                </c:pt>
                <c:pt idx="37">
                  <c:v>0.15</c:v>
                </c:pt>
                <c:pt idx="38">
                  <c:v>9.0999999999999998E-2</c:v>
                </c:pt>
                <c:pt idx="39">
                  <c:v>0.11700000000000001</c:v>
                </c:pt>
                <c:pt idx="40">
                  <c:v>0.215</c:v>
                </c:pt>
                <c:pt idx="41">
                  <c:v>9.5000000000000001E-2</c:v>
                </c:pt>
                <c:pt idx="42">
                  <c:v>0.16400000000000001</c:v>
                </c:pt>
                <c:pt idx="43">
                  <c:v>0.252</c:v>
                </c:pt>
                <c:pt idx="44">
                  <c:v>5.1999999999999998E-2</c:v>
                </c:pt>
                <c:pt idx="45">
                  <c:v>0.161</c:v>
                </c:pt>
                <c:pt idx="46">
                  <c:v>0.183</c:v>
                </c:pt>
                <c:pt idx="47">
                  <c:v>0.105</c:v>
                </c:pt>
                <c:pt idx="48">
                  <c:v>0.26800000000000002</c:v>
                </c:pt>
                <c:pt idx="49">
                  <c:v>0.17599999999999999</c:v>
                </c:pt>
                <c:pt idx="50">
                  <c:v>0.107</c:v>
                </c:pt>
                <c:pt idx="51">
                  <c:v>0.10299999999999999</c:v>
                </c:pt>
                <c:pt idx="52">
                  <c:v>9.1999999999999998E-2</c:v>
                </c:pt>
                <c:pt idx="53">
                  <c:v>5.3999999999999999E-2</c:v>
                </c:pt>
                <c:pt idx="54">
                  <c:v>8.1000000000000003E-2</c:v>
                </c:pt>
                <c:pt idx="55">
                  <c:v>0.105</c:v>
                </c:pt>
                <c:pt idx="56">
                  <c:v>0.22900000000000001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ser>
          <c:idx val="3"/>
          <c:order val="3"/>
          <c:tx>
            <c:v>SE-S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Data!$BP$6:$BP$370</c:f>
              <c:numCache>
                <c:formatCode>0.000</c:formatCode>
                <c:ptCount val="365"/>
                <c:pt idx="0">
                  <c:v>1.9E-2</c:v>
                </c:pt>
                <c:pt idx="1">
                  <c:v>4.7E-2</c:v>
                </c:pt>
                <c:pt idx="2">
                  <c:v>6.0999999999999999E-2</c:v>
                </c:pt>
                <c:pt idx="3">
                  <c:v>5.6000000000000001E-2</c:v>
                </c:pt>
                <c:pt idx="4">
                  <c:v>5.2999999999999999E-2</c:v>
                </c:pt>
                <c:pt idx="5">
                  <c:v>8.7999999999999995E-2</c:v>
                </c:pt>
                <c:pt idx="6">
                  <c:v>7.1999999999999995E-2</c:v>
                </c:pt>
                <c:pt idx="7">
                  <c:v>0.10299999999999999</c:v>
                </c:pt>
                <c:pt idx="8">
                  <c:v>3.6999999999999998E-2</c:v>
                </c:pt>
                <c:pt idx="9">
                  <c:v>0.01</c:v>
                </c:pt>
                <c:pt idx="10">
                  <c:v>2.1000000000000001E-2</c:v>
                </c:pt>
                <c:pt idx="11">
                  <c:v>8.0000000000000002E-3</c:v>
                </c:pt>
                <c:pt idx="12">
                  <c:v>3.6999999999999998E-2</c:v>
                </c:pt>
                <c:pt idx="13">
                  <c:v>5.8999999999999997E-2</c:v>
                </c:pt>
                <c:pt idx="14">
                  <c:v>3.7999999999999999E-2</c:v>
                </c:pt>
                <c:pt idx="15">
                  <c:v>0.08</c:v>
                </c:pt>
                <c:pt idx="16">
                  <c:v>8.6999999999999994E-2</c:v>
                </c:pt>
                <c:pt idx="17">
                  <c:v>7.3999999999999996E-2</c:v>
                </c:pt>
                <c:pt idx="18">
                  <c:v>6.5000000000000002E-2</c:v>
                </c:pt>
                <c:pt idx="19">
                  <c:v>9.6000000000000002E-2</c:v>
                </c:pt>
                <c:pt idx="20">
                  <c:v>5.1999999999999998E-2</c:v>
                </c:pt>
                <c:pt idx="21">
                  <c:v>3.2000000000000001E-2</c:v>
                </c:pt>
                <c:pt idx="22">
                  <c:v>8.6999999999999994E-2</c:v>
                </c:pt>
                <c:pt idx="23">
                  <c:v>0.10199999999999999</c:v>
                </c:pt>
                <c:pt idx="24">
                  <c:v>0.11600000000000001</c:v>
                </c:pt>
                <c:pt idx="25">
                  <c:v>6.9000000000000006E-2</c:v>
                </c:pt>
                <c:pt idx="26">
                  <c:v>0.114</c:v>
                </c:pt>
                <c:pt idx="27">
                  <c:v>4.9000000000000002E-2</c:v>
                </c:pt>
                <c:pt idx="28">
                  <c:v>0.14699999999999999</c:v>
                </c:pt>
                <c:pt idx="29">
                  <c:v>9.4E-2</c:v>
                </c:pt>
                <c:pt idx="30">
                  <c:v>4.3999999999999997E-2</c:v>
                </c:pt>
                <c:pt idx="31">
                  <c:v>6.4000000000000001E-2</c:v>
                </c:pt>
                <c:pt idx="32">
                  <c:v>4.9000000000000002E-2</c:v>
                </c:pt>
                <c:pt idx="33">
                  <c:v>4.7E-2</c:v>
                </c:pt>
                <c:pt idx="34">
                  <c:v>5.3999999999999999E-2</c:v>
                </c:pt>
                <c:pt idx="35">
                  <c:v>0.03</c:v>
                </c:pt>
                <c:pt idx="36">
                  <c:v>0.03</c:v>
                </c:pt>
                <c:pt idx="37">
                  <c:v>3.7999999999999999E-2</c:v>
                </c:pt>
                <c:pt idx="38">
                  <c:v>2.7E-2</c:v>
                </c:pt>
                <c:pt idx="39">
                  <c:v>8.3000000000000004E-2</c:v>
                </c:pt>
                <c:pt idx="40">
                  <c:v>4.5999999999999999E-2</c:v>
                </c:pt>
                <c:pt idx="41">
                  <c:v>2.9000000000000001E-2</c:v>
                </c:pt>
                <c:pt idx="42">
                  <c:v>3.6999999999999998E-2</c:v>
                </c:pt>
                <c:pt idx="43">
                  <c:v>2.8000000000000001E-2</c:v>
                </c:pt>
                <c:pt idx="44">
                  <c:v>1.2999999999999999E-2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2.4E-2</c:v>
                </c:pt>
                <c:pt idx="48">
                  <c:v>7.2999999999999995E-2</c:v>
                </c:pt>
                <c:pt idx="49">
                  <c:v>7.3999999999999996E-2</c:v>
                </c:pt>
                <c:pt idx="50">
                  <c:v>0.11600000000000001</c:v>
                </c:pt>
                <c:pt idx="51">
                  <c:v>6.8000000000000005E-2</c:v>
                </c:pt>
                <c:pt idx="52">
                  <c:v>8.5000000000000006E-2</c:v>
                </c:pt>
                <c:pt idx="53">
                  <c:v>7.0000000000000007E-2</c:v>
                </c:pt>
                <c:pt idx="54">
                  <c:v>7.6999999999999999E-2</c:v>
                </c:pt>
                <c:pt idx="55">
                  <c:v>7.8E-2</c:v>
                </c:pt>
                <c:pt idx="56">
                  <c:v>9.1999999999999998E-2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406272"/>
        <c:axId val="214407808"/>
      </c:barChart>
      <c:catAx>
        <c:axId val="2144062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4407808"/>
        <c:crosses val="autoZero"/>
        <c:auto val="1"/>
        <c:lblAlgn val="ctr"/>
        <c:lblOffset val="100"/>
        <c:noMultiLvlLbl val="0"/>
      </c:catAx>
      <c:valAx>
        <c:axId val="214407808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14406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South</a:t>
            </a:r>
            <a:r>
              <a:rPr lang="en-CA" baseline="0"/>
              <a:t> to North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S-SW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Data!$BQ$6:$BQ$370</c:f>
              <c:numCache>
                <c:formatCode>0.000</c:formatCode>
                <c:ptCount val="365"/>
                <c:pt idx="0">
                  <c:v>0.1</c:v>
                </c:pt>
                <c:pt idx="1">
                  <c:v>6.2E-2</c:v>
                </c:pt>
                <c:pt idx="2">
                  <c:v>0.01</c:v>
                </c:pt>
                <c:pt idx="3">
                  <c:v>6.5000000000000002E-2</c:v>
                </c:pt>
                <c:pt idx="4">
                  <c:v>0.19600000000000001</c:v>
                </c:pt>
                <c:pt idx="5">
                  <c:v>0.14299999999999999</c:v>
                </c:pt>
                <c:pt idx="6">
                  <c:v>0.106</c:v>
                </c:pt>
                <c:pt idx="7">
                  <c:v>0.15</c:v>
                </c:pt>
                <c:pt idx="8">
                  <c:v>8.1000000000000003E-2</c:v>
                </c:pt>
                <c:pt idx="9">
                  <c:v>6.0999999999999999E-2</c:v>
                </c:pt>
                <c:pt idx="10">
                  <c:v>9.9000000000000005E-2</c:v>
                </c:pt>
                <c:pt idx="11">
                  <c:v>5.0999999999999997E-2</c:v>
                </c:pt>
                <c:pt idx="12">
                  <c:v>5.7000000000000002E-2</c:v>
                </c:pt>
                <c:pt idx="13">
                  <c:v>5.8999999999999997E-2</c:v>
                </c:pt>
                <c:pt idx="14">
                  <c:v>3.5999999999999997E-2</c:v>
                </c:pt>
                <c:pt idx="15">
                  <c:v>0.27900000000000003</c:v>
                </c:pt>
                <c:pt idx="16">
                  <c:v>0.21</c:v>
                </c:pt>
                <c:pt idx="17">
                  <c:v>0.187</c:v>
                </c:pt>
                <c:pt idx="18">
                  <c:v>0.13400000000000001</c:v>
                </c:pt>
                <c:pt idx="19">
                  <c:v>0.127</c:v>
                </c:pt>
                <c:pt idx="20">
                  <c:v>0.17199999999999999</c:v>
                </c:pt>
                <c:pt idx="21">
                  <c:v>0.26300000000000001</c:v>
                </c:pt>
                <c:pt idx="22">
                  <c:v>0.193</c:v>
                </c:pt>
                <c:pt idx="23">
                  <c:v>0.247</c:v>
                </c:pt>
                <c:pt idx="24">
                  <c:v>0.10100000000000001</c:v>
                </c:pt>
                <c:pt idx="25">
                  <c:v>0.193</c:v>
                </c:pt>
                <c:pt idx="26">
                  <c:v>0.157</c:v>
                </c:pt>
                <c:pt idx="27">
                  <c:v>7.4999999999999997E-2</c:v>
                </c:pt>
                <c:pt idx="28">
                  <c:v>0.109</c:v>
                </c:pt>
                <c:pt idx="29">
                  <c:v>0.13800000000000001</c:v>
                </c:pt>
                <c:pt idx="30">
                  <c:v>0.151</c:v>
                </c:pt>
                <c:pt idx="31">
                  <c:v>0.26700000000000002</c:v>
                </c:pt>
                <c:pt idx="32">
                  <c:v>0.12</c:v>
                </c:pt>
                <c:pt idx="33">
                  <c:v>9.6000000000000002E-2</c:v>
                </c:pt>
                <c:pt idx="34">
                  <c:v>0.20300000000000001</c:v>
                </c:pt>
                <c:pt idx="35">
                  <c:v>0.16500000000000001</c:v>
                </c:pt>
                <c:pt idx="36">
                  <c:v>8.7999999999999995E-2</c:v>
                </c:pt>
                <c:pt idx="37">
                  <c:v>0.13800000000000001</c:v>
                </c:pt>
                <c:pt idx="38">
                  <c:v>0.13500000000000001</c:v>
                </c:pt>
                <c:pt idx="39">
                  <c:v>0.14499999999999999</c:v>
                </c:pt>
                <c:pt idx="40">
                  <c:v>9.0999999999999998E-2</c:v>
                </c:pt>
                <c:pt idx="41">
                  <c:v>0.11799999999999999</c:v>
                </c:pt>
                <c:pt idx="42">
                  <c:v>0.10199999999999999</c:v>
                </c:pt>
                <c:pt idx="43">
                  <c:v>4.0000000000000001E-3</c:v>
                </c:pt>
                <c:pt idx="44">
                  <c:v>0.13100000000000001</c:v>
                </c:pt>
                <c:pt idx="45">
                  <c:v>9.2999999999999999E-2</c:v>
                </c:pt>
                <c:pt idx="46">
                  <c:v>7.3999999999999996E-2</c:v>
                </c:pt>
                <c:pt idx="47">
                  <c:v>0.17</c:v>
                </c:pt>
                <c:pt idx="48">
                  <c:v>9.5000000000000001E-2</c:v>
                </c:pt>
                <c:pt idx="49">
                  <c:v>0.11899999999999999</c:v>
                </c:pt>
                <c:pt idx="50">
                  <c:v>0.20699999999999999</c:v>
                </c:pt>
                <c:pt idx="51">
                  <c:v>0.16900000000000001</c:v>
                </c:pt>
                <c:pt idx="52">
                  <c:v>0.157</c:v>
                </c:pt>
                <c:pt idx="53">
                  <c:v>0.24399999999999999</c:v>
                </c:pt>
                <c:pt idx="54">
                  <c:v>0.20100000000000001</c:v>
                </c:pt>
                <c:pt idx="55">
                  <c:v>0.17199999999999999</c:v>
                </c:pt>
                <c:pt idx="56">
                  <c:v>7.2999999999999995E-2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ser>
          <c:idx val="1"/>
          <c:order val="1"/>
          <c:tx>
            <c:v>SW-W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Data!$BR$6:$BR$370</c:f>
              <c:numCache>
                <c:formatCode>0.000</c:formatCode>
                <c:ptCount val="365"/>
                <c:pt idx="0">
                  <c:v>0.188</c:v>
                </c:pt>
                <c:pt idx="1">
                  <c:v>5.0999999999999997E-2</c:v>
                </c:pt>
                <c:pt idx="2">
                  <c:v>7.0000000000000001E-3</c:v>
                </c:pt>
                <c:pt idx="3">
                  <c:v>7.0000000000000007E-2</c:v>
                </c:pt>
                <c:pt idx="4">
                  <c:v>0.17399999999999999</c:v>
                </c:pt>
                <c:pt idx="5">
                  <c:v>0.14299999999999999</c:v>
                </c:pt>
                <c:pt idx="6">
                  <c:v>0.11</c:v>
                </c:pt>
                <c:pt idx="7">
                  <c:v>0.16600000000000001</c:v>
                </c:pt>
                <c:pt idx="8">
                  <c:v>9.6000000000000002E-2</c:v>
                </c:pt>
                <c:pt idx="9">
                  <c:v>0.72299999999999998</c:v>
                </c:pt>
                <c:pt idx="10">
                  <c:v>0.72599999999999998</c:v>
                </c:pt>
                <c:pt idx="11">
                  <c:v>0.89400000000000002</c:v>
                </c:pt>
                <c:pt idx="12">
                  <c:v>0.65600000000000003</c:v>
                </c:pt>
                <c:pt idx="13">
                  <c:v>0.03</c:v>
                </c:pt>
                <c:pt idx="14">
                  <c:v>1.7000000000000001E-2</c:v>
                </c:pt>
                <c:pt idx="15">
                  <c:v>0.3</c:v>
                </c:pt>
                <c:pt idx="16">
                  <c:v>0.28299999999999997</c:v>
                </c:pt>
                <c:pt idx="17">
                  <c:v>0.184</c:v>
                </c:pt>
                <c:pt idx="18">
                  <c:v>0.189</c:v>
                </c:pt>
                <c:pt idx="19">
                  <c:v>0.11600000000000001</c:v>
                </c:pt>
                <c:pt idx="20">
                  <c:v>0.23100000000000001</c:v>
                </c:pt>
                <c:pt idx="21">
                  <c:v>0.20699999999999999</c:v>
                </c:pt>
                <c:pt idx="22">
                  <c:v>0.28599999999999998</c:v>
                </c:pt>
                <c:pt idx="23">
                  <c:v>0.22</c:v>
                </c:pt>
                <c:pt idx="24">
                  <c:v>7.4999999999999997E-2</c:v>
                </c:pt>
                <c:pt idx="25">
                  <c:v>0.124</c:v>
                </c:pt>
                <c:pt idx="26">
                  <c:v>8.2000000000000003E-2</c:v>
                </c:pt>
                <c:pt idx="27">
                  <c:v>3.2000000000000001E-2</c:v>
                </c:pt>
                <c:pt idx="28">
                  <c:v>5.0999999999999997E-2</c:v>
                </c:pt>
                <c:pt idx="29">
                  <c:v>0.13400000000000001</c:v>
                </c:pt>
                <c:pt idx="30">
                  <c:v>0.20799999999999999</c:v>
                </c:pt>
                <c:pt idx="31">
                  <c:v>0.30599999999999999</c:v>
                </c:pt>
                <c:pt idx="32">
                  <c:v>0.14599999999999999</c:v>
                </c:pt>
                <c:pt idx="33">
                  <c:v>0.20300000000000001</c:v>
                </c:pt>
                <c:pt idx="34">
                  <c:v>0.17799999999999999</c:v>
                </c:pt>
                <c:pt idx="35">
                  <c:v>0.182</c:v>
                </c:pt>
                <c:pt idx="36">
                  <c:v>5.5E-2</c:v>
                </c:pt>
                <c:pt idx="37">
                  <c:v>0.109</c:v>
                </c:pt>
                <c:pt idx="38">
                  <c:v>0.19400000000000001</c:v>
                </c:pt>
                <c:pt idx="39">
                  <c:v>0.16200000000000001</c:v>
                </c:pt>
                <c:pt idx="40">
                  <c:v>6.8000000000000005E-2</c:v>
                </c:pt>
                <c:pt idx="41">
                  <c:v>0.14199999999999999</c:v>
                </c:pt>
                <c:pt idx="42">
                  <c:v>9.0999999999999998E-2</c:v>
                </c:pt>
                <c:pt idx="43">
                  <c:v>2E-3</c:v>
                </c:pt>
                <c:pt idx="44">
                  <c:v>0.27700000000000002</c:v>
                </c:pt>
                <c:pt idx="45">
                  <c:v>0.109</c:v>
                </c:pt>
                <c:pt idx="46">
                  <c:v>5.8999999999999997E-2</c:v>
                </c:pt>
                <c:pt idx="47">
                  <c:v>0.253</c:v>
                </c:pt>
                <c:pt idx="48">
                  <c:v>8.5000000000000006E-2</c:v>
                </c:pt>
                <c:pt idx="49">
                  <c:v>0.13400000000000001</c:v>
                </c:pt>
                <c:pt idx="50">
                  <c:v>0.20599999999999999</c:v>
                </c:pt>
                <c:pt idx="51">
                  <c:v>0.18099999999999999</c:v>
                </c:pt>
                <c:pt idx="52">
                  <c:v>0.20599999999999999</c:v>
                </c:pt>
                <c:pt idx="53">
                  <c:v>0.34100000000000003</c:v>
                </c:pt>
                <c:pt idx="54">
                  <c:v>0.26</c:v>
                </c:pt>
                <c:pt idx="55">
                  <c:v>0.22800000000000001</c:v>
                </c:pt>
                <c:pt idx="56">
                  <c:v>7.9000000000000001E-2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ser>
          <c:idx val="2"/>
          <c:order val="2"/>
          <c:tx>
            <c:v>W-NW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Data!$BS$6:$BS$370</c:f>
              <c:numCache>
                <c:formatCode>0.000</c:formatCode>
                <c:ptCount val="365"/>
                <c:pt idx="0">
                  <c:v>0.13800000000000001</c:v>
                </c:pt>
                <c:pt idx="1">
                  <c:v>2.4E-2</c:v>
                </c:pt>
                <c:pt idx="2">
                  <c:v>0.01</c:v>
                </c:pt>
                <c:pt idx="3">
                  <c:v>3.5999999999999997E-2</c:v>
                </c:pt>
                <c:pt idx="4">
                  <c:v>6.4000000000000001E-2</c:v>
                </c:pt>
                <c:pt idx="5">
                  <c:v>8.6999999999999994E-2</c:v>
                </c:pt>
                <c:pt idx="6">
                  <c:v>5.7000000000000002E-2</c:v>
                </c:pt>
                <c:pt idx="7">
                  <c:v>0.11600000000000001</c:v>
                </c:pt>
                <c:pt idx="8">
                  <c:v>4.9000000000000002E-2</c:v>
                </c:pt>
                <c:pt idx="9">
                  <c:v>0.13500000000000001</c:v>
                </c:pt>
                <c:pt idx="10">
                  <c:v>0.113</c:v>
                </c:pt>
                <c:pt idx="11">
                  <c:v>2.8000000000000001E-2</c:v>
                </c:pt>
                <c:pt idx="12">
                  <c:v>2.7E-2</c:v>
                </c:pt>
                <c:pt idx="13">
                  <c:v>2.5999999999999999E-2</c:v>
                </c:pt>
                <c:pt idx="14">
                  <c:v>2.1999999999999999E-2</c:v>
                </c:pt>
                <c:pt idx="15">
                  <c:v>0.16600000000000001</c:v>
                </c:pt>
                <c:pt idx="16">
                  <c:v>0.183</c:v>
                </c:pt>
                <c:pt idx="17">
                  <c:v>0.111</c:v>
                </c:pt>
                <c:pt idx="18">
                  <c:v>7.5999999999999998E-2</c:v>
                </c:pt>
                <c:pt idx="19">
                  <c:v>6.3E-2</c:v>
                </c:pt>
                <c:pt idx="20">
                  <c:v>0.14599999999999999</c:v>
                </c:pt>
                <c:pt idx="21">
                  <c:v>3.6999999999999998E-2</c:v>
                </c:pt>
                <c:pt idx="22">
                  <c:v>0.17</c:v>
                </c:pt>
                <c:pt idx="23">
                  <c:v>0.113</c:v>
                </c:pt>
                <c:pt idx="24">
                  <c:v>5.3999999999999999E-2</c:v>
                </c:pt>
                <c:pt idx="25">
                  <c:v>2.1000000000000001E-2</c:v>
                </c:pt>
                <c:pt idx="26">
                  <c:v>8.0000000000000002E-3</c:v>
                </c:pt>
                <c:pt idx="27">
                  <c:v>3.0000000000000001E-3</c:v>
                </c:pt>
                <c:pt idx="28">
                  <c:v>2.1999999999999999E-2</c:v>
                </c:pt>
                <c:pt idx="29">
                  <c:v>0.11600000000000001</c:v>
                </c:pt>
                <c:pt idx="30">
                  <c:v>0.19900000000000001</c:v>
                </c:pt>
                <c:pt idx="31">
                  <c:v>0.184</c:v>
                </c:pt>
                <c:pt idx="32">
                  <c:v>5.3999999999999999E-2</c:v>
                </c:pt>
                <c:pt idx="33">
                  <c:v>5.7000000000000002E-2</c:v>
                </c:pt>
                <c:pt idx="34">
                  <c:v>4.3999999999999997E-2</c:v>
                </c:pt>
                <c:pt idx="35">
                  <c:v>8.6999999999999994E-2</c:v>
                </c:pt>
                <c:pt idx="36">
                  <c:v>5.0000000000000001E-3</c:v>
                </c:pt>
                <c:pt idx="37">
                  <c:v>2.1999999999999999E-2</c:v>
                </c:pt>
                <c:pt idx="38">
                  <c:v>0.108</c:v>
                </c:pt>
                <c:pt idx="39">
                  <c:v>0.104</c:v>
                </c:pt>
                <c:pt idx="40">
                  <c:v>2.4E-2</c:v>
                </c:pt>
                <c:pt idx="41">
                  <c:v>5.8000000000000003E-2</c:v>
                </c:pt>
                <c:pt idx="42">
                  <c:v>1.2E-2</c:v>
                </c:pt>
                <c:pt idx="43">
                  <c:v>5.0000000000000001E-3</c:v>
                </c:pt>
                <c:pt idx="44">
                  <c:v>0.15</c:v>
                </c:pt>
                <c:pt idx="45">
                  <c:v>4.9000000000000002E-2</c:v>
                </c:pt>
                <c:pt idx="46">
                  <c:v>2.5000000000000001E-2</c:v>
                </c:pt>
                <c:pt idx="47">
                  <c:v>0.107</c:v>
                </c:pt>
                <c:pt idx="48">
                  <c:v>7.3999999999999996E-2</c:v>
                </c:pt>
                <c:pt idx="49">
                  <c:v>0.107</c:v>
                </c:pt>
                <c:pt idx="50">
                  <c:v>0.13900000000000001</c:v>
                </c:pt>
                <c:pt idx="51">
                  <c:v>0.151</c:v>
                </c:pt>
                <c:pt idx="52">
                  <c:v>0.17399999999999999</c:v>
                </c:pt>
                <c:pt idx="53">
                  <c:v>0.19</c:v>
                </c:pt>
                <c:pt idx="54">
                  <c:v>0.153</c:v>
                </c:pt>
                <c:pt idx="55">
                  <c:v>0.14599999999999999</c:v>
                </c:pt>
                <c:pt idx="56">
                  <c:v>5.5E-2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ser>
          <c:idx val="3"/>
          <c:order val="3"/>
          <c:tx>
            <c:v>NW-N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Data!$BT$6:$BT$370</c:f>
              <c:numCache>
                <c:formatCode>0.000</c:formatCode>
                <c:ptCount val="365"/>
                <c:pt idx="0">
                  <c:v>4.5999999999999999E-2</c:v>
                </c:pt>
                <c:pt idx="1">
                  <c:v>3.5000000000000003E-2</c:v>
                </c:pt>
                <c:pt idx="2">
                  <c:v>3.6999999999999998E-2</c:v>
                </c:pt>
                <c:pt idx="3">
                  <c:v>4.7E-2</c:v>
                </c:pt>
                <c:pt idx="4">
                  <c:v>6.2E-2</c:v>
                </c:pt>
                <c:pt idx="5">
                  <c:v>0.12</c:v>
                </c:pt>
                <c:pt idx="6">
                  <c:v>6.6000000000000003E-2</c:v>
                </c:pt>
                <c:pt idx="7">
                  <c:v>0.11</c:v>
                </c:pt>
                <c:pt idx="8">
                  <c:v>2.5999999999999999E-2</c:v>
                </c:pt>
                <c:pt idx="9">
                  <c:v>1.9E-2</c:v>
                </c:pt>
                <c:pt idx="10">
                  <c:v>2.4E-2</c:v>
                </c:pt>
                <c:pt idx="11">
                  <c:v>8.9999999999999993E-3</c:v>
                </c:pt>
                <c:pt idx="12">
                  <c:v>1.2999999999999999E-2</c:v>
                </c:pt>
                <c:pt idx="13">
                  <c:v>6.9000000000000006E-2</c:v>
                </c:pt>
                <c:pt idx="14">
                  <c:v>4.7E-2</c:v>
                </c:pt>
                <c:pt idx="15">
                  <c:v>8.2000000000000003E-2</c:v>
                </c:pt>
                <c:pt idx="16">
                  <c:v>0.10299999999999999</c:v>
                </c:pt>
                <c:pt idx="17">
                  <c:v>6.7000000000000004E-2</c:v>
                </c:pt>
                <c:pt idx="18">
                  <c:v>0.11600000000000001</c:v>
                </c:pt>
                <c:pt idx="19">
                  <c:v>7.0000000000000007E-2</c:v>
                </c:pt>
                <c:pt idx="20">
                  <c:v>0.11700000000000001</c:v>
                </c:pt>
                <c:pt idx="21">
                  <c:v>5.0000000000000001E-3</c:v>
                </c:pt>
                <c:pt idx="22">
                  <c:v>7.6999999999999999E-2</c:v>
                </c:pt>
                <c:pt idx="23">
                  <c:v>0.09</c:v>
                </c:pt>
                <c:pt idx="24">
                  <c:v>0.11799999999999999</c:v>
                </c:pt>
                <c:pt idx="25">
                  <c:v>3.2000000000000001E-2</c:v>
                </c:pt>
                <c:pt idx="26">
                  <c:v>0</c:v>
                </c:pt>
                <c:pt idx="27">
                  <c:v>3.0000000000000001E-3</c:v>
                </c:pt>
                <c:pt idx="28">
                  <c:v>5.3999999999999999E-2</c:v>
                </c:pt>
                <c:pt idx="29">
                  <c:v>0.13700000000000001</c:v>
                </c:pt>
                <c:pt idx="30">
                  <c:v>0.159</c:v>
                </c:pt>
                <c:pt idx="31">
                  <c:v>7.0999999999999994E-2</c:v>
                </c:pt>
                <c:pt idx="32">
                  <c:v>2.5000000000000001E-2</c:v>
                </c:pt>
                <c:pt idx="33">
                  <c:v>3.7999999999999999E-2</c:v>
                </c:pt>
                <c:pt idx="34">
                  <c:v>2.4E-2</c:v>
                </c:pt>
                <c:pt idx="35">
                  <c:v>3.5000000000000003E-2</c:v>
                </c:pt>
                <c:pt idx="36">
                  <c:v>7.0000000000000001E-3</c:v>
                </c:pt>
                <c:pt idx="37">
                  <c:v>8.0000000000000002E-3</c:v>
                </c:pt>
                <c:pt idx="38">
                  <c:v>5.3999999999999999E-2</c:v>
                </c:pt>
                <c:pt idx="39">
                  <c:v>7.4999999999999997E-2</c:v>
                </c:pt>
                <c:pt idx="40">
                  <c:v>1.4E-2</c:v>
                </c:pt>
                <c:pt idx="41">
                  <c:v>2.5999999999999999E-2</c:v>
                </c:pt>
                <c:pt idx="42">
                  <c:v>6.0000000000000001E-3</c:v>
                </c:pt>
                <c:pt idx="43">
                  <c:v>4.3999999999999997E-2</c:v>
                </c:pt>
                <c:pt idx="44">
                  <c:v>3.4000000000000002E-2</c:v>
                </c:pt>
                <c:pt idx="45">
                  <c:v>4.8000000000000001E-2</c:v>
                </c:pt>
                <c:pt idx="46">
                  <c:v>6.3E-2</c:v>
                </c:pt>
                <c:pt idx="47">
                  <c:v>0.04</c:v>
                </c:pt>
                <c:pt idx="48">
                  <c:v>5.0999999999999997E-2</c:v>
                </c:pt>
                <c:pt idx="49">
                  <c:v>9.5000000000000001E-2</c:v>
                </c:pt>
                <c:pt idx="50">
                  <c:v>6.3E-2</c:v>
                </c:pt>
                <c:pt idx="51">
                  <c:v>0.1</c:v>
                </c:pt>
                <c:pt idx="52">
                  <c:v>0.13100000000000001</c:v>
                </c:pt>
                <c:pt idx="53">
                  <c:v>5.5E-2</c:v>
                </c:pt>
                <c:pt idx="54">
                  <c:v>7.6999999999999999E-2</c:v>
                </c:pt>
                <c:pt idx="55">
                  <c:v>9.2999999999999999E-2</c:v>
                </c:pt>
                <c:pt idx="56">
                  <c:v>7.0000000000000007E-2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476672"/>
        <c:axId val="214478208"/>
      </c:barChart>
      <c:catAx>
        <c:axId val="2144766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4478208"/>
        <c:crosses val="autoZero"/>
        <c:auto val="1"/>
        <c:lblAlgn val="ctr"/>
        <c:lblOffset val="100"/>
        <c:noMultiLvlLbl val="0"/>
      </c:catAx>
      <c:valAx>
        <c:axId val="214478208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14476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4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371</xdr:row>
      <xdr:rowOff>38100</xdr:rowOff>
    </xdr:from>
    <xdr:to>
      <xdr:col>23</xdr:col>
      <xdr:colOff>28575</xdr:colOff>
      <xdr:row>391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30</xdr:col>
      <xdr:colOff>561975</xdr:colOff>
      <xdr:row>24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30</xdr:col>
      <xdr:colOff>561975</xdr:colOff>
      <xdr:row>44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30</xdr:col>
      <xdr:colOff>561975</xdr:colOff>
      <xdr:row>64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41633" cy="629879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1.676119328702" createdVersion="4" refreshedVersion="4" minRefreshableVersion="3" recordCount="365">
  <cacheSource type="worksheet">
    <worksheetSource ref="D6:F371" sheet="DerVar"/>
  </cacheSource>
  <cacheFields count="3">
    <cacheField name="YrMn" numFmtId="0">
      <sharedItems containsSemiMixedTypes="0" containsString="0" containsNumber="1" containsInteger="1" minValue="201501" maxValue="202512" count="72">
        <n v="202501"/>
        <n v="202502"/>
        <n v="202503"/>
        <n v="202504"/>
        <n v="202505"/>
        <n v="202506"/>
        <n v="202507"/>
        <n v="202508"/>
        <n v="202509"/>
        <n v="202510"/>
        <n v="202511"/>
        <n v="202512"/>
        <n v="202104" u="1"/>
        <n v="202011" u="1"/>
        <n v="202105" u="1"/>
        <n v="202012" u="1"/>
        <n v="202106" u="1"/>
        <n v="202107" u="1"/>
        <n v="201501" u="1"/>
        <n v="202108" u="1"/>
        <n v="201502" u="1"/>
        <n v="202109" u="1"/>
        <n v="201503" u="1"/>
        <n v="202110" u="1"/>
        <n v="201504" u="1"/>
        <n v="202111" u="1"/>
        <n v="201505" u="1"/>
        <n v="202112" u="1"/>
        <n v="201506" u="1"/>
        <n v="201507" u="1"/>
        <n v="201508" u="1"/>
        <n v="201509" u="1"/>
        <n v="201510" u="1"/>
        <n v="201511" u="1"/>
        <n v="201512" u="1"/>
        <n v="201701" u="1"/>
        <n v="201702" u="1"/>
        <n v="201703" u="1"/>
        <n v="201704" u="1"/>
        <n v="201705" u="1"/>
        <n v="201706" u="1"/>
        <n v="201707" u="1"/>
        <n v="201708" u="1"/>
        <n v="201709" u="1"/>
        <n v="201710" u="1"/>
        <n v="201711" u="1"/>
        <n v="201712" u="1"/>
        <n v="201901" u="1"/>
        <n v="201902" u="1"/>
        <n v="201903" u="1"/>
        <n v="201904" u="1"/>
        <n v="201905" u="1"/>
        <n v="201906" u="1"/>
        <n v="201907" u="1"/>
        <n v="202001" u="1"/>
        <n v="201908" u="1"/>
        <n v="202002" u="1"/>
        <n v="201909" u="1"/>
        <n v="202003" u="1"/>
        <n v="201910" u="1"/>
        <n v="202004" u="1"/>
        <n v="201911" u="1"/>
        <n v="202005" u="1"/>
        <n v="201912" u="1"/>
        <n v="202006" u="1"/>
        <n v="202007" u="1"/>
        <n v="202101" u="1"/>
        <n v="202008" u="1"/>
        <n v="202102" u="1"/>
        <n v="202009" u="1"/>
        <n v="202103" u="1"/>
        <n v="202010" u="1"/>
      </sharedItems>
    </cacheField>
    <cacheField name="DD&lt;0" numFmtId="0">
      <sharedItems containsSemiMixedTypes="0" containsString="0" containsNumber="1" minValue="0" maxValue="22.8"/>
    </cacheField>
    <cacheField name="DD&gt;5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7.9"/>
    <n v="0"/>
  </r>
  <r>
    <x v="0"/>
    <n v="6.3"/>
    <n v="0"/>
  </r>
  <r>
    <x v="0"/>
    <n v="4.2"/>
    <n v="0"/>
  </r>
  <r>
    <x v="0"/>
    <n v="4"/>
    <n v="0"/>
  </r>
  <r>
    <x v="0"/>
    <n v="5.2"/>
    <n v="0"/>
  </r>
  <r>
    <x v="0"/>
    <n v="7.5"/>
    <n v="0"/>
  </r>
  <r>
    <x v="0"/>
    <n v="4.8"/>
    <n v="0"/>
  </r>
  <r>
    <x v="0"/>
    <n v="6.4"/>
    <n v="0"/>
  </r>
  <r>
    <x v="0"/>
    <n v="5"/>
    <n v="0"/>
  </r>
  <r>
    <x v="0"/>
    <n v="4.4000000000000004"/>
    <n v="0"/>
  </r>
  <r>
    <x v="0"/>
    <n v="5.5"/>
    <n v="0"/>
  </r>
  <r>
    <x v="0"/>
    <n v="10.1"/>
    <n v="0"/>
  </r>
  <r>
    <x v="0"/>
    <n v="5.7"/>
    <n v="0"/>
  </r>
  <r>
    <x v="0"/>
    <n v="3.9"/>
    <n v="0"/>
  </r>
  <r>
    <x v="0"/>
    <n v="5.3"/>
    <n v="0"/>
  </r>
  <r>
    <x v="0"/>
    <n v="8.8000000000000007"/>
    <n v="0"/>
  </r>
  <r>
    <x v="0"/>
    <n v="11.8"/>
    <n v="0"/>
  </r>
  <r>
    <x v="0"/>
    <n v="13.4"/>
    <n v="0"/>
  </r>
  <r>
    <x v="0"/>
    <n v="12.7"/>
    <n v="0"/>
  </r>
  <r>
    <x v="0"/>
    <n v="11.3"/>
    <n v="0"/>
  </r>
  <r>
    <x v="0"/>
    <n v="13.6"/>
    <n v="0"/>
  </r>
  <r>
    <x v="0"/>
    <n v="8.6999999999999993"/>
    <n v="0"/>
  </r>
  <r>
    <x v="0"/>
    <n v="10.3"/>
    <n v="0"/>
  </r>
  <r>
    <x v="0"/>
    <n v="14.5"/>
    <n v="0"/>
  </r>
  <r>
    <x v="0"/>
    <n v="12.5"/>
    <n v="0"/>
  </r>
  <r>
    <x v="0"/>
    <n v="12.6"/>
    <n v="0"/>
  </r>
  <r>
    <x v="0"/>
    <n v="9.4"/>
    <n v="0"/>
  </r>
  <r>
    <x v="0"/>
    <n v="8.9"/>
    <n v="0"/>
  </r>
  <r>
    <x v="0"/>
    <n v="3.8"/>
    <n v="0"/>
  </r>
  <r>
    <x v="0"/>
    <n v="3.1"/>
    <n v="0"/>
  </r>
  <r>
    <x v="0"/>
    <n v="7.8"/>
    <n v="0"/>
  </r>
  <r>
    <x v="1"/>
    <n v="12.7"/>
    <n v="0"/>
  </r>
  <r>
    <x v="1"/>
    <n v="15.3"/>
    <n v="0"/>
  </r>
  <r>
    <x v="1"/>
    <n v="21.1"/>
    <n v="0"/>
  </r>
  <r>
    <x v="1"/>
    <n v="22.3"/>
    <n v="0"/>
  </r>
  <r>
    <x v="1"/>
    <n v="19.8"/>
    <n v="0"/>
  </r>
  <r>
    <x v="1"/>
    <n v="19.3"/>
    <n v="0"/>
  </r>
  <r>
    <x v="1"/>
    <n v="15.4"/>
    <n v="0"/>
  </r>
  <r>
    <x v="1"/>
    <n v="17"/>
    <n v="0"/>
  </r>
  <r>
    <x v="1"/>
    <n v="22.8"/>
    <n v="0"/>
  </r>
  <r>
    <x v="1"/>
    <n v="22.1"/>
    <n v="0"/>
  </r>
  <r>
    <x v="1"/>
    <n v="20.5"/>
    <n v="0"/>
  </r>
  <r>
    <x v="1"/>
    <n v="16.399999999999999"/>
    <n v="0"/>
  </r>
  <r>
    <x v="1"/>
    <n v="11.5"/>
    <n v="0"/>
  </r>
  <r>
    <x v="1"/>
    <n v="12.1"/>
    <n v="0"/>
  </r>
  <r>
    <x v="1"/>
    <n v="7.1"/>
    <n v="0"/>
  </r>
  <r>
    <x v="1"/>
    <n v="7.6"/>
    <n v="0"/>
  </r>
  <r>
    <x v="1"/>
    <n v="7.8"/>
    <n v="0"/>
  </r>
  <r>
    <x v="1"/>
    <n v="3.7"/>
    <n v="0"/>
  </r>
  <r>
    <x v="1"/>
    <n v="2.6"/>
    <n v="0"/>
  </r>
  <r>
    <x v="1"/>
    <n v="2.6"/>
    <n v="0"/>
  </r>
  <r>
    <x v="1"/>
    <n v="0.5"/>
    <n v="0"/>
  </r>
  <r>
    <x v="1"/>
    <n v="0"/>
    <n v="0"/>
  </r>
  <r>
    <x v="1"/>
    <n v="0.9"/>
    <n v="0"/>
  </r>
  <r>
    <x v="1"/>
    <n v="1.9"/>
    <n v="0"/>
  </r>
  <r>
    <x v="1"/>
    <n v="1.7"/>
    <n v="0"/>
  </r>
  <r>
    <x v="1"/>
    <n v="0"/>
    <n v="0"/>
  </r>
  <r>
    <x v="1"/>
    <n v="0"/>
    <n v="0"/>
  </r>
  <r>
    <x v="1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6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7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  <r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4" cacheId="1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I6:K19" firstHeaderRow="0" firstDataRow="1" firstDataCol="1"/>
  <pivotFields count="3">
    <pivotField axis="axisRow" showAll="0">
      <items count="73">
        <item m="1" x="18"/>
        <item m="1" x="20"/>
        <item m="1" x="22"/>
        <item m="1" x="24"/>
        <item m="1" x="26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5"/>
        <item m="1" x="57"/>
        <item m="1" x="59"/>
        <item m="1" x="61"/>
        <item m="1" x="63"/>
        <item m="1" x="54"/>
        <item m="1" x="56"/>
        <item m="1" x="58"/>
        <item m="1" x="60"/>
        <item m="1" x="62"/>
        <item m="1" x="64"/>
        <item m="1" x="65"/>
        <item m="1" x="67"/>
        <item m="1" x="69"/>
        <item m="1" x="71"/>
        <item m="1" x="13"/>
        <item m="1" x="15"/>
        <item m="1" x="66"/>
        <item m="1" x="68"/>
        <item m="1" x="70"/>
        <item m="1" x="12"/>
        <item m="1" x="14"/>
        <item m="1" x="16"/>
        <item m="1" x="17"/>
        <item m="1" x="19"/>
        <item m="1" x="21"/>
        <item m="1" x="23"/>
        <item m="1" x="25"/>
        <item m="1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activeCell="A2" sqref="A2"/>
    </sheetView>
  </sheetViews>
  <sheetFormatPr defaultRowHeight="12.75" x14ac:dyDescent="0.2"/>
  <sheetData>
    <row r="1" spans="1:3" x14ac:dyDescent="0.2">
      <c r="A1" s="3" t="s">
        <v>114</v>
      </c>
      <c r="B1" s="3"/>
    </row>
    <row r="2" spans="1:3" x14ac:dyDescent="0.2">
      <c r="A2" s="3" t="s">
        <v>197</v>
      </c>
      <c r="B2" s="3"/>
    </row>
    <row r="3" spans="1:3" x14ac:dyDescent="0.2">
      <c r="A3" s="3"/>
      <c r="B3" s="3" t="s">
        <v>134</v>
      </c>
    </row>
    <row r="4" spans="1:3" x14ac:dyDescent="0.2">
      <c r="A4" s="3"/>
    </row>
    <row r="5" spans="1:3" x14ac:dyDescent="0.2">
      <c r="A5" s="3" t="s">
        <v>118</v>
      </c>
    </row>
    <row r="6" spans="1:3" x14ac:dyDescent="0.2">
      <c r="A6" s="3"/>
      <c r="B6" s="3" t="s">
        <v>195</v>
      </c>
    </row>
    <row r="7" spans="1:3" x14ac:dyDescent="0.2">
      <c r="A7" s="3"/>
      <c r="B7" s="3" t="s">
        <v>182</v>
      </c>
    </row>
    <row r="8" spans="1:3" x14ac:dyDescent="0.2">
      <c r="A8" s="3"/>
      <c r="B8" s="3" t="s">
        <v>164</v>
      </c>
    </row>
    <row r="9" spans="1:3" x14ac:dyDescent="0.2">
      <c r="A9" s="3"/>
      <c r="B9" s="3" t="s">
        <v>124</v>
      </c>
    </row>
    <row r="10" spans="1:3" x14ac:dyDescent="0.2">
      <c r="A10" s="3"/>
      <c r="B10" s="3" t="s">
        <v>103</v>
      </c>
    </row>
    <row r="11" spans="1:3" x14ac:dyDescent="0.2">
      <c r="A11" s="3"/>
      <c r="B11" s="3" t="s">
        <v>163</v>
      </c>
      <c r="C11" s="3"/>
    </row>
    <row r="12" spans="1:3" x14ac:dyDescent="0.2">
      <c r="A12" s="3"/>
      <c r="B12" s="3"/>
      <c r="C12" s="3" t="s">
        <v>140</v>
      </c>
    </row>
    <row r="13" spans="1:3" x14ac:dyDescent="0.2">
      <c r="A13" s="3"/>
      <c r="B13" s="3"/>
    </row>
    <row r="14" spans="1:3" x14ac:dyDescent="0.2">
      <c r="A14" s="3" t="s">
        <v>119</v>
      </c>
      <c r="B14" s="3"/>
    </row>
    <row r="15" spans="1:3" x14ac:dyDescent="0.2">
      <c r="A15" s="3"/>
      <c r="B15" s="3" t="s">
        <v>196</v>
      </c>
    </row>
    <row r="16" spans="1:3" x14ac:dyDescent="0.2">
      <c r="A16" s="3"/>
      <c r="B16" s="3" t="s">
        <v>165</v>
      </c>
    </row>
    <row r="17" spans="1:2" x14ac:dyDescent="0.2">
      <c r="A17" s="3" t="s">
        <v>104</v>
      </c>
      <c r="B17" s="3"/>
    </row>
    <row r="18" spans="1:2" x14ac:dyDescent="0.2">
      <c r="A18" s="3"/>
      <c r="B18" s="3" t="s">
        <v>105</v>
      </c>
    </row>
    <row r="19" spans="1:2" x14ac:dyDescent="0.2">
      <c r="A19" s="3"/>
      <c r="B19" s="3"/>
    </row>
    <row r="20" spans="1:2" x14ac:dyDescent="0.2">
      <c r="A20" s="3"/>
      <c r="B20" s="3" t="s">
        <v>117</v>
      </c>
    </row>
    <row r="21" spans="1:2" x14ac:dyDescent="0.2">
      <c r="A21" s="3"/>
      <c r="B21" s="3" t="s">
        <v>135</v>
      </c>
    </row>
    <row r="22" spans="1:2" x14ac:dyDescent="0.2">
      <c r="A22" s="3"/>
      <c r="B22" s="3"/>
    </row>
    <row r="23" spans="1:2" x14ac:dyDescent="0.2">
      <c r="A23" s="3" t="s">
        <v>106</v>
      </c>
      <c r="B23" s="3"/>
    </row>
    <row r="24" spans="1:2" x14ac:dyDescent="0.2">
      <c r="A24" s="3"/>
      <c r="B24" s="3" t="s">
        <v>105</v>
      </c>
    </row>
    <row r="25" spans="1:2" x14ac:dyDescent="0.2">
      <c r="A25" s="3"/>
      <c r="B25" s="3" t="s">
        <v>107</v>
      </c>
    </row>
    <row r="26" spans="1:2" x14ac:dyDescent="0.2">
      <c r="A26" s="3"/>
      <c r="B26" s="3"/>
    </row>
    <row r="27" spans="1:2" x14ac:dyDescent="0.2">
      <c r="A27" s="3" t="s">
        <v>108</v>
      </c>
      <c r="B27" s="3"/>
    </row>
    <row r="28" spans="1:2" x14ac:dyDescent="0.2">
      <c r="A28" s="3"/>
      <c r="B28" s="3" t="s">
        <v>136</v>
      </c>
    </row>
    <row r="29" spans="1:2" x14ac:dyDescent="0.2">
      <c r="A29" s="3"/>
      <c r="B29" s="3"/>
    </row>
    <row r="30" spans="1:2" x14ac:dyDescent="0.2">
      <c r="A30" s="3" t="s">
        <v>109</v>
      </c>
      <c r="B30" s="3"/>
    </row>
    <row r="31" spans="1:2" x14ac:dyDescent="0.2">
      <c r="A31" s="3"/>
      <c r="B31" s="3" t="s">
        <v>193</v>
      </c>
    </row>
    <row r="32" spans="1:2" x14ac:dyDescent="0.2">
      <c r="A32" s="3"/>
      <c r="B32" s="3"/>
    </row>
    <row r="33" spans="1:3" x14ac:dyDescent="0.2">
      <c r="A33" s="3" t="s">
        <v>110</v>
      </c>
      <c r="B33" s="3"/>
    </row>
    <row r="34" spans="1:3" x14ac:dyDescent="0.2">
      <c r="A34" s="3"/>
      <c r="B34" s="3" t="s">
        <v>111</v>
      </c>
    </row>
    <row r="35" spans="1:3" x14ac:dyDescent="0.2">
      <c r="A35" s="3"/>
      <c r="B35" s="3"/>
    </row>
    <row r="36" spans="1:3" x14ac:dyDescent="0.2">
      <c r="A36" s="3" t="s">
        <v>112</v>
      </c>
      <c r="B36" s="3"/>
    </row>
    <row r="37" spans="1:3" x14ac:dyDescent="0.2">
      <c r="A37" s="3"/>
      <c r="B37" s="3" t="s">
        <v>138</v>
      </c>
    </row>
    <row r="38" spans="1:3" x14ac:dyDescent="0.2">
      <c r="A38" s="3"/>
      <c r="B38" s="3"/>
    </row>
    <row r="39" spans="1:3" x14ac:dyDescent="0.2">
      <c r="A39" s="3" t="s">
        <v>137</v>
      </c>
      <c r="B39" s="3"/>
    </row>
    <row r="40" spans="1:3" x14ac:dyDescent="0.2">
      <c r="A40" s="3"/>
      <c r="B40" s="3" t="s">
        <v>113</v>
      </c>
    </row>
    <row r="41" spans="1:3" x14ac:dyDescent="0.2">
      <c r="B41" s="3"/>
    </row>
    <row r="42" spans="1:3" x14ac:dyDescent="0.2">
      <c r="A42" s="3" t="s">
        <v>183</v>
      </c>
      <c r="B42" s="3"/>
    </row>
    <row r="43" spans="1:3" x14ac:dyDescent="0.2">
      <c r="A43" s="3"/>
      <c r="B43" s="3" t="s">
        <v>184</v>
      </c>
    </row>
    <row r="44" spans="1:3" x14ac:dyDescent="0.2">
      <c r="A44" s="3"/>
      <c r="B44" s="3" t="s">
        <v>185</v>
      </c>
    </row>
    <row r="45" spans="1:3" x14ac:dyDescent="0.2">
      <c r="A45" s="3"/>
      <c r="B45" s="3"/>
      <c r="C45" s="3" t="s">
        <v>190</v>
      </c>
    </row>
    <row r="46" spans="1:3" x14ac:dyDescent="0.2">
      <c r="C46" s="3" t="s">
        <v>191</v>
      </c>
    </row>
    <row r="47" spans="1:3" x14ac:dyDescent="0.2">
      <c r="C47" s="3" t="s">
        <v>192</v>
      </c>
    </row>
    <row r="48" spans="1:3" x14ac:dyDescent="0.2">
      <c r="A48" s="3" t="s">
        <v>186</v>
      </c>
      <c r="B48" s="3"/>
    </row>
    <row r="49" spans="1:2" x14ac:dyDescent="0.2">
      <c r="A49" s="3"/>
      <c r="B49" s="3" t="s">
        <v>187</v>
      </c>
    </row>
    <row r="50" spans="1:2" x14ac:dyDescent="0.2">
      <c r="A50" s="3" t="s">
        <v>188</v>
      </c>
      <c r="B50" s="3"/>
    </row>
    <row r="51" spans="1:2" x14ac:dyDescent="0.2">
      <c r="A51" s="3"/>
      <c r="B51" s="3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7"/>
  <sheetViews>
    <sheetView workbookViewId="0">
      <pane xSplit="2" ySplit="5" topLeftCell="D6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9" width="6.7109375" style="3" customWidth="1"/>
    <col min="30" max="16384" width="9.140625" style="3"/>
  </cols>
  <sheetData>
    <row r="1" spans="1:20" x14ac:dyDescent="0.2">
      <c r="A1" s="3" t="s">
        <v>81</v>
      </c>
      <c r="I1" s="3">
        <v>0.13</v>
      </c>
      <c r="K1" s="25" t="s">
        <v>37</v>
      </c>
      <c r="P1" s="3" t="s">
        <v>89</v>
      </c>
      <c r="Q1" s="3">
        <v>0.4</v>
      </c>
    </row>
    <row r="2" spans="1:20" x14ac:dyDescent="0.2">
      <c r="A2" s="3" t="str">
        <f>Data!A2</f>
        <v>Last edit  19/04/25</v>
      </c>
      <c r="B2" s="1"/>
      <c r="C2" s="5" t="s">
        <v>34</v>
      </c>
      <c r="K2" s="26" t="s">
        <v>82</v>
      </c>
      <c r="P2" s="3" t="s">
        <v>146</v>
      </c>
      <c r="Q2" s="3">
        <v>0.23</v>
      </c>
    </row>
    <row r="3" spans="1:20" x14ac:dyDescent="0.2">
      <c r="A3" s="1"/>
      <c r="B3" s="1"/>
      <c r="C3" s="5" t="s">
        <v>35</v>
      </c>
      <c r="D3" s="3" t="s">
        <v>83</v>
      </c>
      <c r="E3" s="3" t="s">
        <v>84</v>
      </c>
      <c r="F3" s="3" t="s">
        <v>85</v>
      </c>
      <c r="G3" s="3" t="s">
        <v>37</v>
      </c>
      <c r="H3" s="3" t="s">
        <v>86</v>
      </c>
      <c r="I3" s="3" t="s">
        <v>45</v>
      </c>
      <c r="J3" s="3" t="s">
        <v>44</v>
      </c>
      <c r="K3" s="32" t="s">
        <v>95</v>
      </c>
      <c r="L3" s="3">
        <v>1.05</v>
      </c>
      <c r="M3" s="3" t="s">
        <v>44</v>
      </c>
      <c r="N3" s="3" t="s">
        <v>87</v>
      </c>
      <c r="P3" s="42" t="s">
        <v>139</v>
      </c>
      <c r="Q3" s="3" t="s">
        <v>90</v>
      </c>
      <c r="R3" s="3" t="s">
        <v>91</v>
      </c>
      <c r="S3" s="3" t="s">
        <v>92</v>
      </c>
      <c r="T3" s="3" t="s">
        <v>93</v>
      </c>
    </row>
    <row r="4" spans="1:20" x14ac:dyDescent="0.2">
      <c r="A4" s="6" t="s">
        <v>16</v>
      </c>
      <c r="B4" s="5" t="s">
        <v>50</v>
      </c>
      <c r="C4" s="10" t="s">
        <v>24</v>
      </c>
      <c r="I4" s="3" t="s">
        <v>46</v>
      </c>
      <c r="K4" s="1" t="s">
        <v>81</v>
      </c>
      <c r="P4" s="3" t="s">
        <v>94</v>
      </c>
      <c r="Q4" s="3" t="s">
        <v>94</v>
      </c>
      <c r="R4" s="3" t="s">
        <v>19</v>
      </c>
      <c r="S4" s="3" t="s">
        <v>19</v>
      </c>
      <c r="T4" s="3" t="s">
        <v>19</v>
      </c>
    </row>
    <row r="5" spans="1:20" x14ac:dyDescent="0.2">
      <c r="A5" s="1"/>
      <c r="B5" s="1"/>
      <c r="C5" s="1"/>
      <c r="H5" s="49">
        <v>801</v>
      </c>
      <c r="K5" s="1"/>
      <c r="Q5" s="47">
        <f>Q2</f>
        <v>0.23</v>
      </c>
      <c r="R5" s="49">
        <f>H5*Q5</f>
        <v>184.23000000000002</v>
      </c>
      <c r="S5" s="22">
        <v>0</v>
      </c>
      <c r="T5" s="22">
        <v>0</v>
      </c>
    </row>
    <row r="6" spans="1:20" x14ac:dyDescent="0.2">
      <c r="A6" s="15">
        <f>Data!A6</f>
        <v>45658</v>
      </c>
      <c r="B6" s="1">
        <v>1</v>
      </c>
      <c r="C6" s="16">
        <f>ROUND(Data!BB6,2)</f>
        <v>1.35</v>
      </c>
      <c r="D6" s="3">
        <f>ROUND(Data!P6,1)</f>
        <v>-6</v>
      </c>
      <c r="E6" s="3">
        <f>ROUND(Data!Y6,1)</f>
        <v>-9.3000000000000007</v>
      </c>
      <c r="F6" s="3">
        <f>Data!BH6</f>
        <v>85.3</v>
      </c>
      <c r="G6" s="3">
        <f>Data!N6</f>
        <v>0</v>
      </c>
      <c r="H6" s="17">
        <f>Data!AY6</f>
        <v>772.00000000000023</v>
      </c>
      <c r="I6" s="13">
        <f t="shared" ref="I6:I62" si="0">IF(H6&gt;H5,ROUND((H6-H5)*I$1,1),0)</f>
        <v>0</v>
      </c>
      <c r="K6" s="27">
        <f>I6</f>
        <v>0</v>
      </c>
      <c r="M6" s="3">
        <f>J6</f>
        <v>0</v>
      </c>
      <c r="N6" s="13">
        <f>K6</f>
        <v>0</v>
      </c>
      <c r="P6" s="19">
        <f>(R5+K6)/H6</f>
        <v>0.23863989637305694</v>
      </c>
      <c r="Q6" s="19">
        <f t="shared" ref="Q6" si="1">IF(P6&gt;Q$1,Q$1,P6)</f>
        <v>0.23863989637305694</v>
      </c>
      <c r="R6" s="17">
        <f>Q6*H6</f>
        <v>184.23000000000002</v>
      </c>
      <c r="S6" s="22">
        <f t="shared" ref="S6" si="2">R6-R5</f>
        <v>0</v>
      </c>
      <c r="T6" s="22">
        <f>ROUND(K6-S6,1)</f>
        <v>0</v>
      </c>
    </row>
    <row r="7" spans="1:20" x14ac:dyDescent="0.2">
      <c r="A7" s="15">
        <f>Data!A7</f>
        <v>45659</v>
      </c>
      <c r="B7" s="1">
        <v>2</v>
      </c>
      <c r="C7" s="16">
        <f>ROUND(Data!BB7,2)</f>
        <v>1.17</v>
      </c>
      <c r="D7" s="3">
        <f>ROUND(Data!P7,1)</f>
        <v>-5.6</v>
      </c>
      <c r="E7" s="3">
        <f>ROUND(Data!Y7,1)</f>
        <v>-10</v>
      </c>
      <c r="F7" s="3">
        <f>Data!BH7</f>
        <v>84.6</v>
      </c>
      <c r="G7" s="3">
        <f>Data!N7</f>
        <v>0</v>
      </c>
      <c r="H7" s="17">
        <f>Data!AY7</f>
        <v>792.00000000000023</v>
      </c>
      <c r="I7" s="13">
        <f t="shared" si="0"/>
        <v>2.6</v>
      </c>
      <c r="K7" s="27">
        <f>I7</f>
        <v>2.6</v>
      </c>
      <c r="M7" s="22">
        <f>J7+M6</f>
        <v>0</v>
      </c>
      <c r="N7" s="22">
        <f>K7+N6</f>
        <v>2.6</v>
      </c>
      <c r="P7" s="19">
        <f>ROUND((R6+K7)/H7,3)</f>
        <v>0.23599999999999999</v>
      </c>
      <c r="Q7" s="19">
        <f t="shared" ref="Q7:Q70" si="3">IF(P7&gt;Q$1,Q$1,P7)</f>
        <v>0.23599999999999999</v>
      </c>
      <c r="R7" s="17">
        <f t="shared" ref="R7:R70" si="4">Q7*H7</f>
        <v>186.91200000000003</v>
      </c>
      <c r="S7" s="22">
        <f t="shared" ref="S7:S70" si="5">R7-R6</f>
        <v>2.6820000000000164</v>
      </c>
      <c r="T7" s="22">
        <f t="shared" ref="T7:T70" si="6">ROUND(K7-S7,1)</f>
        <v>-0.1</v>
      </c>
    </row>
    <row r="8" spans="1:20" x14ac:dyDescent="0.2">
      <c r="A8" s="15">
        <f>Data!A8</f>
        <v>45660</v>
      </c>
      <c r="B8" s="1">
        <v>3</v>
      </c>
      <c r="C8" s="16">
        <f>ROUND(Data!BB8,2)</f>
        <v>1.77</v>
      </c>
      <c r="D8" s="3">
        <f>ROUND(Data!P8,1)</f>
        <v>-3.2</v>
      </c>
      <c r="E8" s="3">
        <f>ROUND(Data!Y8,1)</f>
        <v>-10.7</v>
      </c>
      <c r="F8" s="3">
        <f>Data!BH8</f>
        <v>79.599999999999994</v>
      </c>
      <c r="G8" s="3">
        <f>Data!N8</f>
        <v>0</v>
      </c>
      <c r="H8" s="17">
        <f>Data!AY8</f>
        <v>792.00000000000023</v>
      </c>
      <c r="I8" s="13">
        <f t="shared" si="0"/>
        <v>0</v>
      </c>
      <c r="K8" s="27">
        <f t="shared" ref="K8:K72" si="7">I8</f>
        <v>0</v>
      </c>
      <c r="M8" s="22">
        <f t="shared" ref="M8:N23" si="8">J8+M7</f>
        <v>0</v>
      </c>
      <c r="N8" s="22">
        <f t="shared" si="8"/>
        <v>2.6</v>
      </c>
      <c r="P8" s="19">
        <f t="shared" ref="P8:P70" si="9">(R7+K8)/H8</f>
        <v>0.23599999999999999</v>
      </c>
      <c r="Q8" s="19">
        <f t="shared" si="3"/>
        <v>0.23599999999999999</v>
      </c>
      <c r="R8" s="17">
        <f t="shared" si="4"/>
        <v>186.91200000000003</v>
      </c>
      <c r="S8" s="22">
        <f t="shared" si="5"/>
        <v>0</v>
      </c>
      <c r="T8" s="22">
        <f t="shared" si="6"/>
        <v>0</v>
      </c>
    </row>
    <row r="9" spans="1:20" x14ac:dyDescent="0.2">
      <c r="A9" s="15">
        <f>Data!A9</f>
        <v>45661</v>
      </c>
      <c r="B9" s="1">
        <v>4</v>
      </c>
      <c r="C9" s="16">
        <f>ROUND(Data!BB9,2)</f>
        <v>1.68</v>
      </c>
      <c r="D9" s="3">
        <f>ROUND(Data!P9,1)</f>
        <v>-0.5</v>
      </c>
      <c r="E9" s="3">
        <f>ROUND(Data!Y9,1)</f>
        <v>-6.5</v>
      </c>
      <c r="F9" s="3">
        <f>Data!BH9</f>
        <v>80.599999999999994</v>
      </c>
      <c r="G9" s="3">
        <f>Data!N9</f>
        <v>0</v>
      </c>
      <c r="H9" s="17">
        <f>Data!AY9</f>
        <v>770</v>
      </c>
      <c r="I9" s="13">
        <f t="shared" si="0"/>
        <v>0</v>
      </c>
      <c r="K9" s="27">
        <f t="shared" si="7"/>
        <v>0</v>
      </c>
      <c r="M9" s="22">
        <f t="shared" si="8"/>
        <v>0</v>
      </c>
      <c r="N9" s="22">
        <f t="shared" si="8"/>
        <v>2.6</v>
      </c>
      <c r="P9" s="19">
        <f t="shared" si="9"/>
        <v>0.24274285714285718</v>
      </c>
      <c r="Q9" s="19">
        <f t="shared" si="3"/>
        <v>0.24274285714285718</v>
      </c>
      <c r="R9" s="17">
        <f t="shared" si="4"/>
        <v>186.91200000000003</v>
      </c>
      <c r="S9" s="22">
        <f t="shared" si="5"/>
        <v>0</v>
      </c>
      <c r="T9" s="22">
        <f t="shared" si="6"/>
        <v>0</v>
      </c>
    </row>
    <row r="10" spans="1:20" x14ac:dyDescent="0.2">
      <c r="A10" s="15">
        <f>Data!A10</f>
        <v>45662</v>
      </c>
      <c r="B10" s="1">
        <v>5</v>
      </c>
      <c r="C10" s="16">
        <f>ROUND(Data!BB10,2)</f>
        <v>1.81</v>
      </c>
      <c r="D10" s="3">
        <f>ROUND(Data!P10,1)</f>
        <v>-1.1000000000000001</v>
      </c>
      <c r="E10" s="3">
        <f>ROUND(Data!Y10,1)</f>
        <v>-5.5</v>
      </c>
      <c r="F10" s="3">
        <f>Data!BH10</f>
        <v>84.8</v>
      </c>
      <c r="G10" s="3">
        <f>Data!N10</f>
        <v>0</v>
      </c>
      <c r="H10" s="17">
        <f>Data!AY10</f>
        <v>739.00000000000034</v>
      </c>
      <c r="I10" s="13">
        <f t="shared" si="0"/>
        <v>0</v>
      </c>
      <c r="K10" s="27">
        <f t="shared" si="7"/>
        <v>0</v>
      </c>
      <c r="M10" s="22">
        <f t="shared" si="8"/>
        <v>0</v>
      </c>
      <c r="N10" s="22">
        <f t="shared" si="8"/>
        <v>2.6</v>
      </c>
      <c r="P10" s="19">
        <f t="shared" si="9"/>
        <v>0.25292557510148844</v>
      </c>
      <c r="Q10" s="19">
        <f t="shared" si="3"/>
        <v>0.25292557510148844</v>
      </c>
      <c r="R10" s="17">
        <f t="shared" si="4"/>
        <v>186.91200000000003</v>
      </c>
      <c r="S10" s="22">
        <f t="shared" si="5"/>
        <v>0</v>
      </c>
      <c r="T10" s="22">
        <f t="shared" si="6"/>
        <v>0</v>
      </c>
    </row>
    <row r="11" spans="1:20" x14ac:dyDescent="0.2">
      <c r="A11" s="15">
        <f>Data!A11</f>
        <v>45663</v>
      </c>
      <c r="B11" s="1">
        <v>6</v>
      </c>
      <c r="C11" s="16">
        <f>ROUND(Data!BB11,2)</f>
        <v>1.4</v>
      </c>
      <c r="D11" s="3">
        <f>ROUND(Data!P11,1)</f>
        <v>-3.7</v>
      </c>
      <c r="E11" s="3">
        <f>ROUND(Data!Y11,1)</f>
        <v>-7.9</v>
      </c>
      <c r="F11" s="3">
        <f>Data!BH11</f>
        <v>88.5</v>
      </c>
      <c r="G11" s="3">
        <f>Data!N11</f>
        <v>0</v>
      </c>
      <c r="H11" s="17">
        <f>Data!AY11</f>
        <v>719.00000000000034</v>
      </c>
      <c r="I11" s="13">
        <f t="shared" si="0"/>
        <v>0</v>
      </c>
      <c r="K11" s="27">
        <f t="shared" si="7"/>
        <v>0</v>
      </c>
      <c r="M11" s="22">
        <f t="shared" si="8"/>
        <v>0</v>
      </c>
      <c r="N11" s="22">
        <f t="shared" si="8"/>
        <v>2.6</v>
      </c>
      <c r="P11" s="19">
        <f t="shared" si="9"/>
        <v>0.25996105702364386</v>
      </c>
      <c r="Q11" s="19">
        <f t="shared" si="3"/>
        <v>0.25996105702364386</v>
      </c>
      <c r="R11" s="17">
        <f t="shared" si="4"/>
        <v>186.91200000000003</v>
      </c>
      <c r="S11" s="22">
        <f t="shared" si="5"/>
        <v>0</v>
      </c>
      <c r="T11" s="22">
        <f t="shared" si="6"/>
        <v>0</v>
      </c>
    </row>
    <row r="12" spans="1:20" x14ac:dyDescent="0.2">
      <c r="A12" s="15">
        <f>Data!A12</f>
        <v>45664</v>
      </c>
      <c r="B12" s="1">
        <v>7</v>
      </c>
      <c r="C12" s="16">
        <f>ROUND(Data!BB12,2)</f>
        <v>1.77</v>
      </c>
      <c r="D12" s="3">
        <f>ROUND(Data!P12,1)</f>
        <v>-4.5999999999999996</v>
      </c>
      <c r="E12" s="3">
        <f>ROUND(Data!Y12,1)</f>
        <v>-10.6</v>
      </c>
      <c r="F12" s="3">
        <f>Data!BH12</f>
        <v>90</v>
      </c>
      <c r="G12" s="3">
        <f>Data!N12</f>
        <v>0</v>
      </c>
      <c r="H12" s="17">
        <f>Data!AY12</f>
        <v>729.00000000000011</v>
      </c>
      <c r="I12" s="13">
        <f t="shared" si="0"/>
        <v>1.3</v>
      </c>
      <c r="K12" s="27">
        <f t="shared" si="7"/>
        <v>1.3</v>
      </c>
      <c r="M12" s="22">
        <f t="shared" si="8"/>
        <v>0</v>
      </c>
      <c r="N12" s="22">
        <f t="shared" si="8"/>
        <v>3.9000000000000004</v>
      </c>
      <c r="P12" s="19">
        <f t="shared" si="9"/>
        <v>0.2581783264746228</v>
      </c>
      <c r="Q12" s="19">
        <f t="shared" si="3"/>
        <v>0.2581783264746228</v>
      </c>
      <c r="R12" s="17">
        <f t="shared" si="4"/>
        <v>188.21200000000005</v>
      </c>
      <c r="S12" s="22">
        <f t="shared" si="5"/>
        <v>1.3000000000000114</v>
      </c>
      <c r="T12" s="22">
        <f t="shared" si="6"/>
        <v>0</v>
      </c>
    </row>
    <row r="13" spans="1:20" x14ac:dyDescent="0.2">
      <c r="A13" s="15">
        <f>Data!A13</f>
        <v>45665</v>
      </c>
      <c r="B13" s="1">
        <v>8</v>
      </c>
      <c r="C13" s="16">
        <f>ROUND(Data!BB13,2)</f>
        <v>1.21</v>
      </c>
      <c r="D13" s="3">
        <f>ROUND(Data!P13,1)</f>
        <v>-2.4</v>
      </c>
      <c r="E13" s="3">
        <f>ROUND(Data!Y13,1)</f>
        <v>-7.7</v>
      </c>
      <c r="F13" s="3">
        <f>Data!BH13</f>
        <v>92.1</v>
      </c>
      <c r="G13" s="3">
        <f>Data!N13</f>
        <v>0</v>
      </c>
      <c r="H13" s="17">
        <f>Data!AY13</f>
        <v>731.00000000000034</v>
      </c>
      <c r="I13" s="13">
        <f t="shared" si="0"/>
        <v>0.3</v>
      </c>
      <c r="K13" s="27">
        <f t="shared" si="7"/>
        <v>0.3</v>
      </c>
      <c r="M13" s="22">
        <f t="shared" si="8"/>
        <v>0</v>
      </c>
      <c r="N13" s="22">
        <f t="shared" si="8"/>
        <v>4.2</v>
      </c>
      <c r="P13" s="19">
        <f t="shared" si="9"/>
        <v>0.25788235294117645</v>
      </c>
      <c r="Q13" s="19">
        <f t="shared" si="3"/>
        <v>0.25788235294117645</v>
      </c>
      <c r="R13" s="17">
        <f t="shared" si="4"/>
        <v>188.51200000000009</v>
      </c>
      <c r="S13" s="22">
        <f t="shared" si="5"/>
        <v>0.30000000000003979</v>
      </c>
      <c r="T13" s="22">
        <f t="shared" si="6"/>
        <v>0</v>
      </c>
    </row>
    <row r="14" spans="1:20" x14ac:dyDescent="0.2">
      <c r="A14" s="15">
        <f>Data!A14</f>
        <v>45666</v>
      </c>
      <c r="B14" s="1">
        <v>9</v>
      </c>
      <c r="C14" s="16">
        <f>ROUND(Data!BB14,2)</f>
        <v>2.16</v>
      </c>
      <c r="D14" s="3">
        <f>ROUND(Data!P14,1)</f>
        <v>-0.7</v>
      </c>
      <c r="E14" s="3">
        <f>ROUND(Data!Y14,1)</f>
        <v>-11.7</v>
      </c>
      <c r="F14" s="3">
        <f>Data!BH14</f>
        <v>83.6</v>
      </c>
      <c r="G14" s="3">
        <f>Data!N14</f>
        <v>0</v>
      </c>
      <c r="H14" s="17">
        <f>Data!AY14</f>
        <v>710.00000000000045</v>
      </c>
      <c r="I14" s="13">
        <f t="shared" si="0"/>
        <v>0</v>
      </c>
      <c r="K14" s="27">
        <f t="shared" si="7"/>
        <v>0</v>
      </c>
      <c r="M14" s="22">
        <f t="shared" si="8"/>
        <v>0</v>
      </c>
      <c r="N14" s="22">
        <f t="shared" si="8"/>
        <v>4.2</v>
      </c>
      <c r="P14" s="19">
        <f t="shared" si="9"/>
        <v>0.26550985915492953</v>
      </c>
      <c r="Q14" s="19">
        <f t="shared" si="3"/>
        <v>0.26550985915492953</v>
      </c>
      <c r="R14" s="17">
        <f t="shared" si="4"/>
        <v>188.51200000000009</v>
      </c>
      <c r="S14" s="22">
        <f t="shared" si="5"/>
        <v>0</v>
      </c>
      <c r="T14" s="22">
        <f t="shared" si="6"/>
        <v>0</v>
      </c>
    </row>
    <row r="15" spans="1:20" x14ac:dyDescent="0.2">
      <c r="A15" s="15">
        <f>Data!A15</f>
        <v>45667</v>
      </c>
      <c r="B15" s="1">
        <v>10</v>
      </c>
      <c r="C15" s="16">
        <f>ROUND(Data!BB15,2)</f>
        <v>1.03</v>
      </c>
      <c r="D15" s="3">
        <f>ROUND(Data!P15,1)</f>
        <v>-3.7</v>
      </c>
      <c r="E15" s="3">
        <f>ROUND(Data!Y15,1)</f>
        <v>-6.7</v>
      </c>
      <c r="F15" s="3">
        <f>Data!BH15</f>
        <v>92</v>
      </c>
      <c r="G15" s="3">
        <f>Data!N15</f>
        <v>0</v>
      </c>
      <c r="H15" s="17">
        <f>Data!AY15</f>
        <v>816.00000000000023</v>
      </c>
      <c r="I15" s="13">
        <f t="shared" si="0"/>
        <v>13.8</v>
      </c>
      <c r="K15" s="27">
        <f t="shared" si="7"/>
        <v>13.8</v>
      </c>
      <c r="M15" s="22">
        <f t="shared" si="8"/>
        <v>0</v>
      </c>
      <c r="N15" s="22">
        <f t="shared" si="8"/>
        <v>18</v>
      </c>
      <c r="P15" s="19">
        <f t="shared" si="9"/>
        <v>0.24793137254901965</v>
      </c>
      <c r="Q15" s="19">
        <f t="shared" si="3"/>
        <v>0.24793137254901965</v>
      </c>
      <c r="R15" s="17">
        <f t="shared" si="4"/>
        <v>202.3120000000001</v>
      </c>
      <c r="S15" s="22">
        <f t="shared" si="5"/>
        <v>13.800000000000011</v>
      </c>
      <c r="T15" s="22">
        <f t="shared" si="6"/>
        <v>0</v>
      </c>
    </row>
    <row r="16" spans="1:20" x14ac:dyDescent="0.2">
      <c r="A16" s="15">
        <f>Data!A16</f>
        <v>45668</v>
      </c>
      <c r="B16" s="1">
        <v>11</v>
      </c>
      <c r="C16" s="16">
        <f>ROUND(Data!BB16,2)</f>
        <v>0.86</v>
      </c>
      <c r="D16" s="3">
        <f>ROUND(Data!P16,1)</f>
        <v>-3.9</v>
      </c>
      <c r="E16" s="3">
        <f>ROUND(Data!Y16,1)</f>
        <v>-5.5</v>
      </c>
      <c r="F16" s="3">
        <f>Data!BH16</f>
        <v>92.3</v>
      </c>
      <c r="G16" s="3">
        <f>Data!N16</f>
        <v>0</v>
      </c>
      <c r="H16" s="17">
        <f>Data!AY16</f>
        <v>803.00000000000034</v>
      </c>
      <c r="I16" s="13">
        <f t="shared" si="0"/>
        <v>0</v>
      </c>
      <c r="K16" s="27">
        <f t="shared" si="7"/>
        <v>0</v>
      </c>
      <c r="M16" s="22">
        <f t="shared" si="8"/>
        <v>0</v>
      </c>
      <c r="N16" s="22">
        <f t="shared" si="8"/>
        <v>18</v>
      </c>
      <c r="P16" s="19">
        <f t="shared" si="9"/>
        <v>0.25194520547945209</v>
      </c>
      <c r="Q16" s="19">
        <f t="shared" si="3"/>
        <v>0.25194520547945209</v>
      </c>
      <c r="R16" s="17">
        <f t="shared" si="4"/>
        <v>202.31200000000013</v>
      </c>
      <c r="S16" s="22">
        <f t="shared" si="5"/>
        <v>0</v>
      </c>
      <c r="T16" s="22">
        <f t="shared" si="6"/>
        <v>0</v>
      </c>
    </row>
    <row r="17" spans="1:20" x14ac:dyDescent="0.2">
      <c r="A17" s="15">
        <f>Data!A17</f>
        <v>45669</v>
      </c>
      <c r="B17" s="1">
        <v>12</v>
      </c>
      <c r="C17" s="16">
        <f>ROUND(Data!BB17,2)</f>
        <v>1.07</v>
      </c>
      <c r="D17" s="3">
        <f>ROUND(Data!P17,1)</f>
        <v>-4.2</v>
      </c>
      <c r="E17" s="3">
        <f>ROUND(Data!Y17,1)</f>
        <v>-8.9</v>
      </c>
      <c r="F17" s="3">
        <f>Data!BH17</f>
        <v>88.5</v>
      </c>
      <c r="G17" s="3">
        <f>Data!N17</f>
        <v>0</v>
      </c>
      <c r="H17" s="17">
        <f>Data!AY17</f>
        <v>778</v>
      </c>
      <c r="I17" s="13">
        <f t="shared" si="0"/>
        <v>0</v>
      </c>
      <c r="K17" s="27">
        <f t="shared" si="7"/>
        <v>0</v>
      </c>
      <c r="M17" s="22">
        <f t="shared" si="8"/>
        <v>0</v>
      </c>
      <c r="N17" s="22">
        <f t="shared" si="8"/>
        <v>18</v>
      </c>
      <c r="P17" s="19">
        <f t="shared" si="9"/>
        <v>0.26004113110539862</v>
      </c>
      <c r="Q17" s="19">
        <f t="shared" si="3"/>
        <v>0.26004113110539862</v>
      </c>
      <c r="R17" s="17">
        <f t="shared" si="4"/>
        <v>202.31200000000013</v>
      </c>
      <c r="S17" s="22">
        <f t="shared" si="5"/>
        <v>0</v>
      </c>
      <c r="T17" s="22">
        <f t="shared" si="6"/>
        <v>0</v>
      </c>
    </row>
    <row r="18" spans="1:20" x14ac:dyDescent="0.2">
      <c r="A18" s="15">
        <f>Data!A18</f>
        <v>45670</v>
      </c>
      <c r="B18" s="1">
        <v>13</v>
      </c>
      <c r="C18" s="16">
        <f>ROUND(Data!BB18,2)</f>
        <v>3.15</v>
      </c>
      <c r="D18" s="3">
        <f>ROUND(Data!P18,1)</f>
        <v>-1.4</v>
      </c>
      <c r="E18" s="3">
        <f>ROUND(Data!Y18,1)</f>
        <v>-14</v>
      </c>
      <c r="F18" s="3">
        <f>Data!BH18</f>
        <v>73.2</v>
      </c>
      <c r="G18" s="3">
        <f>Data!N18</f>
        <v>0</v>
      </c>
      <c r="H18" s="17">
        <f>Data!AY18</f>
        <v>767.00000000000034</v>
      </c>
      <c r="I18" s="13">
        <f t="shared" si="0"/>
        <v>0</v>
      </c>
      <c r="K18" s="27">
        <f t="shared" si="7"/>
        <v>0</v>
      </c>
      <c r="M18" s="22">
        <f t="shared" si="8"/>
        <v>0</v>
      </c>
      <c r="N18" s="22">
        <f t="shared" si="8"/>
        <v>18</v>
      </c>
      <c r="P18" s="19">
        <f t="shared" si="9"/>
        <v>0.26377053455019561</v>
      </c>
      <c r="Q18" s="19">
        <f t="shared" si="3"/>
        <v>0.26377053455019561</v>
      </c>
      <c r="R18" s="17">
        <f t="shared" si="4"/>
        <v>202.31200000000013</v>
      </c>
      <c r="S18" s="22">
        <f t="shared" si="5"/>
        <v>0</v>
      </c>
      <c r="T18" s="22">
        <f t="shared" si="6"/>
        <v>0</v>
      </c>
    </row>
    <row r="19" spans="1:20" x14ac:dyDescent="0.2">
      <c r="A19" s="15">
        <f>Data!A19</f>
        <v>45671</v>
      </c>
      <c r="B19" s="1">
        <v>14</v>
      </c>
      <c r="C19" s="16">
        <f>ROUND(Data!BB19,2)</f>
        <v>2.4500000000000002</v>
      </c>
      <c r="D19" s="3">
        <f>ROUND(Data!P19,1)</f>
        <v>1.2</v>
      </c>
      <c r="E19" s="3">
        <f>ROUND(Data!Y19,1)</f>
        <v>-11.7</v>
      </c>
      <c r="F19" s="3">
        <f>Data!BH19</f>
        <v>74.3</v>
      </c>
      <c r="G19" s="3">
        <f>Data!N19</f>
        <v>0</v>
      </c>
      <c r="H19" s="17">
        <f>Data!AY19</f>
        <v>754</v>
      </c>
      <c r="I19" s="13">
        <f t="shared" si="0"/>
        <v>0</v>
      </c>
      <c r="K19" s="27">
        <f t="shared" si="7"/>
        <v>0</v>
      </c>
      <c r="M19" s="22">
        <f t="shared" si="8"/>
        <v>0</v>
      </c>
      <c r="N19" s="22">
        <f t="shared" si="8"/>
        <v>18</v>
      </c>
      <c r="P19" s="19">
        <f t="shared" si="9"/>
        <v>0.26831830238726806</v>
      </c>
      <c r="Q19" s="19">
        <f t="shared" si="3"/>
        <v>0.26831830238726806</v>
      </c>
      <c r="R19" s="17">
        <f t="shared" si="4"/>
        <v>202.31200000000013</v>
      </c>
      <c r="S19" s="22">
        <f t="shared" si="5"/>
        <v>0</v>
      </c>
      <c r="T19" s="22">
        <f t="shared" si="6"/>
        <v>0</v>
      </c>
    </row>
    <row r="20" spans="1:20" x14ac:dyDescent="0.2">
      <c r="A20" s="15">
        <f>Data!A20</f>
        <v>45672</v>
      </c>
      <c r="B20" s="1">
        <v>15</v>
      </c>
      <c r="C20" s="16">
        <f>ROUND(Data!BB20,2)</f>
        <v>4.2</v>
      </c>
      <c r="D20" s="3">
        <f>ROUND(Data!P20,1)</f>
        <v>5.7</v>
      </c>
      <c r="E20" s="3">
        <f>ROUND(Data!Y20,1)</f>
        <v>-8.6999999999999993</v>
      </c>
      <c r="F20" s="3">
        <f>Data!BH20</f>
        <v>67.400000000000006</v>
      </c>
      <c r="G20" s="3">
        <f>Data!N20</f>
        <v>0</v>
      </c>
      <c r="H20" s="17">
        <f>Data!AY20</f>
        <v>736.00000000000023</v>
      </c>
      <c r="I20" s="13">
        <f t="shared" si="0"/>
        <v>0</v>
      </c>
      <c r="K20" s="27">
        <f t="shared" si="7"/>
        <v>0</v>
      </c>
      <c r="M20" s="22">
        <f t="shared" si="8"/>
        <v>0</v>
      </c>
      <c r="N20" s="22">
        <f t="shared" si="8"/>
        <v>18</v>
      </c>
      <c r="P20" s="19">
        <f t="shared" si="9"/>
        <v>0.27488043478260876</v>
      </c>
      <c r="Q20" s="19">
        <f t="shared" si="3"/>
        <v>0.27488043478260876</v>
      </c>
      <c r="R20" s="17">
        <f t="shared" si="4"/>
        <v>202.31200000000013</v>
      </c>
      <c r="S20" s="22">
        <f t="shared" si="5"/>
        <v>0</v>
      </c>
      <c r="T20" s="22">
        <f t="shared" si="6"/>
        <v>0</v>
      </c>
    </row>
    <row r="21" spans="1:20" x14ac:dyDescent="0.2">
      <c r="A21" s="15">
        <f>Data!A21</f>
        <v>45673</v>
      </c>
      <c r="B21" s="1">
        <v>16</v>
      </c>
      <c r="C21" s="16">
        <f>ROUND(Data!BB21,2)</f>
        <v>1.82</v>
      </c>
      <c r="D21" s="3">
        <f>ROUND(Data!P21,1)</f>
        <v>-0.7</v>
      </c>
      <c r="E21" s="3">
        <f>ROUND(Data!Y21,1)</f>
        <v>-8.3000000000000007</v>
      </c>
      <c r="F21" s="3">
        <f>Data!BH21</f>
        <v>72.599999999999994</v>
      </c>
      <c r="G21" s="3">
        <f>Data!N21</f>
        <v>0</v>
      </c>
      <c r="H21" s="17">
        <f>Data!AY21</f>
        <v>741.00000000000011</v>
      </c>
      <c r="I21" s="13">
        <f t="shared" si="0"/>
        <v>0.6</v>
      </c>
      <c r="K21" s="27">
        <f t="shared" si="7"/>
        <v>0.6</v>
      </c>
      <c r="M21" s="22">
        <f t="shared" si="8"/>
        <v>0</v>
      </c>
      <c r="N21" s="22">
        <f t="shared" si="8"/>
        <v>18.600000000000001</v>
      </c>
      <c r="P21" s="19">
        <f t="shared" si="9"/>
        <v>0.27383535762483141</v>
      </c>
      <c r="Q21" s="19">
        <f t="shared" si="3"/>
        <v>0.27383535762483141</v>
      </c>
      <c r="R21" s="17">
        <f t="shared" si="4"/>
        <v>202.91200000000012</v>
      </c>
      <c r="S21" s="22">
        <f t="shared" si="5"/>
        <v>0.59999999999999432</v>
      </c>
      <c r="T21" s="22">
        <f t="shared" si="6"/>
        <v>0</v>
      </c>
    </row>
    <row r="22" spans="1:20" x14ac:dyDescent="0.2">
      <c r="A22" s="15">
        <f>Data!A22</f>
        <v>45674</v>
      </c>
      <c r="B22" s="1">
        <v>17</v>
      </c>
      <c r="C22" s="16">
        <f>ROUND(Data!BB22,2)</f>
        <v>0.98</v>
      </c>
      <c r="D22" s="3">
        <f>ROUND(Data!P22,1)</f>
        <v>-7.7</v>
      </c>
      <c r="E22" s="3">
        <f>ROUND(Data!Y22,1)</f>
        <v>-10.4</v>
      </c>
      <c r="F22" s="3">
        <f>Data!BH22</f>
        <v>83</v>
      </c>
      <c r="G22" s="3">
        <f>Data!N22</f>
        <v>0</v>
      </c>
      <c r="H22" s="17">
        <f>Data!AY22</f>
        <v>739.00000000000034</v>
      </c>
      <c r="I22" s="13">
        <f t="shared" si="0"/>
        <v>0</v>
      </c>
      <c r="K22" s="27">
        <f t="shared" si="7"/>
        <v>0</v>
      </c>
      <c r="M22" s="22">
        <f t="shared" si="8"/>
        <v>0</v>
      </c>
      <c r="N22" s="22">
        <f t="shared" si="8"/>
        <v>18.600000000000001</v>
      </c>
      <c r="P22" s="19">
        <f t="shared" si="9"/>
        <v>0.27457645466847092</v>
      </c>
      <c r="Q22" s="19">
        <f t="shared" si="3"/>
        <v>0.27457645466847092</v>
      </c>
      <c r="R22" s="17">
        <f t="shared" si="4"/>
        <v>202.91200000000009</v>
      </c>
      <c r="S22" s="22">
        <f t="shared" si="5"/>
        <v>0</v>
      </c>
      <c r="T22" s="22">
        <f t="shared" si="6"/>
        <v>0</v>
      </c>
    </row>
    <row r="23" spans="1:20" x14ac:dyDescent="0.2">
      <c r="A23" s="15">
        <f>Data!A23</f>
        <v>45675</v>
      </c>
      <c r="B23" s="1">
        <v>18</v>
      </c>
      <c r="C23" s="16">
        <f>ROUND(Data!BB23,2)</f>
        <v>3.91</v>
      </c>
      <c r="D23" s="3">
        <f>ROUND(Data!P23,1)</f>
        <v>-9.4</v>
      </c>
      <c r="E23" s="3">
        <f>ROUND(Data!Y23,1)</f>
        <v>-15.3</v>
      </c>
      <c r="F23" s="3">
        <f>Data!BH23</f>
        <v>79.099999999999994</v>
      </c>
      <c r="G23" s="3">
        <f>Data!N23</f>
        <v>0</v>
      </c>
      <c r="H23" s="17">
        <f>Data!AY23</f>
        <v>726.00000000000045</v>
      </c>
      <c r="I23" s="13">
        <f t="shared" si="0"/>
        <v>0</v>
      </c>
      <c r="K23" s="27">
        <f t="shared" si="7"/>
        <v>0</v>
      </c>
      <c r="M23" s="22">
        <f t="shared" si="8"/>
        <v>0</v>
      </c>
      <c r="N23" s="22">
        <f t="shared" si="8"/>
        <v>18.600000000000001</v>
      </c>
      <c r="P23" s="19">
        <f t="shared" si="9"/>
        <v>0.27949311294765833</v>
      </c>
      <c r="Q23" s="19">
        <f t="shared" si="3"/>
        <v>0.27949311294765833</v>
      </c>
      <c r="R23" s="17">
        <f t="shared" si="4"/>
        <v>202.91200000000006</v>
      </c>
      <c r="S23" s="22">
        <f t="shared" si="5"/>
        <v>0</v>
      </c>
      <c r="T23" s="22">
        <f t="shared" si="6"/>
        <v>0</v>
      </c>
    </row>
    <row r="24" spans="1:20" x14ac:dyDescent="0.2">
      <c r="A24" s="15">
        <f>Data!A24</f>
        <v>45676</v>
      </c>
      <c r="B24" s="1">
        <v>19</v>
      </c>
      <c r="C24" s="16">
        <f>ROUND(Data!BB24,2)</f>
        <v>4.57</v>
      </c>
      <c r="D24" s="3">
        <f>ROUND(Data!P24,1)</f>
        <v>-9.3000000000000007</v>
      </c>
      <c r="E24" s="3">
        <f>ROUND(Data!Y24,1)</f>
        <v>-18.5</v>
      </c>
      <c r="F24" s="3">
        <f>Data!BH24</f>
        <v>77.5</v>
      </c>
      <c r="G24" s="3">
        <f>Data!N24</f>
        <v>0</v>
      </c>
      <c r="H24" s="17">
        <f>Data!AY24</f>
        <v>725.00000000000011</v>
      </c>
      <c r="I24" s="13">
        <f t="shared" si="0"/>
        <v>0</v>
      </c>
      <c r="K24" s="27">
        <f t="shared" si="7"/>
        <v>0</v>
      </c>
      <c r="M24" s="22">
        <f t="shared" ref="M24:N39" si="10">J24+M23</f>
        <v>0</v>
      </c>
      <c r="N24" s="22">
        <f t="shared" si="10"/>
        <v>18.600000000000001</v>
      </c>
      <c r="P24" s="19">
        <f t="shared" si="9"/>
        <v>0.27987862068965519</v>
      </c>
      <c r="Q24" s="19">
        <f t="shared" si="3"/>
        <v>0.27987862068965519</v>
      </c>
      <c r="R24" s="17">
        <f t="shared" si="4"/>
        <v>202.91200000000003</v>
      </c>
      <c r="S24" s="22">
        <f t="shared" si="5"/>
        <v>0</v>
      </c>
      <c r="T24" s="22">
        <f t="shared" si="6"/>
        <v>0</v>
      </c>
    </row>
    <row r="25" spans="1:20" x14ac:dyDescent="0.2">
      <c r="A25" s="15">
        <f>Data!A25</f>
        <v>45677</v>
      </c>
      <c r="B25" s="1">
        <v>20</v>
      </c>
      <c r="C25" s="16">
        <f>ROUND(Data!BB25,2)</f>
        <v>4.7699999999999996</v>
      </c>
      <c r="D25" s="3">
        <f>ROUND(Data!P25,1)</f>
        <v>-8.6999999999999993</v>
      </c>
      <c r="E25" s="3">
        <f>ROUND(Data!Y25,1)</f>
        <v>-15.1</v>
      </c>
      <c r="F25" s="3">
        <f>Data!BH25</f>
        <v>76.3</v>
      </c>
      <c r="G25" s="3">
        <f>Data!N25</f>
        <v>0</v>
      </c>
      <c r="H25" s="17">
        <f>Data!AY25</f>
        <v>723.00000000000034</v>
      </c>
      <c r="I25" s="13">
        <f t="shared" si="0"/>
        <v>0</v>
      </c>
      <c r="K25" s="27">
        <f t="shared" si="7"/>
        <v>0</v>
      </c>
      <c r="M25" s="22">
        <f t="shared" si="10"/>
        <v>0</v>
      </c>
      <c r="N25" s="22">
        <f t="shared" si="10"/>
        <v>18.600000000000001</v>
      </c>
      <c r="P25" s="19">
        <f t="shared" si="9"/>
        <v>0.28065283540802205</v>
      </c>
      <c r="Q25" s="19">
        <f t="shared" si="3"/>
        <v>0.28065283540802205</v>
      </c>
      <c r="R25" s="17">
        <f t="shared" si="4"/>
        <v>202.91200000000003</v>
      </c>
      <c r="S25" s="22">
        <f t="shared" si="5"/>
        <v>0</v>
      </c>
      <c r="T25" s="22">
        <f t="shared" si="6"/>
        <v>0</v>
      </c>
    </row>
    <row r="26" spans="1:20" x14ac:dyDescent="0.2">
      <c r="A26" s="15">
        <f>Data!A26</f>
        <v>45678</v>
      </c>
      <c r="B26" s="1">
        <v>21</v>
      </c>
      <c r="C26" s="16">
        <f>ROUND(Data!BB26,2)</f>
        <v>1.01</v>
      </c>
      <c r="D26" s="3">
        <f>ROUND(Data!P26,1)</f>
        <v>-8.3000000000000007</v>
      </c>
      <c r="E26" s="3">
        <f>ROUND(Data!Y26,1)</f>
        <v>-16.5</v>
      </c>
      <c r="F26" s="3">
        <f>Data!BH26</f>
        <v>86.3</v>
      </c>
      <c r="G26" s="3">
        <f>Data!N26</f>
        <v>0</v>
      </c>
      <c r="H26" s="17">
        <f>Data!AY26</f>
        <v>720.00000000000023</v>
      </c>
      <c r="I26" s="13">
        <f t="shared" si="0"/>
        <v>0</v>
      </c>
      <c r="K26" s="27">
        <f t="shared" si="7"/>
        <v>0</v>
      </c>
      <c r="M26" s="22">
        <f t="shared" si="10"/>
        <v>0</v>
      </c>
      <c r="N26" s="22">
        <f t="shared" si="10"/>
        <v>18.600000000000001</v>
      </c>
      <c r="P26" s="19">
        <f t="shared" si="9"/>
        <v>0.2818222222222222</v>
      </c>
      <c r="Q26" s="19">
        <f t="shared" si="3"/>
        <v>0.2818222222222222</v>
      </c>
      <c r="R26" s="17">
        <f t="shared" si="4"/>
        <v>202.91200000000003</v>
      </c>
      <c r="S26" s="22">
        <f t="shared" si="5"/>
        <v>0</v>
      </c>
      <c r="T26" s="22">
        <f t="shared" si="6"/>
        <v>0</v>
      </c>
    </row>
    <row r="27" spans="1:20" x14ac:dyDescent="0.2">
      <c r="A27" s="15">
        <f>Data!A27</f>
        <v>45679</v>
      </c>
      <c r="B27" s="1">
        <v>22</v>
      </c>
      <c r="C27" s="16">
        <f>ROUND(Data!BB27,2)</f>
        <v>5.24</v>
      </c>
      <c r="D27" s="3">
        <f>ROUND(Data!P27,1)</f>
        <v>-4.5999999999999996</v>
      </c>
      <c r="E27" s="3">
        <f>ROUND(Data!Y27,1)</f>
        <v>-21.2</v>
      </c>
      <c r="F27" s="3">
        <f>Data!BH27</f>
        <v>73.400000000000006</v>
      </c>
      <c r="G27" s="3">
        <f>Data!N27</f>
        <v>0</v>
      </c>
      <c r="H27" s="17">
        <f>Data!AY27</f>
        <v>735.00000000000034</v>
      </c>
      <c r="I27" s="13">
        <f t="shared" si="0"/>
        <v>2</v>
      </c>
      <c r="K27" s="27">
        <f t="shared" si="7"/>
        <v>2</v>
      </c>
      <c r="M27" s="22">
        <f t="shared" si="10"/>
        <v>0</v>
      </c>
      <c r="N27" s="22">
        <f t="shared" si="10"/>
        <v>20.6</v>
      </c>
      <c r="P27" s="19">
        <f t="shared" si="9"/>
        <v>0.27879183673469382</v>
      </c>
      <c r="Q27" s="19">
        <f t="shared" si="3"/>
        <v>0.27879183673469382</v>
      </c>
      <c r="R27" s="17">
        <f t="shared" si="4"/>
        <v>204.91200000000006</v>
      </c>
      <c r="S27" s="22">
        <f t="shared" si="5"/>
        <v>2.0000000000000284</v>
      </c>
      <c r="T27" s="22">
        <f t="shared" si="6"/>
        <v>0</v>
      </c>
    </row>
    <row r="28" spans="1:20" x14ac:dyDescent="0.2">
      <c r="A28" s="15">
        <f>Data!A28</f>
        <v>45680</v>
      </c>
      <c r="B28" s="1">
        <v>23</v>
      </c>
      <c r="C28" s="16">
        <f>ROUND(Data!BB28,2)</f>
        <v>1.1399999999999999</v>
      </c>
      <c r="D28" s="3">
        <f>ROUND(Data!P28,1)</f>
        <v>-6</v>
      </c>
      <c r="E28" s="3">
        <f>ROUND(Data!Y28,1)</f>
        <v>-13.8</v>
      </c>
      <c r="F28" s="3">
        <f>Data!BH28</f>
        <v>87.6</v>
      </c>
      <c r="G28" s="3">
        <f>Data!N28</f>
        <v>0</v>
      </c>
      <c r="H28" s="17">
        <f>Data!AY28</f>
        <v>777.00000000000011</v>
      </c>
      <c r="I28" s="13">
        <f t="shared" si="0"/>
        <v>5.5</v>
      </c>
      <c r="K28" s="27">
        <f t="shared" si="7"/>
        <v>5.5</v>
      </c>
      <c r="M28" s="22">
        <f t="shared" si="10"/>
        <v>0</v>
      </c>
      <c r="N28" s="22">
        <f t="shared" si="10"/>
        <v>26.1</v>
      </c>
      <c r="P28" s="19">
        <f t="shared" si="9"/>
        <v>0.27080051480051487</v>
      </c>
      <c r="Q28" s="19">
        <f t="shared" si="3"/>
        <v>0.27080051480051487</v>
      </c>
      <c r="R28" s="17">
        <f t="shared" si="4"/>
        <v>210.41200000000009</v>
      </c>
      <c r="S28" s="22">
        <f t="shared" si="5"/>
        <v>5.5000000000000284</v>
      </c>
      <c r="T28" s="22">
        <f t="shared" si="6"/>
        <v>0</v>
      </c>
    </row>
    <row r="29" spans="1:20" x14ac:dyDescent="0.2">
      <c r="A29" s="15">
        <f>Data!A29</f>
        <v>45681</v>
      </c>
      <c r="B29" s="1">
        <v>24</v>
      </c>
      <c r="C29" s="16">
        <f>ROUND(Data!BB29,2)</f>
        <v>2.17</v>
      </c>
      <c r="D29" s="3">
        <f>ROUND(Data!P29,1)</f>
        <v>-7.2</v>
      </c>
      <c r="E29" s="3">
        <f>ROUND(Data!Y29,1)</f>
        <v>-20.100000000000001</v>
      </c>
      <c r="F29" s="3">
        <f>Data!BH29</f>
        <v>82.7</v>
      </c>
      <c r="G29" s="3">
        <f>Data!N29</f>
        <v>0</v>
      </c>
      <c r="H29" s="17">
        <f>Data!AY29</f>
        <v>767.00000000000034</v>
      </c>
      <c r="I29" s="13">
        <f t="shared" si="0"/>
        <v>0</v>
      </c>
      <c r="K29" s="27">
        <f t="shared" si="7"/>
        <v>0</v>
      </c>
      <c r="M29" s="22">
        <f t="shared" si="10"/>
        <v>0</v>
      </c>
      <c r="N29" s="22">
        <f t="shared" si="10"/>
        <v>26.1</v>
      </c>
      <c r="P29" s="19">
        <f t="shared" si="9"/>
        <v>0.27433116036505867</v>
      </c>
      <c r="Q29" s="19">
        <f t="shared" si="3"/>
        <v>0.27433116036505867</v>
      </c>
      <c r="R29" s="17">
        <f t="shared" si="4"/>
        <v>210.41200000000009</v>
      </c>
      <c r="S29" s="22">
        <f t="shared" si="5"/>
        <v>0</v>
      </c>
      <c r="T29" s="22">
        <f t="shared" si="6"/>
        <v>0</v>
      </c>
    </row>
    <row r="30" spans="1:20" x14ac:dyDescent="0.2">
      <c r="A30" s="15">
        <f>Data!A30</f>
        <v>45682</v>
      </c>
      <c r="B30" s="1">
        <v>25</v>
      </c>
      <c r="C30" s="16">
        <f>ROUND(Data!BB30,2)</f>
        <v>2.92</v>
      </c>
      <c r="D30" s="3">
        <f>ROUND(Data!P30,1)</f>
        <v>-6.8</v>
      </c>
      <c r="E30" s="3">
        <f>ROUND(Data!Y30,1)</f>
        <v>-20.6</v>
      </c>
      <c r="F30" s="3">
        <f>Data!BH30</f>
        <v>73.900000000000006</v>
      </c>
      <c r="G30" s="3">
        <f>Data!N30</f>
        <v>0</v>
      </c>
      <c r="H30" s="17">
        <f>Data!AY30</f>
        <v>762</v>
      </c>
      <c r="I30" s="13">
        <f t="shared" si="0"/>
        <v>0</v>
      </c>
      <c r="K30" s="27">
        <f t="shared" si="7"/>
        <v>0</v>
      </c>
      <c r="M30" s="22">
        <f t="shared" si="10"/>
        <v>0</v>
      </c>
      <c r="N30" s="22">
        <f t="shared" si="10"/>
        <v>26.1</v>
      </c>
      <c r="P30" s="19">
        <f t="shared" si="9"/>
        <v>0.27613123359580066</v>
      </c>
      <c r="Q30" s="19">
        <f t="shared" si="3"/>
        <v>0.27613123359580066</v>
      </c>
      <c r="R30" s="17">
        <f t="shared" si="4"/>
        <v>210.41200000000009</v>
      </c>
      <c r="S30" s="22">
        <f t="shared" si="5"/>
        <v>0</v>
      </c>
      <c r="T30" s="22">
        <f t="shared" si="6"/>
        <v>0</v>
      </c>
    </row>
    <row r="31" spans="1:20" x14ac:dyDescent="0.2">
      <c r="A31" s="15">
        <f>Data!A31</f>
        <v>45683</v>
      </c>
      <c r="B31" s="1">
        <v>26</v>
      </c>
      <c r="C31" s="16">
        <f>ROUND(Data!BB31,2)</f>
        <v>5.03</v>
      </c>
      <c r="D31" s="3">
        <f>ROUND(Data!P31,1)</f>
        <v>-4.7</v>
      </c>
      <c r="E31" s="3">
        <f>ROUND(Data!Y31,1)</f>
        <v>-18.100000000000001</v>
      </c>
      <c r="F31" s="3">
        <f>Data!BH31</f>
        <v>71.099999999999994</v>
      </c>
      <c r="G31" s="3">
        <f>Data!N31</f>
        <v>0</v>
      </c>
      <c r="H31" s="17">
        <f>Data!AY31</f>
        <v>744.00000000000023</v>
      </c>
      <c r="I31" s="13">
        <f t="shared" si="0"/>
        <v>0</v>
      </c>
      <c r="K31" s="27">
        <f t="shared" si="7"/>
        <v>0</v>
      </c>
      <c r="M31" s="22">
        <f t="shared" si="10"/>
        <v>0</v>
      </c>
      <c r="N31" s="22">
        <f t="shared" si="10"/>
        <v>26.1</v>
      </c>
      <c r="P31" s="19">
        <f t="shared" si="9"/>
        <v>0.28281182795698928</v>
      </c>
      <c r="Q31" s="19">
        <f t="shared" si="3"/>
        <v>0.28281182795698928</v>
      </c>
      <c r="R31" s="17">
        <f t="shared" si="4"/>
        <v>210.41200000000009</v>
      </c>
      <c r="S31" s="22">
        <f t="shared" si="5"/>
        <v>0</v>
      </c>
      <c r="T31" s="22">
        <f t="shared" si="6"/>
        <v>0</v>
      </c>
    </row>
    <row r="32" spans="1:20" x14ac:dyDescent="0.2">
      <c r="A32" s="15">
        <f>Data!A32</f>
        <v>45684</v>
      </c>
      <c r="B32" s="1">
        <v>27</v>
      </c>
      <c r="C32" s="16">
        <f>ROUND(Data!BB32,2)</f>
        <v>4.08</v>
      </c>
      <c r="D32" s="3">
        <f>ROUND(Data!P32,1)</f>
        <v>2.2000000000000002</v>
      </c>
      <c r="E32" s="3">
        <f>ROUND(Data!Y32,1)</f>
        <v>-20.100000000000001</v>
      </c>
      <c r="F32" s="3">
        <f>Data!BH32</f>
        <v>53.8</v>
      </c>
      <c r="G32" s="3">
        <f>Data!N32</f>
        <v>0</v>
      </c>
      <c r="H32" s="17">
        <f>Data!AY32</f>
        <v>727.00000000000034</v>
      </c>
      <c r="I32" s="13">
        <f t="shared" si="0"/>
        <v>0</v>
      </c>
      <c r="K32" s="27">
        <f t="shared" si="7"/>
        <v>0</v>
      </c>
      <c r="M32" s="22">
        <f t="shared" si="10"/>
        <v>0</v>
      </c>
      <c r="N32" s="22">
        <f t="shared" si="10"/>
        <v>26.1</v>
      </c>
      <c r="P32" s="19">
        <f t="shared" si="9"/>
        <v>0.28942503438789546</v>
      </c>
      <c r="Q32" s="19">
        <f t="shared" si="3"/>
        <v>0.28942503438789546</v>
      </c>
      <c r="R32" s="17">
        <f t="shared" si="4"/>
        <v>210.41200000000009</v>
      </c>
      <c r="S32" s="22">
        <f t="shared" si="5"/>
        <v>0</v>
      </c>
      <c r="T32" s="22">
        <f t="shared" si="6"/>
        <v>0</v>
      </c>
    </row>
    <row r="33" spans="1:20" x14ac:dyDescent="0.2">
      <c r="A33" s="15">
        <f>Data!A33</f>
        <v>45685</v>
      </c>
      <c r="B33" s="1">
        <v>28</v>
      </c>
      <c r="C33" s="16">
        <f>ROUND(Data!BB33,2)</f>
        <v>4.75</v>
      </c>
      <c r="D33" s="3">
        <f>ROUND(Data!P33,1)</f>
        <v>3.3</v>
      </c>
      <c r="E33" s="3">
        <f>ROUND(Data!Y33,1)</f>
        <v>-16.600000000000001</v>
      </c>
      <c r="F33" s="3">
        <f>Data!BH33</f>
        <v>51.2</v>
      </c>
      <c r="G33" s="3">
        <f>Data!N33</f>
        <v>0</v>
      </c>
      <c r="H33" s="17">
        <f>Data!AY33</f>
        <v>734.00000000000045</v>
      </c>
      <c r="I33" s="13">
        <f t="shared" si="0"/>
        <v>0.9</v>
      </c>
      <c r="K33" s="27">
        <f t="shared" si="7"/>
        <v>0.9</v>
      </c>
      <c r="M33" s="22">
        <f t="shared" si="10"/>
        <v>0</v>
      </c>
      <c r="N33" s="22">
        <f t="shared" si="10"/>
        <v>27</v>
      </c>
      <c r="P33" s="19">
        <f t="shared" si="9"/>
        <v>0.2878910081743869</v>
      </c>
      <c r="Q33" s="19">
        <f t="shared" si="3"/>
        <v>0.2878910081743869</v>
      </c>
      <c r="R33" s="17">
        <f t="shared" si="4"/>
        <v>211.31200000000013</v>
      </c>
      <c r="S33" s="22">
        <f t="shared" si="5"/>
        <v>0.90000000000003411</v>
      </c>
      <c r="T33" s="22">
        <f t="shared" si="6"/>
        <v>0</v>
      </c>
    </row>
    <row r="34" spans="1:20" x14ac:dyDescent="0.2">
      <c r="A34" s="15">
        <f>Data!A34</f>
        <v>45686</v>
      </c>
      <c r="B34" s="1">
        <v>29</v>
      </c>
      <c r="C34" s="16">
        <f>ROUND(Data!BB34,2)</f>
        <v>6.33</v>
      </c>
      <c r="D34" s="3">
        <f>ROUND(Data!P34,1)</f>
        <v>1.8</v>
      </c>
      <c r="E34" s="3">
        <f>ROUND(Data!Y34,1)</f>
        <v>-15.9</v>
      </c>
      <c r="F34" s="3">
        <f>Data!BH34</f>
        <v>47.3</v>
      </c>
      <c r="G34" s="3">
        <f>Data!N34</f>
        <v>0</v>
      </c>
      <c r="H34" s="17">
        <f>Data!AY34</f>
        <v>730.00000000000045</v>
      </c>
      <c r="I34" s="13">
        <f t="shared" si="0"/>
        <v>0</v>
      </c>
      <c r="K34" s="27">
        <f t="shared" si="7"/>
        <v>0</v>
      </c>
      <c r="M34" s="22">
        <f t="shared" si="10"/>
        <v>0</v>
      </c>
      <c r="N34" s="22">
        <f t="shared" si="10"/>
        <v>27</v>
      </c>
      <c r="P34" s="19">
        <f t="shared" si="9"/>
        <v>0.2894684931506849</v>
      </c>
      <c r="Q34" s="19">
        <f t="shared" si="3"/>
        <v>0.2894684931506849</v>
      </c>
      <c r="R34" s="17">
        <f t="shared" si="4"/>
        <v>211.3120000000001</v>
      </c>
      <c r="S34" s="22">
        <f t="shared" si="5"/>
        <v>0</v>
      </c>
      <c r="T34" s="22">
        <f t="shared" si="6"/>
        <v>0</v>
      </c>
    </row>
    <row r="35" spans="1:20" x14ac:dyDescent="0.2">
      <c r="A35" s="15">
        <f>Data!A35</f>
        <v>45687</v>
      </c>
      <c r="B35" s="1">
        <v>30</v>
      </c>
      <c r="C35" s="16">
        <f>ROUND(Data!BB35,2)</f>
        <v>3.88</v>
      </c>
      <c r="D35" s="3">
        <f>ROUND(Data!P35,1)</f>
        <v>-1.2</v>
      </c>
      <c r="E35" s="3">
        <f>ROUND(Data!Y35,1)</f>
        <v>-7.8</v>
      </c>
      <c r="F35" s="3">
        <f>Data!BH35</f>
        <v>54.8</v>
      </c>
      <c r="G35" s="3">
        <f>Data!N35</f>
        <v>0</v>
      </c>
      <c r="H35" s="17">
        <f>Data!AY35</f>
        <v>850.00000000000011</v>
      </c>
      <c r="I35" s="13">
        <f t="shared" si="0"/>
        <v>15.6</v>
      </c>
      <c r="K35" s="27">
        <f t="shared" si="7"/>
        <v>15.6</v>
      </c>
      <c r="M35" s="22">
        <f t="shared" si="10"/>
        <v>0</v>
      </c>
      <c r="N35" s="22">
        <f t="shared" si="10"/>
        <v>42.6</v>
      </c>
      <c r="P35" s="19">
        <f t="shared" si="9"/>
        <v>0.26695529411764712</v>
      </c>
      <c r="Q35" s="19">
        <f t="shared" si="3"/>
        <v>0.26695529411764712</v>
      </c>
      <c r="R35" s="17">
        <f t="shared" si="4"/>
        <v>226.91200000000009</v>
      </c>
      <c r="S35" s="22">
        <f t="shared" si="5"/>
        <v>15.599999999999994</v>
      </c>
      <c r="T35" s="22">
        <f t="shared" si="6"/>
        <v>0</v>
      </c>
    </row>
    <row r="36" spans="1:20" x14ac:dyDescent="0.2">
      <c r="A36" s="15">
        <f>Data!A36</f>
        <v>45688</v>
      </c>
      <c r="B36" s="1">
        <v>31</v>
      </c>
      <c r="C36" s="16">
        <f>ROUND(Data!BB36,2)</f>
        <v>1.46</v>
      </c>
      <c r="D36" s="3">
        <f>ROUND(Data!P36,1)</f>
        <v>-0.9</v>
      </c>
      <c r="E36" s="3">
        <f>ROUND(Data!Y36,1)</f>
        <v>-4.4000000000000004</v>
      </c>
      <c r="F36" s="3">
        <f>Data!BH36</f>
        <v>83.6</v>
      </c>
      <c r="G36" s="3">
        <f>Data!N36</f>
        <v>0</v>
      </c>
      <c r="H36" s="17">
        <f>Data!AY36</f>
        <v>1032</v>
      </c>
      <c r="I36" s="13">
        <f t="shared" si="0"/>
        <v>23.7</v>
      </c>
      <c r="K36" s="27">
        <f t="shared" si="7"/>
        <v>23.7</v>
      </c>
      <c r="M36" s="22">
        <f t="shared" si="10"/>
        <v>0</v>
      </c>
      <c r="N36" s="22">
        <f t="shared" si="10"/>
        <v>66.3</v>
      </c>
      <c r="P36" s="19">
        <f t="shared" si="9"/>
        <v>0.2428410852713179</v>
      </c>
      <c r="Q36" s="19">
        <f t="shared" si="3"/>
        <v>0.2428410852713179</v>
      </c>
      <c r="R36" s="17">
        <f t="shared" si="4"/>
        <v>250.61200000000008</v>
      </c>
      <c r="S36" s="22">
        <f t="shared" si="5"/>
        <v>23.699999999999989</v>
      </c>
      <c r="T36" s="22">
        <f t="shared" si="6"/>
        <v>0</v>
      </c>
    </row>
    <row r="37" spans="1:20" x14ac:dyDescent="0.2">
      <c r="A37" s="15">
        <f>Data!A37</f>
        <v>45689</v>
      </c>
      <c r="B37" s="1">
        <v>32</v>
      </c>
      <c r="C37" s="16">
        <f>ROUND(Data!BB37,2)</f>
        <v>5.91</v>
      </c>
      <c r="D37" s="3">
        <f>ROUND(Data!P37,1)</f>
        <v>-2.5</v>
      </c>
      <c r="E37" s="3">
        <f>ROUND(Data!Y37,1)</f>
        <v>-10</v>
      </c>
      <c r="F37" s="3">
        <f>Data!BH37</f>
        <v>60.1</v>
      </c>
      <c r="G37" s="3">
        <f>Data!N37</f>
        <v>0</v>
      </c>
      <c r="H37" s="17">
        <f>Data!AY37</f>
        <v>1025.0000000000005</v>
      </c>
      <c r="I37" s="13">
        <f t="shared" si="0"/>
        <v>0</v>
      </c>
      <c r="K37" s="27">
        <f t="shared" si="7"/>
        <v>0</v>
      </c>
      <c r="M37" s="22">
        <f t="shared" si="10"/>
        <v>0</v>
      </c>
      <c r="N37" s="22">
        <f t="shared" si="10"/>
        <v>66.3</v>
      </c>
      <c r="P37" s="19">
        <f t="shared" si="9"/>
        <v>0.24449951219512192</v>
      </c>
      <c r="Q37" s="19">
        <f t="shared" si="3"/>
        <v>0.24449951219512192</v>
      </c>
      <c r="R37" s="17">
        <f t="shared" si="4"/>
        <v>250.61200000000008</v>
      </c>
      <c r="S37" s="22">
        <f t="shared" si="5"/>
        <v>0</v>
      </c>
      <c r="T37" s="22">
        <f t="shared" si="6"/>
        <v>0</v>
      </c>
    </row>
    <row r="38" spans="1:20" x14ac:dyDescent="0.2">
      <c r="A38" s="15">
        <f>Data!A38</f>
        <v>45690</v>
      </c>
      <c r="B38" s="1">
        <v>33</v>
      </c>
      <c r="C38" s="16">
        <f>ROUND(Data!BB38,2)</f>
        <v>4.71</v>
      </c>
      <c r="D38" s="3">
        <f>ROUND(Data!P38,1)</f>
        <v>-7.2</v>
      </c>
      <c r="E38" s="3">
        <f>ROUND(Data!Y38,1)</f>
        <v>-20</v>
      </c>
      <c r="F38" s="3">
        <f>Data!BH38</f>
        <v>63.4</v>
      </c>
      <c r="G38" s="3">
        <f>Data!N38</f>
        <v>0</v>
      </c>
      <c r="H38" s="17">
        <f>Data!AY38</f>
        <v>991.00000000000011</v>
      </c>
      <c r="I38" s="13">
        <f t="shared" si="0"/>
        <v>0</v>
      </c>
      <c r="K38" s="27">
        <f t="shared" si="7"/>
        <v>0</v>
      </c>
      <c r="M38" s="22">
        <f t="shared" si="10"/>
        <v>0</v>
      </c>
      <c r="N38" s="22">
        <f t="shared" si="10"/>
        <v>66.3</v>
      </c>
      <c r="P38" s="19">
        <f t="shared" si="9"/>
        <v>0.25288799192734618</v>
      </c>
      <c r="Q38" s="19">
        <f t="shared" si="3"/>
        <v>0.25288799192734618</v>
      </c>
      <c r="R38" s="17">
        <f t="shared" si="4"/>
        <v>250.61200000000008</v>
      </c>
      <c r="S38" s="22">
        <f t="shared" si="5"/>
        <v>0</v>
      </c>
      <c r="T38" s="22">
        <f t="shared" si="6"/>
        <v>0</v>
      </c>
    </row>
    <row r="39" spans="1:20" x14ac:dyDescent="0.2">
      <c r="A39" s="15">
        <f>Data!A39</f>
        <v>45691</v>
      </c>
      <c r="B39" s="1">
        <v>34</v>
      </c>
      <c r="C39" s="16">
        <f>ROUND(Data!BB39,2)</f>
        <v>3.43</v>
      </c>
      <c r="D39" s="3">
        <f>ROUND(Data!P39,1)</f>
        <v>-10.4</v>
      </c>
      <c r="E39" s="3">
        <f>ROUND(Data!Y39,1)</f>
        <v>-18.600000000000001</v>
      </c>
      <c r="F39" s="3">
        <f>Data!BH39</f>
        <v>70.7</v>
      </c>
      <c r="G39" s="3">
        <f>Data!N39</f>
        <v>0</v>
      </c>
      <c r="H39" s="17">
        <f>Data!AY39</f>
        <v>979.00000000000011</v>
      </c>
      <c r="I39" s="13">
        <f t="shared" si="0"/>
        <v>0</v>
      </c>
      <c r="K39" s="27">
        <f t="shared" si="7"/>
        <v>0</v>
      </c>
      <c r="M39" s="22">
        <f t="shared" si="10"/>
        <v>0</v>
      </c>
      <c r="N39" s="22">
        <f t="shared" si="10"/>
        <v>66.3</v>
      </c>
      <c r="P39" s="19">
        <f t="shared" si="9"/>
        <v>0.2559877425944842</v>
      </c>
      <c r="Q39" s="19">
        <f t="shared" si="3"/>
        <v>0.2559877425944842</v>
      </c>
      <c r="R39" s="17">
        <f t="shared" si="4"/>
        <v>250.61200000000005</v>
      </c>
      <c r="S39" s="22">
        <f t="shared" si="5"/>
        <v>0</v>
      </c>
      <c r="T39" s="22">
        <f t="shared" si="6"/>
        <v>0</v>
      </c>
    </row>
    <row r="40" spans="1:20" x14ac:dyDescent="0.2">
      <c r="A40" s="15">
        <f>Data!A40</f>
        <v>45692</v>
      </c>
      <c r="B40" s="1">
        <v>35</v>
      </c>
      <c r="C40" s="16">
        <f>ROUND(Data!BB40,2)</f>
        <v>4.68</v>
      </c>
      <c r="D40" s="3">
        <f>ROUND(Data!P40,1)</f>
        <v>-15.6</v>
      </c>
      <c r="E40" s="3">
        <f>ROUND(Data!Y40,1)</f>
        <v>-28.8</v>
      </c>
      <c r="F40" s="3">
        <f>Data!BH40</f>
        <v>74.3</v>
      </c>
      <c r="G40" s="3">
        <f>Data!N40</f>
        <v>0</v>
      </c>
      <c r="H40" s="17">
        <f>Data!AY40</f>
        <v>950.00000000000023</v>
      </c>
      <c r="I40" s="13">
        <f t="shared" si="0"/>
        <v>0</v>
      </c>
      <c r="K40" s="27">
        <f t="shared" si="7"/>
        <v>0</v>
      </c>
      <c r="M40" s="22">
        <f t="shared" ref="M40:N55" si="11">J40+M39</f>
        <v>0</v>
      </c>
      <c r="N40" s="22">
        <f t="shared" si="11"/>
        <v>66.3</v>
      </c>
      <c r="P40" s="19">
        <f t="shared" si="9"/>
        <v>0.26380210526315789</v>
      </c>
      <c r="Q40" s="19">
        <f t="shared" si="3"/>
        <v>0.26380210526315789</v>
      </c>
      <c r="R40" s="17">
        <f t="shared" si="4"/>
        <v>250.61200000000005</v>
      </c>
      <c r="S40" s="22">
        <f t="shared" si="5"/>
        <v>0</v>
      </c>
      <c r="T40" s="22">
        <f t="shared" si="6"/>
        <v>0</v>
      </c>
    </row>
    <row r="41" spans="1:20" x14ac:dyDescent="0.2">
      <c r="A41" s="15">
        <f>Data!A41</f>
        <v>45693</v>
      </c>
      <c r="B41" s="1">
        <v>36</v>
      </c>
      <c r="C41" s="16">
        <f>ROUND(Data!BB41,2)</f>
        <v>4.43</v>
      </c>
      <c r="D41" s="3">
        <f>ROUND(Data!P41,1)</f>
        <v>-17.899999999999999</v>
      </c>
      <c r="E41" s="3">
        <f>ROUND(Data!Y41,1)</f>
        <v>-29.6</v>
      </c>
      <c r="F41" s="3">
        <f>Data!BH41</f>
        <v>73.599999999999994</v>
      </c>
      <c r="G41" s="3">
        <f>Data!N41</f>
        <v>0</v>
      </c>
      <c r="H41" s="17">
        <f>Data!AY41</f>
        <v>939</v>
      </c>
      <c r="I41" s="13">
        <f t="shared" si="0"/>
        <v>0</v>
      </c>
      <c r="K41" s="27">
        <f t="shared" si="7"/>
        <v>0</v>
      </c>
      <c r="M41" s="22">
        <f t="shared" si="11"/>
        <v>0</v>
      </c>
      <c r="N41" s="22">
        <f t="shared" si="11"/>
        <v>66.3</v>
      </c>
      <c r="P41" s="19">
        <f t="shared" si="9"/>
        <v>0.2668924387646433</v>
      </c>
      <c r="Q41" s="19">
        <f t="shared" si="3"/>
        <v>0.2668924387646433</v>
      </c>
      <c r="R41" s="17">
        <f t="shared" si="4"/>
        <v>250.61200000000005</v>
      </c>
      <c r="S41" s="22">
        <f t="shared" si="5"/>
        <v>0</v>
      </c>
      <c r="T41" s="22">
        <f t="shared" si="6"/>
        <v>0</v>
      </c>
    </row>
    <row r="42" spans="1:20" x14ac:dyDescent="0.2">
      <c r="A42" s="15">
        <f>Data!A42</f>
        <v>45694</v>
      </c>
      <c r="B42" s="1">
        <v>37</v>
      </c>
      <c r="C42" s="16">
        <f>ROUND(Data!BB42,2)</f>
        <v>4.8899999999999997</v>
      </c>
      <c r="D42" s="3">
        <f>ROUND(Data!P42,1)</f>
        <v>-9.5</v>
      </c>
      <c r="E42" s="3">
        <f>ROUND(Data!Y42,1)</f>
        <v>-27.4</v>
      </c>
      <c r="F42" s="3">
        <f>Data!BH42</f>
        <v>68.2</v>
      </c>
      <c r="G42" s="3">
        <f>Data!N42</f>
        <v>0</v>
      </c>
      <c r="H42" s="17">
        <f>Data!AY42</f>
        <v>917.00000000000023</v>
      </c>
      <c r="I42" s="13">
        <f t="shared" si="0"/>
        <v>0</v>
      </c>
      <c r="K42" s="27">
        <f t="shared" si="7"/>
        <v>0</v>
      </c>
      <c r="M42" s="22">
        <f t="shared" si="11"/>
        <v>0</v>
      </c>
      <c r="N42" s="22">
        <f t="shared" si="11"/>
        <v>66.3</v>
      </c>
      <c r="P42" s="19">
        <f t="shared" si="9"/>
        <v>0.27329552889858233</v>
      </c>
      <c r="Q42" s="19">
        <f t="shared" si="3"/>
        <v>0.27329552889858233</v>
      </c>
      <c r="R42" s="17">
        <f t="shared" si="4"/>
        <v>250.61200000000005</v>
      </c>
      <c r="S42" s="22">
        <f t="shared" si="5"/>
        <v>0</v>
      </c>
      <c r="T42" s="22">
        <f t="shared" si="6"/>
        <v>0</v>
      </c>
    </row>
    <row r="43" spans="1:20" x14ac:dyDescent="0.2">
      <c r="A43" s="15">
        <f>Data!A43</f>
        <v>45695</v>
      </c>
      <c r="B43" s="1">
        <v>38</v>
      </c>
      <c r="C43" s="16">
        <f>ROUND(Data!BB43,2)</f>
        <v>6.28</v>
      </c>
      <c r="D43" s="3">
        <f>ROUND(Data!P43,1)</f>
        <v>-8.5</v>
      </c>
      <c r="E43" s="3">
        <f>ROUND(Data!Y43,1)</f>
        <v>-27.4</v>
      </c>
      <c r="F43" s="3">
        <f>Data!BH43</f>
        <v>60.1</v>
      </c>
      <c r="G43" s="3">
        <f>Data!N43</f>
        <v>0</v>
      </c>
      <c r="H43" s="17">
        <f>Data!AY43</f>
        <v>915</v>
      </c>
      <c r="I43" s="13">
        <f t="shared" si="0"/>
        <v>0</v>
      </c>
      <c r="K43" s="27">
        <f t="shared" si="7"/>
        <v>0</v>
      </c>
      <c r="M43" s="22">
        <f t="shared" si="11"/>
        <v>0</v>
      </c>
      <c r="N43" s="22">
        <f t="shared" si="11"/>
        <v>66.3</v>
      </c>
      <c r="P43" s="19">
        <f t="shared" si="9"/>
        <v>0.27389289617486345</v>
      </c>
      <c r="Q43" s="19">
        <f t="shared" si="3"/>
        <v>0.27389289617486345</v>
      </c>
      <c r="R43" s="17">
        <f t="shared" si="4"/>
        <v>250.61200000000005</v>
      </c>
      <c r="S43" s="22">
        <f t="shared" si="5"/>
        <v>0</v>
      </c>
      <c r="T43" s="22">
        <f t="shared" si="6"/>
        <v>0</v>
      </c>
    </row>
    <row r="44" spans="1:20" x14ac:dyDescent="0.2">
      <c r="A44" s="15">
        <f>Data!A44</f>
        <v>45696</v>
      </c>
      <c r="B44" s="1">
        <v>39</v>
      </c>
      <c r="C44" s="16">
        <f>ROUND(Data!BB44,2)</f>
        <v>3.73</v>
      </c>
      <c r="D44" s="3">
        <f>ROUND(Data!P44,1)</f>
        <v>-10.7</v>
      </c>
      <c r="E44" s="3">
        <f>ROUND(Data!Y44,1)</f>
        <v>-22.9</v>
      </c>
      <c r="F44" s="3">
        <f>Data!BH44</f>
        <v>76.599999999999994</v>
      </c>
      <c r="G44" s="3">
        <f>Data!N44</f>
        <v>0</v>
      </c>
      <c r="H44" s="17">
        <f>Data!AY44</f>
        <v>939</v>
      </c>
      <c r="I44" s="13">
        <f t="shared" si="0"/>
        <v>3.1</v>
      </c>
      <c r="K44" s="27">
        <f t="shared" si="7"/>
        <v>3.1</v>
      </c>
      <c r="M44" s="22">
        <f t="shared" si="11"/>
        <v>0</v>
      </c>
      <c r="N44" s="22">
        <f t="shared" si="11"/>
        <v>69.399999999999991</v>
      </c>
      <c r="P44" s="19">
        <f t="shared" si="9"/>
        <v>0.27019382321618746</v>
      </c>
      <c r="Q44" s="19">
        <f t="shared" si="3"/>
        <v>0.27019382321618746</v>
      </c>
      <c r="R44" s="17">
        <f t="shared" si="4"/>
        <v>253.71200000000002</v>
      </c>
      <c r="S44" s="22">
        <f t="shared" si="5"/>
        <v>3.0999999999999659</v>
      </c>
      <c r="T44" s="22">
        <f t="shared" si="6"/>
        <v>0</v>
      </c>
    </row>
    <row r="45" spans="1:20" x14ac:dyDescent="0.2">
      <c r="A45" s="15">
        <f>Data!A45</f>
        <v>45697</v>
      </c>
      <c r="B45" s="1">
        <v>40</v>
      </c>
      <c r="C45" s="16">
        <f>ROUND(Data!BB45,2)</f>
        <v>2.96</v>
      </c>
      <c r="D45" s="3">
        <f>ROUND(Data!P45,1)</f>
        <v>-14.3</v>
      </c>
      <c r="E45" s="3">
        <f>ROUND(Data!Y45,1)</f>
        <v>-21.8</v>
      </c>
      <c r="F45" s="3">
        <f>Data!BH45</f>
        <v>70.5</v>
      </c>
      <c r="G45" s="3">
        <f>Data!N45</f>
        <v>0</v>
      </c>
      <c r="H45" s="17">
        <f>Data!AY45</f>
        <v>922.00000000000011</v>
      </c>
      <c r="I45" s="13">
        <f t="shared" si="0"/>
        <v>0</v>
      </c>
      <c r="K45" s="27">
        <f t="shared" si="7"/>
        <v>0</v>
      </c>
      <c r="M45" s="22">
        <f t="shared" si="11"/>
        <v>0</v>
      </c>
      <c r="N45" s="22">
        <f t="shared" si="11"/>
        <v>69.399999999999991</v>
      </c>
      <c r="P45" s="19">
        <f t="shared" si="9"/>
        <v>0.275175704989154</v>
      </c>
      <c r="Q45" s="19">
        <f t="shared" si="3"/>
        <v>0.275175704989154</v>
      </c>
      <c r="R45" s="17">
        <f t="shared" si="4"/>
        <v>253.71200000000002</v>
      </c>
      <c r="S45" s="22">
        <f t="shared" si="5"/>
        <v>0</v>
      </c>
      <c r="T45" s="22">
        <f t="shared" si="6"/>
        <v>0</v>
      </c>
    </row>
    <row r="46" spans="1:20" x14ac:dyDescent="0.2">
      <c r="A46" s="15">
        <f>Data!A46</f>
        <v>45698</v>
      </c>
      <c r="B46" s="1">
        <v>41</v>
      </c>
      <c r="C46" s="16">
        <f>ROUND(Data!BB46,2)</f>
        <v>5.74</v>
      </c>
      <c r="D46" s="3">
        <f>ROUND(Data!P46,1)</f>
        <v>-11.9</v>
      </c>
      <c r="E46" s="3">
        <f>ROUND(Data!Y46,1)</f>
        <v>-30.6</v>
      </c>
      <c r="F46" s="3">
        <f>Data!BH46</f>
        <v>35.5</v>
      </c>
      <c r="G46" s="3">
        <f>Data!N46</f>
        <v>0</v>
      </c>
      <c r="H46" s="17">
        <f>Data!AY46</f>
        <v>916.00000000000034</v>
      </c>
      <c r="I46" s="13">
        <f t="shared" si="0"/>
        <v>0</v>
      </c>
      <c r="K46" s="27">
        <f t="shared" si="7"/>
        <v>0</v>
      </c>
      <c r="M46" s="22">
        <f t="shared" si="11"/>
        <v>0</v>
      </c>
      <c r="N46" s="22">
        <f t="shared" si="11"/>
        <v>69.399999999999991</v>
      </c>
      <c r="P46" s="19">
        <f t="shared" si="9"/>
        <v>0.27697816593886454</v>
      </c>
      <c r="Q46" s="19">
        <f t="shared" si="3"/>
        <v>0.27697816593886454</v>
      </c>
      <c r="R46" s="17">
        <f t="shared" si="4"/>
        <v>253.71200000000002</v>
      </c>
      <c r="S46" s="22">
        <f t="shared" si="5"/>
        <v>0</v>
      </c>
      <c r="T46" s="22">
        <f t="shared" si="6"/>
        <v>0</v>
      </c>
    </row>
    <row r="47" spans="1:20" x14ac:dyDescent="0.2">
      <c r="A47" s="15">
        <f>Data!A47</f>
        <v>45699</v>
      </c>
      <c r="B47" s="1">
        <v>42</v>
      </c>
      <c r="C47" s="16">
        <f>ROUND(Data!BB47,2)</f>
        <v>6.14</v>
      </c>
      <c r="D47" s="3">
        <f>ROUND(Data!P47,1)</f>
        <v>-14.1</v>
      </c>
      <c r="E47" s="3">
        <f>ROUND(Data!Y47,1)</f>
        <v>-30.3</v>
      </c>
      <c r="F47" s="3">
        <f>Data!BH47</f>
        <v>70</v>
      </c>
      <c r="G47" s="3">
        <f>Data!N47</f>
        <v>0</v>
      </c>
      <c r="H47" s="17">
        <f>Data!AY47</f>
        <v>906.00000000000011</v>
      </c>
      <c r="I47" s="13">
        <f t="shared" si="0"/>
        <v>0</v>
      </c>
      <c r="K47" s="27">
        <f t="shared" si="7"/>
        <v>0</v>
      </c>
      <c r="M47" s="22">
        <f t="shared" si="11"/>
        <v>0</v>
      </c>
      <c r="N47" s="22">
        <f t="shared" si="11"/>
        <v>69.399999999999991</v>
      </c>
      <c r="P47" s="19">
        <f t="shared" si="9"/>
        <v>0.28003532008830023</v>
      </c>
      <c r="Q47" s="19">
        <f t="shared" si="3"/>
        <v>0.28003532008830023</v>
      </c>
      <c r="R47" s="17">
        <f t="shared" si="4"/>
        <v>253.71200000000005</v>
      </c>
      <c r="S47" s="22">
        <f t="shared" si="5"/>
        <v>0</v>
      </c>
      <c r="T47" s="22">
        <f t="shared" si="6"/>
        <v>0</v>
      </c>
    </row>
    <row r="48" spans="1:20" x14ac:dyDescent="0.2">
      <c r="A48" s="15">
        <f>Data!A48</f>
        <v>45700</v>
      </c>
      <c r="B48" s="1">
        <v>43</v>
      </c>
      <c r="C48" s="16">
        <f>ROUND(Data!BB48,2)</f>
        <v>5.2</v>
      </c>
      <c r="D48" s="3">
        <f>ROUND(Data!P48,1)</f>
        <v>-10</v>
      </c>
      <c r="E48" s="3">
        <f>ROUND(Data!Y48,1)</f>
        <v>-30.2</v>
      </c>
      <c r="F48" s="3">
        <f>Data!BH48</f>
        <v>60.9</v>
      </c>
      <c r="G48" s="3">
        <f>Data!N48</f>
        <v>0</v>
      </c>
      <c r="H48" s="17">
        <f>Data!AY48</f>
        <v>894.00000000000011</v>
      </c>
      <c r="I48" s="13">
        <f t="shared" si="0"/>
        <v>0</v>
      </c>
      <c r="K48" s="27">
        <f t="shared" si="7"/>
        <v>0</v>
      </c>
      <c r="M48" s="22">
        <f t="shared" si="11"/>
        <v>0</v>
      </c>
      <c r="N48" s="22">
        <f t="shared" si="11"/>
        <v>69.399999999999991</v>
      </c>
      <c r="P48" s="19">
        <f t="shared" si="9"/>
        <v>0.2837941834451902</v>
      </c>
      <c r="Q48" s="19">
        <f t="shared" si="3"/>
        <v>0.2837941834451902</v>
      </c>
      <c r="R48" s="17">
        <f t="shared" si="4"/>
        <v>253.71200000000007</v>
      </c>
      <c r="S48" s="22">
        <f t="shared" si="5"/>
        <v>0</v>
      </c>
      <c r="T48" s="22">
        <f t="shared" si="6"/>
        <v>0</v>
      </c>
    </row>
    <row r="49" spans="1:20" x14ac:dyDescent="0.2">
      <c r="A49" s="15">
        <f>Data!A49</f>
        <v>45701</v>
      </c>
      <c r="B49" s="1">
        <v>44</v>
      </c>
      <c r="C49" s="16">
        <f>ROUND(Data!BB49,2)</f>
        <v>6</v>
      </c>
      <c r="D49" s="3">
        <f>ROUND(Data!P49,1)</f>
        <v>-5.3</v>
      </c>
      <c r="E49" s="3">
        <f>ROUND(Data!Y49,1)</f>
        <v>-25</v>
      </c>
      <c r="F49" s="3">
        <f>Data!BH49</f>
        <v>41.1</v>
      </c>
      <c r="G49" s="3">
        <f>Data!N49</f>
        <v>0</v>
      </c>
      <c r="H49" s="17">
        <f>Data!AY49</f>
        <v>898.00000000000011</v>
      </c>
      <c r="I49" s="13">
        <f t="shared" si="0"/>
        <v>0.5</v>
      </c>
      <c r="K49" s="27">
        <f t="shared" si="7"/>
        <v>0.5</v>
      </c>
      <c r="M49" s="22">
        <f t="shared" si="11"/>
        <v>0</v>
      </c>
      <c r="N49" s="22">
        <f t="shared" si="11"/>
        <v>69.899999999999991</v>
      </c>
      <c r="P49" s="19">
        <f t="shared" si="9"/>
        <v>0.28308685968819602</v>
      </c>
      <c r="Q49" s="19">
        <f t="shared" si="3"/>
        <v>0.28308685968819602</v>
      </c>
      <c r="R49" s="17">
        <f t="shared" si="4"/>
        <v>254.21200000000007</v>
      </c>
      <c r="S49" s="22">
        <f t="shared" si="5"/>
        <v>0.5</v>
      </c>
      <c r="T49" s="22">
        <f t="shared" si="6"/>
        <v>0</v>
      </c>
    </row>
    <row r="50" spans="1:20" x14ac:dyDescent="0.2">
      <c r="A50" s="15">
        <f>Data!A50</f>
        <v>45702</v>
      </c>
      <c r="B50" s="1">
        <v>45</v>
      </c>
      <c r="C50" s="16">
        <f>ROUND(Data!BB50,2)</f>
        <v>3.93</v>
      </c>
      <c r="D50" s="3">
        <f>ROUND(Data!P50,1)</f>
        <v>-7.1</v>
      </c>
      <c r="E50" s="3">
        <f>ROUND(Data!Y50,1)</f>
        <v>-18.3</v>
      </c>
      <c r="F50" s="3">
        <f>Data!BH50</f>
        <v>58.7</v>
      </c>
      <c r="G50" s="3">
        <f>Data!N50</f>
        <v>0</v>
      </c>
      <c r="H50" s="17">
        <f>Data!AY50</f>
        <v>912.00000000000034</v>
      </c>
      <c r="I50" s="13">
        <f t="shared" si="0"/>
        <v>1.8</v>
      </c>
      <c r="K50" s="27">
        <f t="shared" si="7"/>
        <v>1.8</v>
      </c>
      <c r="M50" s="22">
        <f t="shared" si="11"/>
        <v>0</v>
      </c>
      <c r="N50" s="22">
        <f t="shared" si="11"/>
        <v>71.699999999999989</v>
      </c>
      <c r="P50" s="19">
        <f t="shared" si="9"/>
        <v>0.28071491228070172</v>
      </c>
      <c r="Q50" s="19">
        <f t="shared" si="3"/>
        <v>0.28071491228070172</v>
      </c>
      <c r="R50" s="17">
        <f t="shared" si="4"/>
        <v>256.01200000000006</v>
      </c>
      <c r="S50" s="22">
        <f t="shared" si="5"/>
        <v>1.7999999999999829</v>
      </c>
      <c r="T50" s="22">
        <f t="shared" si="6"/>
        <v>0</v>
      </c>
    </row>
    <row r="51" spans="1:20" x14ac:dyDescent="0.2">
      <c r="A51" s="15">
        <f>Data!A51</f>
        <v>45703</v>
      </c>
      <c r="B51" s="1">
        <v>46</v>
      </c>
      <c r="C51" s="16">
        <f>ROUND(Data!BB51,2)</f>
        <v>7.22</v>
      </c>
      <c r="D51" s="3">
        <f>ROUND(Data!P51,1)</f>
        <v>-5.3</v>
      </c>
      <c r="E51" s="3">
        <f>ROUND(Data!Y51,1)</f>
        <v>-22.1</v>
      </c>
      <c r="F51" s="3">
        <f>Data!BH51</f>
        <v>64.8</v>
      </c>
      <c r="G51" s="3">
        <f>Data!N51</f>
        <v>0</v>
      </c>
      <c r="H51" s="17">
        <f>Data!AY51</f>
        <v>910.00000000000011</v>
      </c>
      <c r="I51" s="13">
        <f t="shared" si="0"/>
        <v>0</v>
      </c>
      <c r="K51" s="27">
        <f t="shared" si="7"/>
        <v>0</v>
      </c>
      <c r="M51" s="22">
        <f t="shared" si="11"/>
        <v>0</v>
      </c>
      <c r="N51" s="22">
        <f t="shared" si="11"/>
        <v>71.699999999999989</v>
      </c>
      <c r="P51" s="19">
        <f t="shared" si="9"/>
        <v>0.28133186813186817</v>
      </c>
      <c r="Q51" s="19">
        <f t="shared" si="3"/>
        <v>0.28133186813186817</v>
      </c>
      <c r="R51" s="17">
        <f t="shared" si="4"/>
        <v>256.01200000000006</v>
      </c>
      <c r="S51" s="22">
        <f t="shared" si="5"/>
        <v>0</v>
      </c>
      <c r="T51" s="22">
        <f t="shared" si="6"/>
        <v>0</v>
      </c>
    </row>
    <row r="52" spans="1:20" x14ac:dyDescent="0.2">
      <c r="A52" s="15">
        <f>Data!A52</f>
        <v>45704</v>
      </c>
      <c r="B52" s="1">
        <v>47</v>
      </c>
      <c r="C52" s="16">
        <f>ROUND(Data!BB52,2)</f>
        <v>2.62</v>
      </c>
      <c r="D52" s="3">
        <f>ROUND(Data!P52,1)</f>
        <v>-4.7</v>
      </c>
      <c r="E52" s="3">
        <f>ROUND(Data!Y52,1)</f>
        <v>-8.8000000000000007</v>
      </c>
      <c r="F52" s="3">
        <f>Data!BH52</f>
        <v>72.5</v>
      </c>
      <c r="G52" s="3">
        <f>Data!N52</f>
        <v>0</v>
      </c>
      <c r="H52" s="17">
        <f>Data!AY52</f>
        <v>1020</v>
      </c>
      <c r="I52" s="13">
        <f t="shared" si="0"/>
        <v>14.3</v>
      </c>
      <c r="K52" s="27">
        <f t="shared" si="7"/>
        <v>14.3</v>
      </c>
      <c r="M52" s="22">
        <f t="shared" si="11"/>
        <v>0</v>
      </c>
      <c r="N52" s="22">
        <f t="shared" si="11"/>
        <v>85.999999999999986</v>
      </c>
      <c r="P52" s="19">
        <f t="shared" si="9"/>
        <v>0.26501176470588245</v>
      </c>
      <c r="Q52" s="19">
        <f t="shared" si="3"/>
        <v>0.26501176470588245</v>
      </c>
      <c r="R52" s="17">
        <f t="shared" si="4"/>
        <v>270.31200000000007</v>
      </c>
      <c r="S52" s="22">
        <f t="shared" si="5"/>
        <v>14.300000000000011</v>
      </c>
      <c r="T52" s="22">
        <f t="shared" si="6"/>
        <v>0</v>
      </c>
    </row>
    <row r="53" spans="1:20" x14ac:dyDescent="0.2">
      <c r="A53" s="15">
        <f>Data!A53</f>
        <v>45705</v>
      </c>
      <c r="B53" s="1">
        <v>48</v>
      </c>
      <c r="C53" s="16">
        <f>ROUND(Data!BB53,2)</f>
        <v>3.57</v>
      </c>
      <c r="D53" s="3">
        <f>ROUND(Data!P53,1)</f>
        <v>-4.5</v>
      </c>
      <c r="E53" s="3">
        <f>ROUND(Data!Y53,1)</f>
        <v>-10</v>
      </c>
      <c r="F53" s="3">
        <f>Data!BH53</f>
        <v>67.8</v>
      </c>
      <c r="G53" s="3">
        <f>Data!N53</f>
        <v>0</v>
      </c>
      <c r="H53" s="17">
        <f>Data!AY53</f>
        <v>979.00000000000011</v>
      </c>
      <c r="I53" s="13">
        <f t="shared" si="0"/>
        <v>0</v>
      </c>
      <c r="K53" s="27">
        <f t="shared" si="7"/>
        <v>0</v>
      </c>
      <c r="M53" s="22">
        <f t="shared" si="11"/>
        <v>0</v>
      </c>
      <c r="N53" s="22">
        <f t="shared" si="11"/>
        <v>85.999999999999986</v>
      </c>
      <c r="P53" s="19">
        <f t="shared" si="9"/>
        <v>0.27611031664964253</v>
      </c>
      <c r="Q53" s="19">
        <f t="shared" si="3"/>
        <v>0.27611031664964253</v>
      </c>
      <c r="R53" s="17">
        <f t="shared" si="4"/>
        <v>270.31200000000007</v>
      </c>
      <c r="S53" s="22">
        <f t="shared" si="5"/>
        <v>0</v>
      </c>
      <c r="T53" s="22">
        <f t="shared" si="6"/>
        <v>0</v>
      </c>
    </row>
    <row r="54" spans="1:20" x14ac:dyDescent="0.2">
      <c r="A54" s="15">
        <f>Data!A54</f>
        <v>45706</v>
      </c>
      <c r="B54" s="1">
        <v>49</v>
      </c>
      <c r="C54" s="16">
        <f>ROUND(Data!BB54,2)</f>
        <v>6.82</v>
      </c>
      <c r="D54" s="3">
        <f>ROUND(Data!P54,1)</f>
        <v>-1.8</v>
      </c>
      <c r="E54" s="3">
        <f>ROUND(Data!Y54,1)</f>
        <v>-16.2</v>
      </c>
      <c r="F54" s="3">
        <f>Data!BH54</f>
        <v>53.7</v>
      </c>
      <c r="G54" s="3">
        <f>Data!N54</f>
        <v>1.524</v>
      </c>
      <c r="H54" s="17">
        <f>Data!AY54</f>
        <v>959.00000000000011</v>
      </c>
      <c r="I54" s="13">
        <f t="shared" si="0"/>
        <v>0</v>
      </c>
      <c r="K54" s="27">
        <f t="shared" si="7"/>
        <v>0</v>
      </c>
      <c r="M54" s="22">
        <f t="shared" si="11"/>
        <v>0</v>
      </c>
      <c r="N54" s="22">
        <f t="shared" si="11"/>
        <v>85.999999999999986</v>
      </c>
      <c r="P54" s="19">
        <f t="shared" si="9"/>
        <v>0.28186861313868616</v>
      </c>
      <c r="Q54" s="19">
        <f t="shared" si="3"/>
        <v>0.28186861313868616</v>
      </c>
      <c r="R54" s="17">
        <f t="shared" si="4"/>
        <v>270.31200000000007</v>
      </c>
      <c r="S54" s="22">
        <f t="shared" si="5"/>
        <v>0</v>
      </c>
      <c r="T54" s="22">
        <f t="shared" si="6"/>
        <v>0</v>
      </c>
    </row>
    <row r="55" spans="1:20" x14ac:dyDescent="0.2">
      <c r="A55" s="15">
        <f>Data!A55</f>
        <v>45707</v>
      </c>
      <c r="B55" s="1">
        <v>50</v>
      </c>
      <c r="C55" s="16">
        <f>ROUND(Data!BB55,2)</f>
        <v>2.79</v>
      </c>
      <c r="D55" s="3">
        <f>ROUND(Data!P55,1)</f>
        <v>-0.6</v>
      </c>
      <c r="E55" s="3">
        <f>ROUND(Data!Y55,1)</f>
        <v>-6</v>
      </c>
      <c r="F55" s="3">
        <f>Data!BH55</f>
        <v>69.8</v>
      </c>
      <c r="G55" s="3">
        <f>Data!N55</f>
        <v>0.254</v>
      </c>
      <c r="H55" s="17">
        <f>Data!AY55</f>
        <v>967.00000000000011</v>
      </c>
      <c r="I55" s="13">
        <f t="shared" si="0"/>
        <v>1</v>
      </c>
      <c r="K55" s="27">
        <f t="shared" si="7"/>
        <v>1</v>
      </c>
      <c r="M55" s="22">
        <f t="shared" si="11"/>
        <v>0</v>
      </c>
      <c r="N55" s="22">
        <f t="shared" si="11"/>
        <v>86.999999999999986</v>
      </c>
      <c r="P55" s="19">
        <f t="shared" si="9"/>
        <v>0.28057083764219237</v>
      </c>
      <c r="Q55" s="19">
        <f t="shared" si="3"/>
        <v>0.28057083764219237</v>
      </c>
      <c r="R55" s="17">
        <f t="shared" si="4"/>
        <v>271.31200000000007</v>
      </c>
      <c r="S55" s="22">
        <f t="shared" si="5"/>
        <v>1</v>
      </c>
      <c r="T55" s="22">
        <f t="shared" si="6"/>
        <v>0</v>
      </c>
    </row>
    <row r="56" spans="1:20" x14ac:dyDescent="0.2">
      <c r="A56" s="15">
        <f>Data!A56</f>
        <v>45708</v>
      </c>
      <c r="B56" s="1">
        <v>51</v>
      </c>
      <c r="C56" s="16">
        <f>ROUND(Data!BB56,2)</f>
        <v>3.48</v>
      </c>
      <c r="D56" s="3">
        <f>ROUND(Data!P56,1)</f>
        <v>1.4</v>
      </c>
      <c r="E56" s="3">
        <f>ROUND(Data!Y56,1)</f>
        <v>-5.6</v>
      </c>
      <c r="F56" s="3">
        <f>Data!BH56</f>
        <v>75.5</v>
      </c>
      <c r="G56" s="3">
        <f>Data!N56</f>
        <v>2.286</v>
      </c>
      <c r="H56" s="17">
        <f>Data!AY56</f>
        <v>958.00000000000023</v>
      </c>
      <c r="I56" s="13">
        <f t="shared" si="0"/>
        <v>0</v>
      </c>
      <c r="K56" s="27">
        <f t="shared" si="7"/>
        <v>0</v>
      </c>
      <c r="M56" s="22">
        <f t="shared" ref="M56:N60" si="12">J56+M55</f>
        <v>0</v>
      </c>
      <c r="N56" s="22">
        <f t="shared" si="12"/>
        <v>86.999999999999986</v>
      </c>
      <c r="P56" s="19">
        <f t="shared" si="9"/>
        <v>0.28320668058455117</v>
      </c>
      <c r="Q56" s="19">
        <f t="shared" si="3"/>
        <v>0.28320668058455117</v>
      </c>
      <c r="R56" s="17">
        <f t="shared" si="4"/>
        <v>271.31200000000007</v>
      </c>
      <c r="S56" s="22">
        <f t="shared" si="5"/>
        <v>0</v>
      </c>
      <c r="T56" s="22">
        <f t="shared" si="6"/>
        <v>0</v>
      </c>
    </row>
    <row r="57" spans="1:20" x14ac:dyDescent="0.2">
      <c r="A57" s="15">
        <f>Data!A57</f>
        <v>45709</v>
      </c>
      <c r="B57" s="1">
        <v>52</v>
      </c>
      <c r="C57" s="16">
        <f>ROUND(Data!BB57,2)</f>
        <v>1.34</v>
      </c>
      <c r="D57" s="3">
        <f>ROUND(Data!P57,1)</f>
        <v>0.1</v>
      </c>
      <c r="E57" s="3">
        <f>ROUND(Data!Y57,1)</f>
        <v>-6.4</v>
      </c>
      <c r="F57" s="3">
        <f>Data!BH57</f>
        <v>90.8</v>
      </c>
      <c r="G57" s="3">
        <f>Data!N57</f>
        <v>0</v>
      </c>
      <c r="H57" s="17">
        <f>Data!AY57</f>
        <v>1057.0000000000005</v>
      </c>
      <c r="I57" s="13">
        <f t="shared" si="0"/>
        <v>12.9</v>
      </c>
      <c r="K57" s="27">
        <f t="shared" si="7"/>
        <v>12.9</v>
      </c>
      <c r="M57" s="22">
        <f t="shared" si="12"/>
        <v>0</v>
      </c>
      <c r="N57" s="22">
        <f t="shared" si="12"/>
        <v>99.899999999999991</v>
      </c>
      <c r="P57" s="19">
        <f t="shared" si="9"/>
        <v>0.26888552507095548</v>
      </c>
      <c r="Q57" s="19">
        <f t="shared" si="3"/>
        <v>0.26888552507095548</v>
      </c>
      <c r="R57" s="17">
        <f t="shared" si="4"/>
        <v>284.21200000000005</v>
      </c>
      <c r="S57" s="22">
        <f t="shared" si="5"/>
        <v>12.899999999999977</v>
      </c>
      <c r="T57" s="22">
        <f t="shared" si="6"/>
        <v>0</v>
      </c>
    </row>
    <row r="58" spans="1:20" x14ac:dyDescent="0.2">
      <c r="A58" s="15">
        <f>Data!A58</f>
        <v>45710</v>
      </c>
      <c r="B58" s="1">
        <v>53</v>
      </c>
      <c r="C58" s="16">
        <f>ROUND(Data!BB58,2)</f>
        <v>4.38</v>
      </c>
      <c r="D58" s="3">
        <f>ROUND(Data!P58,1)</f>
        <v>4.5999999999999996</v>
      </c>
      <c r="E58" s="3">
        <f>ROUND(Data!Y58,1)</f>
        <v>-3.3</v>
      </c>
      <c r="F58" s="3">
        <f>Data!BH58</f>
        <v>69.099999999999994</v>
      </c>
      <c r="G58" s="3">
        <f>Data!N58</f>
        <v>12.19</v>
      </c>
      <c r="H58" s="17">
        <f>Data!AY58</f>
        <v>1025.0000000000005</v>
      </c>
      <c r="I58" s="13">
        <f t="shared" si="0"/>
        <v>0</v>
      </c>
      <c r="K58" s="27">
        <f t="shared" si="7"/>
        <v>0</v>
      </c>
      <c r="M58" s="22">
        <f t="shared" si="12"/>
        <v>0</v>
      </c>
      <c r="N58" s="22">
        <f t="shared" si="12"/>
        <v>99.899999999999991</v>
      </c>
      <c r="P58" s="19">
        <f t="shared" si="9"/>
        <v>0.27727999999999992</v>
      </c>
      <c r="Q58" s="19">
        <f t="shared" si="3"/>
        <v>0.27727999999999992</v>
      </c>
      <c r="R58" s="17">
        <f t="shared" si="4"/>
        <v>284.21200000000005</v>
      </c>
      <c r="S58" s="22">
        <f t="shared" si="5"/>
        <v>0</v>
      </c>
      <c r="T58" s="22">
        <f t="shared" si="6"/>
        <v>0</v>
      </c>
    </row>
    <row r="59" spans="1:20" x14ac:dyDescent="0.2">
      <c r="A59" s="15">
        <f>Data!A59</f>
        <v>45711</v>
      </c>
      <c r="B59" s="1">
        <v>54</v>
      </c>
      <c r="C59" s="16">
        <f>ROUND(Data!BB59,2)</f>
        <v>10.66</v>
      </c>
      <c r="D59" s="3">
        <f>ROUND(Data!P59,1)</f>
        <v>4.7</v>
      </c>
      <c r="E59" s="3">
        <f>ROUND(Data!Y59,1)</f>
        <v>-1.7</v>
      </c>
      <c r="F59" s="3">
        <f>Data!BH59</f>
        <v>54</v>
      </c>
      <c r="G59" s="3">
        <f>Data!N59</f>
        <v>13.46</v>
      </c>
      <c r="H59" s="17">
        <f>Data!AY59</f>
        <v>1031.0000000000002</v>
      </c>
      <c r="I59" s="13">
        <f t="shared" si="0"/>
        <v>0.8</v>
      </c>
      <c r="K59" s="27">
        <f t="shared" si="7"/>
        <v>0.8</v>
      </c>
      <c r="M59" s="22">
        <f t="shared" si="12"/>
        <v>0</v>
      </c>
      <c r="N59" s="22">
        <f t="shared" si="12"/>
        <v>100.69999999999999</v>
      </c>
      <c r="P59" s="19">
        <f t="shared" si="9"/>
        <v>0.2764422890397672</v>
      </c>
      <c r="Q59" s="19">
        <f t="shared" si="3"/>
        <v>0.2764422890397672</v>
      </c>
      <c r="R59" s="17">
        <f t="shared" si="4"/>
        <v>285.01200000000006</v>
      </c>
      <c r="S59" s="22">
        <f t="shared" si="5"/>
        <v>0.80000000000001137</v>
      </c>
      <c r="T59" s="22">
        <f t="shared" si="6"/>
        <v>0</v>
      </c>
    </row>
    <row r="60" spans="1:20" x14ac:dyDescent="0.2">
      <c r="A60" s="15">
        <f>Data!A60</f>
        <v>45712</v>
      </c>
      <c r="B60" s="1">
        <v>56</v>
      </c>
      <c r="C60" s="16">
        <f>ROUND(Data!BB60,2)</f>
        <v>7.94</v>
      </c>
      <c r="D60" s="3">
        <f>ROUND(Data!P60,1)</f>
        <v>2.1</v>
      </c>
      <c r="E60" s="3">
        <f>ROUND(Data!Y60,1)</f>
        <v>-2.5</v>
      </c>
      <c r="F60" s="3">
        <f>Data!BH60</f>
        <v>56.5</v>
      </c>
      <c r="G60" s="3">
        <f>Data!N60</f>
        <v>2.032</v>
      </c>
      <c r="H60" s="17">
        <f>Data!AY60</f>
        <v>1008</v>
      </c>
      <c r="I60" s="13">
        <f t="shared" si="0"/>
        <v>0</v>
      </c>
      <c r="K60" s="27">
        <f t="shared" si="7"/>
        <v>0</v>
      </c>
      <c r="M60" s="22">
        <f t="shared" si="12"/>
        <v>0</v>
      </c>
      <c r="N60" s="22">
        <f t="shared" si="12"/>
        <v>100.69999999999999</v>
      </c>
      <c r="P60" s="19">
        <f t="shared" si="9"/>
        <v>0.28275000000000006</v>
      </c>
      <c r="Q60" s="19">
        <f t="shared" si="3"/>
        <v>0.28275000000000006</v>
      </c>
      <c r="R60" s="17">
        <f t="shared" si="4"/>
        <v>285.01200000000006</v>
      </c>
      <c r="S60" s="22">
        <f t="shared" si="5"/>
        <v>0</v>
      </c>
      <c r="T60" s="22">
        <f t="shared" si="6"/>
        <v>0</v>
      </c>
    </row>
    <row r="61" spans="1:20" x14ac:dyDescent="0.2">
      <c r="A61" s="15">
        <f>Data!A61</f>
        <v>45713</v>
      </c>
      <c r="B61" s="1">
        <v>57</v>
      </c>
      <c r="C61" s="16">
        <f>ROUND(Data!BB61,2)</f>
        <v>4.92</v>
      </c>
      <c r="D61" s="3">
        <f>ROUND(Data!P61,1)</f>
        <v>0.9</v>
      </c>
      <c r="E61" s="3">
        <f>ROUND(Data!Y61,1)</f>
        <v>-5.6</v>
      </c>
      <c r="F61" s="3">
        <f>Data!BH61</f>
        <v>73.599999999999994</v>
      </c>
      <c r="G61" s="3">
        <f>Data!N61</f>
        <v>1.27</v>
      </c>
      <c r="H61" s="17">
        <f>Data!AY61</f>
        <v>1027.0000000000002</v>
      </c>
      <c r="I61" s="13">
        <f t="shared" si="0"/>
        <v>2.5</v>
      </c>
      <c r="K61" s="27">
        <f t="shared" si="7"/>
        <v>2.5</v>
      </c>
      <c r="M61" s="22">
        <f t="shared" ref="M61:M124" si="13">J61+M60</f>
        <v>0</v>
      </c>
      <c r="N61" s="22">
        <f t="shared" ref="N61:N124" si="14">K61+N60</f>
        <v>103.19999999999999</v>
      </c>
      <c r="P61" s="19">
        <f t="shared" si="9"/>
        <v>0.27995326192794545</v>
      </c>
      <c r="Q61" s="19">
        <f t="shared" si="3"/>
        <v>0.27995326192794545</v>
      </c>
      <c r="R61" s="17">
        <f t="shared" si="4"/>
        <v>287.51200000000006</v>
      </c>
      <c r="S61" s="22">
        <f t="shared" si="5"/>
        <v>2.5</v>
      </c>
      <c r="T61" s="22">
        <f t="shared" si="6"/>
        <v>0</v>
      </c>
    </row>
    <row r="62" spans="1:20" x14ac:dyDescent="0.2">
      <c r="A62" s="15">
        <f>Data!A62</f>
        <v>45714</v>
      </c>
      <c r="B62" s="1">
        <v>57</v>
      </c>
      <c r="C62" s="16">
        <f>ROUND(Data!BB62,2)</f>
        <v>8.3000000000000007</v>
      </c>
      <c r="D62" s="3">
        <f>ROUND(Data!P62,1)</f>
        <v>4.4000000000000004</v>
      </c>
      <c r="E62" s="3">
        <f>ROUND(Data!Y62,1)</f>
        <v>-8.1</v>
      </c>
      <c r="F62" s="3">
        <f>Data!BH62</f>
        <v>51.2</v>
      </c>
      <c r="G62" s="3">
        <f>Data!N62</f>
        <v>0.254</v>
      </c>
      <c r="H62" s="17">
        <f>Data!AY62</f>
        <v>993.00000000000034</v>
      </c>
      <c r="I62" s="13">
        <f t="shared" si="0"/>
        <v>0</v>
      </c>
      <c r="K62" s="27">
        <f t="shared" si="7"/>
        <v>0</v>
      </c>
      <c r="M62" s="22">
        <f t="shared" si="13"/>
        <v>0</v>
      </c>
      <c r="N62" s="22">
        <f t="shared" si="14"/>
        <v>103.19999999999999</v>
      </c>
      <c r="P62" s="19">
        <f t="shared" si="9"/>
        <v>0.28953877139979856</v>
      </c>
      <c r="Q62" s="19">
        <f t="shared" si="3"/>
        <v>0.28953877139979856</v>
      </c>
      <c r="R62" s="17">
        <f t="shared" si="4"/>
        <v>287.51200000000006</v>
      </c>
      <c r="S62" s="22">
        <f t="shared" si="5"/>
        <v>0</v>
      </c>
      <c r="T62" s="22">
        <f t="shared" si="6"/>
        <v>0</v>
      </c>
    </row>
    <row r="63" spans="1:20" x14ac:dyDescent="0.2">
      <c r="A63" s="15">
        <f>Data!A63</f>
        <v>45715</v>
      </c>
      <c r="B63" s="1">
        <v>58</v>
      </c>
      <c r="C63" s="16">
        <f>ROUND(Data!BB63,2)</f>
        <v>0</v>
      </c>
      <c r="D63" s="3">
        <f>ROUND(Data!P63,1)</f>
        <v>0</v>
      </c>
      <c r="E63" s="3">
        <f>ROUND(Data!Y63,1)</f>
        <v>0</v>
      </c>
      <c r="F63" s="3">
        <f>Data!BH63</f>
        <v>0</v>
      </c>
      <c r="G63" s="3">
        <f>Data!N63</f>
        <v>0</v>
      </c>
      <c r="H63" s="17">
        <f>Data!AY63</f>
        <v>0</v>
      </c>
      <c r="I63" s="13">
        <f t="shared" ref="I63:I126" si="15">IF(H63&gt;H62,ROUND((H63-H62)*I$1,1),0)</f>
        <v>0</v>
      </c>
      <c r="K63" s="27">
        <f t="shared" si="7"/>
        <v>0</v>
      </c>
      <c r="M63" s="22">
        <f t="shared" si="13"/>
        <v>0</v>
      </c>
      <c r="N63" s="22">
        <f t="shared" si="14"/>
        <v>103.19999999999999</v>
      </c>
      <c r="P63" s="19" t="e">
        <f t="shared" si="9"/>
        <v>#DIV/0!</v>
      </c>
      <c r="Q63" s="19" t="e">
        <f t="shared" si="3"/>
        <v>#DIV/0!</v>
      </c>
      <c r="R63" s="17" t="e">
        <f t="shared" si="4"/>
        <v>#DIV/0!</v>
      </c>
      <c r="S63" s="22" t="e">
        <f t="shared" si="5"/>
        <v>#DIV/0!</v>
      </c>
      <c r="T63" s="22" t="e">
        <f t="shared" si="6"/>
        <v>#DIV/0!</v>
      </c>
    </row>
    <row r="64" spans="1:20" x14ac:dyDescent="0.2">
      <c r="A64" s="15">
        <f>Data!A64</f>
        <v>45716</v>
      </c>
      <c r="B64" s="1">
        <v>59</v>
      </c>
      <c r="C64" s="16">
        <f>ROUND(Data!BB64,2)</f>
        <v>0</v>
      </c>
      <c r="D64" s="3">
        <f>ROUND(Data!P64,1)</f>
        <v>0</v>
      </c>
      <c r="E64" s="3">
        <f>ROUND(Data!Y64,1)</f>
        <v>0</v>
      </c>
      <c r="F64" s="3">
        <f>Data!BH64</f>
        <v>0</v>
      </c>
      <c r="G64" s="3">
        <f>Data!N64</f>
        <v>0</v>
      </c>
      <c r="H64" s="17">
        <f>Data!AY64</f>
        <v>0</v>
      </c>
      <c r="I64" s="13">
        <f t="shared" si="15"/>
        <v>0</v>
      </c>
      <c r="K64" s="27">
        <f t="shared" si="7"/>
        <v>0</v>
      </c>
      <c r="M64" s="22">
        <f t="shared" si="13"/>
        <v>0</v>
      </c>
      <c r="N64" s="22">
        <f t="shared" si="14"/>
        <v>103.19999999999999</v>
      </c>
      <c r="P64" s="19" t="e">
        <f t="shared" si="9"/>
        <v>#DIV/0!</v>
      </c>
      <c r="Q64" s="19" t="e">
        <f t="shared" si="3"/>
        <v>#DIV/0!</v>
      </c>
      <c r="R64" s="17" t="e">
        <f t="shared" si="4"/>
        <v>#DIV/0!</v>
      </c>
      <c r="S64" s="22" t="e">
        <f t="shared" si="5"/>
        <v>#DIV/0!</v>
      </c>
      <c r="T64" s="22" t="e">
        <f t="shared" si="6"/>
        <v>#DIV/0!</v>
      </c>
    </row>
    <row r="65" spans="1:20" x14ac:dyDescent="0.2">
      <c r="A65" s="15">
        <f>Data!A65</f>
        <v>45717</v>
      </c>
      <c r="B65" s="1">
        <v>60</v>
      </c>
      <c r="C65" s="16">
        <f>ROUND(Data!BB65,2)</f>
        <v>0</v>
      </c>
      <c r="D65" s="3">
        <f>ROUND(Data!P65,1)</f>
        <v>0</v>
      </c>
      <c r="E65" s="3">
        <f>ROUND(Data!Y65,1)</f>
        <v>0</v>
      </c>
      <c r="F65" s="3">
        <f>Data!BH65</f>
        <v>0</v>
      </c>
      <c r="G65" s="3">
        <f>Data!N65</f>
        <v>0</v>
      </c>
      <c r="H65" s="17">
        <f>Data!AY65</f>
        <v>0</v>
      </c>
      <c r="I65" s="13">
        <f t="shared" si="15"/>
        <v>0</v>
      </c>
      <c r="K65" s="27">
        <f t="shared" si="7"/>
        <v>0</v>
      </c>
      <c r="M65" s="22">
        <f t="shared" si="13"/>
        <v>0</v>
      </c>
      <c r="N65" s="22">
        <f t="shared" si="14"/>
        <v>103.19999999999999</v>
      </c>
      <c r="P65" s="19" t="e">
        <f t="shared" si="9"/>
        <v>#DIV/0!</v>
      </c>
      <c r="Q65" s="19" t="e">
        <f t="shared" si="3"/>
        <v>#DIV/0!</v>
      </c>
      <c r="R65" s="17" t="e">
        <f t="shared" si="4"/>
        <v>#DIV/0!</v>
      </c>
      <c r="S65" s="22" t="e">
        <f t="shared" si="5"/>
        <v>#DIV/0!</v>
      </c>
      <c r="T65" s="22" t="e">
        <f t="shared" si="6"/>
        <v>#DIV/0!</v>
      </c>
    </row>
    <row r="66" spans="1:20" x14ac:dyDescent="0.2">
      <c r="A66" s="15">
        <f>Data!A66</f>
        <v>45718</v>
      </c>
      <c r="B66" s="1">
        <v>61</v>
      </c>
      <c r="C66" s="16">
        <f>ROUND(Data!BB66,2)</f>
        <v>0</v>
      </c>
      <c r="D66" s="3">
        <f>ROUND(Data!P66,1)</f>
        <v>0</v>
      </c>
      <c r="E66" s="3">
        <f>ROUND(Data!Y66,1)</f>
        <v>0</v>
      </c>
      <c r="F66" s="3">
        <f>Data!BH66</f>
        <v>0</v>
      </c>
      <c r="G66" s="3">
        <f>Data!N66</f>
        <v>0</v>
      </c>
      <c r="H66" s="17">
        <f>Data!AY66</f>
        <v>0</v>
      </c>
      <c r="I66" s="13">
        <f t="shared" si="15"/>
        <v>0</v>
      </c>
      <c r="K66" s="27">
        <f t="shared" si="7"/>
        <v>0</v>
      </c>
      <c r="M66" s="22">
        <f t="shared" si="13"/>
        <v>0</v>
      </c>
      <c r="N66" s="22">
        <f t="shared" si="14"/>
        <v>103.19999999999999</v>
      </c>
      <c r="P66" s="19" t="e">
        <f t="shared" si="9"/>
        <v>#DIV/0!</v>
      </c>
      <c r="Q66" s="19" t="e">
        <f t="shared" si="3"/>
        <v>#DIV/0!</v>
      </c>
      <c r="R66" s="17" t="e">
        <f t="shared" si="4"/>
        <v>#DIV/0!</v>
      </c>
      <c r="S66" s="22" t="e">
        <f t="shared" si="5"/>
        <v>#DIV/0!</v>
      </c>
      <c r="T66" s="22" t="e">
        <f t="shared" si="6"/>
        <v>#DIV/0!</v>
      </c>
    </row>
    <row r="67" spans="1:20" x14ac:dyDescent="0.2">
      <c r="A67" s="15">
        <f>Data!A67</f>
        <v>45719</v>
      </c>
      <c r="B67" s="1">
        <v>62</v>
      </c>
      <c r="C67" s="16">
        <f>ROUND(Data!BB67,2)</f>
        <v>0</v>
      </c>
      <c r="D67" s="3">
        <f>ROUND(Data!P67,1)</f>
        <v>0</v>
      </c>
      <c r="E67" s="3">
        <f>ROUND(Data!Y67,1)</f>
        <v>0</v>
      </c>
      <c r="F67" s="3">
        <f>Data!BH67</f>
        <v>0</v>
      </c>
      <c r="G67" s="3">
        <f>Data!N67</f>
        <v>0</v>
      </c>
      <c r="H67" s="17">
        <f>Data!AY67</f>
        <v>0</v>
      </c>
      <c r="I67" s="13">
        <f t="shared" si="15"/>
        <v>0</v>
      </c>
      <c r="K67" s="27">
        <f t="shared" si="7"/>
        <v>0</v>
      </c>
      <c r="M67" s="22">
        <f t="shared" si="13"/>
        <v>0</v>
      </c>
      <c r="N67" s="22">
        <f t="shared" si="14"/>
        <v>103.19999999999999</v>
      </c>
      <c r="P67" s="19" t="e">
        <f t="shared" si="9"/>
        <v>#DIV/0!</v>
      </c>
      <c r="Q67" s="19" t="e">
        <f t="shared" si="3"/>
        <v>#DIV/0!</v>
      </c>
      <c r="R67" s="17" t="e">
        <f t="shared" si="4"/>
        <v>#DIV/0!</v>
      </c>
      <c r="S67" s="22" t="e">
        <f t="shared" si="5"/>
        <v>#DIV/0!</v>
      </c>
      <c r="T67" s="22" t="e">
        <f t="shared" si="6"/>
        <v>#DIV/0!</v>
      </c>
    </row>
    <row r="68" spans="1:20" x14ac:dyDescent="0.2">
      <c r="A68" s="15">
        <f>Data!A68</f>
        <v>45720</v>
      </c>
      <c r="B68" s="1">
        <v>63</v>
      </c>
      <c r="C68" s="16">
        <f>ROUND(Data!BB68,2)</f>
        <v>0</v>
      </c>
      <c r="D68" s="3">
        <f>ROUND(Data!P68,1)</f>
        <v>0</v>
      </c>
      <c r="E68" s="3">
        <f>ROUND(Data!Y68,1)</f>
        <v>0</v>
      </c>
      <c r="F68" s="3">
        <f>Data!BH68</f>
        <v>0</v>
      </c>
      <c r="G68" s="3">
        <f>Data!N68</f>
        <v>0</v>
      </c>
      <c r="H68" s="17">
        <f>Data!AY68</f>
        <v>0</v>
      </c>
      <c r="I68" s="13">
        <f t="shared" si="15"/>
        <v>0</v>
      </c>
      <c r="K68" s="27">
        <f t="shared" si="7"/>
        <v>0</v>
      </c>
      <c r="M68" s="22">
        <f t="shared" si="13"/>
        <v>0</v>
      </c>
      <c r="N68" s="22">
        <f t="shared" si="14"/>
        <v>103.19999999999999</v>
      </c>
      <c r="P68" s="19" t="e">
        <f t="shared" si="9"/>
        <v>#DIV/0!</v>
      </c>
      <c r="Q68" s="19" t="e">
        <f t="shared" si="3"/>
        <v>#DIV/0!</v>
      </c>
      <c r="R68" s="17" t="e">
        <f t="shared" si="4"/>
        <v>#DIV/0!</v>
      </c>
      <c r="S68" s="22" t="e">
        <f t="shared" si="5"/>
        <v>#DIV/0!</v>
      </c>
      <c r="T68" s="22" t="e">
        <f t="shared" si="6"/>
        <v>#DIV/0!</v>
      </c>
    </row>
    <row r="69" spans="1:20" x14ac:dyDescent="0.2">
      <c r="A69" s="15">
        <f>Data!A69</f>
        <v>45721</v>
      </c>
      <c r="B69" s="1">
        <v>64</v>
      </c>
      <c r="C69" s="16">
        <f>ROUND(Data!BB69,2)</f>
        <v>0</v>
      </c>
      <c r="D69" s="3">
        <f>ROUND(Data!P69,1)</f>
        <v>0</v>
      </c>
      <c r="E69" s="3">
        <f>ROUND(Data!Y69,1)</f>
        <v>0</v>
      </c>
      <c r="F69" s="3">
        <f>Data!BH69</f>
        <v>0</v>
      </c>
      <c r="G69" s="3">
        <f>Data!N69</f>
        <v>0</v>
      </c>
      <c r="H69" s="17">
        <f>Data!AY69</f>
        <v>0</v>
      </c>
      <c r="I69" s="13">
        <f t="shared" si="15"/>
        <v>0</v>
      </c>
      <c r="K69" s="27">
        <f t="shared" si="7"/>
        <v>0</v>
      </c>
      <c r="M69" s="22">
        <f t="shared" si="13"/>
        <v>0</v>
      </c>
      <c r="N69" s="22">
        <f t="shared" si="14"/>
        <v>103.19999999999999</v>
      </c>
      <c r="P69" s="19" t="e">
        <f t="shared" si="9"/>
        <v>#DIV/0!</v>
      </c>
      <c r="Q69" s="19" t="e">
        <f t="shared" si="3"/>
        <v>#DIV/0!</v>
      </c>
      <c r="R69" s="17" t="e">
        <f t="shared" si="4"/>
        <v>#DIV/0!</v>
      </c>
      <c r="S69" s="22" t="e">
        <f t="shared" si="5"/>
        <v>#DIV/0!</v>
      </c>
      <c r="T69" s="22" t="e">
        <f t="shared" si="6"/>
        <v>#DIV/0!</v>
      </c>
    </row>
    <row r="70" spans="1:20" x14ac:dyDescent="0.2">
      <c r="A70" s="15">
        <f>Data!A70</f>
        <v>45722</v>
      </c>
      <c r="B70" s="1">
        <v>65</v>
      </c>
      <c r="C70" s="16">
        <f>ROUND(Data!BB70,2)</f>
        <v>0</v>
      </c>
      <c r="D70" s="3">
        <f>ROUND(Data!P70,1)</f>
        <v>0</v>
      </c>
      <c r="E70" s="3">
        <f>ROUND(Data!Y70,1)</f>
        <v>0</v>
      </c>
      <c r="F70" s="3">
        <f>Data!BH70</f>
        <v>0</v>
      </c>
      <c r="G70" s="3">
        <f>Data!N70</f>
        <v>0</v>
      </c>
      <c r="H70" s="17">
        <f>Data!AY70</f>
        <v>0</v>
      </c>
      <c r="I70" s="13">
        <f t="shared" si="15"/>
        <v>0</v>
      </c>
      <c r="K70" s="27">
        <f t="shared" si="7"/>
        <v>0</v>
      </c>
      <c r="M70" s="22">
        <f t="shared" si="13"/>
        <v>0</v>
      </c>
      <c r="N70" s="22">
        <f t="shared" si="14"/>
        <v>103.19999999999999</v>
      </c>
      <c r="P70" s="19" t="e">
        <f t="shared" si="9"/>
        <v>#DIV/0!</v>
      </c>
      <c r="Q70" s="19" t="e">
        <f t="shared" si="3"/>
        <v>#DIV/0!</v>
      </c>
      <c r="R70" s="17" t="e">
        <f t="shared" si="4"/>
        <v>#DIV/0!</v>
      </c>
      <c r="S70" s="22" t="e">
        <f t="shared" si="5"/>
        <v>#DIV/0!</v>
      </c>
      <c r="T70" s="22" t="e">
        <f t="shared" si="6"/>
        <v>#DIV/0!</v>
      </c>
    </row>
    <row r="71" spans="1:20" x14ac:dyDescent="0.2">
      <c r="A71" s="15">
        <f>Data!A71</f>
        <v>45723</v>
      </c>
      <c r="B71" s="1">
        <v>66</v>
      </c>
      <c r="C71" s="16">
        <f>ROUND(Data!BB71,2)</f>
        <v>0</v>
      </c>
      <c r="D71" s="3">
        <f>ROUND(Data!P71,1)</f>
        <v>0</v>
      </c>
      <c r="E71" s="3">
        <f>ROUND(Data!Y71,1)</f>
        <v>0</v>
      </c>
      <c r="F71" s="3">
        <f>Data!BH71</f>
        <v>0</v>
      </c>
      <c r="G71" s="3">
        <f>Data!N71</f>
        <v>0</v>
      </c>
      <c r="H71" s="17">
        <f>Data!AY71</f>
        <v>0</v>
      </c>
      <c r="I71" s="13">
        <f t="shared" si="15"/>
        <v>0</v>
      </c>
      <c r="K71" s="27">
        <f t="shared" si="7"/>
        <v>0</v>
      </c>
      <c r="M71" s="22">
        <f t="shared" si="13"/>
        <v>0</v>
      </c>
      <c r="N71" s="22">
        <f t="shared" si="14"/>
        <v>103.19999999999999</v>
      </c>
      <c r="P71" s="19" t="e">
        <f t="shared" ref="P71:P134" si="16">(R70+K71)/H71</f>
        <v>#DIV/0!</v>
      </c>
      <c r="Q71" s="19" t="e">
        <f t="shared" ref="Q71:Q134" si="17">IF(P71&gt;Q$1,Q$1,P71)</f>
        <v>#DIV/0!</v>
      </c>
      <c r="R71" s="17" t="e">
        <f t="shared" ref="R71:R134" si="18">Q71*H71</f>
        <v>#DIV/0!</v>
      </c>
      <c r="S71" s="22" t="e">
        <f t="shared" ref="S71:S134" si="19">R71-R70</f>
        <v>#DIV/0!</v>
      </c>
      <c r="T71" s="22" t="e">
        <f t="shared" ref="T71:T134" si="20">ROUND(K71-S71,1)</f>
        <v>#DIV/0!</v>
      </c>
    </row>
    <row r="72" spans="1:20" x14ac:dyDescent="0.2">
      <c r="A72" s="15">
        <f>Data!A72</f>
        <v>45724</v>
      </c>
      <c r="B72" s="1">
        <v>67</v>
      </c>
      <c r="C72" s="16">
        <f>ROUND(Data!BB72,2)</f>
        <v>0</v>
      </c>
      <c r="D72" s="3">
        <f>ROUND(Data!P72,1)</f>
        <v>0</v>
      </c>
      <c r="E72" s="3">
        <f>ROUND(Data!Y72,1)</f>
        <v>0</v>
      </c>
      <c r="F72" s="3">
        <f>Data!BH72</f>
        <v>0</v>
      </c>
      <c r="G72" s="3">
        <f>Data!N72</f>
        <v>0</v>
      </c>
      <c r="H72" s="17">
        <f>Data!AY72</f>
        <v>0</v>
      </c>
      <c r="I72" s="13">
        <f t="shared" si="15"/>
        <v>0</v>
      </c>
      <c r="K72" s="27">
        <f t="shared" si="7"/>
        <v>0</v>
      </c>
      <c r="M72" s="22">
        <f t="shared" si="13"/>
        <v>0</v>
      </c>
      <c r="N72" s="22">
        <f t="shared" si="14"/>
        <v>103.19999999999999</v>
      </c>
      <c r="P72" s="19" t="e">
        <f t="shared" si="16"/>
        <v>#DIV/0!</v>
      </c>
      <c r="Q72" s="19" t="e">
        <f t="shared" si="17"/>
        <v>#DIV/0!</v>
      </c>
      <c r="R72" s="17" t="e">
        <f t="shared" si="18"/>
        <v>#DIV/0!</v>
      </c>
      <c r="S72" s="22" t="e">
        <f t="shared" si="19"/>
        <v>#DIV/0!</v>
      </c>
      <c r="T72" s="22" t="e">
        <f t="shared" si="20"/>
        <v>#DIV/0!</v>
      </c>
    </row>
    <row r="73" spans="1:20" x14ac:dyDescent="0.2">
      <c r="A73" s="15">
        <f>Data!A73</f>
        <v>45725</v>
      </c>
      <c r="B73" s="1">
        <v>68</v>
      </c>
      <c r="C73" s="16">
        <f>ROUND(Data!BB73,2)</f>
        <v>0</v>
      </c>
      <c r="D73" s="3">
        <f>ROUND(Data!P73,1)</f>
        <v>0</v>
      </c>
      <c r="E73" s="3">
        <f>ROUND(Data!Y73,1)</f>
        <v>0</v>
      </c>
      <c r="F73" s="3">
        <f>Data!BH73</f>
        <v>0</v>
      </c>
      <c r="G73" s="3">
        <f>Data!N73</f>
        <v>0</v>
      </c>
      <c r="H73" s="17">
        <f>Data!AY73</f>
        <v>0</v>
      </c>
      <c r="I73" s="13">
        <f t="shared" si="15"/>
        <v>0</v>
      </c>
      <c r="K73" s="27">
        <f t="shared" ref="K73:K131" si="21">I73</f>
        <v>0</v>
      </c>
      <c r="M73" s="22">
        <f t="shared" si="13"/>
        <v>0</v>
      </c>
      <c r="N73" s="22">
        <f t="shared" si="14"/>
        <v>103.19999999999999</v>
      </c>
      <c r="P73" s="19" t="e">
        <f t="shared" si="16"/>
        <v>#DIV/0!</v>
      </c>
      <c r="Q73" s="19" t="e">
        <f t="shared" si="17"/>
        <v>#DIV/0!</v>
      </c>
      <c r="R73" s="17" t="e">
        <f t="shared" si="18"/>
        <v>#DIV/0!</v>
      </c>
      <c r="S73" s="22" t="e">
        <f t="shared" si="19"/>
        <v>#DIV/0!</v>
      </c>
      <c r="T73" s="22" t="e">
        <f t="shared" si="20"/>
        <v>#DIV/0!</v>
      </c>
    </row>
    <row r="74" spans="1:20" x14ac:dyDescent="0.2">
      <c r="A74" s="15">
        <f>Data!A74</f>
        <v>45726</v>
      </c>
      <c r="B74" s="1">
        <v>69</v>
      </c>
      <c r="C74" s="16">
        <f>ROUND(Data!BB74,2)</f>
        <v>0</v>
      </c>
      <c r="D74" s="3">
        <f>ROUND(Data!P74,1)</f>
        <v>0</v>
      </c>
      <c r="E74" s="3">
        <f>ROUND(Data!Y74,1)</f>
        <v>0</v>
      </c>
      <c r="F74" s="3">
        <f>Data!BH74</f>
        <v>0</v>
      </c>
      <c r="G74" s="3">
        <f>Data!N74</f>
        <v>0</v>
      </c>
      <c r="H74" s="17">
        <f>Data!AY74</f>
        <v>0</v>
      </c>
      <c r="I74" s="13">
        <f t="shared" si="15"/>
        <v>0</v>
      </c>
      <c r="K74" s="27">
        <f t="shared" si="21"/>
        <v>0</v>
      </c>
      <c r="M74" s="22">
        <f t="shared" si="13"/>
        <v>0</v>
      </c>
      <c r="N74" s="22">
        <f t="shared" si="14"/>
        <v>103.19999999999999</v>
      </c>
      <c r="P74" s="19" t="e">
        <f t="shared" si="16"/>
        <v>#DIV/0!</v>
      </c>
      <c r="Q74" s="19" t="e">
        <f t="shared" si="17"/>
        <v>#DIV/0!</v>
      </c>
      <c r="R74" s="17" t="e">
        <f t="shared" si="18"/>
        <v>#DIV/0!</v>
      </c>
      <c r="S74" s="22" t="e">
        <f t="shared" si="19"/>
        <v>#DIV/0!</v>
      </c>
      <c r="T74" s="22" t="e">
        <f t="shared" si="20"/>
        <v>#DIV/0!</v>
      </c>
    </row>
    <row r="75" spans="1:20" x14ac:dyDescent="0.2">
      <c r="A75" s="15">
        <f>Data!A75</f>
        <v>45727</v>
      </c>
      <c r="B75" s="1">
        <v>70</v>
      </c>
      <c r="C75" s="16">
        <f>ROUND(Data!BB75,2)</f>
        <v>0</v>
      </c>
      <c r="D75" s="3">
        <f>ROUND(Data!P75,1)</f>
        <v>0</v>
      </c>
      <c r="E75" s="3">
        <f>ROUND(Data!Y75,1)</f>
        <v>0</v>
      </c>
      <c r="F75" s="3">
        <f>Data!BH75</f>
        <v>0</v>
      </c>
      <c r="G75" s="3">
        <f>Data!N75</f>
        <v>0</v>
      </c>
      <c r="H75" s="17">
        <f>Data!AY75</f>
        <v>0</v>
      </c>
      <c r="I75" s="13">
        <f t="shared" si="15"/>
        <v>0</v>
      </c>
      <c r="K75" s="27">
        <f t="shared" si="21"/>
        <v>0</v>
      </c>
      <c r="M75" s="22">
        <f t="shared" si="13"/>
        <v>0</v>
      </c>
      <c r="N75" s="22">
        <f t="shared" si="14"/>
        <v>103.19999999999999</v>
      </c>
      <c r="P75" s="19" t="e">
        <f t="shared" si="16"/>
        <v>#DIV/0!</v>
      </c>
      <c r="Q75" s="19" t="e">
        <f t="shared" si="17"/>
        <v>#DIV/0!</v>
      </c>
      <c r="R75" s="17" t="e">
        <f t="shared" si="18"/>
        <v>#DIV/0!</v>
      </c>
      <c r="S75" s="22" t="e">
        <f t="shared" si="19"/>
        <v>#DIV/0!</v>
      </c>
      <c r="T75" s="22" t="e">
        <f t="shared" si="20"/>
        <v>#DIV/0!</v>
      </c>
    </row>
    <row r="76" spans="1:20" x14ac:dyDescent="0.2">
      <c r="A76" s="15">
        <f>Data!A76</f>
        <v>45728</v>
      </c>
      <c r="B76" s="1">
        <v>71</v>
      </c>
      <c r="C76" s="16">
        <f>ROUND(Data!BB76,2)</f>
        <v>0</v>
      </c>
      <c r="D76" s="3">
        <f>ROUND(Data!P76,1)</f>
        <v>0</v>
      </c>
      <c r="E76" s="3">
        <f>ROUND(Data!Y76,1)</f>
        <v>0</v>
      </c>
      <c r="F76" s="3">
        <f>Data!BH76</f>
        <v>0</v>
      </c>
      <c r="G76" s="3">
        <f>Data!N76</f>
        <v>0</v>
      </c>
      <c r="H76" s="17">
        <f>Data!AY76</f>
        <v>0</v>
      </c>
      <c r="I76" s="13">
        <f t="shared" si="15"/>
        <v>0</v>
      </c>
      <c r="K76" s="27">
        <f t="shared" si="21"/>
        <v>0</v>
      </c>
      <c r="M76" s="22">
        <f t="shared" si="13"/>
        <v>0</v>
      </c>
      <c r="N76" s="22">
        <f t="shared" si="14"/>
        <v>103.19999999999999</v>
      </c>
      <c r="P76" s="19" t="e">
        <f t="shared" si="16"/>
        <v>#DIV/0!</v>
      </c>
      <c r="Q76" s="19" t="e">
        <f t="shared" si="17"/>
        <v>#DIV/0!</v>
      </c>
      <c r="R76" s="17" t="e">
        <f t="shared" si="18"/>
        <v>#DIV/0!</v>
      </c>
      <c r="S76" s="22" t="e">
        <f t="shared" si="19"/>
        <v>#DIV/0!</v>
      </c>
      <c r="T76" s="22" t="e">
        <f t="shared" si="20"/>
        <v>#DIV/0!</v>
      </c>
    </row>
    <row r="77" spans="1:20" x14ac:dyDescent="0.2">
      <c r="A77" s="15">
        <f>Data!A77</f>
        <v>45729</v>
      </c>
      <c r="B77" s="1">
        <v>72</v>
      </c>
      <c r="C77" s="16">
        <f>ROUND(Data!BB77,2)</f>
        <v>0</v>
      </c>
      <c r="D77" s="3">
        <f>ROUND(Data!P77,1)</f>
        <v>0</v>
      </c>
      <c r="E77" s="3">
        <f>ROUND(Data!Y77,1)</f>
        <v>0</v>
      </c>
      <c r="F77" s="3">
        <f>Data!BH77</f>
        <v>0</v>
      </c>
      <c r="G77" s="3">
        <f>Data!N77</f>
        <v>0</v>
      </c>
      <c r="H77" s="17">
        <f>Data!AY77</f>
        <v>0</v>
      </c>
      <c r="I77" s="13">
        <f t="shared" si="15"/>
        <v>0</v>
      </c>
      <c r="K77" s="27">
        <f t="shared" si="21"/>
        <v>0</v>
      </c>
      <c r="M77" s="22">
        <f t="shared" si="13"/>
        <v>0</v>
      </c>
      <c r="N77" s="22">
        <f t="shared" si="14"/>
        <v>103.19999999999999</v>
      </c>
      <c r="P77" s="19" t="e">
        <f t="shared" si="16"/>
        <v>#DIV/0!</v>
      </c>
      <c r="Q77" s="19" t="e">
        <f t="shared" si="17"/>
        <v>#DIV/0!</v>
      </c>
      <c r="R77" s="17" t="e">
        <f t="shared" si="18"/>
        <v>#DIV/0!</v>
      </c>
      <c r="S77" s="22" t="e">
        <f t="shared" si="19"/>
        <v>#DIV/0!</v>
      </c>
      <c r="T77" s="22" t="e">
        <f t="shared" si="20"/>
        <v>#DIV/0!</v>
      </c>
    </row>
    <row r="78" spans="1:20" x14ac:dyDescent="0.2">
      <c r="A78" s="15">
        <f>Data!A78</f>
        <v>45730</v>
      </c>
      <c r="B78" s="1">
        <v>73</v>
      </c>
      <c r="C78" s="16">
        <f>ROUND(Data!BB78,2)</f>
        <v>0</v>
      </c>
      <c r="D78" s="3">
        <f>ROUND(Data!P78,1)</f>
        <v>0</v>
      </c>
      <c r="E78" s="3">
        <f>ROUND(Data!Y78,1)</f>
        <v>0</v>
      </c>
      <c r="F78" s="3">
        <f>Data!BH78</f>
        <v>0</v>
      </c>
      <c r="G78" s="3">
        <f>Data!N78</f>
        <v>0</v>
      </c>
      <c r="H78" s="17">
        <f>Data!AY78</f>
        <v>0</v>
      </c>
      <c r="I78" s="13">
        <f t="shared" si="15"/>
        <v>0</v>
      </c>
      <c r="K78" s="27">
        <f t="shared" si="21"/>
        <v>0</v>
      </c>
      <c r="M78" s="22">
        <f t="shared" si="13"/>
        <v>0</v>
      </c>
      <c r="N78" s="22">
        <f t="shared" si="14"/>
        <v>103.19999999999999</v>
      </c>
      <c r="P78" s="19" t="e">
        <f t="shared" si="16"/>
        <v>#DIV/0!</v>
      </c>
      <c r="Q78" s="19" t="e">
        <f t="shared" si="17"/>
        <v>#DIV/0!</v>
      </c>
      <c r="R78" s="17" t="e">
        <f t="shared" si="18"/>
        <v>#DIV/0!</v>
      </c>
      <c r="S78" s="22" t="e">
        <f t="shared" si="19"/>
        <v>#DIV/0!</v>
      </c>
      <c r="T78" s="22" t="e">
        <f t="shared" si="20"/>
        <v>#DIV/0!</v>
      </c>
    </row>
    <row r="79" spans="1:20" x14ac:dyDescent="0.2">
      <c r="A79" s="15">
        <f>Data!A79</f>
        <v>45731</v>
      </c>
      <c r="B79" s="1">
        <v>74</v>
      </c>
      <c r="C79" s="16">
        <f>ROUND(Data!BB79,2)</f>
        <v>0</v>
      </c>
      <c r="D79" s="3">
        <f>ROUND(Data!P79,1)</f>
        <v>0</v>
      </c>
      <c r="E79" s="3">
        <f>ROUND(Data!Y79,1)</f>
        <v>0</v>
      </c>
      <c r="F79" s="3">
        <f>Data!BH79</f>
        <v>0</v>
      </c>
      <c r="G79" s="3">
        <f>Data!N79</f>
        <v>0</v>
      </c>
      <c r="H79" s="17">
        <f>Data!AY79</f>
        <v>0</v>
      </c>
      <c r="I79" s="13">
        <f t="shared" si="15"/>
        <v>0</v>
      </c>
      <c r="K79" s="27">
        <f t="shared" si="21"/>
        <v>0</v>
      </c>
      <c r="M79" s="22">
        <f t="shared" si="13"/>
        <v>0</v>
      </c>
      <c r="N79" s="22">
        <f t="shared" si="14"/>
        <v>103.19999999999999</v>
      </c>
      <c r="P79" s="19" t="e">
        <f t="shared" si="16"/>
        <v>#DIV/0!</v>
      </c>
      <c r="Q79" s="19" t="e">
        <f t="shared" si="17"/>
        <v>#DIV/0!</v>
      </c>
      <c r="R79" s="17" t="e">
        <f t="shared" si="18"/>
        <v>#DIV/0!</v>
      </c>
      <c r="S79" s="22" t="e">
        <f t="shared" si="19"/>
        <v>#DIV/0!</v>
      </c>
      <c r="T79" s="22" t="e">
        <f t="shared" si="20"/>
        <v>#DIV/0!</v>
      </c>
    </row>
    <row r="80" spans="1:20" x14ac:dyDescent="0.2">
      <c r="A80" s="15">
        <f>Data!A80</f>
        <v>45732</v>
      </c>
      <c r="B80" s="1">
        <v>75</v>
      </c>
      <c r="C80" s="16">
        <f>ROUND(Data!BB80,2)</f>
        <v>0</v>
      </c>
      <c r="D80" s="3">
        <f>ROUND(Data!P80,1)</f>
        <v>0</v>
      </c>
      <c r="E80" s="3">
        <f>ROUND(Data!Y80,1)</f>
        <v>0</v>
      </c>
      <c r="F80" s="3">
        <f>Data!BH80</f>
        <v>0</v>
      </c>
      <c r="G80" s="3">
        <f>Data!N80</f>
        <v>0</v>
      </c>
      <c r="H80" s="17">
        <f>Data!AY80</f>
        <v>0</v>
      </c>
      <c r="I80" s="13">
        <f t="shared" si="15"/>
        <v>0</v>
      </c>
      <c r="K80" s="27">
        <f t="shared" si="21"/>
        <v>0</v>
      </c>
      <c r="M80" s="22">
        <f t="shared" si="13"/>
        <v>0</v>
      </c>
      <c r="N80" s="22">
        <f t="shared" si="14"/>
        <v>103.19999999999999</v>
      </c>
      <c r="P80" s="19" t="e">
        <f t="shared" si="16"/>
        <v>#DIV/0!</v>
      </c>
      <c r="Q80" s="19" t="e">
        <f t="shared" si="17"/>
        <v>#DIV/0!</v>
      </c>
      <c r="R80" s="17" t="e">
        <f t="shared" si="18"/>
        <v>#DIV/0!</v>
      </c>
      <c r="S80" s="22" t="e">
        <f t="shared" si="19"/>
        <v>#DIV/0!</v>
      </c>
      <c r="T80" s="22" t="e">
        <f t="shared" si="20"/>
        <v>#DIV/0!</v>
      </c>
    </row>
    <row r="81" spans="1:20" x14ac:dyDescent="0.2">
      <c r="A81" s="15">
        <f>Data!A81</f>
        <v>45733</v>
      </c>
      <c r="B81" s="1">
        <v>76</v>
      </c>
      <c r="C81" s="16">
        <f>ROUND(Data!BB81,2)</f>
        <v>0</v>
      </c>
      <c r="D81" s="3">
        <f>ROUND(Data!P81,1)</f>
        <v>0</v>
      </c>
      <c r="E81" s="3">
        <f>ROUND(Data!Y81,1)</f>
        <v>0</v>
      </c>
      <c r="F81" s="3">
        <f>Data!BH81</f>
        <v>0</v>
      </c>
      <c r="G81" s="3">
        <f>Data!N81</f>
        <v>0</v>
      </c>
      <c r="H81" s="17">
        <f>Data!AY81</f>
        <v>0</v>
      </c>
      <c r="I81" s="13">
        <f t="shared" si="15"/>
        <v>0</v>
      </c>
      <c r="K81" s="27">
        <f t="shared" si="21"/>
        <v>0</v>
      </c>
      <c r="M81" s="22">
        <f t="shared" si="13"/>
        <v>0</v>
      </c>
      <c r="N81" s="22">
        <f t="shared" si="14"/>
        <v>103.19999999999999</v>
      </c>
      <c r="P81" s="19" t="e">
        <f t="shared" si="16"/>
        <v>#DIV/0!</v>
      </c>
      <c r="Q81" s="19" t="e">
        <f t="shared" si="17"/>
        <v>#DIV/0!</v>
      </c>
      <c r="R81" s="17" t="e">
        <f t="shared" si="18"/>
        <v>#DIV/0!</v>
      </c>
      <c r="S81" s="22" t="e">
        <f t="shared" si="19"/>
        <v>#DIV/0!</v>
      </c>
      <c r="T81" s="22" t="e">
        <f t="shared" si="20"/>
        <v>#DIV/0!</v>
      </c>
    </row>
    <row r="82" spans="1:20" x14ac:dyDescent="0.2">
      <c r="A82" s="15">
        <f>Data!A82</f>
        <v>45734</v>
      </c>
      <c r="B82" s="1">
        <v>77</v>
      </c>
      <c r="C82" s="16">
        <f>ROUND(Data!BB82,2)</f>
        <v>0</v>
      </c>
      <c r="D82" s="3">
        <f>ROUND(Data!P82,1)</f>
        <v>0</v>
      </c>
      <c r="E82" s="3">
        <f>ROUND(Data!Y82,1)</f>
        <v>0</v>
      </c>
      <c r="F82" s="3">
        <f>Data!BH82</f>
        <v>0</v>
      </c>
      <c r="G82" s="3">
        <f>Data!N82</f>
        <v>0</v>
      </c>
      <c r="H82" s="17">
        <f>Data!AY82</f>
        <v>0</v>
      </c>
      <c r="I82" s="13">
        <f t="shared" si="15"/>
        <v>0</v>
      </c>
      <c r="K82" s="27">
        <f t="shared" si="21"/>
        <v>0</v>
      </c>
      <c r="M82" s="22">
        <f t="shared" si="13"/>
        <v>0</v>
      </c>
      <c r="N82" s="22">
        <f t="shared" si="14"/>
        <v>103.19999999999999</v>
      </c>
      <c r="P82" s="19" t="e">
        <f t="shared" si="16"/>
        <v>#DIV/0!</v>
      </c>
      <c r="Q82" s="19" t="e">
        <f t="shared" si="17"/>
        <v>#DIV/0!</v>
      </c>
      <c r="R82" s="17" t="e">
        <f t="shared" si="18"/>
        <v>#DIV/0!</v>
      </c>
      <c r="S82" s="22" t="e">
        <f t="shared" si="19"/>
        <v>#DIV/0!</v>
      </c>
      <c r="T82" s="22" t="e">
        <f t="shared" si="20"/>
        <v>#DIV/0!</v>
      </c>
    </row>
    <row r="83" spans="1:20" x14ac:dyDescent="0.2">
      <c r="A83" s="15">
        <f>Data!A83</f>
        <v>45735</v>
      </c>
      <c r="B83" s="1">
        <v>78</v>
      </c>
      <c r="C83" s="16">
        <f>ROUND(Data!BB83,2)</f>
        <v>0</v>
      </c>
      <c r="D83" s="3">
        <f>ROUND(Data!P83,1)</f>
        <v>0</v>
      </c>
      <c r="E83" s="3">
        <f>ROUND(Data!Y83,1)</f>
        <v>0</v>
      </c>
      <c r="F83" s="3">
        <f>Data!BH83</f>
        <v>0</v>
      </c>
      <c r="G83" s="3">
        <f>Data!N83</f>
        <v>0</v>
      </c>
      <c r="H83" s="17">
        <f>Data!AY83</f>
        <v>0</v>
      </c>
      <c r="I83" s="13">
        <f t="shared" si="15"/>
        <v>0</v>
      </c>
      <c r="K83" s="27">
        <f t="shared" si="21"/>
        <v>0</v>
      </c>
      <c r="M83" s="22">
        <f t="shared" si="13"/>
        <v>0</v>
      </c>
      <c r="N83" s="22">
        <f t="shared" si="14"/>
        <v>103.19999999999999</v>
      </c>
      <c r="P83" s="19" t="e">
        <f t="shared" si="16"/>
        <v>#DIV/0!</v>
      </c>
      <c r="Q83" s="19" t="e">
        <f t="shared" si="17"/>
        <v>#DIV/0!</v>
      </c>
      <c r="R83" s="17" t="e">
        <f t="shared" si="18"/>
        <v>#DIV/0!</v>
      </c>
      <c r="S83" s="22" t="e">
        <f t="shared" si="19"/>
        <v>#DIV/0!</v>
      </c>
      <c r="T83" s="22" t="e">
        <f t="shared" si="20"/>
        <v>#DIV/0!</v>
      </c>
    </row>
    <row r="84" spans="1:20" x14ac:dyDescent="0.2">
      <c r="A84" s="15">
        <f>Data!A84</f>
        <v>45736</v>
      </c>
      <c r="B84" s="1">
        <v>79</v>
      </c>
      <c r="C84" s="16">
        <f>ROUND(Data!BB84,2)</f>
        <v>0</v>
      </c>
      <c r="D84" s="3">
        <f>ROUND(Data!P84,1)</f>
        <v>0</v>
      </c>
      <c r="E84" s="3">
        <f>ROUND(Data!Y84,1)</f>
        <v>0</v>
      </c>
      <c r="F84" s="3">
        <f>Data!BH84</f>
        <v>0</v>
      </c>
      <c r="G84" s="3">
        <f>Data!N84</f>
        <v>0</v>
      </c>
      <c r="H84" s="17">
        <f>Data!AY84</f>
        <v>0</v>
      </c>
      <c r="I84" s="13">
        <f t="shared" si="15"/>
        <v>0</v>
      </c>
      <c r="K84" s="27">
        <f t="shared" si="21"/>
        <v>0</v>
      </c>
      <c r="M84" s="22">
        <f t="shared" si="13"/>
        <v>0</v>
      </c>
      <c r="N84" s="22">
        <f t="shared" si="14"/>
        <v>103.19999999999999</v>
      </c>
      <c r="P84" s="19" t="e">
        <f t="shared" si="16"/>
        <v>#DIV/0!</v>
      </c>
      <c r="Q84" s="19" t="e">
        <f t="shared" si="17"/>
        <v>#DIV/0!</v>
      </c>
      <c r="R84" s="17" t="e">
        <f t="shared" si="18"/>
        <v>#DIV/0!</v>
      </c>
      <c r="S84" s="22" t="e">
        <f t="shared" si="19"/>
        <v>#DIV/0!</v>
      </c>
      <c r="T84" s="22" t="e">
        <f t="shared" si="20"/>
        <v>#DIV/0!</v>
      </c>
    </row>
    <row r="85" spans="1:20" x14ac:dyDescent="0.2">
      <c r="A85" s="15">
        <f>Data!A85</f>
        <v>45737</v>
      </c>
      <c r="B85" s="1">
        <v>80</v>
      </c>
      <c r="C85" s="16">
        <f>ROUND(Data!BB85,2)</f>
        <v>0</v>
      </c>
      <c r="D85" s="3">
        <f>ROUND(Data!P85,1)</f>
        <v>0</v>
      </c>
      <c r="E85" s="3">
        <f>ROUND(Data!Y85,1)</f>
        <v>0</v>
      </c>
      <c r="F85" s="3">
        <f>Data!BH85</f>
        <v>0</v>
      </c>
      <c r="G85" s="3">
        <f>Data!N85</f>
        <v>0</v>
      </c>
      <c r="H85" s="17">
        <f>Data!AY85</f>
        <v>0</v>
      </c>
      <c r="I85" s="13">
        <f t="shared" si="15"/>
        <v>0</v>
      </c>
      <c r="K85" s="27">
        <f t="shared" si="21"/>
        <v>0</v>
      </c>
      <c r="M85" s="22">
        <f t="shared" si="13"/>
        <v>0</v>
      </c>
      <c r="N85" s="22">
        <f t="shared" si="14"/>
        <v>103.19999999999999</v>
      </c>
      <c r="P85" s="19" t="e">
        <f t="shared" si="16"/>
        <v>#DIV/0!</v>
      </c>
      <c r="Q85" s="19" t="e">
        <f t="shared" si="17"/>
        <v>#DIV/0!</v>
      </c>
      <c r="R85" s="17" t="e">
        <f t="shared" si="18"/>
        <v>#DIV/0!</v>
      </c>
      <c r="S85" s="22" t="e">
        <f t="shared" si="19"/>
        <v>#DIV/0!</v>
      </c>
      <c r="T85" s="22" t="e">
        <f t="shared" si="20"/>
        <v>#DIV/0!</v>
      </c>
    </row>
    <row r="86" spans="1:20" x14ac:dyDescent="0.2">
      <c r="A86" s="15">
        <f>Data!A86</f>
        <v>45738</v>
      </c>
      <c r="B86" s="1">
        <v>81</v>
      </c>
      <c r="C86" s="16">
        <f>ROUND(Data!BB86,2)</f>
        <v>0</v>
      </c>
      <c r="D86" s="3">
        <f>ROUND(Data!P86,1)</f>
        <v>0</v>
      </c>
      <c r="E86" s="3">
        <f>ROUND(Data!Y86,1)</f>
        <v>0</v>
      </c>
      <c r="F86" s="3">
        <f>Data!BH86</f>
        <v>0</v>
      </c>
      <c r="G86" s="3">
        <f>Data!N86</f>
        <v>0</v>
      </c>
      <c r="H86" s="17">
        <f>Data!AY86</f>
        <v>0</v>
      </c>
      <c r="I86" s="13">
        <f t="shared" si="15"/>
        <v>0</v>
      </c>
      <c r="K86" s="27">
        <f t="shared" si="21"/>
        <v>0</v>
      </c>
      <c r="M86" s="22">
        <f t="shared" si="13"/>
        <v>0</v>
      </c>
      <c r="N86" s="22">
        <f t="shared" si="14"/>
        <v>103.19999999999999</v>
      </c>
      <c r="P86" s="19" t="e">
        <f t="shared" si="16"/>
        <v>#DIV/0!</v>
      </c>
      <c r="Q86" s="19" t="e">
        <f t="shared" si="17"/>
        <v>#DIV/0!</v>
      </c>
      <c r="R86" s="17" t="e">
        <f t="shared" si="18"/>
        <v>#DIV/0!</v>
      </c>
      <c r="S86" s="22" t="e">
        <f t="shared" si="19"/>
        <v>#DIV/0!</v>
      </c>
      <c r="T86" s="22" t="e">
        <f t="shared" si="20"/>
        <v>#DIV/0!</v>
      </c>
    </row>
    <row r="87" spans="1:20" x14ac:dyDescent="0.2">
      <c r="A87" s="15">
        <f>Data!A87</f>
        <v>45739</v>
      </c>
      <c r="B87" s="1">
        <v>82</v>
      </c>
      <c r="C87" s="16">
        <f>ROUND(Data!BB87,2)</f>
        <v>0</v>
      </c>
      <c r="D87" s="3">
        <f>ROUND(Data!P87,1)</f>
        <v>0</v>
      </c>
      <c r="E87" s="3">
        <f>ROUND(Data!Y87,1)</f>
        <v>0</v>
      </c>
      <c r="F87" s="3">
        <f>Data!BH87</f>
        <v>0</v>
      </c>
      <c r="G87" s="3">
        <f>Data!N87</f>
        <v>0</v>
      </c>
      <c r="H87" s="17">
        <f>Data!AY87</f>
        <v>0</v>
      </c>
      <c r="I87" s="13">
        <f t="shared" si="15"/>
        <v>0</v>
      </c>
      <c r="K87" s="27">
        <f t="shared" si="21"/>
        <v>0</v>
      </c>
      <c r="M87" s="22">
        <f t="shared" si="13"/>
        <v>0</v>
      </c>
      <c r="N87" s="22">
        <f t="shared" si="14"/>
        <v>103.19999999999999</v>
      </c>
      <c r="P87" s="19" t="e">
        <f t="shared" si="16"/>
        <v>#DIV/0!</v>
      </c>
      <c r="Q87" s="19" t="e">
        <f t="shared" si="17"/>
        <v>#DIV/0!</v>
      </c>
      <c r="R87" s="17" t="e">
        <f t="shared" si="18"/>
        <v>#DIV/0!</v>
      </c>
      <c r="S87" s="22" t="e">
        <f t="shared" si="19"/>
        <v>#DIV/0!</v>
      </c>
      <c r="T87" s="22" t="e">
        <f t="shared" si="20"/>
        <v>#DIV/0!</v>
      </c>
    </row>
    <row r="88" spans="1:20" x14ac:dyDescent="0.2">
      <c r="A88" s="15">
        <f>Data!A88</f>
        <v>45740</v>
      </c>
      <c r="B88" s="1">
        <v>83</v>
      </c>
      <c r="C88" s="16">
        <f>ROUND(Data!BB88,2)</f>
        <v>0</v>
      </c>
      <c r="D88" s="3">
        <f>ROUND(Data!P88,1)</f>
        <v>0</v>
      </c>
      <c r="E88" s="3">
        <f>ROUND(Data!Y88,1)</f>
        <v>0</v>
      </c>
      <c r="F88" s="3">
        <f>Data!BH88</f>
        <v>0</v>
      </c>
      <c r="G88" s="3">
        <f>Data!N88</f>
        <v>0</v>
      </c>
      <c r="H88" s="17">
        <f>Data!AY88</f>
        <v>0</v>
      </c>
      <c r="I88" s="13">
        <f t="shared" si="15"/>
        <v>0</v>
      </c>
      <c r="K88" s="27">
        <f t="shared" si="21"/>
        <v>0</v>
      </c>
      <c r="M88" s="22">
        <f t="shared" si="13"/>
        <v>0</v>
      </c>
      <c r="N88" s="22">
        <f t="shared" si="14"/>
        <v>103.19999999999999</v>
      </c>
      <c r="P88" s="19" t="e">
        <f t="shared" si="16"/>
        <v>#DIV/0!</v>
      </c>
      <c r="Q88" s="19" t="e">
        <f t="shared" si="17"/>
        <v>#DIV/0!</v>
      </c>
      <c r="R88" s="17" t="e">
        <f t="shared" si="18"/>
        <v>#DIV/0!</v>
      </c>
      <c r="S88" s="22" t="e">
        <f t="shared" si="19"/>
        <v>#DIV/0!</v>
      </c>
      <c r="T88" s="22" t="e">
        <f t="shared" si="20"/>
        <v>#DIV/0!</v>
      </c>
    </row>
    <row r="89" spans="1:20" x14ac:dyDescent="0.2">
      <c r="A89" s="15">
        <f>Data!A89</f>
        <v>45741</v>
      </c>
      <c r="B89" s="1">
        <v>84</v>
      </c>
      <c r="C89" s="16">
        <f>ROUND(Data!BB89,2)</f>
        <v>0</v>
      </c>
      <c r="D89" s="3">
        <f>ROUND(Data!P89,1)</f>
        <v>0</v>
      </c>
      <c r="E89" s="3">
        <f>ROUND(Data!Y89,1)</f>
        <v>0</v>
      </c>
      <c r="F89" s="3">
        <f>Data!BH89</f>
        <v>0</v>
      </c>
      <c r="G89" s="3">
        <f>Data!N89</f>
        <v>0</v>
      </c>
      <c r="H89" s="17">
        <f>Data!AY89</f>
        <v>0</v>
      </c>
      <c r="I89" s="13">
        <f t="shared" si="15"/>
        <v>0</v>
      </c>
      <c r="K89" s="27">
        <f t="shared" si="21"/>
        <v>0</v>
      </c>
      <c r="M89" s="22">
        <f t="shared" si="13"/>
        <v>0</v>
      </c>
      <c r="N89" s="22">
        <f t="shared" si="14"/>
        <v>103.19999999999999</v>
      </c>
      <c r="P89" s="19" t="e">
        <f t="shared" si="16"/>
        <v>#DIV/0!</v>
      </c>
      <c r="Q89" s="19" t="e">
        <f t="shared" si="17"/>
        <v>#DIV/0!</v>
      </c>
      <c r="R89" s="17" t="e">
        <f t="shared" si="18"/>
        <v>#DIV/0!</v>
      </c>
      <c r="S89" s="22" t="e">
        <f t="shared" si="19"/>
        <v>#DIV/0!</v>
      </c>
      <c r="T89" s="22" t="e">
        <f t="shared" si="20"/>
        <v>#DIV/0!</v>
      </c>
    </row>
    <row r="90" spans="1:20" x14ac:dyDescent="0.2">
      <c r="A90" s="15">
        <f>Data!A90</f>
        <v>45742</v>
      </c>
      <c r="B90" s="1">
        <v>85</v>
      </c>
      <c r="C90" s="16">
        <f>ROUND(Data!BB90,2)</f>
        <v>0</v>
      </c>
      <c r="D90" s="3">
        <f>ROUND(Data!P90,1)</f>
        <v>0</v>
      </c>
      <c r="E90" s="3">
        <f>ROUND(Data!Y90,1)</f>
        <v>0</v>
      </c>
      <c r="F90" s="3">
        <f>Data!BH90</f>
        <v>0</v>
      </c>
      <c r="G90" s="3">
        <f>Data!N90</f>
        <v>0</v>
      </c>
      <c r="H90" s="17">
        <f>Data!AY90</f>
        <v>0</v>
      </c>
      <c r="I90" s="13">
        <f t="shared" si="15"/>
        <v>0</v>
      </c>
      <c r="K90" s="27">
        <f t="shared" si="21"/>
        <v>0</v>
      </c>
      <c r="M90" s="22">
        <f t="shared" si="13"/>
        <v>0</v>
      </c>
      <c r="N90" s="22">
        <f t="shared" si="14"/>
        <v>103.19999999999999</v>
      </c>
      <c r="P90" s="19" t="e">
        <f t="shared" si="16"/>
        <v>#DIV/0!</v>
      </c>
      <c r="Q90" s="19" t="e">
        <f t="shared" si="17"/>
        <v>#DIV/0!</v>
      </c>
      <c r="R90" s="17" t="e">
        <f t="shared" si="18"/>
        <v>#DIV/0!</v>
      </c>
      <c r="S90" s="22" t="e">
        <f t="shared" si="19"/>
        <v>#DIV/0!</v>
      </c>
      <c r="T90" s="22" t="e">
        <f t="shared" si="20"/>
        <v>#DIV/0!</v>
      </c>
    </row>
    <row r="91" spans="1:20" x14ac:dyDescent="0.2">
      <c r="A91" s="15">
        <f>Data!A91</f>
        <v>45743</v>
      </c>
      <c r="B91" s="1">
        <v>86</v>
      </c>
      <c r="C91" s="16">
        <f>ROUND(Data!BB91,2)</f>
        <v>0</v>
      </c>
      <c r="D91" s="3">
        <f>ROUND(Data!P91,1)</f>
        <v>0</v>
      </c>
      <c r="E91" s="3">
        <f>ROUND(Data!Y91,1)</f>
        <v>0</v>
      </c>
      <c r="F91" s="3">
        <f>Data!BH91</f>
        <v>0</v>
      </c>
      <c r="G91" s="3">
        <f>Data!N91</f>
        <v>0</v>
      </c>
      <c r="H91" s="17">
        <f>Data!AY91</f>
        <v>0</v>
      </c>
      <c r="I91" s="13">
        <f t="shared" si="15"/>
        <v>0</v>
      </c>
      <c r="K91" s="27">
        <f t="shared" si="21"/>
        <v>0</v>
      </c>
      <c r="M91" s="22">
        <f t="shared" si="13"/>
        <v>0</v>
      </c>
      <c r="N91" s="22">
        <f t="shared" si="14"/>
        <v>103.19999999999999</v>
      </c>
      <c r="P91" s="19" t="e">
        <f t="shared" si="16"/>
        <v>#DIV/0!</v>
      </c>
      <c r="Q91" s="19" t="e">
        <f t="shared" si="17"/>
        <v>#DIV/0!</v>
      </c>
      <c r="R91" s="17" t="e">
        <f t="shared" si="18"/>
        <v>#DIV/0!</v>
      </c>
      <c r="S91" s="22" t="e">
        <f t="shared" si="19"/>
        <v>#DIV/0!</v>
      </c>
      <c r="T91" s="22" t="e">
        <f t="shared" si="20"/>
        <v>#DIV/0!</v>
      </c>
    </row>
    <row r="92" spans="1:20" x14ac:dyDescent="0.2">
      <c r="A92" s="15">
        <f>Data!A92</f>
        <v>45744</v>
      </c>
      <c r="B92" s="1">
        <v>87</v>
      </c>
      <c r="C92" s="16">
        <f>ROUND(Data!BB92,2)</f>
        <v>0</v>
      </c>
      <c r="D92" s="3">
        <f>ROUND(Data!P92,1)</f>
        <v>0</v>
      </c>
      <c r="E92" s="3">
        <f>ROUND(Data!Y92,1)</f>
        <v>0</v>
      </c>
      <c r="F92" s="3">
        <f>Data!BH92</f>
        <v>0</v>
      </c>
      <c r="G92" s="3">
        <f>Data!N92</f>
        <v>0</v>
      </c>
      <c r="H92" s="17">
        <f>Data!AY92</f>
        <v>0</v>
      </c>
      <c r="I92" s="13">
        <f t="shared" si="15"/>
        <v>0</v>
      </c>
      <c r="K92" s="27">
        <f t="shared" si="21"/>
        <v>0</v>
      </c>
      <c r="M92" s="22">
        <f t="shared" si="13"/>
        <v>0</v>
      </c>
      <c r="N92" s="22">
        <f t="shared" si="14"/>
        <v>103.19999999999999</v>
      </c>
      <c r="P92" s="19" t="e">
        <f t="shared" si="16"/>
        <v>#DIV/0!</v>
      </c>
      <c r="Q92" s="19" t="e">
        <f t="shared" si="17"/>
        <v>#DIV/0!</v>
      </c>
      <c r="R92" s="17" t="e">
        <f t="shared" si="18"/>
        <v>#DIV/0!</v>
      </c>
      <c r="S92" s="22" t="e">
        <f t="shared" si="19"/>
        <v>#DIV/0!</v>
      </c>
      <c r="T92" s="22" t="e">
        <f t="shared" si="20"/>
        <v>#DIV/0!</v>
      </c>
    </row>
    <row r="93" spans="1:20" x14ac:dyDescent="0.2">
      <c r="A93" s="15">
        <f>Data!A93</f>
        <v>45745</v>
      </c>
      <c r="B93" s="1">
        <v>88</v>
      </c>
      <c r="C93" s="16">
        <f>ROUND(Data!BB93,2)</f>
        <v>0</v>
      </c>
      <c r="D93" s="3">
        <f>ROUND(Data!P93,1)</f>
        <v>0</v>
      </c>
      <c r="E93" s="3">
        <f>ROUND(Data!Y93,1)</f>
        <v>0</v>
      </c>
      <c r="F93" s="3">
        <f>Data!BH93</f>
        <v>0</v>
      </c>
      <c r="G93" s="3">
        <f>Data!N93</f>
        <v>0</v>
      </c>
      <c r="H93" s="17">
        <f>Data!AY93</f>
        <v>0</v>
      </c>
      <c r="I93" s="13">
        <f t="shared" si="15"/>
        <v>0</v>
      </c>
      <c r="K93" s="27">
        <f t="shared" si="21"/>
        <v>0</v>
      </c>
      <c r="M93" s="22">
        <f t="shared" si="13"/>
        <v>0</v>
      </c>
      <c r="N93" s="22">
        <f t="shared" si="14"/>
        <v>103.19999999999999</v>
      </c>
      <c r="P93" s="19" t="e">
        <f t="shared" si="16"/>
        <v>#DIV/0!</v>
      </c>
      <c r="Q93" s="19" t="e">
        <f t="shared" si="17"/>
        <v>#DIV/0!</v>
      </c>
      <c r="R93" s="17" t="e">
        <f t="shared" si="18"/>
        <v>#DIV/0!</v>
      </c>
      <c r="S93" s="22" t="e">
        <f t="shared" si="19"/>
        <v>#DIV/0!</v>
      </c>
      <c r="T93" s="22" t="e">
        <f t="shared" si="20"/>
        <v>#DIV/0!</v>
      </c>
    </row>
    <row r="94" spans="1:20" x14ac:dyDescent="0.2">
      <c r="A94" s="15">
        <f>Data!A94</f>
        <v>45746</v>
      </c>
      <c r="B94" s="1">
        <v>89</v>
      </c>
      <c r="C94" s="16">
        <f>ROUND(Data!BB94,2)</f>
        <v>0</v>
      </c>
      <c r="D94" s="3">
        <f>ROUND(Data!P94,1)</f>
        <v>0</v>
      </c>
      <c r="E94" s="3">
        <f>ROUND(Data!Y94,1)</f>
        <v>0</v>
      </c>
      <c r="F94" s="3">
        <f>Data!BH94</f>
        <v>0</v>
      </c>
      <c r="G94" s="3">
        <f>Data!N94</f>
        <v>0</v>
      </c>
      <c r="H94" s="17">
        <f>Data!AY94</f>
        <v>0</v>
      </c>
      <c r="I94" s="13">
        <f t="shared" si="15"/>
        <v>0</v>
      </c>
      <c r="K94" s="27">
        <f t="shared" si="21"/>
        <v>0</v>
      </c>
      <c r="M94" s="22">
        <f t="shared" si="13"/>
        <v>0</v>
      </c>
      <c r="N94" s="22">
        <f t="shared" si="14"/>
        <v>103.19999999999999</v>
      </c>
      <c r="P94" s="19" t="e">
        <f t="shared" si="16"/>
        <v>#DIV/0!</v>
      </c>
      <c r="Q94" s="19" t="e">
        <f t="shared" si="17"/>
        <v>#DIV/0!</v>
      </c>
      <c r="R94" s="17" t="e">
        <f t="shared" si="18"/>
        <v>#DIV/0!</v>
      </c>
      <c r="S94" s="22" t="e">
        <f t="shared" si="19"/>
        <v>#DIV/0!</v>
      </c>
      <c r="T94" s="22" t="e">
        <f t="shared" si="20"/>
        <v>#DIV/0!</v>
      </c>
    </row>
    <row r="95" spans="1:20" x14ac:dyDescent="0.2">
      <c r="A95" s="15">
        <f>Data!A95</f>
        <v>45747</v>
      </c>
      <c r="B95" s="1">
        <v>90</v>
      </c>
      <c r="C95" s="16">
        <f>ROUND(Data!BB95,2)</f>
        <v>0</v>
      </c>
      <c r="D95" s="3">
        <f>ROUND(Data!P95,1)</f>
        <v>0</v>
      </c>
      <c r="E95" s="3">
        <f>ROUND(Data!Y95,1)</f>
        <v>0</v>
      </c>
      <c r="F95" s="3">
        <f>Data!BH95</f>
        <v>0</v>
      </c>
      <c r="G95" s="3">
        <f>Data!N95</f>
        <v>0</v>
      </c>
      <c r="H95" s="17">
        <f>Data!AY95</f>
        <v>0</v>
      </c>
      <c r="I95" s="13">
        <f t="shared" si="15"/>
        <v>0</v>
      </c>
      <c r="K95" s="27">
        <f t="shared" si="21"/>
        <v>0</v>
      </c>
      <c r="M95" s="22">
        <f t="shared" si="13"/>
        <v>0</v>
      </c>
      <c r="N95" s="22">
        <f t="shared" si="14"/>
        <v>103.19999999999999</v>
      </c>
      <c r="P95" s="19" t="e">
        <f t="shared" si="16"/>
        <v>#DIV/0!</v>
      </c>
      <c r="Q95" s="19" t="e">
        <f t="shared" si="17"/>
        <v>#DIV/0!</v>
      </c>
      <c r="R95" s="17" t="e">
        <f t="shared" si="18"/>
        <v>#DIV/0!</v>
      </c>
      <c r="S95" s="22" t="e">
        <f t="shared" si="19"/>
        <v>#DIV/0!</v>
      </c>
      <c r="T95" s="22" t="e">
        <f t="shared" si="20"/>
        <v>#DIV/0!</v>
      </c>
    </row>
    <row r="96" spans="1:20" x14ac:dyDescent="0.2">
      <c r="A96" s="15">
        <f>Data!A96</f>
        <v>45748</v>
      </c>
      <c r="B96" s="1">
        <v>91</v>
      </c>
      <c r="C96" s="16">
        <f>ROUND(Data!BB96,2)</f>
        <v>0</v>
      </c>
      <c r="D96" s="3">
        <f>ROUND(Data!P96,1)</f>
        <v>0</v>
      </c>
      <c r="E96" s="3">
        <f>ROUND(Data!Y96,1)</f>
        <v>0</v>
      </c>
      <c r="F96" s="3">
        <f>Data!BH96</f>
        <v>0</v>
      </c>
      <c r="G96" s="3">
        <f>Data!N96</f>
        <v>0</v>
      </c>
      <c r="H96" s="17">
        <f>Data!AY96</f>
        <v>0</v>
      </c>
      <c r="I96" s="13">
        <f t="shared" si="15"/>
        <v>0</v>
      </c>
      <c r="K96" s="27">
        <f t="shared" si="21"/>
        <v>0</v>
      </c>
      <c r="M96" s="22">
        <f t="shared" si="13"/>
        <v>0</v>
      </c>
      <c r="N96" s="22">
        <f t="shared" si="14"/>
        <v>103.19999999999999</v>
      </c>
      <c r="P96" s="19" t="e">
        <f t="shared" si="16"/>
        <v>#DIV/0!</v>
      </c>
      <c r="Q96" s="19" t="e">
        <f t="shared" si="17"/>
        <v>#DIV/0!</v>
      </c>
      <c r="R96" s="17" t="e">
        <f t="shared" si="18"/>
        <v>#DIV/0!</v>
      </c>
      <c r="S96" s="22" t="e">
        <f t="shared" si="19"/>
        <v>#DIV/0!</v>
      </c>
      <c r="T96" s="22" t="e">
        <f t="shared" si="20"/>
        <v>#DIV/0!</v>
      </c>
    </row>
    <row r="97" spans="1:20" x14ac:dyDescent="0.2">
      <c r="A97" s="15">
        <f>Data!A97</f>
        <v>45749</v>
      </c>
      <c r="B97" s="1">
        <v>92</v>
      </c>
      <c r="C97" s="16">
        <f>ROUND(Data!BB97,2)</f>
        <v>0</v>
      </c>
      <c r="D97" s="3">
        <f>ROUND(Data!P97,1)</f>
        <v>0</v>
      </c>
      <c r="E97" s="3">
        <f>ROUND(Data!Y97,1)</f>
        <v>0</v>
      </c>
      <c r="F97" s="3">
        <f>Data!BH97</f>
        <v>0</v>
      </c>
      <c r="G97" s="3">
        <f>Data!N97</f>
        <v>0</v>
      </c>
      <c r="H97" s="17">
        <f>Data!AY97</f>
        <v>0</v>
      </c>
      <c r="I97" s="13">
        <f t="shared" si="15"/>
        <v>0</v>
      </c>
      <c r="K97" s="27">
        <f t="shared" si="21"/>
        <v>0</v>
      </c>
      <c r="M97" s="22">
        <f t="shared" si="13"/>
        <v>0</v>
      </c>
      <c r="N97" s="22">
        <f t="shared" si="14"/>
        <v>103.19999999999999</v>
      </c>
      <c r="P97" s="19" t="e">
        <f t="shared" si="16"/>
        <v>#DIV/0!</v>
      </c>
      <c r="Q97" s="19" t="e">
        <f t="shared" si="17"/>
        <v>#DIV/0!</v>
      </c>
      <c r="R97" s="17" t="e">
        <f t="shared" si="18"/>
        <v>#DIV/0!</v>
      </c>
      <c r="S97" s="22" t="e">
        <f t="shared" si="19"/>
        <v>#DIV/0!</v>
      </c>
      <c r="T97" s="22" t="e">
        <f t="shared" si="20"/>
        <v>#DIV/0!</v>
      </c>
    </row>
    <row r="98" spans="1:20" x14ac:dyDescent="0.2">
      <c r="A98" s="15">
        <f>Data!A98</f>
        <v>45750</v>
      </c>
      <c r="B98" s="1">
        <v>93</v>
      </c>
      <c r="C98" s="16">
        <f>ROUND(Data!BB98,2)</f>
        <v>0</v>
      </c>
      <c r="D98" s="3">
        <f>ROUND(Data!P98,1)</f>
        <v>0</v>
      </c>
      <c r="E98" s="3">
        <f>ROUND(Data!Y98,1)</f>
        <v>0</v>
      </c>
      <c r="F98" s="3">
        <f>Data!BH98</f>
        <v>0</v>
      </c>
      <c r="G98" s="3">
        <f>Data!N98</f>
        <v>0</v>
      </c>
      <c r="H98" s="17">
        <f>Data!AY98</f>
        <v>0</v>
      </c>
      <c r="I98" s="13">
        <f t="shared" si="15"/>
        <v>0</v>
      </c>
      <c r="K98" s="27">
        <f t="shared" si="21"/>
        <v>0</v>
      </c>
      <c r="M98" s="22">
        <f t="shared" si="13"/>
        <v>0</v>
      </c>
      <c r="N98" s="22">
        <f t="shared" si="14"/>
        <v>103.19999999999999</v>
      </c>
      <c r="P98" s="19" t="e">
        <f t="shared" si="16"/>
        <v>#DIV/0!</v>
      </c>
      <c r="Q98" s="19" t="e">
        <f t="shared" si="17"/>
        <v>#DIV/0!</v>
      </c>
      <c r="R98" s="17" t="e">
        <f t="shared" si="18"/>
        <v>#DIV/0!</v>
      </c>
      <c r="S98" s="22" t="e">
        <f t="shared" si="19"/>
        <v>#DIV/0!</v>
      </c>
      <c r="T98" s="22" t="e">
        <f t="shared" si="20"/>
        <v>#DIV/0!</v>
      </c>
    </row>
    <row r="99" spans="1:20" x14ac:dyDescent="0.2">
      <c r="A99" s="15">
        <f>Data!A99</f>
        <v>45751</v>
      </c>
      <c r="B99" s="1">
        <v>94</v>
      </c>
      <c r="C99" s="16">
        <f>ROUND(Data!BB99,2)</f>
        <v>0</v>
      </c>
      <c r="D99" s="3">
        <f>ROUND(Data!P99,1)</f>
        <v>0</v>
      </c>
      <c r="E99" s="3">
        <f>ROUND(Data!Y99,1)</f>
        <v>0</v>
      </c>
      <c r="F99" s="3">
        <f>Data!BH99</f>
        <v>0</v>
      </c>
      <c r="G99" s="3">
        <f>Data!N99</f>
        <v>0</v>
      </c>
      <c r="H99" s="17">
        <f>Data!AY99</f>
        <v>0</v>
      </c>
      <c r="I99" s="13">
        <f t="shared" si="15"/>
        <v>0</v>
      </c>
      <c r="K99" s="27">
        <f t="shared" si="21"/>
        <v>0</v>
      </c>
      <c r="M99" s="22">
        <f t="shared" si="13"/>
        <v>0</v>
      </c>
      <c r="N99" s="22">
        <f t="shared" si="14"/>
        <v>103.19999999999999</v>
      </c>
      <c r="P99" s="19" t="e">
        <f t="shared" si="16"/>
        <v>#DIV/0!</v>
      </c>
      <c r="Q99" s="19" t="e">
        <f t="shared" si="17"/>
        <v>#DIV/0!</v>
      </c>
      <c r="R99" s="17" t="e">
        <f t="shared" si="18"/>
        <v>#DIV/0!</v>
      </c>
      <c r="S99" s="22" t="e">
        <f t="shared" si="19"/>
        <v>#DIV/0!</v>
      </c>
      <c r="T99" s="22" t="e">
        <f t="shared" si="20"/>
        <v>#DIV/0!</v>
      </c>
    </row>
    <row r="100" spans="1:20" x14ac:dyDescent="0.2">
      <c r="A100" s="15">
        <f>Data!A100</f>
        <v>45752</v>
      </c>
      <c r="B100" s="1">
        <v>95</v>
      </c>
      <c r="C100" s="16">
        <f>ROUND(Data!BB100,2)</f>
        <v>0</v>
      </c>
      <c r="D100" s="3">
        <f>ROUND(Data!P100,1)</f>
        <v>0</v>
      </c>
      <c r="E100" s="3">
        <f>ROUND(Data!Y100,1)</f>
        <v>0</v>
      </c>
      <c r="F100" s="3">
        <f>Data!BH100</f>
        <v>0</v>
      </c>
      <c r="G100" s="3">
        <f>Data!N100</f>
        <v>0</v>
      </c>
      <c r="H100" s="17">
        <f>Data!AY100</f>
        <v>0</v>
      </c>
      <c r="I100" s="13">
        <f t="shared" si="15"/>
        <v>0</v>
      </c>
      <c r="K100" s="27">
        <f t="shared" si="21"/>
        <v>0</v>
      </c>
      <c r="M100" s="22">
        <f t="shared" si="13"/>
        <v>0</v>
      </c>
      <c r="N100" s="22">
        <f t="shared" si="14"/>
        <v>103.19999999999999</v>
      </c>
      <c r="P100" s="19" t="e">
        <f t="shared" si="16"/>
        <v>#DIV/0!</v>
      </c>
      <c r="Q100" s="19" t="e">
        <f t="shared" si="17"/>
        <v>#DIV/0!</v>
      </c>
      <c r="R100" s="17" t="e">
        <f t="shared" si="18"/>
        <v>#DIV/0!</v>
      </c>
      <c r="S100" s="22" t="e">
        <f t="shared" si="19"/>
        <v>#DIV/0!</v>
      </c>
      <c r="T100" s="22" t="e">
        <f t="shared" si="20"/>
        <v>#DIV/0!</v>
      </c>
    </row>
    <row r="101" spans="1:20" x14ac:dyDescent="0.2">
      <c r="A101" s="15">
        <f>Data!A101</f>
        <v>45753</v>
      </c>
      <c r="B101" s="1">
        <v>96</v>
      </c>
      <c r="C101" s="16">
        <f>ROUND(Data!BB101,2)</f>
        <v>0</v>
      </c>
      <c r="D101" s="3">
        <f>ROUND(Data!P101,1)</f>
        <v>0</v>
      </c>
      <c r="E101" s="3">
        <f>ROUND(Data!Y101,1)</f>
        <v>0</v>
      </c>
      <c r="F101" s="3">
        <f>Data!BH101</f>
        <v>0</v>
      </c>
      <c r="G101" s="3">
        <f>Data!N101</f>
        <v>0</v>
      </c>
      <c r="H101" s="17">
        <f>Data!AY101</f>
        <v>0</v>
      </c>
      <c r="I101" s="13">
        <f t="shared" si="15"/>
        <v>0</v>
      </c>
      <c r="K101" s="27">
        <f t="shared" si="21"/>
        <v>0</v>
      </c>
      <c r="M101" s="22">
        <f t="shared" si="13"/>
        <v>0</v>
      </c>
      <c r="N101" s="22">
        <f t="shared" si="14"/>
        <v>103.19999999999999</v>
      </c>
      <c r="P101" s="19" t="e">
        <f t="shared" si="16"/>
        <v>#DIV/0!</v>
      </c>
      <c r="Q101" s="19" t="e">
        <f t="shared" si="17"/>
        <v>#DIV/0!</v>
      </c>
      <c r="R101" s="17" t="e">
        <f t="shared" si="18"/>
        <v>#DIV/0!</v>
      </c>
      <c r="S101" s="22" t="e">
        <f t="shared" si="19"/>
        <v>#DIV/0!</v>
      </c>
      <c r="T101" s="22" t="e">
        <f t="shared" si="20"/>
        <v>#DIV/0!</v>
      </c>
    </row>
    <row r="102" spans="1:20" x14ac:dyDescent="0.2">
      <c r="A102" s="15">
        <f>Data!A102</f>
        <v>45754</v>
      </c>
      <c r="B102" s="1">
        <v>97</v>
      </c>
      <c r="C102" s="16">
        <f>ROUND(Data!BB102,2)</f>
        <v>0</v>
      </c>
      <c r="D102" s="3">
        <f>ROUND(Data!P102,1)</f>
        <v>0</v>
      </c>
      <c r="E102" s="3">
        <f>ROUND(Data!Y102,1)</f>
        <v>0</v>
      </c>
      <c r="F102" s="3">
        <f>Data!BH102</f>
        <v>0</v>
      </c>
      <c r="G102" s="3">
        <f>Data!N102</f>
        <v>0</v>
      </c>
      <c r="H102" s="17">
        <f>Data!AY102</f>
        <v>0</v>
      </c>
      <c r="I102" s="13">
        <f t="shared" si="15"/>
        <v>0</v>
      </c>
      <c r="K102" s="27">
        <f t="shared" si="21"/>
        <v>0</v>
      </c>
      <c r="M102" s="22">
        <f t="shared" si="13"/>
        <v>0</v>
      </c>
      <c r="N102" s="22">
        <f t="shared" si="14"/>
        <v>103.19999999999999</v>
      </c>
      <c r="P102" s="19" t="e">
        <f t="shared" si="16"/>
        <v>#DIV/0!</v>
      </c>
      <c r="Q102" s="19" t="e">
        <f t="shared" si="17"/>
        <v>#DIV/0!</v>
      </c>
      <c r="R102" s="17" t="e">
        <f t="shared" si="18"/>
        <v>#DIV/0!</v>
      </c>
      <c r="S102" s="22" t="e">
        <f t="shared" si="19"/>
        <v>#DIV/0!</v>
      </c>
      <c r="T102" s="22" t="e">
        <f t="shared" si="20"/>
        <v>#DIV/0!</v>
      </c>
    </row>
    <row r="103" spans="1:20" x14ac:dyDescent="0.2">
      <c r="A103" s="15">
        <f>Data!A103</f>
        <v>45755</v>
      </c>
      <c r="B103" s="1">
        <v>98</v>
      </c>
      <c r="C103" s="16">
        <f>ROUND(Data!BB103,2)</f>
        <v>0</v>
      </c>
      <c r="D103" s="3">
        <f>ROUND(Data!P103,1)</f>
        <v>0</v>
      </c>
      <c r="E103" s="3">
        <f>ROUND(Data!Y103,1)</f>
        <v>0</v>
      </c>
      <c r="F103" s="3">
        <f>Data!BH103</f>
        <v>0</v>
      </c>
      <c r="G103" s="3">
        <f>Data!N103</f>
        <v>0</v>
      </c>
      <c r="H103" s="17">
        <f>Data!AY103</f>
        <v>0</v>
      </c>
      <c r="I103" s="13">
        <f t="shared" si="15"/>
        <v>0</v>
      </c>
      <c r="K103" s="27">
        <f t="shared" si="21"/>
        <v>0</v>
      </c>
      <c r="M103" s="22">
        <f t="shared" si="13"/>
        <v>0</v>
      </c>
      <c r="N103" s="22">
        <f t="shared" si="14"/>
        <v>103.19999999999999</v>
      </c>
      <c r="P103" s="19" t="e">
        <f t="shared" si="16"/>
        <v>#DIV/0!</v>
      </c>
      <c r="Q103" s="19" t="e">
        <f t="shared" si="17"/>
        <v>#DIV/0!</v>
      </c>
      <c r="R103" s="17" t="e">
        <f t="shared" si="18"/>
        <v>#DIV/0!</v>
      </c>
      <c r="S103" s="22" t="e">
        <f t="shared" si="19"/>
        <v>#DIV/0!</v>
      </c>
      <c r="T103" s="22" t="e">
        <f t="shared" si="20"/>
        <v>#DIV/0!</v>
      </c>
    </row>
    <row r="104" spans="1:20" x14ac:dyDescent="0.2">
      <c r="A104" s="15">
        <f>Data!A104</f>
        <v>45756</v>
      </c>
      <c r="B104" s="1">
        <v>99</v>
      </c>
      <c r="C104" s="16">
        <f>ROUND(Data!BB104,2)</f>
        <v>0</v>
      </c>
      <c r="D104" s="3">
        <f>ROUND(Data!P104,1)</f>
        <v>0</v>
      </c>
      <c r="E104" s="3">
        <f>ROUND(Data!Y104,1)</f>
        <v>0</v>
      </c>
      <c r="F104" s="3">
        <f>Data!BH104</f>
        <v>0</v>
      </c>
      <c r="G104" s="3">
        <f>Data!N104</f>
        <v>0</v>
      </c>
      <c r="H104" s="17">
        <f>Data!AY104</f>
        <v>0</v>
      </c>
      <c r="I104" s="13">
        <f t="shared" si="15"/>
        <v>0</v>
      </c>
      <c r="K104" s="27">
        <f t="shared" si="21"/>
        <v>0</v>
      </c>
      <c r="M104" s="22">
        <f t="shared" si="13"/>
        <v>0</v>
      </c>
      <c r="N104" s="22">
        <f t="shared" si="14"/>
        <v>103.19999999999999</v>
      </c>
      <c r="P104" s="19" t="e">
        <f t="shared" si="16"/>
        <v>#DIV/0!</v>
      </c>
      <c r="Q104" s="19" t="e">
        <f t="shared" si="17"/>
        <v>#DIV/0!</v>
      </c>
      <c r="R104" s="17" t="e">
        <f t="shared" si="18"/>
        <v>#DIV/0!</v>
      </c>
      <c r="S104" s="22" t="e">
        <f t="shared" si="19"/>
        <v>#DIV/0!</v>
      </c>
      <c r="T104" s="22" t="e">
        <f t="shared" si="20"/>
        <v>#DIV/0!</v>
      </c>
    </row>
    <row r="105" spans="1:20" x14ac:dyDescent="0.2">
      <c r="A105" s="15">
        <f>Data!A105</f>
        <v>45757</v>
      </c>
      <c r="B105" s="1">
        <v>100</v>
      </c>
      <c r="C105" s="16">
        <f>ROUND(Data!BB105,2)</f>
        <v>0</v>
      </c>
      <c r="D105" s="3">
        <f>ROUND(Data!P105,1)</f>
        <v>0</v>
      </c>
      <c r="E105" s="3">
        <f>ROUND(Data!Y105,1)</f>
        <v>0</v>
      </c>
      <c r="F105" s="3">
        <f>Data!BH105</f>
        <v>0</v>
      </c>
      <c r="G105" s="3">
        <f>Data!N105</f>
        <v>0</v>
      </c>
      <c r="H105" s="17">
        <f>Data!AY105</f>
        <v>0</v>
      </c>
      <c r="I105" s="13">
        <f t="shared" si="15"/>
        <v>0</v>
      </c>
      <c r="K105" s="27">
        <f t="shared" si="21"/>
        <v>0</v>
      </c>
      <c r="M105" s="22">
        <f t="shared" si="13"/>
        <v>0</v>
      </c>
      <c r="N105" s="22">
        <f t="shared" si="14"/>
        <v>103.19999999999999</v>
      </c>
      <c r="P105" s="19" t="e">
        <f t="shared" si="16"/>
        <v>#DIV/0!</v>
      </c>
      <c r="Q105" s="19" t="e">
        <f t="shared" si="17"/>
        <v>#DIV/0!</v>
      </c>
      <c r="R105" s="17" t="e">
        <f t="shared" si="18"/>
        <v>#DIV/0!</v>
      </c>
      <c r="S105" s="22" t="e">
        <f t="shared" si="19"/>
        <v>#DIV/0!</v>
      </c>
      <c r="T105" s="22" t="e">
        <f t="shared" si="20"/>
        <v>#DIV/0!</v>
      </c>
    </row>
    <row r="106" spans="1:20" x14ac:dyDescent="0.2">
      <c r="A106" s="15">
        <f>Data!A106</f>
        <v>45758</v>
      </c>
      <c r="B106" s="1">
        <v>101</v>
      </c>
      <c r="C106" s="16">
        <f>ROUND(Data!BB106,2)</f>
        <v>0</v>
      </c>
      <c r="D106" s="3">
        <f>ROUND(Data!P106,1)</f>
        <v>0</v>
      </c>
      <c r="E106" s="3">
        <f>ROUND(Data!Y106,1)</f>
        <v>0</v>
      </c>
      <c r="F106" s="3">
        <f>Data!BH106</f>
        <v>0</v>
      </c>
      <c r="G106" s="3">
        <f>Data!N106</f>
        <v>0</v>
      </c>
      <c r="H106" s="17">
        <f>Data!AY106</f>
        <v>0</v>
      </c>
      <c r="I106" s="13">
        <f t="shared" si="15"/>
        <v>0</v>
      </c>
      <c r="K106" s="27">
        <f t="shared" si="21"/>
        <v>0</v>
      </c>
      <c r="M106" s="22">
        <f t="shared" si="13"/>
        <v>0</v>
      </c>
      <c r="N106" s="22">
        <f t="shared" si="14"/>
        <v>103.19999999999999</v>
      </c>
      <c r="P106" s="19" t="e">
        <f t="shared" si="16"/>
        <v>#DIV/0!</v>
      </c>
      <c r="Q106" s="19" t="e">
        <f t="shared" si="17"/>
        <v>#DIV/0!</v>
      </c>
      <c r="R106" s="17" t="e">
        <f t="shared" si="18"/>
        <v>#DIV/0!</v>
      </c>
      <c r="S106" s="22" t="e">
        <f t="shared" si="19"/>
        <v>#DIV/0!</v>
      </c>
      <c r="T106" s="22" t="e">
        <f t="shared" si="20"/>
        <v>#DIV/0!</v>
      </c>
    </row>
    <row r="107" spans="1:20" x14ac:dyDescent="0.2">
      <c r="A107" s="15">
        <f>Data!A107</f>
        <v>45759</v>
      </c>
      <c r="B107" s="1">
        <v>102</v>
      </c>
      <c r="C107" s="16">
        <f>ROUND(Data!BB107,2)</f>
        <v>0</v>
      </c>
      <c r="D107" s="3">
        <f>ROUND(Data!P107,1)</f>
        <v>0</v>
      </c>
      <c r="E107" s="3">
        <f>ROUND(Data!Y107,1)</f>
        <v>0</v>
      </c>
      <c r="F107" s="3">
        <f>Data!BH107</f>
        <v>0</v>
      </c>
      <c r="G107" s="3">
        <f>Data!N107</f>
        <v>0</v>
      </c>
      <c r="H107" s="17">
        <f>Data!AY107</f>
        <v>0</v>
      </c>
      <c r="I107" s="13">
        <f t="shared" si="15"/>
        <v>0</v>
      </c>
      <c r="K107" s="27">
        <f t="shared" si="21"/>
        <v>0</v>
      </c>
      <c r="M107" s="22">
        <f t="shared" si="13"/>
        <v>0</v>
      </c>
      <c r="N107" s="22">
        <f t="shared" si="14"/>
        <v>103.19999999999999</v>
      </c>
      <c r="P107" s="19" t="e">
        <f t="shared" si="16"/>
        <v>#DIV/0!</v>
      </c>
      <c r="Q107" s="19" t="e">
        <f t="shared" si="17"/>
        <v>#DIV/0!</v>
      </c>
      <c r="R107" s="17" t="e">
        <f t="shared" si="18"/>
        <v>#DIV/0!</v>
      </c>
      <c r="S107" s="22" t="e">
        <f t="shared" si="19"/>
        <v>#DIV/0!</v>
      </c>
      <c r="T107" s="22" t="e">
        <f t="shared" si="20"/>
        <v>#DIV/0!</v>
      </c>
    </row>
    <row r="108" spans="1:20" x14ac:dyDescent="0.2">
      <c r="A108" s="15">
        <f>Data!A108</f>
        <v>45760</v>
      </c>
      <c r="B108" s="1">
        <v>103</v>
      </c>
      <c r="C108" s="16">
        <f>ROUND(Data!BB108,2)</f>
        <v>0</v>
      </c>
      <c r="D108" s="3">
        <f>ROUND(Data!P108,1)</f>
        <v>0</v>
      </c>
      <c r="E108" s="3">
        <f>ROUND(Data!Y108,1)</f>
        <v>0</v>
      </c>
      <c r="F108" s="3">
        <f>Data!BH108</f>
        <v>0</v>
      </c>
      <c r="G108" s="3">
        <f>Data!N108</f>
        <v>0</v>
      </c>
      <c r="H108" s="17">
        <f>Data!AY108</f>
        <v>0</v>
      </c>
      <c r="I108" s="13">
        <f t="shared" si="15"/>
        <v>0</v>
      </c>
      <c r="K108" s="27">
        <f t="shared" si="21"/>
        <v>0</v>
      </c>
      <c r="M108" s="22">
        <f t="shared" si="13"/>
        <v>0</v>
      </c>
      <c r="N108" s="22">
        <f t="shared" si="14"/>
        <v>103.19999999999999</v>
      </c>
      <c r="P108" s="19" t="e">
        <f t="shared" si="16"/>
        <v>#DIV/0!</v>
      </c>
      <c r="Q108" s="19" t="e">
        <f t="shared" si="17"/>
        <v>#DIV/0!</v>
      </c>
      <c r="R108" s="17" t="e">
        <f t="shared" si="18"/>
        <v>#DIV/0!</v>
      </c>
      <c r="S108" s="22" t="e">
        <f t="shared" si="19"/>
        <v>#DIV/0!</v>
      </c>
      <c r="T108" s="22" t="e">
        <f t="shared" si="20"/>
        <v>#DIV/0!</v>
      </c>
    </row>
    <row r="109" spans="1:20" x14ac:dyDescent="0.2">
      <c r="A109" s="15">
        <f>Data!A109</f>
        <v>45761</v>
      </c>
      <c r="B109" s="1">
        <v>104</v>
      </c>
      <c r="C109" s="16">
        <f>ROUND(Data!BB109,2)</f>
        <v>0</v>
      </c>
      <c r="D109" s="3">
        <f>ROUND(Data!P109,1)</f>
        <v>0</v>
      </c>
      <c r="E109" s="3">
        <f>ROUND(Data!Y109,1)</f>
        <v>0</v>
      </c>
      <c r="F109" s="3">
        <f>Data!BH109</f>
        <v>0</v>
      </c>
      <c r="G109" s="3">
        <f>Data!N109</f>
        <v>0</v>
      </c>
      <c r="H109" s="17">
        <f>Data!AY109</f>
        <v>0</v>
      </c>
      <c r="I109" s="13">
        <f t="shared" si="15"/>
        <v>0</v>
      </c>
      <c r="K109" s="27">
        <f t="shared" si="21"/>
        <v>0</v>
      </c>
      <c r="M109" s="22">
        <f t="shared" si="13"/>
        <v>0</v>
      </c>
      <c r="N109" s="22">
        <f t="shared" si="14"/>
        <v>103.19999999999999</v>
      </c>
      <c r="P109" s="19" t="e">
        <f t="shared" si="16"/>
        <v>#DIV/0!</v>
      </c>
      <c r="Q109" s="19" t="e">
        <f t="shared" si="17"/>
        <v>#DIV/0!</v>
      </c>
      <c r="R109" s="17" t="e">
        <f t="shared" si="18"/>
        <v>#DIV/0!</v>
      </c>
      <c r="S109" s="22" t="e">
        <f t="shared" si="19"/>
        <v>#DIV/0!</v>
      </c>
      <c r="T109" s="22" t="e">
        <f t="shared" si="20"/>
        <v>#DIV/0!</v>
      </c>
    </row>
    <row r="110" spans="1:20" x14ac:dyDescent="0.2">
      <c r="A110" s="15">
        <f>Data!A110</f>
        <v>45762</v>
      </c>
      <c r="B110" s="1">
        <v>105</v>
      </c>
      <c r="C110" s="16">
        <f>ROUND(Data!BB110,2)</f>
        <v>0</v>
      </c>
      <c r="D110" s="3">
        <f>ROUND(Data!P110,1)</f>
        <v>0</v>
      </c>
      <c r="E110" s="3">
        <f>ROUND(Data!Y110,1)</f>
        <v>0</v>
      </c>
      <c r="F110" s="3">
        <f>Data!BH110</f>
        <v>0</v>
      </c>
      <c r="G110" s="3">
        <f>Data!N110</f>
        <v>0</v>
      </c>
      <c r="H110" s="17">
        <f>Data!AY110</f>
        <v>0</v>
      </c>
      <c r="I110" s="13">
        <f t="shared" si="15"/>
        <v>0</v>
      </c>
      <c r="K110" s="27">
        <f t="shared" si="21"/>
        <v>0</v>
      </c>
      <c r="M110" s="22">
        <f t="shared" si="13"/>
        <v>0</v>
      </c>
      <c r="N110" s="22">
        <f t="shared" si="14"/>
        <v>103.19999999999999</v>
      </c>
      <c r="P110" s="19" t="e">
        <f t="shared" si="16"/>
        <v>#DIV/0!</v>
      </c>
      <c r="Q110" s="19" t="e">
        <f t="shared" si="17"/>
        <v>#DIV/0!</v>
      </c>
      <c r="R110" s="17" t="e">
        <f t="shared" si="18"/>
        <v>#DIV/0!</v>
      </c>
      <c r="S110" s="22" t="e">
        <f t="shared" si="19"/>
        <v>#DIV/0!</v>
      </c>
      <c r="T110" s="22" t="e">
        <f t="shared" si="20"/>
        <v>#DIV/0!</v>
      </c>
    </row>
    <row r="111" spans="1:20" x14ac:dyDescent="0.2">
      <c r="A111" s="15">
        <f>Data!A111</f>
        <v>45763</v>
      </c>
      <c r="B111" s="1">
        <v>106</v>
      </c>
      <c r="C111" s="16">
        <f>ROUND(Data!BB111,2)</f>
        <v>0</v>
      </c>
      <c r="D111" s="3">
        <f>ROUND(Data!P111,1)</f>
        <v>0</v>
      </c>
      <c r="E111" s="3">
        <f>ROUND(Data!Y111,1)</f>
        <v>0</v>
      </c>
      <c r="F111" s="3">
        <f>Data!BH111</f>
        <v>0</v>
      </c>
      <c r="G111" s="3">
        <f>Data!N111</f>
        <v>0</v>
      </c>
      <c r="H111" s="17">
        <f>Data!AY111</f>
        <v>0</v>
      </c>
      <c r="I111" s="13">
        <f t="shared" si="15"/>
        <v>0</v>
      </c>
      <c r="K111" s="27">
        <f t="shared" si="21"/>
        <v>0</v>
      </c>
      <c r="M111" s="22">
        <f t="shared" si="13"/>
        <v>0</v>
      </c>
      <c r="N111" s="22">
        <f t="shared" si="14"/>
        <v>103.19999999999999</v>
      </c>
      <c r="P111" s="19" t="e">
        <f t="shared" si="16"/>
        <v>#DIV/0!</v>
      </c>
      <c r="Q111" s="19" t="e">
        <f t="shared" si="17"/>
        <v>#DIV/0!</v>
      </c>
      <c r="R111" s="17" t="e">
        <f t="shared" si="18"/>
        <v>#DIV/0!</v>
      </c>
      <c r="S111" s="22" t="e">
        <f t="shared" si="19"/>
        <v>#DIV/0!</v>
      </c>
      <c r="T111" s="22" t="e">
        <f t="shared" si="20"/>
        <v>#DIV/0!</v>
      </c>
    </row>
    <row r="112" spans="1:20" x14ac:dyDescent="0.2">
      <c r="A112" s="15">
        <f>Data!A112</f>
        <v>45764</v>
      </c>
      <c r="B112" s="1">
        <v>107</v>
      </c>
      <c r="C112" s="16">
        <f>ROUND(Data!BB112,2)</f>
        <v>0</v>
      </c>
      <c r="D112" s="3">
        <f>ROUND(Data!P112,1)</f>
        <v>0</v>
      </c>
      <c r="E112" s="3">
        <f>ROUND(Data!Y112,1)</f>
        <v>0</v>
      </c>
      <c r="F112" s="3">
        <f>Data!BH112</f>
        <v>0</v>
      </c>
      <c r="G112" s="3">
        <f>Data!N112</f>
        <v>0</v>
      </c>
      <c r="H112" s="17">
        <f>Data!AY112</f>
        <v>0</v>
      </c>
      <c r="I112" s="13">
        <f t="shared" si="15"/>
        <v>0</v>
      </c>
      <c r="K112" s="27">
        <f t="shared" si="21"/>
        <v>0</v>
      </c>
      <c r="M112" s="22">
        <f t="shared" si="13"/>
        <v>0</v>
      </c>
      <c r="N112" s="22">
        <f t="shared" si="14"/>
        <v>103.19999999999999</v>
      </c>
      <c r="P112" s="19" t="e">
        <f t="shared" si="16"/>
        <v>#DIV/0!</v>
      </c>
      <c r="Q112" s="19" t="e">
        <f t="shared" si="17"/>
        <v>#DIV/0!</v>
      </c>
      <c r="R112" s="17" t="e">
        <f t="shared" si="18"/>
        <v>#DIV/0!</v>
      </c>
      <c r="S112" s="22" t="e">
        <f t="shared" si="19"/>
        <v>#DIV/0!</v>
      </c>
      <c r="T112" s="22" t="e">
        <f t="shared" si="20"/>
        <v>#DIV/0!</v>
      </c>
    </row>
    <row r="113" spans="1:20" x14ac:dyDescent="0.2">
      <c r="A113" s="15">
        <f>Data!A113</f>
        <v>45765</v>
      </c>
      <c r="B113" s="1">
        <v>108</v>
      </c>
      <c r="C113" s="16">
        <f>ROUND(Data!BB113,2)</f>
        <v>0</v>
      </c>
      <c r="D113" s="3">
        <f>ROUND(Data!P113,1)</f>
        <v>0</v>
      </c>
      <c r="E113" s="3">
        <f>ROUND(Data!Y113,1)</f>
        <v>0</v>
      </c>
      <c r="F113" s="3">
        <f>Data!BH113</f>
        <v>0</v>
      </c>
      <c r="G113" s="3">
        <f>Data!N113</f>
        <v>0</v>
      </c>
      <c r="H113" s="17">
        <f>Data!AY113</f>
        <v>0</v>
      </c>
      <c r="I113" s="13">
        <f t="shared" si="15"/>
        <v>0</v>
      </c>
      <c r="K113" s="27">
        <f t="shared" si="21"/>
        <v>0</v>
      </c>
      <c r="M113" s="22">
        <f t="shared" si="13"/>
        <v>0</v>
      </c>
      <c r="N113" s="22">
        <f t="shared" si="14"/>
        <v>103.19999999999999</v>
      </c>
      <c r="P113" s="19" t="e">
        <f t="shared" si="16"/>
        <v>#DIV/0!</v>
      </c>
      <c r="Q113" s="19" t="e">
        <f t="shared" si="17"/>
        <v>#DIV/0!</v>
      </c>
      <c r="R113" s="17" t="e">
        <f t="shared" si="18"/>
        <v>#DIV/0!</v>
      </c>
      <c r="S113" s="22" t="e">
        <f t="shared" si="19"/>
        <v>#DIV/0!</v>
      </c>
      <c r="T113" s="22" t="e">
        <f t="shared" si="20"/>
        <v>#DIV/0!</v>
      </c>
    </row>
    <row r="114" spans="1:20" x14ac:dyDescent="0.2">
      <c r="A114" s="15">
        <f>Data!A114</f>
        <v>45766</v>
      </c>
      <c r="B114" s="1">
        <v>109</v>
      </c>
      <c r="C114" s="16">
        <f>ROUND(Data!BB114,2)</f>
        <v>0</v>
      </c>
      <c r="D114" s="3">
        <f>ROUND(Data!P114,1)</f>
        <v>0</v>
      </c>
      <c r="E114" s="3">
        <f>ROUND(Data!Y114,1)</f>
        <v>0</v>
      </c>
      <c r="F114" s="3">
        <f>Data!BH114</f>
        <v>0</v>
      </c>
      <c r="G114" s="3">
        <f>Data!N114</f>
        <v>0</v>
      </c>
      <c r="H114" s="17">
        <f>Data!AY114</f>
        <v>0</v>
      </c>
      <c r="I114" s="13">
        <f t="shared" si="15"/>
        <v>0</v>
      </c>
      <c r="K114" s="27">
        <f t="shared" si="21"/>
        <v>0</v>
      </c>
      <c r="M114" s="22">
        <f t="shared" si="13"/>
        <v>0</v>
      </c>
      <c r="N114" s="22">
        <f t="shared" si="14"/>
        <v>103.19999999999999</v>
      </c>
      <c r="P114" s="19" t="e">
        <f t="shared" si="16"/>
        <v>#DIV/0!</v>
      </c>
      <c r="Q114" s="19" t="e">
        <f t="shared" si="17"/>
        <v>#DIV/0!</v>
      </c>
      <c r="R114" s="17" t="e">
        <f t="shared" si="18"/>
        <v>#DIV/0!</v>
      </c>
      <c r="S114" s="22" t="e">
        <f t="shared" si="19"/>
        <v>#DIV/0!</v>
      </c>
      <c r="T114" s="22" t="e">
        <f t="shared" si="20"/>
        <v>#DIV/0!</v>
      </c>
    </row>
    <row r="115" spans="1:20" x14ac:dyDescent="0.2">
      <c r="A115" s="15">
        <f>Data!A115</f>
        <v>45767</v>
      </c>
      <c r="B115" s="1">
        <v>110</v>
      </c>
      <c r="C115" s="16">
        <f>ROUND(Data!BB115,2)</f>
        <v>0</v>
      </c>
      <c r="D115" s="3">
        <f>ROUND(Data!P115,1)</f>
        <v>0</v>
      </c>
      <c r="E115" s="3">
        <f>ROUND(Data!Y115,1)</f>
        <v>0</v>
      </c>
      <c r="F115" s="3">
        <f>Data!BH115</f>
        <v>0</v>
      </c>
      <c r="G115" s="3">
        <f>Data!N115</f>
        <v>0</v>
      </c>
      <c r="H115" s="17">
        <f>Data!AY115</f>
        <v>0</v>
      </c>
      <c r="I115" s="13">
        <f t="shared" si="15"/>
        <v>0</v>
      </c>
      <c r="K115" s="27">
        <f t="shared" si="21"/>
        <v>0</v>
      </c>
      <c r="M115" s="22">
        <f t="shared" si="13"/>
        <v>0</v>
      </c>
      <c r="N115" s="22">
        <f t="shared" si="14"/>
        <v>103.19999999999999</v>
      </c>
      <c r="P115" s="19" t="e">
        <f t="shared" si="16"/>
        <v>#DIV/0!</v>
      </c>
      <c r="Q115" s="19" t="e">
        <f t="shared" si="17"/>
        <v>#DIV/0!</v>
      </c>
      <c r="R115" s="17" t="e">
        <f t="shared" si="18"/>
        <v>#DIV/0!</v>
      </c>
      <c r="S115" s="22" t="e">
        <f t="shared" si="19"/>
        <v>#DIV/0!</v>
      </c>
      <c r="T115" s="22" t="e">
        <f t="shared" si="20"/>
        <v>#DIV/0!</v>
      </c>
    </row>
    <row r="116" spans="1:20" x14ac:dyDescent="0.2">
      <c r="A116" s="15">
        <f>Data!A116</f>
        <v>45768</v>
      </c>
      <c r="B116" s="1">
        <v>111</v>
      </c>
      <c r="C116" s="16">
        <f>ROUND(Data!BB116,2)</f>
        <v>0</v>
      </c>
      <c r="D116" s="3">
        <f>ROUND(Data!P116,1)</f>
        <v>0</v>
      </c>
      <c r="E116" s="3">
        <f>ROUND(Data!Y116,1)</f>
        <v>0</v>
      </c>
      <c r="F116" s="3">
        <f>Data!BH116</f>
        <v>0</v>
      </c>
      <c r="G116" s="3">
        <f>Data!N116</f>
        <v>0</v>
      </c>
      <c r="H116" s="17">
        <f>Data!AY116</f>
        <v>0</v>
      </c>
      <c r="I116" s="13">
        <f t="shared" si="15"/>
        <v>0</v>
      </c>
      <c r="K116" s="27">
        <f t="shared" si="21"/>
        <v>0</v>
      </c>
      <c r="M116" s="22">
        <f t="shared" si="13"/>
        <v>0</v>
      </c>
      <c r="N116" s="22">
        <f t="shared" si="14"/>
        <v>103.19999999999999</v>
      </c>
      <c r="P116" s="19" t="e">
        <f t="shared" si="16"/>
        <v>#DIV/0!</v>
      </c>
      <c r="Q116" s="19" t="e">
        <f t="shared" si="17"/>
        <v>#DIV/0!</v>
      </c>
      <c r="R116" s="17" t="e">
        <f t="shared" si="18"/>
        <v>#DIV/0!</v>
      </c>
      <c r="S116" s="22" t="e">
        <f t="shared" si="19"/>
        <v>#DIV/0!</v>
      </c>
      <c r="T116" s="22" t="e">
        <f t="shared" si="20"/>
        <v>#DIV/0!</v>
      </c>
    </row>
    <row r="117" spans="1:20" x14ac:dyDescent="0.2">
      <c r="A117" s="15">
        <f>Data!A117</f>
        <v>45769</v>
      </c>
      <c r="B117" s="1">
        <v>112</v>
      </c>
      <c r="C117" s="16">
        <f>ROUND(Data!BB117,2)</f>
        <v>0</v>
      </c>
      <c r="D117" s="3">
        <f>ROUND(Data!P117,1)</f>
        <v>0</v>
      </c>
      <c r="E117" s="3">
        <f>ROUND(Data!Y117,1)</f>
        <v>0</v>
      </c>
      <c r="F117" s="3">
        <f>Data!BH117</f>
        <v>0</v>
      </c>
      <c r="G117" s="3">
        <f>Data!N117</f>
        <v>0</v>
      </c>
      <c r="H117" s="17">
        <f>Data!AY117</f>
        <v>0</v>
      </c>
      <c r="I117" s="13">
        <f t="shared" si="15"/>
        <v>0</v>
      </c>
      <c r="K117" s="27">
        <f t="shared" si="21"/>
        <v>0</v>
      </c>
      <c r="M117" s="22">
        <f t="shared" si="13"/>
        <v>0</v>
      </c>
      <c r="N117" s="22">
        <f t="shared" si="14"/>
        <v>103.19999999999999</v>
      </c>
      <c r="P117" s="19" t="e">
        <f t="shared" si="16"/>
        <v>#DIV/0!</v>
      </c>
      <c r="Q117" s="19" t="e">
        <f t="shared" si="17"/>
        <v>#DIV/0!</v>
      </c>
      <c r="R117" s="17" t="e">
        <f t="shared" si="18"/>
        <v>#DIV/0!</v>
      </c>
      <c r="S117" s="22" t="e">
        <f t="shared" si="19"/>
        <v>#DIV/0!</v>
      </c>
      <c r="T117" s="22" t="e">
        <f t="shared" si="20"/>
        <v>#DIV/0!</v>
      </c>
    </row>
    <row r="118" spans="1:20" x14ac:dyDescent="0.2">
      <c r="A118" s="15">
        <f>Data!A118</f>
        <v>45770</v>
      </c>
      <c r="B118" s="1">
        <v>113</v>
      </c>
      <c r="C118" s="16">
        <f>ROUND(Data!BB118,2)</f>
        <v>0</v>
      </c>
      <c r="D118" s="3">
        <f>ROUND(Data!P118,1)</f>
        <v>0</v>
      </c>
      <c r="E118" s="3">
        <f>ROUND(Data!Y118,1)</f>
        <v>0</v>
      </c>
      <c r="F118" s="3">
        <f>Data!BH118</f>
        <v>0</v>
      </c>
      <c r="G118" s="3">
        <f>Data!N118</f>
        <v>0</v>
      </c>
      <c r="H118" s="17">
        <f>Data!AY118</f>
        <v>0</v>
      </c>
      <c r="I118" s="13">
        <f t="shared" si="15"/>
        <v>0</v>
      </c>
      <c r="K118" s="27">
        <f t="shared" si="21"/>
        <v>0</v>
      </c>
      <c r="M118" s="22">
        <f t="shared" si="13"/>
        <v>0</v>
      </c>
      <c r="N118" s="22">
        <f t="shared" si="14"/>
        <v>103.19999999999999</v>
      </c>
      <c r="P118" s="19" t="e">
        <f t="shared" si="16"/>
        <v>#DIV/0!</v>
      </c>
      <c r="Q118" s="19" t="e">
        <f t="shared" si="17"/>
        <v>#DIV/0!</v>
      </c>
      <c r="R118" s="17" t="e">
        <f t="shared" si="18"/>
        <v>#DIV/0!</v>
      </c>
      <c r="S118" s="22" t="e">
        <f t="shared" si="19"/>
        <v>#DIV/0!</v>
      </c>
      <c r="T118" s="22" t="e">
        <f t="shared" si="20"/>
        <v>#DIV/0!</v>
      </c>
    </row>
    <row r="119" spans="1:20" x14ac:dyDescent="0.2">
      <c r="A119" s="15">
        <f>Data!A119</f>
        <v>45771</v>
      </c>
      <c r="B119" s="1">
        <v>114</v>
      </c>
      <c r="C119" s="16">
        <f>ROUND(Data!BB119,2)</f>
        <v>0</v>
      </c>
      <c r="D119" s="3">
        <f>ROUND(Data!P119,1)</f>
        <v>0</v>
      </c>
      <c r="E119" s="3">
        <f>ROUND(Data!Y119,1)</f>
        <v>0</v>
      </c>
      <c r="F119" s="3">
        <f>Data!BH119</f>
        <v>0</v>
      </c>
      <c r="G119" s="3">
        <f>Data!N119</f>
        <v>0</v>
      </c>
      <c r="H119" s="17">
        <f>Data!AY119</f>
        <v>0</v>
      </c>
      <c r="I119" s="13">
        <f t="shared" si="15"/>
        <v>0</v>
      </c>
      <c r="K119" s="27">
        <f t="shared" si="21"/>
        <v>0</v>
      </c>
      <c r="M119" s="22">
        <f t="shared" si="13"/>
        <v>0</v>
      </c>
      <c r="N119" s="22">
        <f t="shared" si="14"/>
        <v>103.19999999999999</v>
      </c>
      <c r="P119" s="19" t="e">
        <f t="shared" si="16"/>
        <v>#DIV/0!</v>
      </c>
      <c r="Q119" s="19" t="e">
        <f t="shared" si="17"/>
        <v>#DIV/0!</v>
      </c>
      <c r="R119" s="17" t="e">
        <f t="shared" si="18"/>
        <v>#DIV/0!</v>
      </c>
      <c r="S119" s="22" t="e">
        <f t="shared" si="19"/>
        <v>#DIV/0!</v>
      </c>
      <c r="T119" s="22" t="e">
        <f t="shared" si="20"/>
        <v>#DIV/0!</v>
      </c>
    </row>
    <row r="120" spans="1:20" x14ac:dyDescent="0.2">
      <c r="A120" s="15">
        <f>Data!A120</f>
        <v>45772</v>
      </c>
      <c r="B120" s="1">
        <v>115</v>
      </c>
      <c r="C120" s="16">
        <f>ROUND(Data!BB120,2)</f>
        <v>0</v>
      </c>
      <c r="D120" s="3">
        <f>ROUND(Data!P120,1)</f>
        <v>0</v>
      </c>
      <c r="E120" s="3">
        <f>ROUND(Data!Y120,1)</f>
        <v>0</v>
      </c>
      <c r="F120" s="3">
        <f>Data!BH120</f>
        <v>0</v>
      </c>
      <c r="G120" s="3">
        <f>Data!N120</f>
        <v>0</v>
      </c>
      <c r="H120" s="17">
        <f>Data!AY120</f>
        <v>0</v>
      </c>
      <c r="I120" s="13">
        <f t="shared" si="15"/>
        <v>0</v>
      </c>
      <c r="K120" s="27">
        <f t="shared" si="21"/>
        <v>0</v>
      </c>
      <c r="M120" s="22">
        <f t="shared" si="13"/>
        <v>0</v>
      </c>
      <c r="N120" s="22">
        <f t="shared" si="14"/>
        <v>103.19999999999999</v>
      </c>
      <c r="P120" s="19" t="e">
        <f t="shared" si="16"/>
        <v>#DIV/0!</v>
      </c>
      <c r="Q120" s="19" t="e">
        <f t="shared" si="17"/>
        <v>#DIV/0!</v>
      </c>
      <c r="R120" s="17" t="e">
        <f t="shared" si="18"/>
        <v>#DIV/0!</v>
      </c>
      <c r="S120" s="22" t="e">
        <f t="shared" si="19"/>
        <v>#DIV/0!</v>
      </c>
      <c r="T120" s="22" t="e">
        <f t="shared" si="20"/>
        <v>#DIV/0!</v>
      </c>
    </row>
    <row r="121" spans="1:20" x14ac:dyDescent="0.2">
      <c r="A121" s="15">
        <f>Data!A121</f>
        <v>45773</v>
      </c>
      <c r="B121" s="1">
        <v>116</v>
      </c>
      <c r="C121" s="16">
        <f>ROUND(Data!BB121,2)</f>
        <v>0</v>
      </c>
      <c r="D121" s="3">
        <f>ROUND(Data!P121,1)</f>
        <v>0</v>
      </c>
      <c r="E121" s="3">
        <f>ROUND(Data!Y121,1)</f>
        <v>0</v>
      </c>
      <c r="F121" s="3">
        <f>Data!BH121</f>
        <v>0</v>
      </c>
      <c r="G121" s="3">
        <f>Data!N121</f>
        <v>0</v>
      </c>
      <c r="H121" s="17">
        <f>Data!AY121</f>
        <v>0</v>
      </c>
      <c r="I121" s="13">
        <f t="shared" si="15"/>
        <v>0</v>
      </c>
      <c r="K121" s="27">
        <f t="shared" si="21"/>
        <v>0</v>
      </c>
      <c r="M121" s="22">
        <f t="shared" si="13"/>
        <v>0</v>
      </c>
      <c r="N121" s="22">
        <f t="shared" si="14"/>
        <v>103.19999999999999</v>
      </c>
      <c r="P121" s="19" t="e">
        <f t="shared" si="16"/>
        <v>#DIV/0!</v>
      </c>
      <c r="Q121" s="19" t="e">
        <f t="shared" si="17"/>
        <v>#DIV/0!</v>
      </c>
      <c r="R121" s="17" t="e">
        <f t="shared" si="18"/>
        <v>#DIV/0!</v>
      </c>
      <c r="S121" s="22" t="e">
        <f t="shared" si="19"/>
        <v>#DIV/0!</v>
      </c>
      <c r="T121" s="22" t="e">
        <f t="shared" si="20"/>
        <v>#DIV/0!</v>
      </c>
    </row>
    <row r="122" spans="1:20" x14ac:dyDescent="0.2">
      <c r="A122" s="15">
        <f>Data!A122</f>
        <v>45774</v>
      </c>
      <c r="B122" s="1">
        <v>117</v>
      </c>
      <c r="C122" s="16">
        <f>ROUND(Data!BB122,2)</f>
        <v>0</v>
      </c>
      <c r="D122" s="3">
        <f>ROUND(Data!P122,1)</f>
        <v>0</v>
      </c>
      <c r="E122" s="3">
        <f>ROUND(Data!Y122,1)</f>
        <v>0</v>
      </c>
      <c r="F122" s="3">
        <f>Data!BH122</f>
        <v>0</v>
      </c>
      <c r="G122" s="3">
        <f>Data!N122</f>
        <v>0</v>
      </c>
      <c r="H122" s="17">
        <f>Data!AY122</f>
        <v>0</v>
      </c>
      <c r="I122" s="13">
        <f t="shared" si="15"/>
        <v>0</v>
      </c>
      <c r="K122" s="27">
        <f t="shared" si="21"/>
        <v>0</v>
      </c>
      <c r="M122" s="22">
        <f t="shared" si="13"/>
        <v>0</v>
      </c>
      <c r="N122" s="22">
        <f t="shared" si="14"/>
        <v>103.19999999999999</v>
      </c>
      <c r="P122" s="19" t="e">
        <f t="shared" si="16"/>
        <v>#DIV/0!</v>
      </c>
      <c r="Q122" s="19" t="e">
        <f t="shared" si="17"/>
        <v>#DIV/0!</v>
      </c>
      <c r="R122" s="17" t="e">
        <f t="shared" si="18"/>
        <v>#DIV/0!</v>
      </c>
      <c r="S122" s="22" t="e">
        <f t="shared" si="19"/>
        <v>#DIV/0!</v>
      </c>
      <c r="T122" s="22" t="e">
        <f t="shared" si="20"/>
        <v>#DIV/0!</v>
      </c>
    </row>
    <row r="123" spans="1:20" x14ac:dyDescent="0.2">
      <c r="A123" s="15">
        <f>Data!A123</f>
        <v>45775</v>
      </c>
      <c r="B123" s="1">
        <v>118</v>
      </c>
      <c r="C123" s="16">
        <f>ROUND(Data!BB123,2)</f>
        <v>0</v>
      </c>
      <c r="D123" s="3">
        <f>ROUND(Data!P123,1)</f>
        <v>0</v>
      </c>
      <c r="E123" s="3">
        <f>ROUND(Data!Y123,1)</f>
        <v>0</v>
      </c>
      <c r="F123" s="3">
        <f>Data!BH123</f>
        <v>0</v>
      </c>
      <c r="G123" s="3">
        <f>Data!N123</f>
        <v>0</v>
      </c>
      <c r="H123" s="17">
        <f>Data!AY123</f>
        <v>0</v>
      </c>
      <c r="I123" s="13">
        <f t="shared" si="15"/>
        <v>0</v>
      </c>
      <c r="K123" s="27">
        <f t="shared" si="21"/>
        <v>0</v>
      </c>
      <c r="M123" s="22">
        <f t="shared" si="13"/>
        <v>0</v>
      </c>
      <c r="N123" s="22">
        <f t="shared" si="14"/>
        <v>103.19999999999999</v>
      </c>
      <c r="P123" s="19" t="e">
        <f t="shared" si="16"/>
        <v>#DIV/0!</v>
      </c>
      <c r="Q123" s="19" t="e">
        <f t="shared" si="17"/>
        <v>#DIV/0!</v>
      </c>
      <c r="R123" s="17" t="e">
        <f t="shared" si="18"/>
        <v>#DIV/0!</v>
      </c>
      <c r="S123" s="22" t="e">
        <f t="shared" si="19"/>
        <v>#DIV/0!</v>
      </c>
      <c r="T123" s="22" t="e">
        <f t="shared" si="20"/>
        <v>#DIV/0!</v>
      </c>
    </row>
    <row r="124" spans="1:20" x14ac:dyDescent="0.2">
      <c r="A124" s="15">
        <f>Data!A124</f>
        <v>45776</v>
      </c>
      <c r="B124" s="1">
        <v>119</v>
      </c>
      <c r="C124" s="16">
        <f>ROUND(Data!BB124,2)</f>
        <v>0</v>
      </c>
      <c r="D124" s="3">
        <f>ROUND(Data!P124,1)</f>
        <v>0</v>
      </c>
      <c r="E124" s="3">
        <f>ROUND(Data!Y124,1)</f>
        <v>0</v>
      </c>
      <c r="F124" s="3">
        <f>Data!BH124</f>
        <v>0</v>
      </c>
      <c r="G124" s="3">
        <f>Data!N124</f>
        <v>0</v>
      </c>
      <c r="H124" s="17">
        <f>Data!AY124</f>
        <v>0</v>
      </c>
      <c r="I124" s="13">
        <f t="shared" si="15"/>
        <v>0</v>
      </c>
      <c r="K124" s="27">
        <f t="shared" si="21"/>
        <v>0</v>
      </c>
      <c r="M124" s="22">
        <f t="shared" si="13"/>
        <v>0</v>
      </c>
      <c r="N124" s="22">
        <f t="shared" si="14"/>
        <v>103.19999999999999</v>
      </c>
      <c r="P124" s="19" t="e">
        <f t="shared" si="16"/>
        <v>#DIV/0!</v>
      </c>
      <c r="Q124" s="19" t="e">
        <f t="shared" si="17"/>
        <v>#DIV/0!</v>
      </c>
      <c r="R124" s="17" t="e">
        <f t="shared" si="18"/>
        <v>#DIV/0!</v>
      </c>
      <c r="S124" s="22" t="e">
        <f t="shared" si="19"/>
        <v>#DIV/0!</v>
      </c>
      <c r="T124" s="22" t="e">
        <f t="shared" si="20"/>
        <v>#DIV/0!</v>
      </c>
    </row>
    <row r="125" spans="1:20" x14ac:dyDescent="0.2">
      <c r="A125" s="15">
        <f>Data!A125</f>
        <v>45777</v>
      </c>
      <c r="B125" s="1">
        <v>120</v>
      </c>
      <c r="C125" s="16">
        <f>ROUND(Data!BB125,2)</f>
        <v>0</v>
      </c>
      <c r="D125" s="3">
        <f>ROUND(Data!P125,1)</f>
        <v>0</v>
      </c>
      <c r="E125" s="3">
        <f>ROUND(Data!Y125,1)</f>
        <v>0</v>
      </c>
      <c r="F125" s="3">
        <f>Data!BH125</f>
        <v>0</v>
      </c>
      <c r="G125" s="3">
        <f>Data!N125</f>
        <v>0</v>
      </c>
      <c r="H125" s="17">
        <f>Data!AY125</f>
        <v>0</v>
      </c>
      <c r="I125" s="13">
        <f t="shared" si="15"/>
        <v>0</v>
      </c>
      <c r="K125" s="27">
        <f t="shared" si="21"/>
        <v>0</v>
      </c>
      <c r="M125" s="22">
        <f t="shared" ref="M125:M188" si="22">J125+M124</f>
        <v>0</v>
      </c>
      <c r="N125" s="22">
        <f t="shared" ref="N125:N188" si="23">K125+N124</f>
        <v>103.19999999999999</v>
      </c>
      <c r="P125" s="19" t="e">
        <f t="shared" si="16"/>
        <v>#DIV/0!</v>
      </c>
      <c r="Q125" s="19" t="e">
        <f t="shared" si="17"/>
        <v>#DIV/0!</v>
      </c>
      <c r="R125" s="17" t="e">
        <f t="shared" si="18"/>
        <v>#DIV/0!</v>
      </c>
      <c r="S125" s="22" t="e">
        <f t="shared" si="19"/>
        <v>#DIV/0!</v>
      </c>
      <c r="T125" s="22" t="e">
        <f t="shared" si="20"/>
        <v>#DIV/0!</v>
      </c>
    </row>
    <row r="126" spans="1:20" x14ac:dyDescent="0.2">
      <c r="A126" s="15">
        <f>Data!A126</f>
        <v>45778</v>
      </c>
      <c r="B126" s="1">
        <v>121</v>
      </c>
      <c r="C126" s="16">
        <f>ROUND(Data!BB126,2)</f>
        <v>0</v>
      </c>
      <c r="D126" s="3">
        <f>ROUND(Data!P126,1)</f>
        <v>0</v>
      </c>
      <c r="E126" s="3">
        <f>ROUND(Data!Y126,1)</f>
        <v>0</v>
      </c>
      <c r="F126" s="3">
        <f>Data!BH126</f>
        <v>0</v>
      </c>
      <c r="G126" s="3">
        <f>Data!N126</f>
        <v>0</v>
      </c>
      <c r="H126" s="17">
        <f>Data!AY126</f>
        <v>0</v>
      </c>
      <c r="I126" s="13">
        <f t="shared" si="15"/>
        <v>0</v>
      </c>
      <c r="K126" s="27">
        <f t="shared" si="21"/>
        <v>0</v>
      </c>
      <c r="M126" s="22">
        <f t="shared" si="22"/>
        <v>0</v>
      </c>
      <c r="N126" s="22">
        <f t="shared" si="23"/>
        <v>103.19999999999999</v>
      </c>
      <c r="P126" s="19" t="e">
        <f t="shared" si="16"/>
        <v>#DIV/0!</v>
      </c>
      <c r="Q126" s="19" t="e">
        <f t="shared" si="17"/>
        <v>#DIV/0!</v>
      </c>
      <c r="R126" s="17" t="e">
        <f t="shared" si="18"/>
        <v>#DIV/0!</v>
      </c>
      <c r="S126" s="22" t="e">
        <f t="shared" si="19"/>
        <v>#DIV/0!</v>
      </c>
      <c r="T126" s="22" t="e">
        <f t="shared" si="20"/>
        <v>#DIV/0!</v>
      </c>
    </row>
    <row r="127" spans="1:20" x14ac:dyDescent="0.2">
      <c r="A127" s="15">
        <f>Data!A127</f>
        <v>45779</v>
      </c>
      <c r="B127" s="1">
        <v>122</v>
      </c>
      <c r="C127" s="16">
        <f>ROUND(Data!BB127,2)</f>
        <v>0</v>
      </c>
      <c r="D127" s="3">
        <f>ROUND(Data!P127,1)</f>
        <v>0</v>
      </c>
      <c r="E127" s="3">
        <f>ROUND(Data!Y127,1)</f>
        <v>0</v>
      </c>
      <c r="F127" s="3">
        <f>Data!BH127</f>
        <v>0</v>
      </c>
      <c r="G127" s="3">
        <f>Data!N127</f>
        <v>0</v>
      </c>
      <c r="H127" s="17">
        <f>Data!AY127</f>
        <v>0</v>
      </c>
      <c r="I127" s="13">
        <f t="shared" ref="I127:I190" si="24">IF(H127&gt;H126,ROUND((H127-H126)*I$1,1),0)</f>
        <v>0</v>
      </c>
      <c r="K127" s="27">
        <f t="shared" si="21"/>
        <v>0</v>
      </c>
      <c r="M127" s="22">
        <f t="shared" si="22"/>
        <v>0</v>
      </c>
      <c r="N127" s="22">
        <f t="shared" si="23"/>
        <v>103.19999999999999</v>
      </c>
      <c r="P127" s="19" t="e">
        <f t="shared" si="16"/>
        <v>#DIV/0!</v>
      </c>
      <c r="Q127" s="19" t="e">
        <f t="shared" si="17"/>
        <v>#DIV/0!</v>
      </c>
      <c r="R127" s="17" t="e">
        <f t="shared" si="18"/>
        <v>#DIV/0!</v>
      </c>
      <c r="S127" s="22" t="e">
        <f t="shared" si="19"/>
        <v>#DIV/0!</v>
      </c>
      <c r="T127" s="22" t="e">
        <f t="shared" si="20"/>
        <v>#DIV/0!</v>
      </c>
    </row>
    <row r="128" spans="1:20" x14ac:dyDescent="0.2">
      <c r="A128" s="15">
        <f>Data!A128</f>
        <v>45780</v>
      </c>
      <c r="B128" s="1">
        <v>123</v>
      </c>
      <c r="C128" s="16">
        <f>ROUND(Data!BB128,2)</f>
        <v>0</v>
      </c>
      <c r="D128" s="3">
        <f>ROUND(Data!P128,1)</f>
        <v>0</v>
      </c>
      <c r="E128" s="3">
        <f>ROUND(Data!Y128,1)</f>
        <v>0</v>
      </c>
      <c r="F128" s="3">
        <f>Data!BH128</f>
        <v>0</v>
      </c>
      <c r="G128" s="3">
        <f>Data!N128</f>
        <v>0</v>
      </c>
      <c r="H128" s="17">
        <f>Data!AY128</f>
        <v>0</v>
      </c>
      <c r="I128" s="13">
        <f t="shared" si="24"/>
        <v>0</v>
      </c>
      <c r="K128" s="27">
        <f t="shared" si="21"/>
        <v>0</v>
      </c>
      <c r="M128" s="22">
        <f t="shared" si="22"/>
        <v>0</v>
      </c>
      <c r="N128" s="22">
        <f t="shared" si="23"/>
        <v>103.19999999999999</v>
      </c>
      <c r="P128" s="19" t="e">
        <f t="shared" si="16"/>
        <v>#DIV/0!</v>
      </c>
      <c r="Q128" s="19" t="e">
        <f t="shared" si="17"/>
        <v>#DIV/0!</v>
      </c>
      <c r="R128" s="17" t="e">
        <f t="shared" si="18"/>
        <v>#DIV/0!</v>
      </c>
      <c r="S128" s="22" t="e">
        <f t="shared" si="19"/>
        <v>#DIV/0!</v>
      </c>
      <c r="T128" s="22" t="e">
        <f t="shared" si="20"/>
        <v>#DIV/0!</v>
      </c>
    </row>
    <row r="129" spans="1:20" x14ac:dyDescent="0.2">
      <c r="A129" s="15">
        <f>Data!A129</f>
        <v>45781</v>
      </c>
      <c r="B129" s="1">
        <v>124</v>
      </c>
      <c r="C129" s="16">
        <f>ROUND(Data!BB129,2)</f>
        <v>0</v>
      </c>
      <c r="D129" s="3">
        <f>ROUND(Data!P129,1)</f>
        <v>0</v>
      </c>
      <c r="E129" s="3">
        <f>ROUND(Data!Y129,1)</f>
        <v>0</v>
      </c>
      <c r="F129" s="3">
        <f>Data!BH129</f>
        <v>0</v>
      </c>
      <c r="G129" s="3">
        <f>Data!N129</f>
        <v>0</v>
      </c>
      <c r="H129" s="17">
        <f>Data!AY129</f>
        <v>0</v>
      </c>
      <c r="I129" s="13">
        <f t="shared" si="24"/>
        <v>0</v>
      </c>
      <c r="K129" s="27">
        <f t="shared" si="21"/>
        <v>0</v>
      </c>
      <c r="M129" s="22">
        <f t="shared" si="22"/>
        <v>0</v>
      </c>
      <c r="N129" s="22">
        <f t="shared" si="23"/>
        <v>103.19999999999999</v>
      </c>
      <c r="P129" s="19" t="e">
        <f t="shared" si="16"/>
        <v>#DIV/0!</v>
      </c>
      <c r="Q129" s="19" t="e">
        <f t="shared" si="17"/>
        <v>#DIV/0!</v>
      </c>
      <c r="R129" s="17" t="e">
        <f t="shared" si="18"/>
        <v>#DIV/0!</v>
      </c>
      <c r="S129" s="22" t="e">
        <f t="shared" si="19"/>
        <v>#DIV/0!</v>
      </c>
      <c r="T129" s="22" t="e">
        <f t="shared" si="20"/>
        <v>#DIV/0!</v>
      </c>
    </row>
    <row r="130" spans="1:20" x14ac:dyDescent="0.2">
      <c r="A130" s="15">
        <f>Data!A130</f>
        <v>45782</v>
      </c>
      <c r="B130" s="1">
        <v>125</v>
      </c>
      <c r="C130" s="16">
        <f>ROUND(Data!BB130,2)</f>
        <v>0</v>
      </c>
      <c r="D130" s="3">
        <f>ROUND(Data!P130,1)</f>
        <v>0</v>
      </c>
      <c r="E130" s="3">
        <f>ROUND(Data!Y130,1)</f>
        <v>0</v>
      </c>
      <c r="F130" s="3">
        <f>Data!BH130</f>
        <v>0</v>
      </c>
      <c r="G130" s="3">
        <f>Data!N130</f>
        <v>0</v>
      </c>
      <c r="H130" s="17">
        <f>Data!AY130</f>
        <v>0</v>
      </c>
      <c r="I130" s="13">
        <f t="shared" si="24"/>
        <v>0</v>
      </c>
      <c r="K130" s="27">
        <f t="shared" si="21"/>
        <v>0</v>
      </c>
      <c r="M130" s="22">
        <f t="shared" si="22"/>
        <v>0</v>
      </c>
      <c r="N130" s="22">
        <f t="shared" si="23"/>
        <v>103.19999999999999</v>
      </c>
      <c r="P130" s="19" t="e">
        <f t="shared" si="16"/>
        <v>#DIV/0!</v>
      </c>
      <c r="Q130" s="19" t="e">
        <f t="shared" si="17"/>
        <v>#DIV/0!</v>
      </c>
      <c r="R130" s="17" t="e">
        <f t="shared" si="18"/>
        <v>#DIV/0!</v>
      </c>
      <c r="S130" s="22" t="e">
        <f t="shared" si="19"/>
        <v>#DIV/0!</v>
      </c>
      <c r="T130" s="22" t="e">
        <f t="shared" si="20"/>
        <v>#DIV/0!</v>
      </c>
    </row>
    <row r="131" spans="1:20" x14ac:dyDescent="0.2">
      <c r="A131" s="15">
        <f>Data!A131</f>
        <v>45783</v>
      </c>
      <c r="B131" s="1">
        <v>126</v>
      </c>
      <c r="C131" s="16">
        <f>ROUND(Data!BB131,2)</f>
        <v>0</v>
      </c>
      <c r="D131" s="3">
        <f>ROUND(Data!P131,1)</f>
        <v>0</v>
      </c>
      <c r="E131" s="3">
        <f>ROUND(Data!Y131,1)</f>
        <v>0</v>
      </c>
      <c r="F131" s="3">
        <f>Data!BH131</f>
        <v>0</v>
      </c>
      <c r="G131" s="3">
        <f>Data!N131</f>
        <v>0</v>
      </c>
      <c r="H131" s="17">
        <f>Data!AY131</f>
        <v>0</v>
      </c>
      <c r="I131" s="13">
        <f t="shared" si="24"/>
        <v>0</v>
      </c>
      <c r="K131" s="27">
        <f t="shared" si="21"/>
        <v>0</v>
      </c>
      <c r="M131" s="22">
        <f t="shared" si="22"/>
        <v>0</v>
      </c>
      <c r="N131" s="22">
        <f t="shared" si="23"/>
        <v>103.19999999999999</v>
      </c>
      <c r="P131" s="19" t="e">
        <f t="shared" si="16"/>
        <v>#DIV/0!</v>
      </c>
      <c r="Q131" s="19" t="e">
        <f t="shared" si="17"/>
        <v>#DIV/0!</v>
      </c>
      <c r="R131" s="17" t="e">
        <f t="shared" si="18"/>
        <v>#DIV/0!</v>
      </c>
      <c r="S131" s="22" t="e">
        <f t="shared" si="19"/>
        <v>#DIV/0!</v>
      </c>
      <c r="T131" s="22" t="e">
        <f t="shared" si="20"/>
        <v>#DIV/0!</v>
      </c>
    </row>
    <row r="132" spans="1:20" x14ac:dyDescent="0.2">
      <c r="A132" s="15">
        <f>Data!A132</f>
        <v>45784</v>
      </c>
      <c r="B132" s="1">
        <v>127</v>
      </c>
      <c r="C132" s="16">
        <f>ROUND(Data!BB132,2)</f>
        <v>0</v>
      </c>
      <c r="D132" s="3">
        <f>ROUND(Data!P132,1)</f>
        <v>0</v>
      </c>
      <c r="E132" s="3">
        <f>ROUND(Data!Y132,1)</f>
        <v>0</v>
      </c>
      <c r="F132" s="3">
        <f>Data!BH132</f>
        <v>0</v>
      </c>
      <c r="G132" s="3">
        <f>Data!N132</f>
        <v>0</v>
      </c>
      <c r="H132" s="17">
        <f>Data!AY132</f>
        <v>0</v>
      </c>
      <c r="I132" s="13">
        <f t="shared" si="24"/>
        <v>0</v>
      </c>
      <c r="K132" s="28">
        <f t="shared" ref="K132:K141" si="25">G132</f>
        <v>0</v>
      </c>
      <c r="M132" s="22">
        <f t="shared" si="22"/>
        <v>0</v>
      </c>
      <c r="N132" s="22">
        <f t="shared" si="23"/>
        <v>103.19999999999999</v>
      </c>
      <c r="P132" s="19" t="e">
        <f t="shared" si="16"/>
        <v>#DIV/0!</v>
      </c>
      <c r="Q132" s="19" t="e">
        <f t="shared" si="17"/>
        <v>#DIV/0!</v>
      </c>
      <c r="R132" s="17" t="e">
        <f t="shared" si="18"/>
        <v>#DIV/0!</v>
      </c>
      <c r="S132" s="22" t="e">
        <f t="shared" si="19"/>
        <v>#DIV/0!</v>
      </c>
      <c r="T132" s="22" t="e">
        <f t="shared" si="20"/>
        <v>#DIV/0!</v>
      </c>
    </row>
    <row r="133" spans="1:20" x14ac:dyDescent="0.2">
      <c r="A133" s="15">
        <f>Data!A133</f>
        <v>45785</v>
      </c>
      <c r="B133" s="1">
        <v>128</v>
      </c>
      <c r="C133" s="16">
        <f>ROUND(Data!BB133,2)</f>
        <v>0</v>
      </c>
      <c r="D133" s="3">
        <f>ROUND(Data!P133,1)</f>
        <v>0</v>
      </c>
      <c r="E133" s="3">
        <f>ROUND(Data!Y133,1)</f>
        <v>0</v>
      </c>
      <c r="F133" s="3">
        <f>Data!BH133</f>
        <v>0</v>
      </c>
      <c r="G133" s="3">
        <f>Data!N133</f>
        <v>0</v>
      </c>
      <c r="H133" s="17">
        <f>Data!AY133</f>
        <v>0</v>
      </c>
      <c r="I133" s="13">
        <f t="shared" si="24"/>
        <v>0</v>
      </c>
      <c r="K133" s="28">
        <f t="shared" si="25"/>
        <v>0</v>
      </c>
      <c r="M133" s="22">
        <f t="shared" si="22"/>
        <v>0</v>
      </c>
      <c r="N133" s="22">
        <f t="shared" si="23"/>
        <v>103.19999999999999</v>
      </c>
      <c r="P133" s="19" t="e">
        <f t="shared" si="16"/>
        <v>#DIV/0!</v>
      </c>
      <c r="Q133" s="19" t="e">
        <f t="shared" si="17"/>
        <v>#DIV/0!</v>
      </c>
      <c r="R133" s="17" t="e">
        <f t="shared" si="18"/>
        <v>#DIV/0!</v>
      </c>
      <c r="S133" s="22" t="e">
        <f t="shared" si="19"/>
        <v>#DIV/0!</v>
      </c>
      <c r="T133" s="22" t="e">
        <f t="shared" si="20"/>
        <v>#DIV/0!</v>
      </c>
    </row>
    <row r="134" spans="1:20" x14ac:dyDescent="0.2">
      <c r="A134" s="15">
        <f>Data!A134</f>
        <v>45786</v>
      </c>
      <c r="B134" s="1">
        <v>129</v>
      </c>
      <c r="C134" s="16">
        <f>ROUND(Data!BB134,2)</f>
        <v>0</v>
      </c>
      <c r="D134" s="3">
        <f>ROUND(Data!P134,1)</f>
        <v>0</v>
      </c>
      <c r="E134" s="3">
        <f>ROUND(Data!Y134,1)</f>
        <v>0</v>
      </c>
      <c r="F134" s="3">
        <f>Data!BH134</f>
        <v>0</v>
      </c>
      <c r="G134" s="3">
        <f>Data!N134</f>
        <v>0</v>
      </c>
      <c r="H134" s="17">
        <f>Data!AY134</f>
        <v>0</v>
      </c>
      <c r="I134" s="13">
        <f t="shared" si="24"/>
        <v>0</v>
      </c>
      <c r="K134" s="28">
        <f t="shared" si="25"/>
        <v>0</v>
      </c>
      <c r="M134" s="22">
        <f t="shared" si="22"/>
        <v>0</v>
      </c>
      <c r="N134" s="22">
        <f t="shared" si="23"/>
        <v>103.19999999999999</v>
      </c>
      <c r="P134" s="19" t="e">
        <f t="shared" si="16"/>
        <v>#DIV/0!</v>
      </c>
      <c r="Q134" s="19" t="e">
        <f t="shared" si="17"/>
        <v>#DIV/0!</v>
      </c>
      <c r="R134" s="17" t="e">
        <f t="shared" si="18"/>
        <v>#DIV/0!</v>
      </c>
      <c r="S134" s="22" t="e">
        <f t="shared" si="19"/>
        <v>#DIV/0!</v>
      </c>
      <c r="T134" s="22" t="e">
        <f t="shared" si="20"/>
        <v>#DIV/0!</v>
      </c>
    </row>
    <row r="135" spans="1:20" x14ac:dyDescent="0.2">
      <c r="A135" s="15">
        <f>Data!A135</f>
        <v>45787</v>
      </c>
      <c r="B135" s="1">
        <v>130</v>
      </c>
      <c r="C135" s="16">
        <f>ROUND(Data!BB135,2)</f>
        <v>0</v>
      </c>
      <c r="D135" s="3">
        <f>ROUND(Data!P135,1)</f>
        <v>0</v>
      </c>
      <c r="E135" s="3">
        <f>ROUND(Data!Y135,1)</f>
        <v>0</v>
      </c>
      <c r="F135" s="3">
        <f>Data!BH135</f>
        <v>0</v>
      </c>
      <c r="G135" s="3">
        <f>Data!N135</f>
        <v>0</v>
      </c>
      <c r="H135" s="17">
        <f>Data!AY135</f>
        <v>0</v>
      </c>
      <c r="I135" s="13">
        <f t="shared" si="24"/>
        <v>0</v>
      </c>
      <c r="K135" s="28">
        <f t="shared" si="25"/>
        <v>0</v>
      </c>
      <c r="M135" s="22">
        <f t="shared" si="22"/>
        <v>0</v>
      </c>
      <c r="N135" s="22">
        <f t="shared" si="23"/>
        <v>103.19999999999999</v>
      </c>
      <c r="P135" s="19" t="e">
        <f t="shared" ref="P135:P140" si="26">(R134+K135)/H135</f>
        <v>#DIV/0!</v>
      </c>
      <c r="Q135" s="19" t="e">
        <f t="shared" ref="Q135:Q140" si="27">IF(P135&gt;Q$1,Q$1,P135)</f>
        <v>#DIV/0!</v>
      </c>
      <c r="R135" s="17" t="e">
        <f t="shared" ref="R135:R140" si="28">Q135*H135</f>
        <v>#DIV/0!</v>
      </c>
      <c r="S135" s="22" t="e">
        <f t="shared" ref="S135:S140" si="29">R135-R134</f>
        <v>#DIV/0!</v>
      </c>
      <c r="T135" s="22" t="e">
        <f t="shared" ref="T135:T141" si="30">ROUND(K135-S135,1)</f>
        <v>#DIV/0!</v>
      </c>
    </row>
    <row r="136" spans="1:20" x14ac:dyDescent="0.2">
      <c r="A136" s="15">
        <f>Data!A136</f>
        <v>45788</v>
      </c>
      <c r="B136" s="1">
        <v>131</v>
      </c>
      <c r="C136" s="16">
        <f>ROUND(Data!BB136,2)</f>
        <v>0</v>
      </c>
      <c r="D136" s="3">
        <f>ROUND(Data!P136,1)</f>
        <v>0</v>
      </c>
      <c r="E136" s="3">
        <f>ROUND(Data!Y136,1)</f>
        <v>0</v>
      </c>
      <c r="F136" s="3">
        <f>Data!BH136</f>
        <v>0</v>
      </c>
      <c r="G136" s="3">
        <f>Data!N136</f>
        <v>0</v>
      </c>
      <c r="H136" s="17">
        <f>Data!AY136</f>
        <v>0</v>
      </c>
      <c r="I136" s="13">
        <f t="shared" si="24"/>
        <v>0</v>
      </c>
      <c r="K136" s="28">
        <f t="shared" si="25"/>
        <v>0</v>
      </c>
      <c r="M136" s="22">
        <f t="shared" si="22"/>
        <v>0</v>
      </c>
      <c r="N136" s="22">
        <f t="shared" si="23"/>
        <v>103.19999999999999</v>
      </c>
      <c r="P136" s="19" t="e">
        <f t="shared" si="26"/>
        <v>#DIV/0!</v>
      </c>
      <c r="Q136" s="19" t="e">
        <f t="shared" si="27"/>
        <v>#DIV/0!</v>
      </c>
      <c r="R136" s="17" t="e">
        <f t="shared" si="28"/>
        <v>#DIV/0!</v>
      </c>
      <c r="S136" s="22" t="e">
        <f t="shared" si="29"/>
        <v>#DIV/0!</v>
      </c>
      <c r="T136" s="22" t="e">
        <f t="shared" si="30"/>
        <v>#DIV/0!</v>
      </c>
    </row>
    <row r="137" spans="1:20" x14ac:dyDescent="0.2">
      <c r="A137" s="15">
        <f>Data!A137</f>
        <v>45789</v>
      </c>
      <c r="B137" s="1">
        <v>132</v>
      </c>
      <c r="C137" s="16">
        <f>ROUND(Data!BB137,2)</f>
        <v>0</v>
      </c>
      <c r="D137" s="3">
        <f>ROUND(Data!P137,1)</f>
        <v>0</v>
      </c>
      <c r="E137" s="3">
        <f>ROUND(Data!Y137,1)</f>
        <v>0</v>
      </c>
      <c r="F137" s="3">
        <f>Data!BH137</f>
        <v>0</v>
      </c>
      <c r="G137" s="3">
        <f>Data!N137</f>
        <v>0</v>
      </c>
      <c r="H137" s="17">
        <f>Data!AY137</f>
        <v>0</v>
      </c>
      <c r="I137" s="13">
        <f t="shared" si="24"/>
        <v>0</v>
      </c>
      <c r="K137" s="28">
        <f t="shared" si="25"/>
        <v>0</v>
      </c>
      <c r="M137" s="22">
        <f t="shared" si="22"/>
        <v>0</v>
      </c>
      <c r="N137" s="22">
        <f t="shared" si="23"/>
        <v>103.19999999999999</v>
      </c>
      <c r="P137" s="19" t="e">
        <f t="shared" si="26"/>
        <v>#DIV/0!</v>
      </c>
      <c r="Q137" s="19" t="e">
        <f t="shared" si="27"/>
        <v>#DIV/0!</v>
      </c>
      <c r="R137" s="17" t="e">
        <f t="shared" si="28"/>
        <v>#DIV/0!</v>
      </c>
      <c r="S137" s="22" t="e">
        <f t="shared" si="29"/>
        <v>#DIV/0!</v>
      </c>
      <c r="T137" s="22" t="e">
        <f t="shared" si="30"/>
        <v>#DIV/0!</v>
      </c>
    </row>
    <row r="138" spans="1:20" x14ac:dyDescent="0.2">
      <c r="A138" s="15">
        <f>Data!A138</f>
        <v>45790</v>
      </c>
      <c r="B138" s="1">
        <v>133</v>
      </c>
      <c r="C138" s="16">
        <f>ROUND(Data!BB138,2)</f>
        <v>0</v>
      </c>
      <c r="D138" s="3">
        <f>ROUND(Data!P138,1)</f>
        <v>0</v>
      </c>
      <c r="E138" s="3">
        <f>ROUND(Data!Y138,1)</f>
        <v>0</v>
      </c>
      <c r="F138" s="3">
        <f>Data!BH138</f>
        <v>0</v>
      </c>
      <c r="G138" s="3">
        <f>Data!N138</f>
        <v>0</v>
      </c>
      <c r="H138" s="17">
        <f>Data!AY138</f>
        <v>0</v>
      </c>
      <c r="I138" s="13">
        <f t="shared" si="24"/>
        <v>0</v>
      </c>
      <c r="K138" s="28">
        <f t="shared" si="25"/>
        <v>0</v>
      </c>
      <c r="M138" s="22">
        <f t="shared" si="22"/>
        <v>0</v>
      </c>
      <c r="N138" s="22">
        <f t="shared" si="23"/>
        <v>103.19999999999999</v>
      </c>
      <c r="P138" s="19" t="e">
        <f t="shared" si="26"/>
        <v>#DIV/0!</v>
      </c>
      <c r="Q138" s="19" t="e">
        <f t="shared" si="27"/>
        <v>#DIV/0!</v>
      </c>
      <c r="R138" s="17" t="e">
        <f t="shared" si="28"/>
        <v>#DIV/0!</v>
      </c>
      <c r="S138" s="22" t="e">
        <f t="shared" si="29"/>
        <v>#DIV/0!</v>
      </c>
      <c r="T138" s="22" t="e">
        <f t="shared" si="30"/>
        <v>#DIV/0!</v>
      </c>
    </row>
    <row r="139" spans="1:20" x14ac:dyDescent="0.2">
      <c r="A139" s="15">
        <f>Data!A139</f>
        <v>45791</v>
      </c>
      <c r="B139" s="1">
        <v>134</v>
      </c>
      <c r="C139" s="16">
        <f>ROUND(Data!BB139,2)</f>
        <v>0</v>
      </c>
      <c r="D139" s="3">
        <f>ROUND(Data!P139,1)</f>
        <v>0</v>
      </c>
      <c r="E139" s="3">
        <f>ROUND(Data!Y139,1)</f>
        <v>0</v>
      </c>
      <c r="F139" s="3">
        <f>Data!BH139</f>
        <v>0</v>
      </c>
      <c r="G139" s="3">
        <f>Data!N139</f>
        <v>0</v>
      </c>
      <c r="H139" s="17">
        <f>Data!AY139</f>
        <v>0</v>
      </c>
      <c r="I139" s="13">
        <f t="shared" si="24"/>
        <v>0</v>
      </c>
      <c r="K139" s="28">
        <f t="shared" si="25"/>
        <v>0</v>
      </c>
      <c r="M139" s="22">
        <f t="shared" si="22"/>
        <v>0</v>
      </c>
      <c r="N139" s="22">
        <f t="shared" si="23"/>
        <v>103.19999999999999</v>
      </c>
      <c r="P139" s="19" t="e">
        <f t="shared" si="26"/>
        <v>#DIV/0!</v>
      </c>
      <c r="Q139" s="19" t="e">
        <f t="shared" si="27"/>
        <v>#DIV/0!</v>
      </c>
      <c r="R139" s="17" t="e">
        <f t="shared" si="28"/>
        <v>#DIV/0!</v>
      </c>
      <c r="S139" s="22" t="e">
        <f t="shared" si="29"/>
        <v>#DIV/0!</v>
      </c>
      <c r="T139" s="22" t="e">
        <f t="shared" si="30"/>
        <v>#DIV/0!</v>
      </c>
    </row>
    <row r="140" spans="1:20" x14ac:dyDescent="0.2">
      <c r="A140" s="15">
        <f>Data!A140</f>
        <v>45792</v>
      </c>
      <c r="B140" s="1">
        <v>135</v>
      </c>
      <c r="C140" s="16">
        <f>ROUND(Data!BB140,2)</f>
        <v>0</v>
      </c>
      <c r="D140" s="3">
        <f>ROUND(Data!P140,1)</f>
        <v>0</v>
      </c>
      <c r="E140" s="3">
        <f>ROUND(Data!Y140,1)</f>
        <v>0</v>
      </c>
      <c r="F140" s="3">
        <f>Data!BH140</f>
        <v>0</v>
      </c>
      <c r="G140" s="3">
        <f>Data!N140</f>
        <v>0</v>
      </c>
      <c r="H140" s="17">
        <f>Data!AY140</f>
        <v>0</v>
      </c>
      <c r="I140" s="13">
        <f t="shared" si="24"/>
        <v>0</v>
      </c>
      <c r="K140" s="28">
        <f t="shared" si="25"/>
        <v>0</v>
      </c>
      <c r="M140" s="22">
        <f t="shared" si="22"/>
        <v>0</v>
      </c>
      <c r="N140" s="22">
        <f t="shared" si="23"/>
        <v>103.19999999999999</v>
      </c>
      <c r="P140" s="19" t="e">
        <f t="shared" si="26"/>
        <v>#DIV/0!</v>
      </c>
      <c r="Q140" s="19" t="e">
        <f t="shared" si="27"/>
        <v>#DIV/0!</v>
      </c>
      <c r="R140" s="17" t="e">
        <f t="shared" si="28"/>
        <v>#DIV/0!</v>
      </c>
      <c r="S140" s="22" t="e">
        <f t="shared" si="29"/>
        <v>#DIV/0!</v>
      </c>
      <c r="T140" s="22" t="e">
        <f t="shared" si="30"/>
        <v>#DIV/0!</v>
      </c>
    </row>
    <row r="141" spans="1:20" x14ac:dyDescent="0.2">
      <c r="A141" s="15">
        <f>Data!A141</f>
        <v>45793</v>
      </c>
      <c r="B141" s="1">
        <v>136</v>
      </c>
      <c r="C141" s="16">
        <f>ROUND(Data!BB141,2)</f>
        <v>0</v>
      </c>
      <c r="D141" s="3">
        <f>ROUND(Data!P141,1)</f>
        <v>0</v>
      </c>
      <c r="E141" s="3">
        <f>ROUND(Data!Y141,1)</f>
        <v>0</v>
      </c>
      <c r="F141" s="3">
        <f>Data!BH141</f>
        <v>0</v>
      </c>
      <c r="G141" s="3">
        <f>Data!N141</f>
        <v>0</v>
      </c>
      <c r="H141" s="17">
        <f>Data!AY141</f>
        <v>0</v>
      </c>
      <c r="I141" s="13">
        <f t="shared" si="24"/>
        <v>0</v>
      </c>
      <c r="K141" s="28">
        <f t="shared" si="25"/>
        <v>0</v>
      </c>
      <c r="M141" s="22">
        <f t="shared" si="22"/>
        <v>0</v>
      </c>
      <c r="N141" s="22">
        <f t="shared" si="23"/>
        <v>103.19999999999999</v>
      </c>
      <c r="P141" s="30">
        <v>1</v>
      </c>
      <c r="Q141" s="19">
        <f t="shared" ref="Q141" si="31">IF(P141&gt;Q$1,Q$1,P141)</f>
        <v>0.4</v>
      </c>
      <c r="R141" s="17">
        <f t="shared" ref="R141" si="32">Q141*H141</f>
        <v>0</v>
      </c>
      <c r="S141" s="22" t="e">
        <f t="shared" ref="S141" si="33">R141-R140</f>
        <v>#DIV/0!</v>
      </c>
      <c r="T141" s="22" t="e">
        <f t="shared" si="30"/>
        <v>#DIV/0!</v>
      </c>
    </row>
    <row r="142" spans="1:20" x14ac:dyDescent="0.2">
      <c r="A142" s="15">
        <f>Data!A142</f>
        <v>45794</v>
      </c>
      <c r="B142" s="1">
        <v>137</v>
      </c>
      <c r="C142" s="16">
        <f>ROUND(Data!BB142,2)</f>
        <v>0</v>
      </c>
      <c r="D142" s="3">
        <f>ROUND(Data!P142,1)</f>
        <v>0</v>
      </c>
      <c r="E142" s="3">
        <f>ROUND(Data!Y142,1)</f>
        <v>0</v>
      </c>
      <c r="F142" s="3">
        <f>Data!BH142</f>
        <v>0</v>
      </c>
      <c r="G142" s="3">
        <f>Data!N142</f>
        <v>0</v>
      </c>
      <c r="H142" s="17">
        <f>Data!AY142</f>
        <v>0</v>
      </c>
      <c r="I142" s="13">
        <f t="shared" si="24"/>
        <v>0</v>
      </c>
      <c r="K142" s="28">
        <f t="shared" ref="K142:K182" si="34">G142</f>
        <v>0</v>
      </c>
      <c r="M142" s="22">
        <f t="shared" si="22"/>
        <v>0</v>
      </c>
      <c r="N142" s="22">
        <f t="shared" si="23"/>
        <v>103.19999999999999</v>
      </c>
      <c r="P142" s="47"/>
      <c r="Q142" s="47"/>
      <c r="R142" s="49"/>
      <c r="S142" s="50"/>
      <c r="T142" s="50"/>
    </row>
    <row r="143" spans="1:20" x14ac:dyDescent="0.2">
      <c r="A143" s="15">
        <f>Data!A143</f>
        <v>45795</v>
      </c>
      <c r="B143" s="1">
        <v>138</v>
      </c>
      <c r="C143" s="16">
        <f>ROUND(Data!BB143,2)</f>
        <v>0</v>
      </c>
      <c r="D143" s="3">
        <f>ROUND(Data!P143,1)</f>
        <v>0</v>
      </c>
      <c r="E143" s="3">
        <f>ROUND(Data!Y143,1)</f>
        <v>0</v>
      </c>
      <c r="F143" s="3">
        <f>Data!BH143</f>
        <v>0</v>
      </c>
      <c r="G143" s="3">
        <f>Data!N143</f>
        <v>0</v>
      </c>
      <c r="H143" s="17">
        <f>Data!AY143</f>
        <v>0</v>
      </c>
      <c r="I143" s="13">
        <f t="shared" si="24"/>
        <v>0</v>
      </c>
      <c r="K143" s="28">
        <f t="shared" si="34"/>
        <v>0</v>
      </c>
      <c r="M143" s="22">
        <f t="shared" si="22"/>
        <v>0</v>
      </c>
      <c r="N143" s="22">
        <f t="shared" si="23"/>
        <v>103.19999999999999</v>
      </c>
      <c r="P143" s="47"/>
      <c r="Q143" s="47"/>
      <c r="R143" s="49"/>
      <c r="S143" s="50"/>
      <c r="T143" s="50"/>
    </row>
    <row r="144" spans="1:20" x14ac:dyDescent="0.2">
      <c r="A144" s="15">
        <f>Data!A144</f>
        <v>45796</v>
      </c>
      <c r="B144" s="1">
        <v>139</v>
      </c>
      <c r="C144" s="16">
        <f>ROUND(Data!BB144,2)</f>
        <v>0</v>
      </c>
      <c r="D144" s="3">
        <f>ROUND(Data!P144,1)</f>
        <v>0</v>
      </c>
      <c r="E144" s="3">
        <f>ROUND(Data!Y144,1)</f>
        <v>0</v>
      </c>
      <c r="F144" s="3">
        <f>Data!BH144</f>
        <v>0</v>
      </c>
      <c r="G144" s="3">
        <f>Data!N144</f>
        <v>0</v>
      </c>
      <c r="H144" s="17">
        <f>Data!AY144</f>
        <v>0</v>
      </c>
      <c r="I144" s="13">
        <f t="shared" si="24"/>
        <v>0</v>
      </c>
      <c r="K144" s="28">
        <f t="shared" si="34"/>
        <v>0</v>
      </c>
      <c r="M144" s="22">
        <f t="shared" si="22"/>
        <v>0</v>
      </c>
      <c r="N144" s="22">
        <f t="shared" si="23"/>
        <v>103.19999999999999</v>
      </c>
      <c r="P144" s="47"/>
      <c r="Q144" s="47"/>
      <c r="R144" s="49"/>
      <c r="S144" s="50"/>
      <c r="T144" s="50"/>
    </row>
    <row r="145" spans="1:20" x14ac:dyDescent="0.2">
      <c r="A145" s="15">
        <f>Data!A145</f>
        <v>45797</v>
      </c>
      <c r="B145" s="1">
        <v>140</v>
      </c>
      <c r="C145" s="16">
        <f>ROUND(Data!BB145,2)</f>
        <v>0</v>
      </c>
      <c r="D145" s="3">
        <f>ROUND(Data!P145,1)</f>
        <v>0</v>
      </c>
      <c r="E145" s="3">
        <f>ROUND(Data!Y145,1)</f>
        <v>0</v>
      </c>
      <c r="F145" s="3">
        <f>Data!BH145</f>
        <v>0</v>
      </c>
      <c r="G145" s="3">
        <f>Data!N145</f>
        <v>0</v>
      </c>
      <c r="H145" s="17">
        <f>Data!AY145</f>
        <v>0</v>
      </c>
      <c r="I145" s="13">
        <f t="shared" si="24"/>
        <v>0</v>
      </c>
      <c r="K145" s="28">
        <f t="shared" si="34"/>
        <v>0</v>
      </c>
      <c r="M145" s="22">
        <f t="shared" si="22"/>
        <v>0</v>
      </c>
      <c r="N145" s="22">
        <f t="shared" si="23"/>
        <v>103.19999999999999</v>
      </c>
      <c r="P145" s="47"/>
      <c r="Q145" s="47"/>
      <c r="R145" s="49"/>
      <c r="S145" s="50"/>
      <c r="T145" s="50"/>
    </row>
    <row r="146" spans="1:20" x14ac:dyDescent="0.2">
      <c r="A146" s="15">
        <f>Data!A146</f>
        <v>45798</v>
      </c>
      <c r="B146" s="1">
        <v>141</v>
      </c>
      <c r="C146" s="16">
        <f>ROUND(Data!BB146,2)</f>
        <v>0</v>
      </c>
      <c r="D146" s="3">
        <f>ROUND(Data!P146,1)</f>
        <v>0</v>
      </c>
      <c r="E146" s="3">
        <f>ROUND(Data!Y146,1)</f>
        <v>0</v>
      </c>
      <c r="F146" s="3">
        <f>Data!BH146</f>
        <v>0</v>
      </c>
      <c r="G146" s="3">
        <f>Data!N146</f>
        <v>0</v>
      </c>
      <c r="H146" s="17">
        <f>Data!AY146</f>
        <v>0</v>
      </c>
      <c r="I146" s="13">
        <f t="shared" si="24"/>
        <v>0</v>
      </c>
      <c r="K146" s="28">
        <f t="shared" si="34"/>
        <v>0</v>
      </c>
      <c r="M146" s="22">
        <f t="shared" si="22"/>
        <v>0</v>
      </c>
      <c r="N146" s="22">
        <f t="shared" si="23"/>
        <v>103.19999999999999</v>
      </c>
      <c r="P146" s="47"/>
      <c r="Q146" s="47"/>
      <c r="R146" s="49"/>
      <c r="S146" s="50"/>
      <c r="T146" s="50"/>
    </row>
    <row r="147" spans="1:20" x14ac:dyDescent="0.2">
      <c r="A147" s="15">
        <f>Data!A147</f>
        <v>45799</v>
      </c>
      <c r="B147" s="1">
        <v>142</v>
      </c>
      <c r="C147" s="16">
        <f>ROUND(Data!BB147,2)</f>
        <v>0</v>
      </c>
      <c r="D147" s="3">
        <f>ROUND(Data!P147,1)</f>
        <v>0</v>
      </c>
      <c r="E147" s="3">
        <f>ROUND(Data!Y147,1)</f>
        <v>0</v>
      </c>
      <c r="F147" s="3">
        <f>Data!BH147</f>
        <v>0</v>
      </c>
      <c r="G147" s="3">
        <f>Data!N147</f>
        <v>0</v>
      </c>
      <c r="H147" s="17">
        <f>Data!AY147</f>
        <v>0</v>
      </c>
      <c r="I147" s="13">
        <f t="shared" si="24"/>
        <v>0</v>
      </c>
      <c r="K147" s="28">
        <f t="shared" si="34"/>
        <v>0</v>
      </c>
      <c r="M147" s="22">
        <f t="shared" si="22"/>
        <v>0</v>
      </c>
      <c r="N147" s="22">
        <f t="shared" si="23"/>
        <v>103.19999999999999</v>
      </c>
      <c r="P147" s="47"/>
      <c r="Q147" s="47"/>
      <c r="R147" s="49"/>
      <c r="S147" s="50"/>
      <c r="T147" s="50"/>
    </row>
    <row r="148" spans="1:20" x14ac:dyDescent="0.2">
      <c r="A148" s="15">
        <f>Data!A148</f>
        <v>45800</v>
      </c>
      <c r="B148" s="1">
        <v>143</v>
      </c>
      <c r="C148" s="16">
        <f>ROUND(Data!BB148,2)</f>
        <v>0</v>
      </c>
      <c r="D148" s="3">
        <f>ROUND(Data!P148,1)</f>
        <v>0</v>
      </c>
      <c r="E148" s="3">
        <f>ROUND(Data!Y148,1)</f>
        <v>0</v>
      </c>
      <c r="F148" s="3">
        <f>Data!BH148</f>
        <v>0</v>
      </c>
      <c r="G148" s="3">
        <f>Data!N148</f>
        <v>0</v>
      </c>
      <c r="H148" s="17">
        <f>Data!AY148</f>
        <v>0</v>
      </c>
      <c r="I148" s="13">
        <f t="shared" si="24"/>
        <v>0</v>
      </c>
      <c r="K148" s="28">
        <f t="shared" si="34"/>
        <v>0</v>
      </c>
      <c r="M148" s="22">
        <f t="shared" si="22"/>
        <v>0</v>
      </c>
      <c r="N148" s="22">
        <f t="shared" si="23"/>
        <v>103.19999999999999</v>
      </c>
      <c r="P148" s="47"/>
      <c r="Q148" s="47"/>
      <c r="R148" s="49"/>
      <c r="S148" s="50"/>
      <c r="T148" s="50"/>
    </row>
    <row r="149" spans="1:20" x14ac:dyDescent="0.2">
      <c r="A149" s="15">
        <f>Data!A149</f>
        <v>45801</v>
      </c>
      <c r="B149" s="1">
        <v>144</v>
      </c>
      <c r="C149" s="16">
        <f>ROUND(Data!BB149,2)</f>
        <v>0</v>
      </c>
      <c r="D149" s="3">
        <f>ROUND(Data!P149,1)</f>
        <v>0</v>
      </c>
      <c r="E149" s="3">
        <f>ROUND(Data!Y149,1)</f>
        <v>0</v>
      </c>
      <c r="F149" s="3">
        <f>Data!BH149</f>
        <v>0</v>
      </c>
      <c r="G149" s="3">
        <f>Data!N149</f>
        <v>0</v>
      </c>
      <c r="H149" s="17">
        <f>Data!AY149</f>
        <v>0</v>
      </c>
      <c r="I149" s="13">
        <f t="shared" si="24"/>
        <v>0</v>
      </c>
      <c r="K149" s="28">
        <f t="shared" si="34"/>
        <v>0</v>
      </c>
      <c r="M149" s="22">
        <f t="shared" si="22"/>
        <v>0</v>
      </c>
      <c r="N149" s="22">
        <f t="shared" si="23"/>
        <v>103.19999999999999</v>
      </c>
      <c r="P149" s="47"/>
      <c r="Q149" s="47"/>
      <c r="R149" s="49"/>
      <c r="S149" s="50"/>
      <c r="T149" s="50"/>
    </row>
    <row r="150" spans="1:20" x14ac:dyDescent="0.2">
      <c r="A150" s="15">
        <f>Data!A150</f>
        <v>45802</v>
      </c>
      <c r="B150" s="1">
        <v>145</v>
      </c>
      <c r="C150" s="16">
        <f>ROUND(Data!BB150,2)</f>
        <v>0</v>
      </c>
      <c r="D150" s="3">
        <f>ROUND(Data!P150,1)</f>
        <v>0</v>
      </c>
      <c r="E150" s="3">
        <f>ROUND(Data!Y150,1)</f>
        <v>0</v>
      </c>
      <c r="F150" s="3">
        <f>Data!BH150</f>
        <v>0</v>
      </c>
      <c r="G150" s="3">
        <f>Data!N150</f>
        <v>0</v>
      </c>
      <c r="H150" s="17">
        <f>Data!AY150</f>
        <v>0</v>
      </c>
      <c r="I150" s="13">
        <f t="shared" si="24"/>
        <v>0</v>
      </c>
      <c r="K150" s="28">
        <f t="shared" si="34"/>
        <v>0</v>
      </c>
      <c r="M150" s="22">
        <f t="shared" si="22"/>
        <v>0</v>
      </c>
      <c r="N150" s="22">
        <f t="shared" si="23"/>
        <v>103.19999999999999</v>
      </c>
      <c r="P150" s="47"/>
      <c r="Q150" s="47"/>
      <c r="R150" s="49"/>
      <c r="S150" s="50"/>
      <c r="T150" s="50"/>
    </row>
    <row r="151" spans="1:20" x14ac:dyDescent="0.2">
      <c r="A151" s="15">
        <f>Data!A151</f>
        <v>45803</v>
      </c>
      <c r="B151" s="1">
        <v>146</v>
      </c>
      <c r="C151" s="16">
        <f>ROUND(Data!BB151,2)</f>
        <v>0</v>
      </c>
      <c r="D151" s="3">
        <f>ROUND(Data!P151,1)</f>
        <v>0</v>
      </c>
      <c r="E151" s="3">
        <f>ROUND(Data!Y151,1)</f>
        <v>0</v>
      </c>
      <c r="F151" s="3">
        <f>Data!BH151</f>
        <v>0</v>
      </c>
      <c r="G151" s="3">
        <f>Data!N151</f>
        <v>0</v>
      </c>
      <c r="H151" s="17">
        <f>Data!AY151</f>
        <v>0</v>
      </c>
      <c r="I151" s="13">
        <f t="shared" si="24"/>
        <v>0</v>
      </c>
      <c r="K151" s="28">
        <f t="shared" si="34"/>
        <v>0</v>
      </c>
      <c r="M151" s="22">
        <f t="shared" si="22"/>
        <v>0</v>
      </c>
      <c r="N151" s="22">
        <f t="shared" si="23"/>
        <v>103.19999999999999</v>
      </c>
      <c r="P151" s="47"/>
      <c r="Q151" s="47"/>
      <c r="R151" s="49"/>
      <c r="S151" s="50"/>
      <c r="T151" s="50"/>
    </row>
    <row r="152" spans="1:20" x14ac:dyDescent="0.2">
      <c r="A152" s="15">
        <f>Data!A152</f>
        <v>45804</v>
      </c>
      <c r="B152" s="1">
        <v>147</v>
      </c>
      <c r="C152" s="16">
        <f>ROUND(Data!BB152,2)</f>
        <v>0</v>
      </c>
      <c r="D152" s="3">
        <f>ROUND(Data!P152,1)</f>
        <v>0</v>
      </c>
      <c r="E152" s="3">
        <f>ROUND(Data!Y152,1)</f>
        <v>0</v>
      </c>
      <c r="F152" s="3">
        <f>Data!BH152</f>
        <v>0</v>
      </c>
      <c r="G152" s="3">
        <f>Data!N152</f>
        <v>0</v>
      </c>
      <c r="H152" s="17">
        <f>Data!AY152</f>
        <v>0</v>
      </c>
      <c r="I152" s="13">
        <f t="shared" si="24"/>
        <v>0</v>
      </c>
      <c r="K152" s="28">
        <f t="shared" si="34"/>
        <v>0</v>
      </c>
      <c r="M152" s="22">
        <f t="shared" si="22"/>
        <v>0</v>
      </c>
      <c r="N152" s="22">
        <f t="shared" si="23"/>
        <v>103.19999999999999</v>
      </c>
      <c r="P152" s="47"/>
      <c r="Q152" s="47"/>
      <c r="R152" s="49"/>
      <c r="S152" s="50"/>
      <c r="T152" s="50"/>
    </row>
    <row r="153" spans="1:20" x14ac:dyDescent="0.2">
      <c r="A153" s="15">
        <f>Data!A153</f>
        <v>45805</v>
      </c>
      <c r="B153" s="1">
        <v>148</v>
      </c>
      <c r="C153" s="16">
        <f>ROUND(Data!BB153,2)</f>
        <v>0</v>
      </c>
      <c r="D153" s="3">
        <f>ROUND(Data!P153,1)</f>
        <v>0</v>
      </c>
      <c r="E153" s="3">
        <f>ROUND(Data!Y153,1)</f>
        <v>0</v>
      </c>
      <c r="F153" s="3">
        <f>Data!BH153</f>
        <v>0</v>
      </c>
      <c r="G153" s="3">
        <f>Data!N153</f>
        <v>0</v>
      </c>
      <c r="H153" s="17">
        <f>Data!AY153</f>
        <v>0</v>
      </c>
      <c r="I153" s="13">
        <f t="shared" si="24"/>
        <v>0</v>
      </c>
      <c r="K153" s="28">
        <f t="shared" si="34"/>
        <v>0</v>
      </c>
      <c r="M153" s="22">
        <f t="shared" si="22"/>
        <v>0</v>
      </c>
      <c r="N153" s="22">
        <f t="shared" si="23"/>
        <v>103.19999999999999</v>
      </c>
      <c r="P153" s="47"/>
      <c r="Q153" s="47"/>
      <c r="R153" s="49"/>
      <c r="S153" s="50"/>
      <c r="T153" s="50"/>
    </row>
    <row r="154" spans="1:20" x14ac:dyDescent="0.2">
      <c r="A154" s="15">
        <f>Data!A154</f>
        <v>45806</v>
      </c>
      <c r="B154" s="1">
        <v>149</v>
      </c>
      <c r="C154" s="16">
        <f>ROUND(Data!BB154,2)</f>
        <v>0</v>
      </c>
      <c r="D154" s="3">
        <f>ROUND(Data!P154,1)</f>
        <v>0</v>
      </c>
      <c r="E154" s="3">
        <f>ROUND(Data!Y154,1)</f>
        <v>0</v>
      </c>
      <c r="F154" s="3">
        <f>Data!BH154</f>
        <v>0</v>
      </c>
      <c r="G154" s="3">
        <f>Data!N154</f>
        <v>0</v>
      </c>
      <c r="H154" s="17">
        <f>Data!AY154</f>
        <v>0</v>
      </c>
      <c r="I154" s="13">
        <f t="shared" si="24"/>
        <v>0</v>
      </c>
      <c r="K154" s="28">
        <f t="shared" si="34"/>
        <v>0</v>
      </c>
      <c r="M154" s="22">
        <f t="shared" si="22"/>
        <v>0</v>
      </c>
      <c r="N154" s="22">
        <f t="shared" si="23"/>
        <v>103.19999999999999</v>
      </c>
      <c r="P154" s="47"/>
      <c r="Q154" s="47"/>
      <c r="R154" s="49"/>
      <c r="S154" s="50"/>
      <c r="T154" s="50"/>
    </row>
    <row r="155" spans="1:20" x14ac:dyDescent="0.2">
      <c r="A155" s="15">
        <f>Data!A155</f>
        <v>45807</v>
      </c>
      <c r="B155" s="1">
        <v>150</v>
      </c>
      <c r="C155" s="16">
        <f>ROUND(Data!BB155,2)</f>
        <v>0</v>
      </c>
      <c r="D155" s="3">
        <f>ROUND(Data!P155,1)</f>
        <v>0</v>
      </c>
      <c r="E155" s="3">
        <f>ROUND(Data!Y155,1)</f>
        <v>0</v>
      </c>
      <c r="F155" s="3">
        <f>Data!BH155</f>
        <v>0</v>
      </c>
      <c r="G155" s="3">
        <f>Data!N155</f>
        <v>0</v>
      </c>
      <c r="H155" s="17">
        <f>Data!AY155</f>
        <v>0</v>
      </c>
      <c r="I155" s="13">
        <f t="shared" si="24"/>
        <v>0</v>
      </c>
      <c r="K155" s="28">
        <f t="shared" si="34"/>
        <v>0</v>
      </c>
      <c r="M155" s="22">
        <f t="shared" si="22"/>
        <v>0</v>
      </c>
      <c r="N155" s="22">
        <f t="shared" si="23"/>
        <v>103.19999999999999</v>
      </c>
      <c r="P155" s="47"/>
      <c r="Q155" s="47"/>
      <c r="R155" s="49"/>
      <c r="S155" s="50"/>
      <c r="T155" s="50"/>
    </row>
    <row r="156" spans="1:20" x14ac:dyDescent="0.2">
      <c r="A156" s="15">
        <f>Data!A156</f>
        <v>45808</v>
      </c>
      <c r="B156" s="1">
        <v>151</v>
      </c>
      <c r="C156" s="16">
        <f>ROUND(Data!BB156,2)</f>
        <v>0</v>
      </c>
      <c r="D156" s="3">
        <f>ROUND(Data!P156,1)</f>
        <v>0</v>
      </c>
      <c r="E156" s="3">
        <f>ROUND(Data!Y156,1)</f>
        <v>0</v>
      </c>
      <c r="F156" s="3">
        <f>Data!BH156</f>
        <v>0</v>
      </c>
      <c r="G156" s="3">
        <f>Data!N156</f>
        <v>0</v>
      </c>
      <c r="H156" s="17">
        <f>Data!AY156</f>
        <v>0</v>
      </c>
      <c r="I156" s="13">
        <f t="shared" si="24"/>
        <v>0</v>
      </c>
      <c r="K156" s="28">
        <f t="shared" si="34"/>
        <v>0</v>
      </c>
      <c r="M156" s="22">
        <f t="shared" si="22"/>
        <v>0</v>
      </c>
      <c r="N156" s="22">
        <f t="shared" si="23"/>
        <v>103.19999999999999</v>
      </c>
      <c r="P156" s="19"/>
      <c r="Q156" s="19"/>
      <c r="R156" s="17"/>
      <c r="S156" s="22"/>
      <c r="T156" s="22"/>
    </row>
    <row r="157" spans="1:20" x14ac:dyDescent="0.2">
      <c r="A157" s="15">
        <f>Data!A157</f>
        <v>45809</v>
      </c>
      <c r="B157" s="1">
        <v>152</v>
      </c>
      <c r="C157" s="16">
        <f>ROUND(Data!BB157,2)</f>
        <v>0</v>
      </c>
      <c r="D157" s="3">
        <f>ROUND(Data!P157,1)</f>
        <v>0</v>
      </c>
      <c r="E157" s="3">
        <f>ROUND(Data!Y157,1)</f>
        <v>0</v>
      </c>
      <c r="F157" s="3">
        <f>Data!BH157</f>
        <v>0</v>
      </c>
      <c r="G157" s="3">
        <f>Data!N157</f>
        <v>0</v>
      </c>
      <c r="H157" s="17">
        <f>Data!AY157</f>
        <v>0</v>
      </c>
      <c r="I157" s="13">
        <f t="shared" si="24"/>
        <v>0</v>
      </c>
      <c r="K157" s="28">
        <f t="shared" si="34"/>
        <v>0</v>
      </c>
      <c r="M157" s="22">
        <f t="shared" si="22"/>
        <v>0</v>
      </c>
      <c r="N157" s="22">
        <f t="shared" si="23"/>
        <v>103.19999999999999</v>
      </c>
      <c r="P157" s="19"/>
      <c r="Q157" s="19"/>
      <c r="R157" s="17"/>
      <c r="S157" s="22"/>
      <c r="T157" s="22"/>
    </row>
    <row r="158" spans="1:20" x14ac:dyDescent="0.2">
      <c r="A158" s="15">
        <f>Data!A158</f>
        <v>45810</v>
      </c>
      <c r="B158" s="1">
        <v>153</v>
      </c>
      <c r="C158" s="16">
        <f>ROUND(Data!BB158,2)</f>
        <v>0</v>
      </c>
      <c r="D158" s="3">
        <f>ROUND(Data!P158,1)</f>
        <v>0</v>
      </c>
      <c r="E158" s="3">
        <f>ROUND(Data!Y158,1)</f>
        <v>0</v>
      </c>
      <c r="F158" s="3">
        <f>Data!BH158</f>
        <v>0</v>
      </c>
      <c r="G158" s="3">
        <f>Data!N158</f>
        <v>0</v>
      </c>
      <c r="H158" s="17">
        <f>Data!AY158</f>
        <v>0</v>
      </c>
      <c r="I158" s="13">
        <f t="shared" si="24"/>
        <v>0</v>
      </c>
      <c r="K158" s="28">
        <f t="shared" si="34"/>
        <v>0</v>
      </c>
      <c r="M158" s="22">
        <f t="shared" si="22"/>
        <v>0</v>
      </c>
      <c r="N158" s="22">
        <f t="shared" si="23"/>
        <v>103.19999999999999</v>
      </c>
      <c r="P158" s="19"/>
      <c r="Q158" s="19"/>
      <c r="R158" s="17"/>
      <c r="S158" s="22"/>
      <c r="T158" s="22"/>
    </row>
    <row r="159" spans="1:20" x14ac:dyDescent="0.2">
      <c r="A159" s="15">
        <f>Data!A159</f>
        <v>45811</v>
      </c>
      <c r="B159" s="1">
        <v>154</v>
      </c>
      <c r="C159" s="16">
        <f>ROUND(Data!BB159,2)</f>
        <v>0</v>
      </c>
      <c r="D159" s="3">
        <f>ROUND(Data!P159,1)</f>
        <v>0</v>
      </c>
      <c r="E159" s="3">
        <f>ROUND(Data!Y159,1)</f>
        <v>0</v>
      </c>
      <c r="F159" s="3">
        <f>Data!BH159</f>
        <v>0</v>
      </c>
      <c r="G159" s="3">
        <f>Data!N159</f>
        <v>0</v>
      </c>
      <c r="H159" s="17">
        <f>Data!AY159</f>
        <v>0</v>
      </c>
      <c r="I159" s="13">
        <f t="shared" si="24"/>
        <v>0</v>
      </c>
      <c r="K159" s="28">
        <f t="shared" si="34"/>
        <v>0</v>
      </c>
      <c r="M159" s="22">
        <f t="shared" si="22"/>
        <v>0</v>
      </c>
      <c r="N159" s="22">
        <f t="shared" si="23"/>
        <v>103.19999999999999</v>
      </c>
      <c r="P159" s="19"/>
      <c r="Q159" s="19"/>
      <c r="R159" s="17"/>
      <c r="S159" s="22"/>
      <c r="T159" s="22"/>
    </row>
    <row r="160" spans="1:20" x14ac:dyDescent="0.2">
      <c r="A160" s="15">
        <f>Data!A160</f>
        <v>45812</v>
      </c>
      <c r="B160" s="1">
        <v>155</v>
      </c>
      <c r="C160" s="16">
        <f>ROUND(Data!BB160,2)</f>
        <v>0</v>
      </c>
      <c r="D160" s="3">
        <f>ROUND(Data!P160,1)</f>
        <v>0</v>
      </c>
      <c r="E160" s="3">
        <f>ROUND(Data!Y160,1)</f>
        <v>0</v>
      </c>
      <c r="F160" s="3">
        <f>Data!BH160</f>
        <v>0</v>
      </c>
      <c r="G160" s="3">
        <f>Data!N160</f>
        <v>0</v>
      </c>
      <c r="H160" s="17">
        <f>Data!AY160</f>
        <v>0</v>
      </c>
      <c r="I160" s="13">
        <f t="shared" si="24"/>
        <v>0</v>
      </c>
      <c r="K160" s="28">
        <f t="shared" si="34"/>
        <v>0</v>
      </c>
      <c r="M160" s="22">
        <f t="shared" si="22"/>
        <v>0</v>
      </c>
      <c r="N160" s="22">
        <f t="shared" si="23"/>
        <v>103.19999999999999</v>
      </c>
      <c r="P160" s="19"/>
      <c r="Q160" s="19"/>
      <c r="R160" s="17"/>
      <c r="S160" s="22"/>
      <c r="T160" s="22"/>
    </row>
    <row r="161" spans="1:20" x14ac:dyDescent="0.2">
      <c r="A161" s="15">
        <f>Data!A161</f>
        <v>45813</v>
      </c>
      <c r="B161" s="1">
        <v>156</v>
      </c>
      <c r="C161" s="16">
        <f>ROUND(Data!BB161,2)</f>
        <v>0</v>
      </c>
      <c r="D161" s="3">
        <f>ROUND(Data!P161,1)</f>
        <v>0</v>
      </c>
      <c r="E161" s="3">
        <f>ROUND(Data!Y161,1)</f>
        <v>0</v>
      </c>
      <c r="F161" s="3">
        <f>Data!BH161</f>
        <v>0</v>
      </c>
      <c r="G161" s="3">
        <f>Data!N161</f>
        <v>0</v>
      </c>
      <c r="H161" s="17">
        <f>Data!AY161</f>
        <v>0</v>
      </c>
      <c r="I161" s="13">
        <f t="shared" si="24"/>
        <v>0</v>
      </c>
      <c r="K161" s="28">
        <f t="shared" si="34"/>
        <v>0</v>
      </c>
      <c r="M161" s="22">
        <f t="shared" si="22"/>
        <v>0</v>
      </c>
      <c r="N161" s="22">
        <f t="shared" si="23"/>
        <v>103.19999999999999</v>
      </c>
      <c r="P161" s="19"/>
      <c r="Q161" s="19"/>
      <c r="R161" s="17"/>
      <c r="S161" s="22"/>
      <c r="T161" s="22"/>
    </row>
    <row r="162" spans="1:20" x14ac:dyDescent="0.2">
      <c r="A162" s="15">
        <f>Data!A162</f>
        <v>45814</v>
      </c>
      <c r="B162" s="1">
        <v>157</v>
      </c>
      <c r="C162" s="16">
        <f>ROUND(Data!BB162,2)</f>
        <v>0</v>
      </c>
      <c r="D162" s="3">
        <f>ROUND(Data!P162,1)</f>
        <v>0</v>
      </c>
      <c r="E162" s="3">
        <f>ROUND(Data!Y162,1)</f>
        <v>0</v>
      </c>
      <c r="F162" s="3">
        <f>Data!BH162</f>
        <v>0</v>
      </c>
      <c r="G162" s="3">
        <f>Data!N162</f>
        <v>0</v>
      </c>
      <c r="H162" s="17">
        <f>Data!AY162</f>
        <v>0</v>
      </c>
      <c r="I162" s="13">
        <f t="shared" si="24"/>
        <v>0</v>
      </c>
      <c r="K162" s="28">
        <f t="shared" si="34"/>
        <v>0</v>
      </c>
      <c r="M162" s="22">
        <f t="shared" si="22"/>
        <v>0</v>
      </c>
      <c r="N162" s="22">
        <f t="shared" si="23"/>
        <v>103.19999999999999</v>
      </c>
      <c r="P162" s="19"/>
      <c r="Q162" s="19"/>
      <c r="R162" s="17"/>
      <c r="S162" s="22"/>
      <c r="T162" s="22"/>
    </row>
    <row r="163" spans="1:20" x14ac:dyDescent="0.2">
      <c r="A163" s="15">
        <f>Data!A163</f>
        <v>45815</v>
      </c>
      <c r="B163" s="1">
        <v>158</v>
      </c>
      <c r="C163" s="16">
        <f>ROUND(Data!BB163,2)</f>
        <v>0</v>
      </c>
      <c r="D163" s="3">
        <f>ROUND(Data!P163,1)</f>
        <v>0</v>
      </c>
      <c r="E163" s="3">
        <f>ROUND(Data!Y163,1)</f>
        <v>0</v>
      </c>
      <c r="F163" s="3">
        <f>Data!BH163</f>
        <v>0</v>
      </c>
      <c r="G163" s="3">
        <f>Data!N163</f>
        <v>0</v>
      </c>
      <c r="H163" s="17">
        <f>Data!AY163</f>
        <v>0</v>
      </c>
      <c r="I163" s="13">
        <f t="shared" si="24"/>
        <v>0</v>
      </c>
      <c r="K163" s="28">
        <f t="shared" si="34"/>
        <v>0</v>
      </c>
      <c r="M163" s="22">
        <f t="shared" si="22"/>
        <v>0</v>
      </c>
      <c r="N163" s="22">
        <f t="shared" si="23"/>
        <v>103.19999999999999</v>
      </c>
      <c r="P163" s="19"/>
      <c r="Q163" s="19"/>
      <c r="R163" s="17"/>
      <c r="S163" s="22"/>
      <c r="T163" s="22"/>
    </row>
    <row r="164" spans="1:20" x14ac:dyDescent="0.2">
      <c r="A164" s="15">
        <f>Data!A164</f>
        <v>45816</v>
      </c>
      <c r="B164" s="1">
        <v>159</v>
      </c>
      <c r="C164" s="16">
        <f>ROUND(Data!BB164,2)</f>
        <v>0</v>
      </c>
      <c r="D164" s="3">
        <f>ROUND(Data!P164,1)</f>
        <v>0</v>
      </c>
      <c r="E164" s="3">
        <f>ROUND(Data!Y164,1)</f>
        <v>0</v>
      </c>
      <c r="F164" s="3">
        <f>Data!BH164</f>
        <v>0</v>
      </c>
      <c r="G164" s="3">
        <f>Data!N164</f>
        <v>0</v>
      </c>
      <c r="H164" s="17">
        <f>Data!AY164</f>
        <v>0</v>
      </c>
      <c r="I164" s="13">
        <f t="shared" si="24"/>
        <v>0</v>
      </c>
      <c r="K164" s="28">
        <f t="shared" si="34"/>
        <v>0</v>
      </c>
      <c r="M164" s="22">
        <f t="shared" si="22"/>
        <v>0</v>
      </c>
      <c r="N164" s="22">
        <f t="shared" si="23"/>
        <v>103.19999999999999</v>
      </c>
      <c r="P164" s="19"/>
      <c r="Q164" s="19"/>
      <c r="R164" s="17"/>
      <c r="S164" s="22"/>
      <c r="T164" s="22"/>
    </row>
    <row r="165" spans="1:20" x14ac:dyDescent="0.2">
      <c r="A165" s="15">
        <f>Data!A165</f>
        <v>45817</v>
      </c>
      <c r="B165" s="1">
        <v>160</v>
      </c>
      <c r="C165" s="16">
        <f>ROUND(Data!BB165,2)</f>
        <v>0</v>
      </c>
      <c r="D165" s="3">
        <f>ROUND(Data!P165,1)</f>
        <v>0</v>
      </c>
      <c r="E165" s="3">
        <f>ROUND(Data!Y165,1)</f>
        <v>0</v>
      </c>
      <c r="F165" s="3">
        <f>Data!BH165</f>
        <v>0</v>
      </c>
      <c r="G165" s="3">
        <f>Data!N165</f>
        <v>0</v>
      </c>
      <c r="H165" s="17">
        <f>Data!AY165</f>
        <v>0</v>
      </c>
      <c r="I165" s="13">
        <f t="shared" si="24"/>
        <v>0</v>
      </c>
      <c r="K165" s="28">
        <f t="shared" si="34"/>
        <v>0</v>
      </c>
      <c r="M165" s="22">
        <f t="shared" si="22"/>
        <v>0</v>
      </c>
      <c r="N165" s="22">
        <f t="shared" si="23"/>
        <v>103.19999999999999</v>
      </c>
      <c r="Q165" s="19"/>
      <c r="R165" s="17"/>
      <c r="S165" s="22"/>
      <c r="T165" s="22"/>
    </row>
    <row r="166" spans="1:20" x14ac:dyDescent="0.2">
      <c r="A166" s="15">
        <f>Data!A166</f>
        <v>45818</v>
      </c>
      <c r="B166" s="1">
        <v>161</v>
      </c>
      <c r="C166" s="16">
        <f>ROUND(Data!BB166,2)</f>
        <v>0</v>
      </c>
      <c r="D166" s="3">
        <f>ROUND(Data!P166,1)</f>
        <v>0</v>
      </c>
      <c r="E166" s="3">
        <f>ROUND(Data!Y166,1)</f>
        <v>0</v>
      </c>
      <c r="F166" s="3">
        <f>Data!BH166</f>
        <v>0</v>
      </c>
      <c r="G166" s="3">
        <f>Data!N166</f>
        <v>0</v>
      </c>
      <c r="H166" s="17">
        <f>Data!AY166</f>
        <v>0</v>
      </c>
      <c r="I166" s="13">
        <f t="shared" si="24"/>
        <v>0</v>
      </c>
      <c r="K166" s="28">
        <f t="shared" si="34"/>
        <v>0</v>
      </c>
      <c r="M166" s="22">
        <f t="shared" si="22"/>
        <v>0</v>
      </c>
      <c r="N166" s="22">
        <f t="shared" si="23"/>
        <v>103.19999999999999</v>
      </c>
    </row>
    <row r="167" spans="1:20" x14ac:dyDescent="0.2">
      <c r="A167" s="15">
        <f>Data!A167</f>
        <v>45819</v>
      </c>
      <c r="B167" s="1">
        <v>162</v>
      </c>
      <c r="C167" s="16">
        <f>ROUND(Data!BB167,2)</f>
        <v>0</v>
      </c>
      <c r="D167" s="3">
        <f>ROUND(Data!P167,1)</f>
        <v>0</v>
      </c>
      <c r="E167" s="3">
        <f>ROUND(Data!Y167,1)</f>
        <v>0</v>
      </c>
      <c r="F167" s="3">
        <f>Data!BH167</f>
        <v>0</v>
      </c>
      <c r="G167" s="3">
        <f>Data!N167</f>
        <v>0</v>
      </c>
      <c r="H167" s="17">
        <f>Data!AY167</f>
        <v>0</v>
      </c>
      <c r="I167" s="13">
        <f t="shared" si="24"/>
        <v>0</v>
      </c>
      <c r="K167" s="28">
        <f t="shared" si="34"/>
        <v>0</v>
      </c>
      <c r="M167" s="22">
        <f t="shared" si="22"/>
        <v>0</v>
      </c>
      <c r="N167" s="22">
        <f t="shared" si="23"/>
        <v>103.19999999999999</v>
      </c>
    </row>
    <row r="168" spans="1:20" x14ac:dyDescent="0.2">
      <c r="A168" s="15">
        <f>Data!A168</f>
        <v>45820</v>
      </c>
      <c r="B168" s="1">
        <v>163</v>
      </c>
      <c r="C168" s="16">
        <f>ROUND(Data!BB168,2)</f>
        <v>0</v>
      </c>
      <c r="D168" s="3">
        <f>ROUND(Data!P168,1)</f>
        <v>0</v>
      </c>
      <c r="E168" s="3">
        <f>ROUND(Data!Y168,1)</f>
        <v>0</v>
      </c>
      <c r="F168" s="3">
        <f>Data!BH168</f>
        <v>0</v>
      </c>
      <c r="G168" s="3">
        <f>Data!N168</f>
        <v>0</v>
      </c>
      <c r="H168" s="17">
        <f>Data!AY168</f>
        <v>0</v>
      </c>
      <c r="I168" s="13">
        <f t="shared" si="24"/>
        <v>0</v>
      </c>
      <c r="K168" s="28">
        <f t="shared" si="34"/>
        <v>0</v>
      </c>
      <c r="M168" s="22">
        <f t="shared" si="22"/>
        <v>0</v>
      </c>
      <c r="N168" s="22">
        <f t="shared" si="23"/>
        <v>103.19999999999999</v>
      </c>
    </row>
    <row r="169" spans="1:20" x14ac:dyDescent="0.2">
      <c r="A169" s="15">
        <f>Data!A169</f>
        <v>45821</v>
      </c>
      <c r="B169" s="1">
        <v>164</v>
      </c>
      <c r="C169" s="16">
        <f>ROUND(Data!BB169,2)</f>
        <v>0</v>
      </c>
      <c r="D169" s="3">
        <f>ROUND(Data!P169,1)</f>
        <v>0</v>
      </c>
      <c r="E169" s="3">
        <f>ROUND(Data!Y169,1)</f>
        <v>0</v>
      </c>
      <c r="F169" s="3">
        <f>Data!BH169</f>
        <v>0</v>
      </c>
      <c r="G169" s="3">
        <f>Data!N169</f>
        <v>0</v>
      </c>
      <c r="H169" s="17">
        <f>Data!AY169</f>
        <v>0</v>
      </c>
      <c r="I169" s="13">
        <f t="shared" si="24"/>
        <v>0</v>
      </c>
      <c r="K169" s="28">
        <f t="shared" si="34"/>
        <v>0</v>
      </c>
      <c r="M169" s="22">
        <f t="shared" si="22"/>
        <v>0</v>
      </c>
      <c r="N169" s="22">
        <f t="shared" si="23"/>
        <v>103.19999999999999</v>
      </c>
    </row>
    <row r="170" spans="1:20" x14ac:dyDescent="0.2">
      <c r="A170" s="15">
        <f>Data!A170</f>
        <v>45822</v>
      </c>
      <c r="B170" s="1">
        <v>165</v>
      </c>
      <c r="C170" s="16">
        <f>ROUND(Data!BB170,2)</f>
        <v>0</v>
      </c>
      <c r="D170" s="3">
        <f>ROUND(Data!P170,1)</f>
        <v>0</v>
      </c>
      <c r="E170" s="3">
        <f>ROUND(Data!Y170,1)</f>
        <v>0</v>
      </c>
      <c r="F170" s="3">
        <f>Data!BH170</f>
        <v>0</v>
      </c>
      <c r="G170" s="3">
        <f>Data!N170</f>
        <v>0</v>
      </c>
      <c r="H170" s="17">
        <f>Data!AY170</f>
        <v>0</v>
      </c>
      <c r="I170" s="13">
        <f t="shared" si="24"/>
        <v>0</v>
      </c>
      <c r="K170" s="28">
        <f t="shared" si="34"/>
        <v>0</v>
      </c>
      <c r="M170" s="22">
        <f t="shared" si="22"/>
        <v>0</v>
      </c>
      <c r="N170" s="22">
        <f t="shared" si="23"/>
        <v>103.19999999999999</v>
      </c>
    </row>
    <row r="171" spans="1:20" x14ac:dyDescent="0.2">
      <c r="A171" s="15">
        <f>Data!A171</f>
        <v>45823</v>
      </c>
      <c r="B171" s="1">
        <v>166</v>
      </c>
      <c r="C171" s="16">
        <f>ROUND(Data!BB171,2)</f>
        <v>0</v>
      </c>
      <c r="D171" s="3">
        <f>ROUND(Data!P171,1)</f>
        <v>0</v>
      </c>
      <c r="E171" s="3">
        <f>ROUND(Data!Y171,1)</f>
        <v>0</v>
      </c>
      <c r="F171" s="3">
        <f>Data!BH171</f>
        <v>0</v>
      </c>
      <c r="G171" s="3">
        <f>Data!N171</f>
        <v>0</v>
      </c>
      <c r="H171" s="17">
        <f>Data!AY171</f>
        <v>0</v>
      </c>
      <c r="I171" s="13">
        <f t="shared" si="24"/>
        <v>0</v>
      </c>
      <c r="K171" s="28">
        <f t="shared" si="34"/>
        <v>0</v>
      </c>
      <c r="M171" s="22">
        <f t="shared" si="22"/>
        <v>0</v>
      </c>
      <c r="N171" s="22">
        <f t="shared" si="23"/>
        <v>103.19999999999999</v>
      </c>
    </row>
    <row r="172" spans="1:20" x14ac:dyDescent="0.2">
      <c r="A172" s="15">
        <f>Data!A172</f>
        <v>45824</v>
      </c>
      <c r="B172" s="1">
        <v>167</v>
      </c>
      <c r="C172" s="16">
        <f>ROUND(Data!BB172,2)</f>
        <v>0</v>
      </c>
      <c r="D172" s="3">
        <f>ROUND(Data!P172,1)</f>
        <v>0</v>
      </c>
      <c r="E172" s="3">
        <f>ROUND(Data!Y172,1)</f>
        <v>0</v>
      </c>
      <c r="F172" s="3">
        <f>Data!BH172</f>
        <v>0</v>
      </c>
      <c r="G172" s="3">
        <f>Data!N172</f>
        <v>0</v>
      </c>
      <c r="H172" s="17">
        <f>Data!AY172</f>
        <v>0</v>
      </c>
      <c r="I172" s="13">
        <f t="shared" si="24"/>
        <v>0</v>
      </c>
      <c r="K172" s="28">
        <f t="shared" si="34"/>
        <v>0</v>
      </c>
      <c r="M172" s="22">
        <f t="shared" si="22"/>
        <v>0</v>
      </c>
      <c r="N172" s="22">
        <f t="shared" si="23"/>
        <v>103.19999999999999</v>
      </c>
    </row>
    <row r="173" spans="1:20" x14ac:dyDescent="0.2">
      <c r="A173" s="15">
        <f>Data!A173</f>
        <v>45825</v>
      </c>
      <c r="B173" s="1">
        <v>168</v>
      </c>
      <c r="C173" s="16">
        <f>ROUND(Data!BB173,2)</f>
        <v>0</v>
      </c>
      <c r="D173" s="3">
        <f>ROUND(Data!P173,1)</f>
        <v>0</v>
      </c>
      <c r="E173" s="3">
        <f>ROUND(Data!Y173,1)</f>
        <v>0</v>
      </c>
      <c r="F173" s="3">
        <f>Data!BH173</f>
        <v>0</v>
      </c>
      <c r="G173" s="3">
        <f>Data!N173</f>
        <v>0</v>
      </c>
      <c r="H173" s="17">
        <f>Data!AY173</f>
        <v>0</v>
      </c>
      <c r="I173" s="13">
        <f t="shared" si="24"/>
        <v>0</v>
      </c>
      <c r="K173" s="28">
        <f t="shared" si="34"/>
        <v>0</v>
      </c>
      <c r="M173" s="22">
        <f t="shared" si="22"/>
        <v>0</v>
      </c>
      <c r="N173" s="22">
        <f t="shared" si="23"/>
        <v>103.19999999999999</v>
      </c>
    </row>
    <row r="174" spans="1:20" x14ac:dyDescent="0.2">
      <c r="A174" s="15">
        <f>Data!A174</f>
        <v>45826</v>
      </c>
      <c r="B174" s="1">
        <v>169</v>
      </c>
      <c r="C174" s="16">
        <f>ROUND(Data!BB174,2)</f>
        <v>0</v>
      </c>
      <c r="D174" s="3">
        <f>ROUND(Data!P174,1)</f>
        <v>0</v>
      </c>
      <c r="E174" s="3">
        <f>ROUND(Data!Y174,1)</f>
        <v>0</v>
      </c>
      <c r="F174" s="3">
        <f>Data!BH174</f>
        <v>0</v>
      </c>
      <c r="G174" s="3">
        <f>Data!N174</f>
        <v>0</v>
      </c>
      <c r="H174" s="17">
        <f>Data!AY174</f>
        <v>0</v>
      </c>
      <c r="I174" s="13">
        <f t="shared" si="24"/>
        <v>0</v>
      </c>
      <c r="K174" s="28">
        <f t="shared" si="34"/>
        <v>0</v>
      </c>
      <c r="M174" s="22">
        <f t="shared" si="22"/>
        <v>0</v>
      </c>
      <c r="N174" s="22">
        <f t="shared" si="23"/>
        <v>103.19999999999999</v>
      </c>
    </row>
    <row r="175" spans="1:20" x14ac:dyDescent="0.2">
      <c r="A175" s="15">
        <f>Data!A175</f>
        <v>45827</v>
      </c>
      <c r="B175" s="1">
        <v>170</v>
      </c>
      <c r="C175" s="16">
        <f>ROUND(Data!BB175,2)</f>
        <v>0</v>
      </c>
      <c r="D175" s="3">
        <f>ROUND(Data!P175,1)</f>
        <v>0</v>
      </c>
      <c r="E175" s="3">
        <f>ROUND(Data!Y175,1)</f>
        <v>0</v>
      </c>
      <c r="F175" s="3">
        <f>Data!BH175</f>
        <v>0</v>
      </c>
      <c r="G175" s="3">
        <f>Data!N175</f>
        <v>0</v>
      </c>
      <c r="H175" s="17">
        <f>Data!AY175</f>
        <v>0</v>
      </c>
      <c r="I175" s="13">
        <f t="shared" si="24"/>
        <v>0</v>
      </c>
      <c r="K175" s="28">
        <f t="shared" si="34"/>
        <v>0</v>
      </c>
      <c r="M175" s="22">
        <f t="shared" si="22"/>
        <v>0</v>
      </c>
      <c r="N175" s="22">
        <f t="shared" si="23"/>
        <v>103.19999999999999</v>
      </c>
    </row>
    <row r="176" spans="1:20" x14ac:dyDescent="0.2">
      <c r="A176" s="15">
        <f>Data!A176</f>
        <v>45828</v>
      </c>
      <c r="B176" s="1">
        <v>171</v>
      </c>
      <c r="C176" s="16">
        <f>ROUND(Data!BB176,2)</f>
        <v>0</v>
      </c>
      <c r="D176" s="3">
        <f>ROUND(Data!P176,1)</f>
        <v>0</v>
      </c>
      <c r="E176" s="3">
        <f>ROUND(Data!Y176,1)</f>
        <v>0</v>
      </c>
      <c r="F176" s="3">
        <f>Data!BH176</f>
        <v>0</v>
      </c>
      <c r="G176" s="3">
        <f>Data!N176</f>
        <v>0</v>
      </c>
      <c r="H176" s="17">
        <f>Data!AY176</f>
        <v>0</v>
      </c>
      <c r="I176" s="13">
        <f t="shared" si="24"/>
        <v>0</v>
      </c>
      <c r="K176" s="28">
        <f t="shared" si="34"/>
        <v>0</v>
      </c>
      <c r="M176" s="22">
        <f t="shared" si="22"/>
        <v>0</v>
      </c>
      <c r="N176" s="22">
        <f t="shared" si="23"/>
        <v>103.19999999999999</v>
      </c>
    </row>
    <row r="177" spans="1:14" x14ac:dyDescent="0.2">
      <c r="A177" s="15">
        <f>Data!A177</f>
        <v>45829</v>
      </c>
      <c r="B177" s="1">
        <v>172</v>
      </c>
      <c r="C177" s="16">
        <f>ROUND(Data!BB177,2)</f>
        <v>0</v>
      </c>
      <c r="D177" s="3">
        <f>ROUND(Data!P177,1)</f>
        <v>0</v>
      </c>
      <c r="E177" s="3">
        <f>ROUND(Data!Y177,1)</f>
        <v>0</v>
      </c>
      <c r="F177" s="3">
        <f>Data!BH177</f>
        <v>0</v>
      </c>
      <c r="G177" s="3">
        <f>Data!N177</f>
        <v>0</v>
      </c>
      <c r="H177" s="17">
        <f>Data!AY177</f>
        <v>0</v>
      </c>
      <c r="I177" s="13">
        <f t="shared" si="24"/>
        <v>0</v>
      </c>
      <c r="K177" s="28">
        <f t="shared" si="34"/>
        <v>0</v>
      </c>
      <c r="M177" s="22">
        <f t="shared" si="22"/>
        <v>0</v>
      </c>
      <c r="N177" s="22">
        <f t="shared" si="23"/>
        <v>103.19999999999999</v>
      </c>
    </row>
    <row r="178" spans="1:14" x14ac:dyDescent="0.2">
      <c r="A178" s="15">
        <f>Data!A178</f>
        <v>45830</v>
      </c>
      <c r="B178" s="1">
        <v>173</v>
      </c>
      <c r="C178" s="16">
        <f>ROUND(Data!BB178,2)</f>
        <v>0</v>
      </c>
      <c r="D178" s="3">
        <f>ROUND(Data!P178,1)</f>
        <v>0</v>
      </c>
      <c r="E178" s="3">
        <f>ROUND(Data!Y178,1)</f>
        <v>0</v>
      </c>
      <c r="F178" s="3">
        <f>Data!BH178</f>
        <v>0</v>
      </c>
      <c r="G178" s="3">
        <f>Data!N178</f>
        <v>0</v>
      </c>
      <c r="H178" s="17">
        <f>Data!AY178</f>
        <v>0</v>
      </c>
      <c r="I178" s="13">
        <f t="shared" si="24"/>
        <v>0</v>
      </c>
      <c r="K178" s="28">
        <f t="shared" si="34"/>
        <v>0</v>
      </c>
      <c r="M178" s="22">
        <f t="shared" si="22"/>
        <v>0</v>
      </c>
      <c r="N178" s="22">
        <f t="shared" si="23"/>
        <v>103.19999999999999</v>
      </c>
    </row>
    <row r="179" spans="1:14" x14ac:dyDescent="0.2">
      <c r="A179" s="15">
        <f>Data!A179</f>
        <v>45831</v>
      </c>
      <c r="B179" s="1">
        <v>174</v>
      </c>
      <c r="C179" s="16">
        <f>ROUND(Data!BB179,2)</f>
        <v>0</v>
      </c>
      <c r="D179" s="3">
        <f>ROUND(Data!P179,1)</f>
        <v>0</v>
      </c>
      <c r="E179" s="3">
        <f>ROUND(Data!Y179,1)</f>
        <v>0</v>
      </c>
      <c r="F179" s="3">
        <f>Data!BH179</f>
        <v>0</v>
      </c>
      <c r="G179" s="3">
        <f>Data!N179</f>
        <v>0</v>
      </c>
      <c r="H179" s="17">
        <f>Data!AY179</f>
        <v>0</v>
      </c>
      <c r="I179" s="13">
        <f t="shared" si="24"/>
        <v>0</v>
      </c>
      <c r="K179" s="28">
        <f t="shared" si="34"/>
        <v>0</v>
      </c>
      <c r="M179" s="22">
        <f t="shared" si="22"/>
        <v>0</v>
      </c>
      <c r="N179" s="22">
        <f t="shared" si="23"/>
        <v>103.19999999999999</v>
      </c>
    </row>
    <row r="180" spans="1:14" x14ac:dyDescent="0.2">
      <c r="A180" s="15">
        <f>Data!A180</f>
        <v>45832</v>
      </c>
      <c r="B180" s="1">
        <v>175</v>
      </c>
      <c r="C180" s="16">
        <f>ROUND(Data!BB180,2)</f>
        <v>0</v>
      </c>
      <c r="D180" s="3">
        <f>ROUND(Data!P180,1)</f>
        <v>0</v>
      </c>
      <c r="E180" s="3">
        <f>ROUND(Data!Y180,1)</f>
        <v>0</v>
      </c>
      <c r="F180" s="3">
        <f>Data!BH180</f>
        <v>0</v>
      </c>
      <c r="G180" s="3">
        <f>Data!N180</f>
        <v>0</v>
      </c>
      <c r="H180" s="17">
        <f>Data!AY180</f>
        <v>0</v>
      </c>
      <c r="I180" s="13">
        <f t="shared" si="24"/>
        <v>0</v>
      </c>
      <c r="K180" s="28">
        <f t="shared" si="34"/>
        <v>0</v>
      </c>
      <c r="M180" s="22">
        <f t="shared" si="22"/>
        <v>0</v>
      </c>
      <c r="N180" s="22">
        <f t="shared" si="23"/>
        <v>103.19999999999999</v>
      </c>
    </row>
    <row r="181" spans="1:14" x14ac:dyDescent="0.2">
      <c r="A181" s="15">
        <f>Data!A181</f>
        <v>45833</v>
      </c>
      <c r="B181" s="1">
        <v>176</v>
      </c>
      <c r="C181" s="16">
        <f>ROUND(Data!BB181,2)</f>
        <v>0</v>
      </c>
      <c r="D181" s="3">
        <f>ROUND(Data!P181,1)</f>
        <v>0</v>
      </c>
      <c r="E181" s="3">
        <f>ROUND(Data!Y181,1)</f>
        <v>0</v>
      </c>
      <c r="F181" s="3">
        <f>Data!BH181</f>
        <v>0</v>
      </c>
      <c r="G181" s="3">
        <f>Data!N181</f>
        <v>0</v>
      </c>
      <c r="H181" s="17">
        <f>Data!AY181</f>
        <v>0</v>
      </c>
      <c r="I181" s="13">
        <f t="shared" si="24"/>
        <v>0</v>
      </c>
      <c r="K181" s="28">
        <f t="shared" si="34"/>
        <v>0</v>
      </c>
      <c r="M181" s="22">
        <f t="shared" si="22"/>
        <v>0</v>
      </c>
      <c r="N181" s="22">
        <f t="shared" si="23"/>
        <v>103.19999999999999</v>
      </c>
    </row>
    <row r="182" spans="1:14" x14ac:dyDescent="0.2">
      <c r="A182" s="15">
        <f>Data!A182</f>
        <v>45834</v>
      </c>
      <c r="B182" s="1">
        <v>177</v>
      </c>
      <c r="C182" s="16">
        <f>ROUND(Data!BB182,2)</f>
        <v>0</v>
      </c>
      <c r="D182" s="3">
        <f>ROUND(Data!P182,1)</f>
        <v>0</v>
      </c>
      <c r="E182" s="3">
        <f>ROUND(Data!Y182,1)</f>
        <v>0</v>
      </c>
      <c r="F182" s="3">
        <f>Data!BH182</f>
        <v>0</v>
      </c>
      <c r="G182" s="3">
        <f>Data!N182</f>
        <v>0</v>
      </c>
      <c r="H182" s="17">
        <f>Data!AY182</f>
        <v>0</v>
      </c>
      <c r="I182" s="13">
        <f t="shared" si="24"/>
        <v>0</v>
      </c>
      <c r="K182" s="28">
        <f t="shared" si="34"/>
        <v>0</v>
      </c>
      <c r="M182" s="22">
        <f t="shared" si="22"/>
        <v>0</v>
      </c>
      <c r="N182" s="22">
        <f t="shared" si="23"/>
        <v>103.19999999999999</v>
      </c>
    </row>
    <row r="183" spans="1:14" x14ac:dyDescent="0.2">
      <c r="A183" s="15">
        <f>Data!A183</f>
        <v>45835</v>
      </c>
      <c r="B183" s="1">
        <v>178</v>
      </c>
      <c r="C183" s="16">
        <f>ROUND(Data!BB183,2)</f>
        <v>0</v>
      </c>
      <c r="D183" s="3">
        <f>ROUND(Data!P183,1)</f>
        <v>0</v>
      </c>
      <c r="E183" s="3">
        <f>ROUND(Data!Y183,1)</f>
        <v>0</v>
      </c>
      <c r="F183" s="3">
        <f>Data!BH183</f>
        <v>0</v>
      </c>
      <c r="G183" s="3">
        <f>Data!N183</f>
        <v>0</v>
      </c>
      <c r="H183" s="17">
        <f>Data!AY183</f>
        <v>0</v>
      </c>
      <c r="I183" s="13">
        <f t="shared" si="24"/>
        <v>0</v>
      </c>
      <c r="K183" s="28">
        <f t="shared" ref="K183:K184" si="35">G183</f>
        <v>0</v>
      </c>
      <c r="M183" s="22">
        <f t="shared" si="22"/>
        <v>0</v>
      </c>
      <c r="N183" s="22">
        <f t="shared" si="23"/>
        <v>103.19999999999999</v>
      </c>
    </row>
    <row r="184" spans="1:14" x14ac:dyDescent="0.2">
      <c r="A184" s="15">
        <f>Data!A184</f>
        <v>45836</v>
      </c>
      <c r="B184" s="1">
        <v>179</v>
      </c>
      <c r="C184" s="16">
        <f>ROUND(Data!BB184,2)</f>
        <v>0</v>
      </c>
      <c r="D184" s="3">
        <f>ROUND(Data!P184,1)</f>
        <v>0</v>
      </c>
      <c r="E184" s="3">
        <f>ROUND(Data!Y184,1)</f>
        <v>0</v>
      </c>
      <c r="F184" s="3">
        <f>Data!BH184</f>
        <v>0</v>
      </c>
      <c r="G184" s="3">
        <f>Data!N184</f>
        <v>0</v>
      </c>
      <c r="H184" s="17">
        <f>Data!AY184</f>
        <v>0</v>
      </c>
      <c r="I184" s="13">
        <f t="shared" si="24"/>
        <v>0</v>
      </c>
      <c r="K184" s="28">
        <f t="shared" si="35"/>
        <v>0</v>
      </c>
      <c r="M184" s="22">
        <f t="shared" si="22"/>
        <v>0</v>
      </c>
      <c r="N184" s="22">
        <f t="shared" si="23"/>
        <v>103.19999999999999</v>
      </c>
    </row>
    <row r="185" spans="1:14" x14ac:dyDescent="0.2">
      <c r="A185" s="15">
        <f>Data!A185</f>
        <v>45837</v>
      </c>
      <c r="B185" s="1">
        <v>180</v>
      </c>
      <c r="C185" s="16">
        <f>ROUND(Data!BB185,2)</f>
        <v>0</v>
      </c>
      <c r="D185" s="3">
        <f>ROUND(Data!P185,1)</f>
        <v>0</v>
      </c>
      <c r="E185" s="3">
        <f>ROUND(Data!Y185,1)</f>
        <v>0</v>
      </c>
      <c r="F185" s="3">
        <f>Data!BH185</f>
        <v>0</v>
      </c>
      <c r="G185" s="3">
        <f>Data!N185</f>
        <v>0</v>
      </c>
      <c r="H185" s="17">
        <f>Data!AY185</f>
        <v>0</v>
      </c>
      <c r="I185" s="13">
        <f t="shared" si="24"/>
        <v>0</v>
      </c>
      <c r="K185" s="28">
        <f t="shared" ref="K185:K191" si="36">G185</f>
        <v>0</v>
      </c>
      <c r="M185" s="22">
        <f t="shared" si="22"/>
        <v>0</v>
      </c>
      <c r="N185" s="22">
        <f t="shared" si="23"/>
        <v>103.19999999999999</v>
      </c>
    </row>
    <row r="186" spans="1:14" x14ac:dyDescent="0.2">
      <c r="A186" s="15">
        <f>Data!A186</f>
        <v>45838</v>
      </c>
      <c r="B186" s="1">
        <v>181</v>
      </c>
      <c r="C186" s="16">
        <f>ROUND(Data!BB186,2)</f>
        <v>0</v>
      </c>
      <c r="D186" s="3">
        <f>ROUND(Data!P186,1)</f>
        <v>0</v>
      </c>
      <c r="E186" s="3">
        <f>ROUND(Data!Y186,1)</f>
        <v>0</v>
      </c>
      <c r="F186" s="3">
        <f>Data!BH186</f>
        <v>0</v>
      </c>
      <c r="G186" s="3">
        <f>Data!N186</f>
        <v>0</v>
      </c>
      <c r="H186" s="17">
        <f>Data!AY186</f>
        <v>0</v>
      </c>
      <c r="I186" s="13">
        <f t="shared" si="24"/>
        <v>0</v>
      </c>
      <c r="K186" s="28">
        <f t="shared" si="36"/>
        <v>0</v>
      </c>
      <c r="M186" s="22">
        <f t="shared" si="22"/>
        <v>0</v>
      </c>
      <c r="N186" s="22">
        <f t="shared" si="23"/>
        <v>103.19999999999999</v>
      </c>
    </row>
    <row r="187" spans="1:14" x14ac:dyDescent="0.2">
      <c r="A187" s="15">
        <f>Data!A187</f>
        <v>45839</v>
      </c>
      <c r="B187" s="1">
        <v>182</v>
      </c>
      <c r="C187" s="16">
        <f>ROUND(Data!BB187,2)</f>
        <v>0</v>
      </c>
      <c r="D187" s="3">
        <f>ROUND(Data!P187,1)</f>
        <v>0</v>
      </c>
      <c r="E187" s="3">
        <f>ROUND(Data!Y187,1)</f>
        <v>0</v>
      </c>
      <c r="F187" s="3">
        <f>Data!BH187</f>
        <v>0</v>
      </c>
      <c r="G187" s="3">
        <f>Data!N187</f>
        <v>0</v>
      </c>
      <c r="H187" s="17">
        <f>Data!AY187</f>
        <v>0</v>
      </c>
      <c r="I187" s="13">
        <f t="shared" si="24"/>
        <v>0</v>
      </c>
      <c r="K187" s="28">
        <f t="shared" si="36"/>
        <v>0</v>
      </c>
      <c r="M187" s="22">
        <f t="shared" si="22"/>
        <v>0</v>
      </c>
      <c r="N187" s="22">
        <f t="shared" si="23"/>
        <v>103.19999999999999</v>
      </c>
    </row>
    <row r="188" spans="1:14" x14ac:dyDescent="0.2">
      <c r="A188" s="15">
        <f>Data!A188</f>
        <v>45840</v>
      </c>
      <c r="B188" s="1">
        <v>183</v>
      </c>
      <c r="C188" s="16">
        <f>ROUND(Data!BB188,2)</f>
        <v>0</v>
      </c>
      <c r="D188" s="3">
        <f>ROUND(Data!P188,1)</f>
        <v>0</v>
      </c>
      <c r="E188" s="3">
        <f>ROUND(Data!Y188,1)</f>
        <v>0</v>
      </c>
      <c r="F188" s="3">
        <f>Data!BH188</f>
        <v>0</v>
      </c>
      <c r="G188" s="3">
        <f>Data!N188</f>
        <v>0</v>
      </c>
      <c r="H188" s="17">
        <f>Data!AY188</f>
        <v>0</v>
      </c>
      <c r="I188" s="13">
        <f t="shared" si="24"/>
        <v>0</v>
      </c>
      <c r="K188" s="28">
        <f t="shared" si="36"/>
        <v>0</v>
      </c>
      <c r="M188" s="22">
        <f t="shared" si="22"/>
        <v>0</v>
      </c>
      <c r="N188" s="22">
        <f t="shared" si="23"/>
        <v>103.19999999999999</v>
      </c>
    </row>
    <row r="189" spans="1:14" x14ac:dyDescent="0.2">
      <c r="A189" s="15">
        <f>Data!A189</f>
        <v>45841</v>
      </c>
      <c r="B189" s="1">
        <v>184</v>
      </c>
      <c r="C189" s="16">
        <f>ROUND(Data!BB189,2)</f>
        <v>0</v>
      </c>
      <c r="D189" s="3">
        <f>ROUND(Data!P189,1)</f>
        <v>0</v>
      </c>
      <c r="E189" s="3">
        <f>ROUND(Data!Y189,1)</f>
        <v>0</v>
      </c>
      <c r="F189" s="3">
        <f>Data!BH189</f>
        <v>0</v>
      </c>
      <c r="G189" s="3">
        <f>Data!N189</f>
        <v>0</v>
      </c>
      <c r="H189" s="17">
        <f>Data!AY189</f>
        <v>0</v>
      </c>
      <c r="I189" s="13">
        <f t="shared" si="24"/>
        <v>0</v>
      </c>
      <c r="K189" s="28">
        <f t="shared" si="36"/>
        <v>0</v>
      </c>
      <c r="M189" s="22">
        <f t="shared" ref="M189:M252" si="37">J189+M188</f>
        <v>0</v>
      </c>
      <c r="N189" s="22">
        <f t="shared" ref="N189:N252" si="38">K189+N188</f>
        <v>103.19999999999999</v>
      </c>
    </row>
    <row r="190" spans="1:14" x14ac:dyDescent="0.2">
      <c r="A190" s="15">
        <f>Data!A190</f>
        <v>45842</v>
      </c>
      <c r="B190" s="1">
        <v>185</v>
      </c>
      <c r="C190" s="16">
        <f>ROUND(Data!BB190,2)</f>
        <v>0</v>
      </c>
      <c r="D190" s="3">
        <f>ROUND(Data!P190,1)</f>
        <v>0</v>
      </c>
      <c r="E190" s="3">
        <f>ROUND(Data!Y190,1)</f>
        <v>0</v>
      </c>
      <c r="F190" s="3">
        <f>Data!BH190</f>
        <v>0</v>
      </c>
      <c r="G190" s="3">
        <f>Data!N190</f>
        <v>0</v>
      </c>
      <c r="H190" s="17">
        <f>Data!AY190</f>
        <v>0</v>
      </c>
      <c r="I190" s="13">
        <f t="shared" si="24"/>
        <v>0</v>
      </c>
      <c r="K190" s="28">
        <f t="shared" si="36"/>
        <v>0</v>
      </c>
      <c r="M190" s="22">
        <f t="shared" si="37"/>
        <v>0</v>
      </c>
      <c r="N190" s="22">
        <f t="shared" si="38"/>
        <v>103.19999999999999</v>
      </c>
    </row>
    <row r="191" spans="1:14" x14ac:dyDescent="0.2">
      <c r="A191" s="15">
        <f>Data!A191</f>
        <v>45843</v>
      </c>
      <c r="B191" s="1">
        <v>186</v>
      </c>
      <c r="C191" s="16">
        <f>ROUND(Data!BB191,2)</f>
        <v>0</v>
      </c>
      <c r="D191" s="3">
        <f>ROUND(Data!P191,1)</f>
        <v>0</v>
      </c>
      <c r="E191" s="3">
        <f>ROUND(Data!Y191,1)</f>
        <v>0</v>
      </c>
      <c r="F191" s="3">
        <f>Data!BH191</f>
        <v>0</v>
      </c>
      <c r="G191" s="3">
        <f>Data!N191</f>
        <v>0</v>
      </c>
      <c r="H191" s="17">
        <f>Data!AY191</f>
        <v>0</v>
      </c>
      <c r="I191" s="13">
        <f t="shared" ref="I191:I254" si="39">IF(H191&gt;H190,ROUND((H191-H190)*I$1,1),0)</f>
        <v>0</v>
      </c>
      <c r="K191" s="28">
        <f t="shared" si="36"/>
        <v>0</v>
      </c>
      <c r="M191" s="22">
        <f t="shared" si="37"/>
        <v>0</v>
      </c>
      <c r="N191" s="22">
        <f t="shared" si="38"/>
        <v>103.19999999999999</v>
      </c>
    </row>
    <row r="192" spans="1:14" x14ac:dyDescent="0.2">
      <c r="A192" s="15">
        <f>Data!A192</f>
        <v>45844</v>
      </c>
      <c r="B192" s="1">
        <v>187</v>
      </c>
      <c r="C192" s="16">
        <f>ROUND(Data!BB192,2)</f>
        <v>0</v>
      </c>
      <c r="D192" s="3">
        <f>ROUND(Data!P192,1)</f>
        <v>0</v>
      </c>
      <c r="E192" s="3">
        <f>ROUND(Data!Y192,1)</f>
        <v>0</v>
      </c>
      <c r="F192" s="3">
        <f>Data!BH192</f>
        <v>0</v>
      </c>
      <c r="G192" s="3">
        <f>Data!N192</f>
        <v>0</v>
      </c>
      <c r="H192" s="17">
        <f>Data!AY192</f>
        <v>0</v>
      </c>
      <c r="I192" s="13">
        <f t="shared" si="39"/>
        <v>0</v>
      </c>
      <c r="K192" s="28">
        <f>G192</f>
        <v>0</v>
      </c>
      <c r="M192" s="22">
        <f t="shared" si="37"/>
        <v>0</v>
      </c>
      <c r="N192" s="22">
        <f t="shared" si="38"/>
        <v>103.19999999999999</v>
      </c>
    </row>
    <row r="193" spans="1:14" x14ac:dyDescent="0.2">
      <c r="A193" s="15">
        <f>Data!A193</f>
        <v>45845</v>
      </c>
      <c r="B193" s="1">
        <v>188</v>
      </c>
      <c r="C193" s="16">
        <f>ROUND(Data!BB193,2)</f>
        <v>0</v>
      </c>
      <c r="D193" s="3">
        <f>ROUND(Data!P193,1)</f>
        <v>0</v>
      </c>
      <c r="E193" s="3">
        <f>ROUND(Data!Y193,1)</f>
        <v>0</v>
      </c>
      <c r="F193" s="3">
        <f>Data!BH193</f>
        <v>0</v>
      </c>
      <c r="G193" s="3">
        <f>Data!N193</f>
        <v>0</v>
      </c>
      <c r="H193" s="17">
        <f>Data!AY193</f>
        <v>0</v>
      </c>
      <c r="I193" s="13">
        <f t="shared" si="39"/>
        <v>0</v>
      </c>
      <c r="K193" s="28">
        <f t="shared" ref="K193:K256" si="40">G193</f>
        <v>0</v>
      </c>
      <c r="M193" s="22">
        <f t="shared" si="37"/>
        <v>0</v>
      </c>
      <c r="N193" s="22">
        <f t="shared" si="38"/>
        <v>103.19999999999999</v>
      </c>
    </row>
    <row r="194" spans="1:14" x14ac:dyDescent="0.2">
      <c r="A194" s="15">
        <f>Data!A194</f>
        <v>45846</v>
      </c>
      <c r="B194" s="1">
        <v>189</v>
      </c>
      <c r="C194" s="16">
        <f>ROUND(Data!BB194,2)</f>
        <v>0</v>
      </c>
      <c r="D194" s="3">
        <f>ROUND(Data!P194,1)</f>
        <v>0</v>
      </c>
      <c r="E194" s="3">
        <f>ROUND(Data!Y194,1)</f>
        <v>0</v>
      </c>
      <c r="F194" s="3">
        <f>Data!BH194</f>
        <v>0</v>
      </c>
      <c r="G194" s="3">
        <f>Data!N194</f>
        <v>0</v>
      </c>
      <c r="H194" s="17">
        <f>Data!AY194</f>
        <v>0</v>
      </c>
      <c r="I194" s="13">
        <f t="shared" si="39"/>
        <v>0</v>
      </c>
      <c r="K194" s="28">
        <f t="shared" si="40"/>
        <v>0</v>
      </c>
      <c r="M194" s="22">
        <f t="shared" si="37"/>
        <v>0</v>
      </c>
      <c r="N194" s="22">
        <f t="shared" si="38"/>
        <v>103.19999999999999</v>
      </c>
    </row>
    <row r="195" spans="1:14" x14ac:dyDescent="0.2">
      <c r="A195" s="15">
        <f>Data!A195</f>
        <v>45847</v>
      </c>
      <c r="B195" s="1">
        <v>190</v>
      </c>
      <c r="C195" s="16">
        <f>ROUND(Data!BB195,2)</f>
        <v>0</v>
      </c>
      <c r="D195" s="3">
        <f>ROUND(Data!P195,1)</f>
        <v>0</v>
      </c>
      <c r="E195" s="3">
        <f>ROUND(Data!Y195,1)</f>
        <v>0</v>
      </c>
      <c r="F195" s="3">
        <f>Data!BH195</f>
        <v>0</v>
      </c>
      <c r="G195" s="3">
        <f>Data!N195</f>
        <v>0</v>
      </c>
      <c r="H195" s="17">
        <f>Data!AY195</f>
        <v>0</v>
      </c>
      <c r="I195" s="13">
        <f t="shared" si="39"/>
        <v>0</v>
      </c>
      <c r="K195" s="28">
        <f t="shared" si="40"/>
        <v>0</v>
      </c>
      <c r="M195" s="22">
        <f t="shared" si="37"/>
        <v>0</v>
      </c>
      <c r="N195" s="22">
        <f t="shared" si="38"/>
        <v>103.19999999999999</v>
      </c>
    </row>
    <row r="196" spans="1:14" x14ac:dyDescent="0.2">
      <c r="A196" s="15">
        <f>Data!A196</f>
        <v>45848</v>
      </c>
      <c r="B196" s="1">
        <v>191</v>
      </c>
      <c r="C196" s="16">
        <f>ROUND(Data!BB196,2)</f>
        <v>0</v>
      </c>
      <c r="D196" s="3">
        <f>ROUND(Data!P196,1)</f>
        <v>0</v>
      </c>
      <c r="E196" s="3">
        <f>ROUND(Data!Y196,1)</f>
        <v>0</v>
      </c>
      <c r="F196" s="3">
        <f>Data!BH196</f>
        <v>0</v>
      </c>
      <c r="G196" s="3">
        <f>Data!N196</f>
        <v>0</v>
      </c>
      <c r="H196" s="17">
        <f>Data!AY196</f>
        <v>0</v>
      </c>
      <c r="I196" s="13">
        <f t="shared" si="39"/>
        <v>0</v>
      </c>
      <c r="K196" s="28">
        <f t="shared" si="40"/>
        <v>0</v>
      </c>
      <c r="M196" s="22">
        <f t="shared" si="37"/>
        <v>0</v>
      </c>
      <c r="N196" s="22">
        <f t="shared" si="38"/>
        <v>103.19999999999999</v>
      </c>
    </row>
    <row r="197" spans="1:14" x14ac:dyDescent="0.2">
      <c r="A197" s="15">
        <f>Data!A197</f>
        <v>45849</v>
      </c>
      <c r="B197" s="1">
        <v>192</v>
      </c>
      <c r="C197" s="16">
        <f>ROUND(Data!BB197,2)</f>
        <v>0</v>
      </c>
      <c r="D197" s="3">
        <f>ROUND(Data!P197,1)</f>
        <v>0</v>
      </c>
      <c r="E197" s="3">
        <f>ROUND(Data!Y197,1)</f>
        <v>0</v>
      </c>
      <c r="F197" s="3">
        <f>Data!BH197</f>
        <v>0</v>
      </c>
      <c r="G197" s="3">
        <f>Data!N197</f>
        <v>0</v>
      </c>
      <c r="H197" s="17">
        <f>Data!AY197</f>
        <v>0</v>
      </c>
      <c r="I197" s="13">
        <f t="shared" si="39"/>
        <v>0</v>
      </c>
      <c r="K197" s="28">
        <f t="shared" si="40"/>
        <v>0</v>
      </c>
      <c r="M197" s="22">
        <f t="shared" si="37"/>
        <v>0</v>
      </c>
      <c r="N197" s="22">
        <f t="shared" si="38"/>
        <v>103.19999999999999</v>
      </c>
    </row>
    <row r="198" spans="1:14" x14ac:dyDescent="0.2">
      <c r="A198" s="15">
        <f>Data!A198</f>
        <v>45850</v>
      </c>
      <c r="B198" s="1">
        <v>193</v>
      </c>
      <c r="C198" s="16">
        <f>ROUND(Data!BB198,2)</f>
        <v>0</v>
      </c>
      <c r="D198" s="3">
        <f>ROUND(Data!P198,1)</f>
        <v>0</v>
      </c>
      <c r="E198" s="3">
        <f>ROUND(Data!Y198,1)</f>
        <v>0</v>
      </c>
      <c r="F198" s="3">
        <f>Data!BH198</f>
        <v>0</v>
      </c>
      <c r="G198" s="3">
        <f>Data!N198</f>
        <v>0</v>
      </c>
      <c r="H198" s="17">
        <f>Data!AY198</f>
        <v>0</v>
      </c>
      <c r="I198" s="13">
        <f t="shared" si="39"/>
        <v>0</v>
      </c>
      <c r="K198" s="28">
        <f t="shared" si="40"/>
        <v>0</v>
      </c>
      <c r="M198" s="22">
        <f t="shared" si="37"/>
        <v>0</v>
      </c>
      <c r="N198" s="22">
        <f t="shared" si="38"/>
        <v>103.19999999999999</v>
      </c>
    </row>
    <row r="199" spans="1:14" x14ac:dyDescent="0.2">
      <c r="A199" s="15">
        <f>Data!A199</f>
        <v>45851</v>
      </c>
      <c r="B199" s="1">
        <v>194</v>
      </c>
      <c r="C199" s="16">
        <f>ROUND(Data!BB199,2)</f>
        <v>0</v>
      </c>
      <c r="D199" s="3">
        <f>ROUND(Data!P199,1)</f>
        <v>0</v>
      </c>
      <c r="E199" s="3">
        <f>ROUND(Data!Y199,1)</f>
        <v>0</v>
      </c>
      <c r="F199" s="3">
        <f>Data!BH199</f>
        <v>0</v>
      </c>
      <c r="G199" s="3">
        <f>Data!N199</f>
        <v>0</v>
      </c>
      <c r="H199" s="17">
        <f>Data!AY199</f>
        <v>0</v>
      </c>
      <c r="I199" s="13">
        <f t="shared" si="39"/>
        <v>0</v>
      </c>
      <c r="K199" s="28">
        <f t="shared" si="40"/>
        <v>0</v>
      </c>
      <c r="M199" s="22">
        <f t="shared" si="37"/>
        <v>0</v>
      </c>
      <c r="N199" s="22">
        <f t="shared" si="38"/>
        <v>103.19999999999999</v>
      </c>
    </row>
    <row r="200" spans="1:14" x14ac:dyDescent="0.2">
      <c r="A200" s="15">
        <f>Data!A200</f>
        <v>45852</v>
      </c>
      <c r="B200" s="1">
        <v>195</v>
      </c>
      <c r="C200" s="16">
        <f>ROUND(Data!BB200,2)</f>
        <v>0</v>
      </c>
      <c r="D200" s="3">
        <f>ROUND(Data!P200,1)</f>
        <v>0</v>
      </c>
      <c r="E200" s="3">
        <f>ROUND(Data!Y200,1)</f>
        <v>0</v>
      </c>
      <c r="F200" s="3">
        <f>Data!BH200</f>
        <v>0</v>
      </c>
      <c r="G200" s="3">
        <f>Data!N200</f>
        <v>0</v>
      </c>
      <c r="H200" s="17">
        <f>Data!AY200</f>
        <v>0</v>
      </c>
      <c r="I200" s="13">
        <f t="shared" si="39"/>
        <v>0</v>
      </c>
      <c r="K200" s="28">
        <f t="shared" si="40"/>
        <v>0</v>
      </c>
      <c r="M200" s="22">
        <f t="shared" si="37"/>
        <v>0</v>
      </c>
      <c r="N200" s="22">
        <f t="shared" si="38"/>
        <v>103.19999999999999</v>
      </c>
    </row>
    <row r="201" spans="1:14" x14ac:dyDescent="0.2">
      <c r="A201" s="15">
        <f>Data!A201</f>
        <v>45853</v>
      </c>
      <c r="B201" s="1">
        <v>196</v>
      </c>
      <c r="C201" s="16">
        <f>ROUND(Data!BB201,2)</f>
        <v>0</v>
      </c>
      <c r="D201" s="3">
        <f>ROUND(Data!P201,1)</f>
        <v>0</v>
      </c>
      <c r="E201" s="3">
        <f>ROUND(Data!Y201,1)</f>
        <v>0</v>
      </c>
      <c r="F201" s="3">
        <f>Data!BH201</f>
        <v>0</v>
      </c>
      <c r="G201" s="3">
        <f>Data!N201</f>
        <v>0</v>
      </c>
      <c r="H201" s="17">
        <f>Data!AY201</f>
        <v>0</v>
      </c>
      <c r="I201" s="13">
        <f t="shared" si="39"/>
        <v>0</v>
      </c>
      <c r="K201" s="28">
        <f t="shared" si="40"/>
        <v>0</v>
      </c>
      <c r="M201" s="22">
        <f t="shared" si="37"/>
        <v>0</v>
      </c>
      <c r="N201" s="22">
        <f t="shared" si="38"/>
        <v>103.19999999999999</v>
      </c>
    </row>
    <row r="202" spans="1:14" x14ac:dyDescent="0.2">
      <c r="A202" s="15">
        <f>Data!A202</f>
        <v>45854</v>
      </c>
      <c r="B202" s="1">
        <v>197</v>
      </c>
      <c r="C202" s="16">
        <f>ROUND(Data!BB202,2)</f>
        <v>0</v>
      </c>
      <c r="D202" s="3">
        <f>ROUND(Data!P202,1)</f>
        <v>0</v>
      </c>
      <c r="E202" s="3">
        <f>ROUND(Data!Y202,1)</f>
        <v>0</v>
      </c>
      <c r="F202" s="3">
        <f>Data!BH202</f>
        <v>0</v>
      </c>
      <c r="G202" s="3">
        <f>Data!N202</f>
        <v>0</v>
      </c>
      <c r="H202" s="17">
        <f>Data!AY202</f>
        <v>0</v>
      </c>
      <c r="I202" s="13">
        <f t="shared" si="39"/>
        <v>0</v>
      </c>
      <c r="K202" s="28">
        <f t="shared" si="40"/>
        <v>0</v>
      </c>
      <c r="M202" s="22">
        <f t="shared" si="37"/>
        <v>0</v>
      </c>
      <c r="N202" s="22">
        <f t="shared" si="38"/>
        <v>103.19999999999999</v>
      </c>
    </row>
    <row r="203" spans="1:14" x14ac:dyDescent="0.2">
      <c r="A203" s="15">
        <f>Data!A203</f>
        <v>45855</v>
      </c>
      <c r="B203" s="1">
        <v>198</v>
      </c>
      <c r="C203" s="16">
        <f>ROUND(Data!BB203,2)</f>
        <v>0</v>
      </c>
      <c r="D203" s="3">
        <f>ROUND(Data!P203,1)</f>
        <v>0</v>
      </c>
      <c r="E203" s="3">
        <f>ROUND(Data!Y203,1)</f>
        <v>0</v>
      </c>
      <c r="F203" s="3">
        <f>Data!BH203</f>
        <v>0</v>
      </c>
      <c r="G203" s="3">
        <f>Data!N203</f>
        <v>0</v>
      </c>
      <c r="H203" s="17">
        <f>Data!AY203</f>
        <v>0</v>
      </c>
      <c r="I203" s="13">
        <f t="shared" si="39"/>
        <v>0</v>
      </c>
      <c r="K203" s="28">
        <f t="shared" si="40"/>
        <v>0</v>
      </c>
      <c r="M203" s="22">
        <f t="shared" si="37"/>
        <v>0</v>
      </c>
      <c r="N203" s="22">
        <f t="shared" si="38"/>
        <v>103.19999999999999</v>
      </c>
    </row>
    <row r="204" spans="1:14" x14ac:dyDescent="0.2">
      <c r="A204" s="15">
        <f>Data!A204</f>
        <v>45856</v>
      </c>
      <c r="B204" s="1">
        <v>199</v>
      </c>
      <c r="C204" s="16">
        <f>ROUND(Data!BB204,2)</f>
        <v>0</v>
      </c>
      <c r="D204" s="3">
        <f>ROUND(Data!P204,1)</f>
        <v>0</v>
      </c>
      <c r="E204" s="3">
        <f>ROUND(Data!Y204,1)</f>
        <v>0</v>
      </c>
      <c r="F204" s="3">
        <f>Data!BH204</f>
        <v>0</v>
      </c>
      <c r="G204" s="3">
        <f>Data!N204</f>
        <v>0</v>
      </c>
      <c r="H204" s="17">
        <f>Data!AY204</f>
        <v>0</v>
      </c>
      <c r="I204" s="13">
        <f t="shared" si="39"/>
        <v>0</v>
      </c>
      <c r="K204" s="28">
        <f t="shared" si="40"/>
        <v>0</v>
      </c>
      <c r="M204" s="22">
        <f t="shared" si="37"/>
        <v>0</v>
      </c>
      <c r="N204" s="22">
        <f t="shared" si="38"/>
        <v>103.19999999999999</v>
      </c>
    </row>
    <row r="205" spans="1:14" x14ac:dyDescent="0.2">
      <c r="A205" s="15">
        <f>Data!A205</f>
        <v>45857</v>
      </c>
      <c r="B205" s="1">
        <v>200</v>
      </c>
      <c r="C205" s="16">
        <f>ROUND(Data!BB205,2)</f>
        <v>0</v>
      </c>
      <c r="D205" s="3">
        <f>ROUND(Data!P205,1)</f>
        <v>0</v>
      </c>
      <c r="E205" s="3">
        <f>ROUND(Data!Y205,1)</f>
        <v>0</v>
      </c>
      <c r="F205" s="3">
        <f>Data!BH205</f>
        <v>0</v>
      </c>
      <c r="G205" s="3">
        <f>Data!N205</f>
        <v>0</v>
      </c>
      <c r="H205" s="17">
        <f>Data!AY205</f>
        <v>0</v>
      </c>
      <c r="I205" s="13">
        <f t="shared" si="39"/>
        <v>0</v>
      </c>
      <c r="K205" s="28">
        <f t="shared" si="40"/>
        <v>0</v>
      </c>
      <c r="M205" s="22">
        <f t="shared" si="37"/>
        <v>0</v>
      </c>
      <c r="N205" s="22">
        <f t="shared" si="38"/>
        <v>103.19999999999999</v>
      </c>
    </row>
    <row r="206" spans="1:14" x14ac:dyDescent="0.2">
      <c r="A206" s="15">
        <f>Data!A206</f>
        <v>45858</v>
      </c>
      <c r="B206" s="1">
        <v>201</v>
      </c>
      <c r="C206" s="16">
        <f>ROUND(Data!BB206,2)</f>
        <v>0</v>
      </c>
      <c r="D206" s="3">
        <f>ROUND(Data!P206,1)</f>
        <v>0</v>
      </c>
      <c r="E206" s="3">
        <f>ROUND(Data!Y206,1)</f>
        <v>0</v>
      </c>
      <c r="F206" s="3">
        <f>Data!BH206</f>
        <v>0</v>
      </c>
      <c r="G206" s="3">
        <f>Data!N206</f>
        <v>0</v>
      </c>
      <c r="H206" s="17">
        <f>Data!AY206</f>
        <v>0</v>
      </c>
      <c r="I206" s="13">
        <f t="shared" si="39"/>
        <v>0</v>
      </c>
      <c r="K206" s="28">
        <f t="shared" si="40"/>
        <v>0</v>
      </c>
      <c r="M206" s="22">
        <f t="shared" si="37"/>
        <v>0</v>
      </c>
      <c r="N206" s="22">
        <f t="shared" si="38"/>
        <v>103.19999999999999</v>
      </c>
    </row>
    <row r="207" spans="1:14" x14ac:dyDescent="0.2">
      <c r="A207" s="15">
        <f>Data!A207</f>
        <v>45859</v>
      </c>
      <c r="B207" s="1">
        <v>202</v>
      </c>
      <c r="C207" s="16">
        <f>ROUND(Data!BB207,2)</f>
        <v>0</v>
      </c>
      <c r="D207" s="3">
        <f>ROUND(Data!P207,1)</f>
        <v>0</v>
      </c>
      <c r="E207" s="3">
        <f>ROUND(Data!Y207,1)</f>
        <v>0</v>
      </c>
      <c r="F207" s="3">
        <f>Data!BH207</f>
        <v>0</v>
      </c>
      <c r="G207" s="3">
        <f>Data!N207</f>
        <v>0</v>
      </c>
      <c r="H207" s="17">
        <f>Data!AY207</f>
        <v>0</v>
      </c>
      <c r="I207" s="13">
        <f t="shared" si="39"/>
        <v>0</v>
      </c>
      <c r="K207" s="28">
        <f t="shared" si="40"/>
        <v>0</v>
      </c>
      <c r="M207" s="22">
        <f t="shared" si="37"/>
        <v>0</v>
      </c>
      <c r="N207" s="22">
        <f t="shared" si="38"/>
        <v>103.19999999999999</v>
      </c>
    </row>
    <row r="208" spans="1:14" x14ac:dyDescent="0.2">
      <c r="A208" s="15">
        <f>Data!A208</f>
        <v>45860</v>
      </c>
      <c r="B208" s="1">
        <v>203</v>
      </c>
      <c r="C208" s="16">
        <f>ROUND(Data!BB208,2)</f>
        <v>0</v>
      </c>
      <c r="D208" s="3">
        <f>ROUND(Data!P208,1)</f>
        <v>0</v>
      </c>
      <c r="E208" s="3">
        <f>ROUND(Data!Y208,1)</f>
        <v>0</v>
      </c>
      <c r="F208" s="3">
        <f>Data!BH208</f>
        <v>0</v>
      </c>
      <c r="G208" s="3">
        <f>Data!N208</f>
        <v>0</v>
      </c>
      <c r="H208" s="17">
        <f>Data!AY208</f>
        <v>0</v>
      </c>
      <c r="I208" s="13">
        <f t="shared" si="39"/>
        <v>0</v>
      </c>
      <c r="K208" s="28">
        <f t="shared" si="40"/>
        <v>0</v>
      </c>
      <c r="M208" s="22">
        <f t="shared" si="37"/>
        <v>0</v>
      </c>
      <c r="N208" s="22">
        <f t="shared" si="38"/>
        <v>103.19999999999999</v>
      </c>
    </row>
    <row r="209" spans="1:14" x14ac:dyDescent="0.2">
      <c r="A209" s="15">
        <f>Data!A209</f>
        <v>45861</v>
      </c>
      <c r="B209" s="1">
        <v>204</v>
      </c>
      <c r="C209" s="16">
        <f>ROUND(Data!BB209,2)</f>
        <v>0</v>
      </c>
      <c r="D209" s="3">
        <f>ROUND(Data!P209,1)</f>
        <v>0</v>
      </c>
      <c r="E209" s="3">
        <f>ROUND(Data!Y209,1)</f>
        <v>0</v>
      </c>
      <c r="F209" s="3">
        <f>Data!BH209</f>
        <v>0</v>
      </c>
      <c r="G209" s="3">
        <f>Data!N209</f>
        <v>0</v>
      </c>
      <c r="H209" s="17">
        <f>Data!AY209</f>
        <v>0</v>
      </c>
      <c r="I209" s="13">
        <f t="shared" si="39"/>
        <v>0</v>
      </c>
      <c r="K209" s="28">
        <f t="shared" si="40"/>
        <v>0</v>
      </c>
      <c r="M209" s="22">
        <f t="shared" si="37"/>
        <v>0</v>
      </c>
      <c r="N209" s="22">
        <f t="shared" si="38"/>
        <v>103.19999999999999</v>
      </c>
    </row>
    <row r="210" spans="1:14" x14ac:dyDescent="0.2">
      <c r="A210" s="15">
        <f>Data!A210</f>
        <v>45862</v>
      </c>
      <c r="B210" s="1">
        <v>205</v>
      </c>
      <c r="C210" s="16">
        <f>ROUND(Data!BB210,2)</f>
        <v>0</v>
      </c>
      <c r="D210" s="3">
        <f>ROUND(Data!P210,1)</f>
        <v>0</v>
      </c>
      <c r="E210" s="3">
        <f>ROUND(Data!Y210,1)</f>
        <v>0</v>
      </c>
      <c r="F210" s="3">
        <f>Data!BH210</f>
        <v>0</v>
      </c>
      <c r="G210" s="3">
        <f>Data!N210</f>
        <v>0</v>
      </c>
      <c r="H210" s="17">
        <f>Data!AY210</f>
        <v>0</v>
      </c>
      <c r="I210" s="13">
        <f t="shared" si="39"/>
        <v>0</v>
      </c>
      <c r="K210" s="28">
        <f t="shared" si="40"/>
        <v>0</v>
      </c>
      <c r="M210" s="22">
        <f t="shared" si="37"/>
        <v>0</v>
      </c>
      <c r="N210" s="22">
        <f t="shared" si="38"/>
        <v>103.19999999999999</v>
      </c>
    </row>
    <row r="211" spans="1:14" x14ac:dyDescent="0.2">
      <c r="A211" s="15">
        <f>Data!A211</f>
        <v>45863</v>
      </c>
      <c r="B211" s="1">
        <v>206</v>
      </c>
      <c r="C211" s="16">
        <f>ROUND(Data!BB211,2)</f>
        <v>0</v>
      </c>
      <c r="D211" s="3">
        <f>ROUND(Data!P211,1)</f>
        <v>0</v>
      </c>
      <c r="E211" s="3">
        <f>ROUND(Data!Y211,1)</f>
        <v>0</v>
      </c>
      <c r="F211" s="3">
        <f>Data!BH211</f>
        <v>0</v>
      </c>
      <c r="G211" s="3">
        <f>Data!N211</f>
        <v>0</v>
      </c>
      <c r="H211" s="17">
        <f>Data!AY211</f>
        <v>0</v>
      </c>
      <c r="I211" s="13">
        <f t="shared" si="39"/>
        <v>0</v>
      </c>
      <c r="K211" s="28">
        <f t="shared" si="40"/>
        <v>0</v>
      </c>
      <c r="M211" s="22">
        <f t="shared" si="37"/>
        <v>0</v>
      </c>
      <c r="N211" s="22">
        <f t="shared" si="38"/>
        <v>103.19999999999999</v>
      </c>
    </row>
    <row r="212" spans="1:14" x14ac:dyDescent="0.2">
      <c r="A212" s="15">
        <f>Data!A212</f>
        <v>45864</v>
      </c>
      <c r="B212" s="1">
        <v>207</v>
      </c>
      <c r="C212" s="16">
        <f>ROUND(Data!BB212,2)</f>
        <v>0</v>
      </c>
      <c r="D212" s="3">
        <f>ROUND(Data!P212,1)</f>
        <v>0</v>
      </c>
      <c r="E212" s="3">
        <f>ROUND(Data!Y212,1)</f>
        <v>0</v>
      </c>
      <c r="F212" s="3">
        <f>Data!BH212</f>
        <v>0</v>
      </c>
      <c r="G212" s="3">
        <f>Data!N212</f>
        <v>0</v>
      </c>
      <c r="H212" s="17">
        <f>Data!AY212</f>
        <v>0</v>
      </c>
      <c r="I212" s="13">
        <f t="shared" si="39"/>
        <v>0</v>
      </c>
      <c r="K212" s="28">
        <f t="shared" si="40"/>
        <v>0</v>
      </c>
      <c r="M212" s="22">
        <f t="shared" si="37"/>
        <v>0</v>
      </c>
      <c r="N212" s="22">
        <f t="shared" si="38"/>
        <v>103.19999999999999</v>
      </c>
    </row>
    <row r="213" spans="1:14" x14ac:dyDescent="0.2">
      <c r="A213" s="15">
        <f>Data!A213</f>
        <v>45865</v>
      </c>
      <c r="B213" s="1">
        <v>208</v>
      </c>
      <c r="C213" s="16">
        <f>ROUND(Data!BB213,2)</f>
        <v>0</v>
      </c>
      <c r="D213" s="3">
        <f>ROUND(Data!P213,1)</f>
        <v>0</v>
      </c>
      <c r="E213" s="3">
        <f>ROUND(Data!Y213,1)</f>
        <v>0</v>
      </c>
      <c r="F213" s="3">
        <f>Data!BH213</f>
        <v>0</v>
      </c>
      <c r="G213" s="3">
        <f>Data!N213</f>
        <v>0</v>
      </c>
      <c r="H213" s="17">
        <f>Data!AY213</f>
        <v>0</v>
      </c>
      <c r="I213" s="13">
        <f t="shared" si="39"/>
        <v>0</v>
      </c>
      <c r="K213" s="28">
        <f t="shared" si="40"/>
        <v>0</v>
      </c>
      <c r="M213" s="22">
        <f t="shared" si="37"/>
        <v>0</v>
      </c>
      <c r="N213" s="22">
        <f t="shared" si="38"/>
        <v>103.19999999999999</v>
      </c>
    </row>
    <row r="214" spans="1:14" x14ac:dyDescent="0.2">
      <c r="A214" s="15">
        <f>Data!A214</f>
        <v>45866</v>
      </c>
      <c r="B214" s="1">
        <v>209</v>
      </c>
      <c r="C214" s="16">
        <f>ROUND(Data!BB214,2)</f>
        <v>0</v>
      </c>
      <c r="D214" s="3">
        <f>ROUND(Data!P214,1)</f>
        <v>0</v>
      </c>
      <c r="E214" s="3">
        <f>ROUND(Data!Y214,1)</f>
        <v>0</v>
      </c>
      <c r="F214" s="3">
        <f>Data!BH214</f>
        <v>0</v>
      </c>
      <c r="G214" s="3">
        <f>Data!N214</f>
        <v>0</v>
      </c>
      <c r="H214" s="17">
        <f>Data!AY214</f>
        <v>0</v>
      </c>
      <c r="I214" s="13">
        <f t="shared" si="39"/>
        <v>0</v>
      </c>
      <c r="K214" s="28">
        <f t="shared" si="40"/>
        <v>0</v>
      </c>
      <c r="M214" s="22">
        <f t="shared" si="37"/>
        <v>0</v>
      </c>
      <c r="N214" s="22">
        <f t="shared" si="38"/>
        <v>103.19999999999999</v>
      </c>
    </row>
    <row r="215" spans="1:14" x14ac:dyDescent="0.2">
      <c r="A215" s="15">
        <f>Data!A215</f>
        <v>45867</v>
      </c>
      <c r="B215" s="1">
        <v>210</v>
      </c>
      <c r="C215" s="16">
        <f>ROUND(Data!BB215,2)</f>
        <v>0</v>
      </c>
      <c r="D215" s="3">
        <f>ROUND(Data!P215,1)</f>
        <v>0</v>
      </c>
      <c r="E215" s="3">
        <f>ROUND(Data!Y215,1)</f>
        <v>0</v>
      </c>
      <c r="F215" s="3">
        <f>Data!BH215</f>
        <v>0</v>
      </c>
      <c r="G215" s="3">
        <f>Data!N215</f>
        <v>0</v>
      </c>
      <c r="H215" s="17">
        <f>Data!AY215</f>
        <v>0</v>
      </c>
      <c r="I215" s="13">
        <f t="shared" si="39"/>
        <v>0</v>
      </c>
      <c r="K215" s="28">
        <f t="shared" si="40"/>
        <v>0</v>
      </c>
      <c r="M215" s="22">
        <f t="shared" si="37"/>
        <v>0</v>
      </c>
      <c r="N215" s="22">
        <f t="shared" si="38"/>
        <v>103.19999999999999</v>
      </c>
    </row>
    <row r="216" spans="1:14" x14ac:dyDescent="0.2">
      <c r="A216" s="15">
        <f>Data!A216</f>
        <v>45868</v>
      </c>
      <c r="B216" s="1">
        <v>211</v>
      </c>
      <c r="C216" s="16">
        <f>ROUND(Data!BB216,2)</f>
        <v>0</v>
      </c>
      <c r="D216" s="3">
        <f>ROUND(Data!P216,1)</f>
        <v>0</v>
      </c>
      <c r="E216" s="3">
        <f>ROUND(Data!Y216,1)</f>
        <v>0</v>
      </c>
      <c r="F216" s="3">
        <f>Data!BH216</f>
        <v>0</v>
      </c>
      <c r="G216" s="3">
        <f>Data!N216</f>
        <v>0</v>
      </c>
      <c r="H216" s="17">
        <f>Data!AY216</f>
        <v>0</v>
      </c>
      <c r="I216" s="13">
        <f t="shared" si="39"/>
        <v>0</v>
      </c>
      <c r="K216" s="28">
        <f t="shared" si="40"/>
        <v>0</v>
      </c>
      <c r="M216" s="22">
        <f t="shared" si="37"/>
        <v>0</v>
      </c>
      <c r="N216" s="22">
        <f t="shared" si="38"/>
        <v>103.19999999999999</v>
      </c>
    </row>
    <row r="217" spans="1:14" x14ac:dyDescent="0.2">
      <c r="A217" s="15">
        <f>Data!A217</f>
        <v>45869</v>
      </c>
      <c r="B217" s="1">
        <v>212</v>
      </c>
      <c r="C217" s="16">
        <f>ROUND(Data!BB217,2)</f>
        <v>0</v>
      </c>
      <c r="D217" s="3">
        <f>ROUND(Data!P217,1)</f>
        <v>0</v>
      </c>
      <c r="E217" s="3">
        <f>ROUND(Data!Y217,1)</f>
        <v>0</v>
      </c>
      <c r="F217" s="3">
        <f>Data!BH217</f>
        <v>0</v>
      </c>
      <c r="G217" s="3">
        <f>Data!N217</f>
        <v>0</v>
      </c>
      <c r="H217" s="17">
        <f>Data!AY217</f>
        <v>0</v>
      </c>
      <c r="I217" s="13">
        <f t="shared" si="39"/>
        <v>0</v>
      </c>
      <c r="K217" s="28">
        <f t="shared" si="40"/>
        <v>0</v>
      </c>
      <c r="M217" s="22">
        <f t="shared" si="37"/>
        <v>0</v>
      </c>
      <c r="N217" s="22">
        <f t="shared" si="38"/>
        <v>103.19999999999999</v>
      </c>
    </row>
    <row r="218" spans="1:14" x14ac:dyDescent="0.2">
      <c r="A218" s="15">
        <f>Data!A218</f>
        <v>45870</v>
      </c>
      <c r="B218" s="1">
        <v>213</v>
      </c>
      <c r="C218" s="16">
        <f>ROUND(Data!BB218,2)</f>
        <v>0</v>
      </c>
      <c r="D218" s="3">
        <f>ROUND(Data!P218,1)</f>
        <v>0</v>
      </c>
      <c r="E218" s="3">
        <f>ROUND(Data!Y218,1)</f>
        <v>0</v>
      </c>
      <c r="F218" s="3">
        <f>Data!BH218</f>
        <v>0</v>
      </c>
      <c r="G218" s="3">
        <f>Data!N218</f>
        <v>0</v>
      </c>
      <c r="H218" s="17">
        <f>Data!AY218</f>
        <v>0</v>
      </c>
      <c r="I218" s="13">
        <f t="shared" si="39"/>
        <v>0</v>
      </c>
      <c r="K218" s="28">
        <f t="shared" si="40"/>
        <v>0</v>
      </c>
      <c r="M218" s="22">
        <f t="shared" si="37"/>
        <v>0</v>
      </c>
      <c r="N218" s="22">
        <f t="shared" si="38"/>
        <v>103.19999999999999</v>
      </c>
    </row>
    <row r="219" spans="1:14" x14ac:dyDescent="0.2">
      <c r="A219" s="15">
        <f>Data!A219</f>
        <v>45871</v>
      </c>
      <c r="B219" s="1">
        <v>214</v>
      </c>
      <c r="C219" s="16">
        <f>ROUND(Data!BB219,2)</f>
        <v>0</v>
      </c>
      <c r="D219" s="3">
        <f>ROUND(Data!P219,1)</f>
        <v>0</v>
      </c>
      <c r="E219" s="3">
        <f>ROUND(Data!Y219,1)</f>
        <v>0</v>
      </c>
      <c r="F219" s="3">
        <f>Data!BH219</f>
        <v>0</v>
      </c>
      <c r="G219" s="3">
        <f>Data!N219</f>
        <v>0</v>
      </c>
      <c r="H219" s="17">
        <f>Data!AY219</f>
        <v>0</v>
      </c>
      <c r="I219" s="13">
        <f t="shared" si="39"/>
        <v>0</v>
      </c>
      <c r="K219" s="28">
        <f t="shared" si="40"/>
        <v>0</v>
      </c>
      <c r="M219" s="22">
        <f t="shared" si="37"/>
        <v>0</v>
      </c>
      <c r="N219" s="22">
        <f t="shared" si="38"/>
        <v>103.19999999999999</v>
      </c>
    </row>
    <row r="220" spans="1:14" x14ac:dyDescent="0.2">
      <c r="A220" s="15">
        <f>Data!A220</f>
        <v>45872</v>
      </c>
      <c r="B220" s="1">
        <v>215</v>
      </c>
      <c r="C220" s="16">
        <f>ROUND(Data!BB220,2)</f>
        <v>0</v>
      </c>
      <c r="D220" s="3">
        <f>ROUND(Data!P220,1)</f>
        <v>0</v>
      </c>
      <c r="E220" s="3">
        <f>ROUND(Data!Y220,1)</f>
        <v>0</v>
      </c>
      <c r="F220" s="3">
        <f>Data!BH220</f>
        <v>0</v>
      </c>
      <c r="G220" s="3">
        <f>Data!N220</f>
        <v>0</v>
      </c>
      <c r="H220" s="17">
        <f>Data!AY220</f>
        <v>0</v>
      </c>
      <c r="I220" s="13">
        <f t="shared" si="39"/>
        <v>0</v>
      </c>
      <c r="K220" s="28">
        <f t="shared" si="40"/>
        <v>0</v>
      </c>
      <c r="M220" s="22">
        <f t="shared" si="37"/>
        <v>0</v>
      </c>
      <c r="N220" s="22">
        <f t="shared" si="38"/>
        <v>103.19999999999999</v>
      </c>
    </row>
    <row r="221" spans="1:14" x14ac:dyDescent="0.2">
      <c r="A221" s="15">
        <f>Data!A221</f>
        <v>45873</v>
      </c>
      <c r="B221" s="1">
        <v>216</v>
      </c>
      <c r="C221" s="16">
        <f>ROUND(Data!BB221,2)</f>
        <v>0</v>
      </c>
      <c r="D221" s="3">
        <f>ROUND(Data!P221,1)</f>
        <v>0</v>
      </c>
      <c r="E221" s="3">
        <f>ROUND(Data!Y221,1)</f>
        <v>0</v>
      </c>
      <c r="F221" s="3">
        <f>Data!BH221</f>
        <v>0</v>
      </c>
      <c r="G221" s="3">
        <f>Data!N221</f>
        <v>0</v>
      </c>
      <c r="H221" s="17">
        <f>Data!AY221</f>
        <v>0</v>
      </c>
      <c r="I221" s="13">
        <f t="shared" si="39"/>
        <v>0</v>
      </c>
      <c r="K221" s="28">
        <f t="shared" si="40"/>
        <v>0</v>
      </c>
      <c r="M221" s="22">
        <f t="shared" si="37"/>
        <v>0</v>
      </c>
      <c r="N221" s="22">
        <f t="shared" si="38"/>
        <v>103.19999999999999</v>
      </c>
    </row>
    <row r="222" spans="1:14" x14ac:dyDescent="0.2">
      <c r="A222" s="15">
        <f>Data!A222</f>
        <v>45874</v>
      </c>
      <c r="B222" s="1">
        <v>217</v>
      </c>
      <c r="C222" s="16">
        <f>ROUND(Data!BB222,2)</f>
        <v>0</v>
      </c>
      <c r="D222" s="3">
        <f>ROUND(Data!P222,1)</f>
        <v>0</v>
      </c>
      <c r="E222" s="3">
        <f>ROUND(Data!Y222,1)</f>
        <v>0</v>
      </c>
      <c r="F222" s="3">
        <f>Data!BH222</f>
        <v>0</v>
      </c>
      <c r="G222" s="3">
        <f>Data!N222</f>
        <v>0</v>
      </c>
      <c r="H222" s="17">
        <f>Data!AY222</f>
        <v>0</v>
      </c>
      <c r="I222" s="13">
        <f t="shared" si="39"/>
        <v>0</v>
      </c>
      <c r="K222" s="28">
        <f t="shared" si="40"/>
        <v>0</v>
      </c>
      <c r="M222" s="22">
        <f t="shared" si="37"/>
        <v>0</v>
      </c>
      <c r="N222" s="22">
        <f t="shared" si="38"/>
        <v>103.19999999999999</v>
      </c>
    </row>
    <row r="223" spans="1:14" x14ac:dyDescent="0.2">
      <c r="A223" s="15">
        <f>Data!A223</f>
        <v>45875</v>
      </c>
      <c r="B223" s="1">
        <v>218</v>
      </c>
      <c r="C223" s="16">
        <f>ROUND(Data!BB223,2)</f>
        <v>0</v>
      </c>
      <c r="D223" s="3">
        <f>ROUND(Data!P223,1)</f>
        <v>0</v>
      </c>
      <c r="E223" s="3">
        <f>ROUND(Data!Y223,1)</f>
        <v>0</v>
      </c>
      <c r="F223" s="3">
        <f>Data!BH223</f>
        <v>0</v>
      </c>
      <c r="G223" s="3">
        <f>Data!N223</f>
        <v>0</v>
      </c>
      <c r="H223" s="17">
        <f>Data!AY223</f>
        <v>0</v>
      </c>
      <c r="I223" s="13">
        <f t="shared" si="39"/>
        <v>0</v>
      </c>
      <c r="K223" s="28">
        <f t="shared" si="40"/>
        <v>0</v>
      </c>
      <c r="M223" s="22">
        <f t="shared" si="37"/>
        <v>0</v>
      </c>
      <c r="N223" s="22">
        <f t="shared" si="38"/>
        <v>103.19999999999999</v>
      </c>
    </row>
    <row r="224" spans="1:14" x14ac:dyDescent="0.2">
      <c r="A224" s="15">
        <f>Data!A224</f>
        <v>45876</v>
      </c>
      <c r="B224" s="1">
        <v>219</v>
      </c>
      <c r="C224" s="16">
        <f>ROUND(Data!BB224,2)</f>
        <v>0</v>
      </c>
      <c r="D224" s="3">
        <f>ROUND(Data!P224,1)</f>
        <v>0</v>
      </c>
      <c r="E224" s="3">
        <f>ROUND(Data!Y224,1)</f>
        <v>0</v>
      </c>
      <c r="F224" s="3">
        <f>Data!BH224</f>
        <v>0</v>
      </c>
      <c r="G224" s="3">
        <f>Data!N224</f>
        <v>0</v>
      </c>
      <c r="H224" s="17">
        <f>Data!AY224</f>
        <v>0</v>
      </c>
      <c r="I224" s="13">
        <f t="shared" si="39"/>
        <v>0</v>
      </c>
      <c r="K224" s="28">
        <f t="shared" si="40"/>
        <v>0</v>
      </c>
      <c r="M224" s="22">
        <f t="shared" si="37"/>
        <v>0</v>
      </c>
      <c r="N224" s="22">
        <f t="shared" si="38"/>
        <v>103.19999999999999</v>
      </c>
    </row>
    <row r="225" spans="1:14" x14ac:dyDescent="0.2">
      <c r="A225" s="15">
        <f>Data!A225</f>
        <v>45877</v>
      </c>
      <c r="B225" s="1">
        <v>220</v>
      </c>
      <c r="C225" s="16">
        <f>ROUND(Data!BB225,2)</f>
        <v>0</v>
      </c>
      <c r="D225" s="3">
        <f>ROUND(Data!P225,1)</f>
        <v>0</v>
      </c>
      <c r="E225" s="3">
        <f>ROUND(Data!Y225,1)</f>
        <v>0</v>
      </c>
      <c r="F225" s="3">
        <f>Data!BH225</f>
        <v>0</v>
      </c>
      <c r="G225" s="3">
        <f>Data!N225</f>
        <v>0</v>
      </c>
      <c r="H225" s="17">
        <f>Data!AY225</f>
        <v>0</v>
      </c>
      <c r="I225" s="13">
        <f t="shared" si="39"/>
        <v>0</v>
      </c>
      <c r="K225" s="28">
        <f t="shared" si="40"/>
        <v>0</v>
      </c>
      <c r="M225" s="22">
        <f t="shared" si="37"/>
        <v>0</v>
      </c>
      <c r="N225" s="22">
        <f t="shared" si="38"/>
        <v>103.19999999999999</v>
      </c>
    </row>
    <row r="226" spans="1:14" x14ac:dyDescent="0.2">
      <c r="A226" s="15">
        <f>Data!A226</f>
        <v>45878</v>
      </c>
      <c r="B226" s="1">
        <v>221</v>
      </c>
      <c r="C226" s="16">
        <f>ROUND(Data!BB226,2)</f>
        <v>0</v>
      </c>
      <c r="D226" s="3">
        <f>ROUND(Data!P226,1)</f>
        <v>0</v>
      </c>
      <c r="E226" s="3">
        <f>ROUND(Data!Y226,1)</f>
        <v>0</v>
      </c>
      <c r="F226" s="3">
        <f>Data!BH226</f>
        <v>0</v>
      </c>
      <c r="G226" s="3">
        <f>Data!N226</f>
        <v>0</v>
      </c>
      <c r="H226" s="17">
        <f>Data!AY226</f>
        <v>0</v>
      </c>
      <c r="I226" s="13">
        <f t="shared" si="39"/>
        <v>0</v>
      </c>
      <c r="K226" s="28">
        <f t="shared" si="40"/>
        <v>0</v>
      </c>
      <c r="M226" s="22">
        <f t="shared" si="37"/>
        <v>0</v>
      </c>
      <c r="N226" s="22">
        <f t="shared" si="38"/>
        <v>103.19999999999999</v>
      </c>
    </row>
    <row r="227" spans="1:14" x14ac:dyDescent="0.2">
      <c r="A227" s="15">
        <f>Data!A227</f>
        <v>45879</v>
      </c>
      <c r="B227" s="1">
        <v>222</v>
      </c>
      <c r="C227" s="16">
        <f>ROUND(Data!BB227,2)</f>
        <v>0</v>
      </c>
      <c r="D227" s="3">
        <f>ROUND(Data!P227,1)</f>
        <v>0</v>
      </c>
      <c r="E227" s="3">
        <f>ROUND(Data!Y227,1)</f>
        <v>0</v>
      </c>
      <c r="F227" s="3">
        <f>Data!BH227</f>
        <v>0</v>
      </c>
      <c r="G227" s="3">
        <f>Data!N227</f>
        <v>0</v>
      </c>
      <c r="H227" s="17">
        <f>Data!AY227</f>
        <v>0</v>
      </c>
      <c r="I227" s="13">
        <f t="shared" si="39"/>
        <v>0</v>
      </c>
      <c r="K227" s="28">
        <f t="shared" si="40"/>
        <v>0</v>
      </c>
      <c r="M227" s="22">
        <f t="shared" si="37"/>
        <v>0</v>
      </c>
      <c r="N227" s="22">
        <f t="shared" si="38"/>
        <v>103.19999999999999</v>
      </c>
    </row>
    <row r="228" spans="1:14" x14ac:dyDescent="0.2">
      <c r="A228" s="15">
        <f>Data!A228</f>
        <v>45880</v>
      </c>
      <c r="B228" s="1">
        <v>223</v>
      </c>
      <c r="C228" s="16">
        <f>ROUND(Data!BB228,2)</f>
        <v>0</v>
      </c>
      <c r="D228" s="3">
        <f>ROUND(Data!P228,1)</f>
        <v>0</v>
      </c>
      <c r="E228" s="3">
        <f>ROUND(Data!Y228,1)</f>
        <v>0</v>
      </c>
      <c r="F228" s="3">
        <f>Data!BH228</f>
        <v>0</v>
      </c>
      <c r="G228" s="3">
        <f>Data!N228</f>
        <v>0</v>
      </c>
      <c r="H228" s="17">
        <f>Data!AY228</f>
        <v>0</v>
      </c>
      <c r="I228" s="13">
        <f t="shared" si="39"/>
        <v>0</v>
      </c>
      <c r="K228" s="28">
        <f t="shared" si="40"/>
        <v>0</v>
      </c>
      <c r="M228" s="22">
        <f t="shared" si="37"/>
        <v>0</v>
      </c>
      <c r="N228" s="22">
        <f t="shared" si="38"/>
        <v>103.19999999999999</v>
      </c>
    </row>
    <row r="229" spans="1:14" x14ac:dyDescent="0.2">
      <c r="A229" s="15">
        <f>Data!A229</f>
        <v>45881</v>
      </c>
      <c r="B229" s="1">
        <v>224</v>
      </c>
      <c r="C229" s="16">
        <f>ROUND(Data!BB229,2)</f>
        <v>0</v>
      </c>
      <c r="D229" s="3">
        <f>ROUND(Data!P229,1)</f>
        <v>0</v>
      </c>
      <c r="E229" s="3">
        <f>ROUND(Data!Y229,1)</f>
        <v>0</v>
      </c>
      <c r="F229" s="3">
        <f>Data!BH229</f>
        <v>0</v>
      </c>
      <c r="G229" s="3">
        <f>Data!N229</f>
        <v>0</v>
      </c>
      <c r="H229" s="17">
        <f>Data!AY229</f>
        <v>0</v>
      </c>
      <c r="I229" s="13">
        <f t="shared" si="39"/>
        <v>0</v>
      </c>
      <c r="K229" s="28">
        <f t="shared" si="40"/>
        <v>0</v>
      </c>
      <c r="M229" s="22">
        <f t="shared" si="37"/>
        <v>0</v>
      </c>
      <c r="N229" s="22">
        <f t="shared" si="38"/>
        <v>103.19999999999999</v>
      </c>
    </row>
    <row r="230" spans="1:14" x14ac:dyDescent="0.2">
      <c r="A230" s="15">
        <f>Data!A230</f>
        <v>45882</v>
      </c>
      <c r="B230" s="1">
        <v>225</v>
      </c>
      <c r="C230" s="16">
        <f>ROUND(Data!BB230,2)</f>
        <v>0</v>
      </c>
      <c r="D230" s="3">
        <f>ROUND(Data!P230,1)</f>
        <v>0</v>
      </c>
      <c r="E230" s="3">
        <f>ROUND(Data!Y230,1)</f>
        <v>0</v>
      </c>
      <c r="F230" s="3">
        <f>Data!BH230</f>
        <v>0</v>
      </c>
      <c r="G230" s="3">
        <f>Data!N230</f>
        <v>0</v>
      </c>
      <c r="H230" s="17">
        <f>Data!AY230</f>
        <v>0</v>
      </c>
      <c r="I230" s="13">
        <f t="shared" si="39"/>
        <v>0</v>
      </c>
      <c r="K230" s="28">
        <f t="shared" si="40"/>
        <v>0</v>
      </c>
      <c r="M230" s="22">
        <f t="shared" si="37"/>
        <v>0</v>
      </c>
      <c r="N230" s="22">
        <f t="shared" si="38"/>
        <v>103.19999999999999</v>
      </c>
    </row>
    <row r="231" spans="1:14" x14ac:dyDescent="0.2">
      <c r="A231" s="15">
        <f>Data!A231</f>
        <v>45883</v>
      </c>
      <c r="B231" s="1">
        <v>226</v>
      </c>
      <c r="C231" s="16">
        <f>ROUND(Data!BB231,2)</f>
        <v>0</v>
      </c>
      <c r="D231" s="3">
        <f>ROUND(Data!P231,1)</f>
        <v>0</v>
      </c>
      <c r="E231" s="3">
        <f>ROUND(Data!Y231,1)</f>
        <v>0</v>
      </c>
      <c r="F231" s="3">
        <f>Data!BH231</f>
        <v>0</v>
      </c>
      <c r="G231" s="3">
        <f>Data!N231</f>
        <v>0</v>
      </c>
      <c r="H231" s="17">
        <f>Data!AY231</f>
        <v>0</v>
      </c>
      <c r="I231" s="13">
        <f t="shared" si="39"/>
        <v>0</v>
      </c>
      <c r="K231" s="28">
        <f t="shared" si="40"/>
        <v>0</v>
      </c>
      <c r="M231" s="22">
        <f t="shared" si="37"/>
        <v>0</v>
      </c>
      <c r="N231" s="22">
        <f t="shared" si="38"/>
        <v>103.19999999999999</v>
      </c>
    </row>
    <row r="232" spans="1:14" x14ac:dyDescent="0.2">
      <c r="A232" s="15">
        <f>Data!A232</f>
        <v>45884</v>
      </c>
      <c r="B232" s="1">
        <v>227</v>
      </c>
      <c r="C232" s="16">
        <f>ROUND(Data!BB232,2)</f>
        <v>0</v>
      </c>
      <c r="D232" s="3">
        <f>ROUND(Data!P232,1)</f>
        <v>0</v>
      </c>
      <c r="E232" s="3">
        <f>ROUND(Data!Y232,1)</f>
        <v>0</v>
      </c>
      <c r="F232" s="3">
        <f>Data!BH232</f>
        <v>0</v>
      </c>
      <c r="G232" s="3">
        <f>Data!N232</f>
        <v>0</v>
      </c>
      <c r="H232" s="17">
        <f>Data!AY232</f>
        <v>0</v>
      </c>
      <c r="I232" s="13">
        <f t="shared" si="39"/>
        <v>0</v>
      </c>
      <c r="K232" s="28">
        <f t="shared" si="40"/>
        <v>0</v>
      </c>
      <c r="M232" s="22">
        <f t="shared" si="37"/>
        <v>0</v>
      </c>
      <c r="N232" s="22">
        <f t="shared" si="38"/>
        <v>103.19999999999999</v>
      </c>
    </row>
    <row r="233" spans="1:14" x14ac:dyDescent="0.2">
      <c r="A233" s="15">
        <f>Data!A233</f>
        <v>45885</v>
      </c>
      <c r="B233" s="1">
        <v>228</v>
      </c>
      <c r="C233" s="16">
        <f>ROUND(Data!BB233,2)</f>
        <v>0</v>
      </c>
      <c r="D233" s="3">
        <f>ROUND(Data!P233,1)</f>
        <v>0</v>
      </c>
      <c r="E233" s="3">
        <f>ROUND(Data!Y233,1)</f>
        <v>0</v>
      </c>
      <c r="F233" s="3">
        <f>Data!BH233</f>
        <v>0</v>
      </c>
      <c r="G233" s="3">
        <f>Data!N233</f>
        <v>0</v>
      </c>
      <c r="H233" s="17">
        <f>Data!AY233</f>
        <v>0</v>
      </c>
      <c r="I233" s="13">
        <f t="shared" si="39"/>
        <v>0</v>
      </c>
      <c r="K233" s="28">
        <f t="shared" si="40"/>
        <v>0</v>
      </c>
      <c r="M233" s="22">
        <f t="shared" si="37"/>
        <v>0</v>
      </c>
      <c r="N233" s="22">
        <f t="shared" si="38"/>
        <v>103.19999999999999</v>
      </c>
    </row>
    <row r="234" spans="1:14" x14ac:dyDescent="0.2">
      <c r="A234" s="15">
        <f>Data!A234</f>
        <v>45886</v>
      </c>
      <c r="B234" s="1">
        <v>229</v>
      </c>
      <c r="C234" s="16">
        <f>ROUND(Data!BB234,2)</f>
        <v>0</v>
      </c>
      <c r="D234" s="3">
        <f>ROUND(Data!P234,1)</f>
        <v>0</v>
      </c>
      <c r="E234" s="3">
        <f>ROUND(Data!Y234,1)</f>
        <v>0</v>
      </c>
      <c r="F234" s="3">
        <f>Data!BH234</f>
        <v>0</v>
      </c>
      <c r="G234" s="3">
        <f>Data!N234</f>
        <v>0</v>
      </c>
      <c r="H234" s="17">
        <f>Data!AY234</f>
        <v>0</v>
      </c>
      <c r="I234" s="13">
        <f t="shared" si="39"/>
        <v>0</v>
      </c>
      <c r="K234" s="28">
        <f t="shared" si="40"/>
        <v>0</v>
      </c>
      <c r="M234" s="22">
        <f t="shared" si="37"/>
        <v>0</v>
      </c>
      <c r="N234" s="22">
        <f t="shared" si="38"/>
        <v>103.19999999999999</v>
      </c>
    </row>
    <row r="235" spans="1:14" x14ac:dyDescent="0.2">
      <c r="A235" s="15">
        <f>Data!A235</f>
        <v>45887</v>
      </c>
      <c r="B235" s="1">
        <v>230</v>
      </c>
      <c r="C235" s="16">
        <f>ROUND(Data!BB235,2)</f>
        <v>0</v>
      </c>
      <c r="D235" s="3">
        <f>ROUND(Data!P235,1)</f>
        <v>0</v>
      </c>
      <c r="E235" s="3">
        <f>ROUND(Data!Y235,1)</f>
        <v>0</v>
      </c>
      <c r="F235" s="3">
        <f>Data!BH235</f>
        <v>0</v>
      </c>
      <c r="G235" s="3">
        <f>Data!N235</f>
        <v>0</v>
      </c>
      <c r="H235" s="17">
        <f>Data!AY235</f>
        <v>0</v>
      </c>
      <c r="I235" s="13">
        <f t="shared" si="39"/>
        <v>0</v>
      </c>
      <c r="K235" s="28">
        <f t="shared" si="40"/>
        <v>0</v>
      </c>
      <c r="M235" s="22">
        <f t="shared" si="37"/>
        <v>0</v>
      </c>
      <c r="N235" s="22">
        <f t="shared" si="38"/>
        <v>103.19999999999999</v>
      </c>
    </row>
    <row r="236" spans="1:14" x14ac:dyDescent="0.2">
      <c r="A236" s="15">
        <f>Data!A236</f>
        <v>45888</v>
      </c>
      <c r="B236" s="1">
        <v>231</v>
      </c>
      <c r="C236" s="16">
        <f>ROUND(Data!BB236,2)</f>
        <v>0</v>
      </c>
      <c r="D236" s="3">
        <f>ROUND(Data!P236,1)</f>
        <v>0</v>
      </c>
      <c r="E236" s="3">
        <f>ROUND(Data!Y236,1)</f>
        <v>0</v>
      </c>
      <c r="F236" s="3">
        <f>Data!BH236</f>
        <v>0</v>
      </c>
      <c r="G236" s="3">
        <f>Data!N236</f>
        <v>0</v>
      </c>
      <c r="H236" s="17">
        <f>Data!AY236</f>
        <v>0</v>
      </c>
      <c r="I236" s="13">
        <f t="shared" si="39"/>
        <v>0</v>
      </c>
      <c r="K236" s="28">
        <f t="shared" si="40"/>
        <v>0</v>
      </c>
      <c r="M236" s="22">
        <f t="shared" si="37"/>
        <v>0</v>
      </c>
      <c r="N236" s="22">
        <f t="shared" si="38"/>
        <v>103.19999999999999</v>
      </c>
    </row>
    <row r="237" spans="1:14" x14ac:dyDescent="0.2">
      <c r="A237" s="15">
        <f>Data!A237</f>
        <v>45889</v>
      </c>
      <c r="B237" s="1">
        <v>232</v>
      </c>
      <c r="C237" s="16">
        <f>ROUND(Data!BB237,2)</f>
        <v>0</v>
      </c>
      <c r="D237" s="3">
        <f>ROUND(Data!P237,1)</f>
        <v>0</v>
      </c>
      <c r="E237" s="3">
        <f>ROUND(Data!Y237,1)</f>
        <v>0</v>
      </c>
      <c r="F237" s="3">
        <f>Data!BH237</f>
        <v>0</v>
      </c>
      <c r="G237" s="3">
        <f>Data!N237</f>
        <v>0</v>
      </c>
      <c r="H237" s="17">
        <f>Data!AY237</f>
        <v>0</v>
      </c>
      <c r="I237" s="13">
        <f t="shared" si="39"/>
        <v>0</v>
      </c>
      <c r="K237" s="28">
        <f t="shared" si="40"/>
        <v>0</v>
      </c>
      <c r="M237" s="22">
        <f t="shared" si="37"/>
        <v>0</v>
      </c>
      <c r="N237" s="22">
        <f t="shared" si="38"/>
        <v>103.19999999999999</v>
      </c>
    </row>
    <row r="238" spans="1:14" x14ac:dyDescent="0.2">
      <c r="A238" s="15">
        <f>Data!A238</f>
        <v>45890</v>
      </c>
      <c r="B238" s="1">
        <v>233</v>
      </c>
      <c r="C238" s="16">
        <f>ROUND(Data!BB238,2)</f>
        <v>0</v>
      </c>
      <c r="D238" s="3">
        <f>ROUND(Data!P238,1)</f>
        <v>0</v>
      </c>
      <c r="E238" s="3">
        <f>ROUND(Data!Y238,1)</f>
        <v>0</v>
      </c>
      <c r="F238" s="3">
        <f>Data!BH238</f>
        <v>0</v>
      </c>
      <c r="G238" s="3">
        <f>Data!N238</f>
        <v>0</v>
      </c>
      <c r="H238" s="17">
        <f>Data!AY238</f>
        <v>0</v>
      </c>
      <c r="I238" s="13">
        <f t="shared" si="39"/>
        <v>0</v>
      </c>
      <c r="K238" s="28">
        <f t="shared" si="40"/>
        <v>0</v>
      </c>
      <c r="M238" s="22">
        <f t="shared" si="37"/>
        <v>0</v>
      </c>
      <c r="N238" s="22">
        <f t="shared" si="38"/>
        <v>103.19999999999999</v>
      </c>
    </row>
    <row r="239" spans="1:14" x14ac:dyDescent="0.2">
      <c r="A239" s="15">
        <f>Data!A239</f>
        <v>45891</v>
      </c>
      <c r="B239" s="1">
        <v>234</v>
      </c>
      <c r="C239" s="16">
        <f>ROUND(Data!BB239,2)</f>
        <v>0</v>
      </c>
      <c r="D239" s="3">
        <f>ROUND(Data!P239,1)</f>
        <v>0</v>
      </c>
      <c r="E239" s="3">
        <f>ROUND(Data!Y239,1)</f>
        <v>0</v>
      </c>
      <c r="F239" s="3">
        <f>Data!BH239</f>
        <v>0</v>
      </c>
      <c r="G239" s="3">
        <f>Data!N239</f>
        <v>0</v>
      </c>
      <c r="H239" s="17">
        <f>Data!AY239</f>
        <v>0</v>
      </c>
      <c r="I239" s="13">
        <f t="shared" si="39"/>
        <v>0</v>
      </c>
      <c r="K239" s="28">
        <f t="shared" si="40"/>
        <v>0</v>
      </c>
      <c r="M239" s="22">
        <f t="shared" si="37"/>
        <v>0</v>
      </c>
      <c r="N239" s="22">
        <f t="shared" si="38"/>
        <v>103.19999999999999</v>
      </c>
    </row>
    <row r="240" spans="1:14" x14ac:dyDescent="0.2">
      <c r="A240" s="15">
        <f>Data!A240</f>
        <v>45892</v>
      </c>
      <c r="B240" s="1">
        <v>235</v>
      </c>
      <c r="C240" s="16">
        <f>ROUND(Data!BB240,2)</f>
        <v>0</v>
      </c>
      <c r="D240" s="3">
        <f>ROUND(Data!P240,1)</f>
        <v>0</v>
      </c>
      <c r="E240" s="3">
        <f>ROUND(Data!Y240,1)</f>
        <v>0</v>
      </c>
      <c r="F240" s="3">
        <f>Data!BH240</f>
        <v>0</v>
      </c>
      <c r="G240" s="3">
        <f>Data!N240</f>
        <v>0</v>
      </c>
      <c r="H240" s="17">
        <f>Data!AY240</f>
        <v>0</v>
      </c>
      <c r="I240" s="13">
        <f t="shared" si="39"/>
        <v>0</v>
      </c>
      <c r="K240" s="28">
        <f t="shared" si="40"/>
        <v>0</v>
      </c>
      <c r="M240" s="22">
        <f t="shared" si="37"/>
        <v>0</v>
      </c>
      <c r="N240" s="22">
        <f t="shared" si="38"/>
        <v>103.19999999999999</v>
      </c>
    </row>
    <row r="241" spans="1:14" x14ac:dyDescent="0.2">
      <c r="A241" s="15">
        <f>Data!A241</f>
        <v>45893</v>
      </c>
      <c r="B241" s="1">
        <v>236</v>
      </c>
      <c r="C241" s="16">
        <f>ROUND(Data!BB241,2)</f>
        <v>0</v>
      </c>
      <c r="D241" s="3">
        <f>ROUND(Data!P241,1)</f>
        <v>0</v>
      </c>
      <c r="E241" s="3">
        <f>ROUND(Data!Y241,1)</f>
        <v>0</v>
      </c>
      <c r="F241" s="3">
        <f>Data!BH241</f>
        <v>0</v>
      </c>
      <c r="G241" s="3">
        <f>Data!N241</f>
        <v>0</v>
      </c>
      <c r="H241" s="17">
        <f>Data!AY241</f>
        <v>0</v>
      </c>
      <c r="I241" s="13">
        <f t="shared" si="39"/>
        <v>0</v>
      </c>
      <c r="K241" s="28">
        <f t="shared" si="40"/>
        <v>0</v>
      </c>
      <c r="M241" s="22">
        <f t="shared" si="37"/>
        <v>0</v>
      </c>
      <c r="N241" s="22">
        <f t="shared" si="38"/>
        <v>103.19999999999999</v>
      </c>
    </row>
    <row r="242" spans="1:14" x14ac:dyDescent="0.2">
      <c r="A242" s="15">
        <f>Data!A242</f>
        <v>45894</v>
      </c>
      <c r="B242" s="1">
        <v>237</v>
      </c>
      <c r="C242" s="16">
        <f>ROUND(Data!BB242,2)</f>
        <v>0</v>
      </c>
      <c r="D242" s="3">
        <f>ROUND(Data!P242,1)</f>
        <v>0</v>
      </c>
      <c r="E242" s="3">
        <f>ROUND(Data!Y242,1)</f>
        <v>0</v>
      </c>
      <c r="F242" s="3">
        <f>Data!BH242</f>
        <v>0</v>
      </c>
      <c r="G242" s="3">
        <f>Data!N242</f>
        <v>0</v>
      </c>
      <c r="H242" s="17">
        <f>Data!AY242</f>
        <v>0</v>
      </c>
      <c r="I242" s="13">
        <f t="shared" si="39"/>
        <v>0</v>
      </c>
      <c r="K242" s="28">
        <f t="shared" si="40"/>
        <v>0</v>
      </c>
      <c r="M242" s="22">
        <f t="shared" si="37"/>
        <v>0</v>
      </c>
      <c r="N242" s="22">
        <f t="shared" si="38"/>
        <v>103.19999999999999</v>
      </c>
    </row>
    <row r="243" spans="1:14" x14ac:dyDescent="0.2">
      <c r="A243" s="15">
        <f>Data!A243</f>
        <v>45895</v>
      </c>
      <c r="B243" s="1">
        <v>238</v>
      </c>
      <c r="C243" s="16">
        <f>ROUND(Data!BB243,2)</f>
        <v>0</v>
      </c>
      <c r="D243" s="3">
        <f>ROUND(Data!P243,1)</f>
        <v>0</v>
      </c>
      <c r="E243" s="3">
        <f>ROUND(Data!Y243,1)</f>
        <v>0</v>
      </c>
      <c r="F243" s="3">
        <f>Data!BH243</f>
        <v>0</v>
      </c>
      <c r="G243" s="3">
        <f>Data!N243</f>
        <v>0</v>
      </c>
      <c r="H243" s="17">
        <f>Data!AY243</f>
        <v>0</v>
      </c>
      <c r="I243" s="13">
        <f t="shared" si="39"/>
        <v>0</v>
      </c>
      <c r="K243" s="28">
        <f t="shared" si="40"/>
        <v>0</v>
      </c>
      <c r="M243" s="22">
        <f t="shared" si="37"/>
        <v>0</v>
      </c>
      <c r="N243" s="22">
        <f t="shared" si="38"/>
        <v>103.19999999999999</v>
      </c>
    </row>
    <row r="244" spans="1:14" x14ac:dyDescent="0.2">
      <c r="A244" s="15">
        <f>Data!A244</f>
        <v>45896</v>
      </c>
      <c r="B244" s="1">
        <v>239</v>
      </c>
      <c r="C244" s="16">
        <f>ROUND(Data!BB244,2)</f>
        <v>0</v>
      </c>
      <c r="D244" s="3">
        <f>ROUND(Data!P244,1)</f>
        <v>0</v>
      </c>
      <c r="E244" s="3">
        <f>ROUND(Data!Y244,1)</f>
        <v>0</v>
      </c>
      <c r="F244" s="3">
        <f>Data!BH244</f>
        <v>0</v>
      </c>
      <c r="G244" s="3">
        <f>Data!N244</f>
        <v>0</v>
      </c>
      <c r="H244" s="17">
        <f>Data!AY244</f>
        <v>0</v>
      </c>
      <c r="I244" s="13">
        <f t="shared" si="39"/>
        <v>0</v>
      </c>
      <c r="K244" s="28">
        <f t="shared" si="40"/>
        <v>0</v>
      </c>
      <c r="M244" s="22">
        <f t="shared" si="37"/>
        <v>0</v>
      </c>
      <c r="N244" s="22">
        <f t="shared" si="38"/>
        <v>103.19999999999999</v>
      </c>
    </row>
    <row r="245" spans="1:14" x14ac:dyDescent="0.2">
      <c r="A245" s="15">
        <f>Data!A245</f>
        <v>45897</v>
      </c>
      <c r="B245" s="1">
        <v>240</v>
      </c>
      <c r="C245" s="16">
        <f>ROUND(Data!BB245,2)</f>
        <v>0</v>
      </c>
      <c r="D245" s="3">
        <f>ROUND(Data!P245,1)</f>
        <v>0</v>
      </c>
      <c r="E245" s="3">
        <f>ROUND(Data!Y245,1)</f>
        <v>0</v>
      </c>
      <c r="F245" s="3">
        <f>Data!BH245</f>
        <v>0</v>
      </c>
      <c r="G245" s="3">
        <f>Data!N245</f>
        <v>0</v>
      </c>
      <c r="H245" s="17">
        <f>Data!AY245</f>
        <v>0</v>
      </c>
      <c r="I245" s="13">
        <f t="shared" si="39"/>
        <v>0</v>
      </c>
      <c r="K245" s="28">
        <f t="shared" si="40"/>
        <v>0</v>
      </c>
      <c r="M245" s="22">
        <f t="shared" si="37"/>
        <v>0</v>
      </c>
      <c r="N245" s="22">
        <f t="shared" si="38"/>
        <v>103.19999999999999</v>
      </c>
    </row>
    <row r="246" spans="1:14" x14ac:dyDescent="0.2">
      <c r="A246" s="15">
        <f>Data!A246</f>
        <v>45898</v>
      </c>
      <c r="B246" s="1">
        <v>241</v>
      </c>
      <c r="C246" s="16">
        <f>ROUND(Data!BB246,2)</f>
        <v>0</v>
      </c>
      <c r="D246" s="3">
        <f>ROUND(Data!P246,1)</f>
        <v>0</v>
      </c>
      <c r="E246" s="3">
        <f>ROUND(Data!Y246,1)</f>
        <v>0</v>
      </c>
      <c r="F246" s="3">
        <f>Data!BH246</f>
        <v>0</v>
      </c>
      <c r="G246" s="3">
        <f>Data!N246</f>
        <v>0</v>
      </c>
      <c r="H246" s="17">
        <f>Data!AY246</f>
        <v>0</v>
      </c>
      <c r="I246" s="13">
        <f t="shared" si="39"/>
        <v>0</v>
      </c>
      <c r="K246" s="28">
        <f t="shared" si="40"/>
        <v>0</v>
      </c>
      <c r="M246" s="22">
        <f t="shared" si="37"/>
        <v>0</v>
      </c>
      <c r="N246" s="22">
        <f t="shared" si="38"/>
        <v>103.19999999999999</v>
      </c>
    </row>
    <row r="247" spans="1:14" x14ac:dyDescent="0.2">
      <c r="A247" s="15">
        <f>Data!A247</f>
        <v>45899</v>
      </c>
      <c r="B247" s="1">
        <v>242</v>
      </c>
      <c r="C247" s="16">
        <f>ROUND(Data!BB247,2)</f>
        <v>0</v>
      </c>
      <c r="D247" s="3">
        <f>ROUND(Data!P247,1)</f>
        <v>0</v>
      </c>
      <c r="E247" s="3">
        <f>ROUND(Data!Y247,1)</f>
        <v>0</v>
      </c>
      <c r="F247" s="3">
        <f>Data!BH247</f>
        <v>0</v>
      </c>
      <c r="G247" s="3">
        <f>Data!N247</f>
        <v>0</v>
      </c>
      <c r="H247" s="17">
        <f>Data!AY247</f>
        <v>0</v>
      </c>
      <c r="I247" s="13">
        <f t="shared" si="39"/>
        <v>0</v>
      </c>
      <c r="K247" s="28">
        <f t="shared" si="40"/>
        <v>0</v>
      </c>
      <c r="M247" s="22">
        <f t="shared" si="37"/>
        <v>0</v>
      </c>
      <c r="N247" s="22">
        <f t="shared" si="38"/>
        <v>103.19999999999999</v>
      </c>
    </row>
    <row r="248" spans="1:14" x14ac:dyDescent="0.2">
      <c r="A248" s="15">
        <f>Data!A248</f>
        <v>45900</v>
      </c>
      <c r="B248" s="1">
        <v>243</v>
      </c>
      <c r="C248" s="16">
        <f>ROUND(Data!BB248,2)</f>
        <v>0</v>
      </c>
      <c r="D248" s="3">
        <f>ROUND(Data!P248,1)</f>
        <v>0</v>
      </c>
      <c r="E248" s="3">
        <f>ROUND(Data!Y248,1)</f>
        <v>0</v>
      </c>
      <c r="F248" s="3">
        <f>Data!BH248</f>
        <v>0</v>
      </c>
      <c r="G248" s="3">
        <f>Data!N248</f>
        <v>0</v>
      </c>
      <c r="H248" s="17">
        <f>Data!AY248</f>
        <v>0</v>
      </c>
      <c r="I248" s="13">
        <f t="shared" si="39"/>
        <v>0</v>
      </c>
      <c r="K248" s="28">
        <f t="shared" si="40"/>
        <v>0</v>
      </c>
      <c r="M248" s="22">
        <f t="shared" si="37"/>
        <v>0</v>
      </c>
      <c r="N248" s="22">
        <f t="shared" si="38"/>
        <v>103.19999999999999</v>
      </c>
    </row>
    <row r="249" spans="1:14" x14ac:dyDescent="0.2">
      <c r="A249" s="15">
        <f>Data!A249</f>
        <v>45901</v>
      </c>
      <c r="B249" s="1">
        <v>244</v>
      </c>
      <c r="C249" s="16">
        <f>ROUND(Data!BB249,2)</f>
        <v>0</v>
      </c>
      <c r="D249" s="3">
        <f>ROUND(Data!P249,1)</f>
        <v>0</v>
      </c>
      <c r="E249" s="3">
        <f>ROUND(Data!Y249,1)</f>
        <v>0</v>
      </c>
      <c r="F249" s="3">
        <f>Data!BH249</f>
        <v>0</v>
      </c>
      <c r="G249" s="3">
        <f>Data!N249</f>
        <v>0</v>
      </c>
      <c r="H249" s="17">
        <f>Data!AY249</f>
        <v>0</v>
      </c>
      <c r="I249" s="13">
        <f t="shared" si="39"/>
        <v>0</v>
      </c>
      <c r="K249" s="28">
        <f t="shared" si="40"/>
        <v>0</v>
      </c>
      <c r="M249" s="22">
        <f t="shared" si="37"/>
        <v>0</v>
      </c>
      <c r="N249" s="22">
        <f t="shared" si="38"/>
        <v>103.19999999999999</v>
      </c>
    </row>
    <row r="250" spans="1:14" x14ac:dyDescent="0.2">
      <c r="A250" s="15">
        <f>Data!A250</f>
        <v>45902</v>
      </c>
      <c r="B250" s="1">
        <v>245</v>
      </c>
      <c r="C250" s="16">
        <f>ROUND(Data!BB250,2)</f>
        <v>0</v>
      </c>
      <c r="D250" s="3">
        <f>ROUND(Data!P250,1)</f>
        <v>0</v>
      </c>
      <c r="E250" s="3">
        <f>ROUND(Data!Y250,1)</f>
        <v>0</v>
      </c>
      <c r="F250" s="3">
        <f>Data!BH250</f>
        <v>0</v>
      </c>
      <c r="G250" s="3">
        <f>Data!N250</f>
        <v>0</v>
      </c>
      <c r="H250" s="17">
        <f>Data!AY250</f>
        <v>0</v>
      </c>
      <c r="I250" s="13">
        <f t="shared" si="39"/>
        <v>0</v>
      </c>
      <c r="K250" s="28">
        <f t="shared" si="40"/>
        <v>0</v>
      </c>
      <c r="M250" s="22">
        <f t="shared" si="37"/>
        <v>0</v>
      </c>
      <c r="N250" s="22">
        <f t="shared" si="38"/>
        <v>103.19999999999999</v>
      </c>
    </row>
    <row r="251" spans="1:14" x14ac:dyDescent="0.2">
      <c r="A251" s="15">
        <f>Data!A251</f>
        <v>45903</v>
      </c>
      <c r="B251" s="1">
        <v>246</v>
      </c>
      <c r="C251" s="16">
        <f>ROUND(Data!BB251,2)</f>
        <v>0</v>
      </c>
      <c r="D251" s="3">
        <f>ROUND(Data!P251,1)</f>
        <v>0</v>
      </c>
      <c r="E251" s="3">
        <f>ROUND(Data!Y251,1)</f>
        <v>0</v>
      </c>
      <c r="F251" s="3">
        <f>Data!BH251</f>
        <v>0</v>
      </c>
      <c r="G251" s="3">
        <f>Data!N251</f>
        <v>0</v>
      </c>
      <c r="H251" s="17">
        <f>Data!AY251</f>
        <v>0</v>
      </c>
      <c r="I251" s="13">
        <f t="shared" si="39"/>
        <v>0</v>
      </c>
      <c r="K251" s="28">
        <f t="shared" si="40"/>
        <v>0</v>
      </c>
      <c r="M251" s="22">
        <f t="shared" si="37"/>
        <v>0</v>
      </c>
      <c r="N251" s="22">
        <f t="shared" si="38"/>
        <v>103.19999999999999</v>
      </c>
    </row>
    <row r="252" spans="1:14" x14ac:dyDescent="0.2">
      <c r="A252" s="15">
        <f>Data!A252</f>
        <v>45904</v>
      </c>
      <c r="B252" s="1">
        <v>247</v>
      </c>
      <c r="C252" s="16">
        <f>ROUND(Data!BB252,2)</f>
        <v>0</v>
      </c>
      <c r="D252" s="3">
        <f>ROUND(Data!P252,1)</f>
        <v>0</v>
      </c>
      <c r="E252" s="3">
        <f>ROUND(Data!Y252,1)</f>
        <v>0</v>
      </c>
      <c r="F252" s="3">
        <f>Data!BH252</f>
        <v>0</v>
      </c>
      <c r="G252" s="3">
        <f>Data!N252</f>
        <v>0</v>
      </c>
      <c r="H252" s="17">
        <f>Data!AY252</f>
        <v>0</v>
      </c>
      <c r="I252" s="13">
        <f t="shared" si="39"/>
        <v>0</v>
      </c>
      <c r="K252" s="28">
        <f t="shared" si="40"/>
        <v>0</v>
      </c>
      <c r="M252" s="22">
        <f t="shared" si="37"/>
        <v>0</v>
      </c>
      <c r="N252" s="22">
        <f t="shared" si="38"/>
        <v>103.19999999999999</v>
      </c>
    </row>
    <row r="253" spans="1:14" x14ac:dyDescent="0.2">
      <c r="A253" s="15">
        <f>Data!A253</f>
        <v>45905</v>
      </c>
      <c r="B253" s="1">
        <v>248</v>
      </c>
      <c r="C253" s="16">
        <f>ROUND(Data!BB253,2)</f>
        <v>0</v>
      </c>
      <c r="D253" s="3">
        <f>ROUND(Data!P253,1)</f>
        <v>0</v>
      </c>
      <c r="E253" s="3">
        <f>ROUND(Data!Y253,1)</f>
        <v>0</v>
      </c>
      <c r="F253" s="3">
        <f>Data!BH253</f>
        <v>0</v>
      </c>
      <c r="G253" s="3">
        <f>Data!N253</f>
        <v>0</v>
      </c>
      <c r="H253" s="17">
        <f>Data!AY253</f>
        <v>0</v>
      </c>
      <c r="I253" s="13">
        <f t="shared" si="39"/>
        <v>0</v>
      </c>
      <c r="K253" s="28">
        <f t="shared" si="40"/>
        <v>0</v>
      </c>
      <c r="M253" s="22">
        <f t="shared" ref="M253:M316" si="41">J253+M252</f>
        <v>0</v>
      </c>
      <c r="N253" s="22">
        <f t="shared" ref="N253:N316" si="42">K253+N252</f>
        <v>103.19999999999999</v>
      </c>
    </row>
    <row r="254" spans="1:14" x14ac:dyDescent="0.2">
      <c r="A254" s="15">
        <f>Data!A254</f>
        <v>45906</v>
      </c>
      <c r="B254" s="1">
        <v>249</v>
      </c>
      <c r="C254" s="16">
        <f>ROUND(Data!BB254,2)</f>
        <v>0</v>
      </c>
      <c r="D254" s="3">
        <f>ROUND(Data!P254,1)</f>
        <v>0</v>
      </c>
      <c r="E254" s="3">
        <f>ROUND(Data!Y254,1)</f>
        <v>0</v>
      </c>
      <c r="F254" s="3">
        <f>Data!BH254</f>
        <v>0</v>
      </c>
      <c r="G254" s="3">
        <f>Data!N254</f>
        <v>0</v>
      </c>
      <c r="H254" s="17">
        <f>Data!AY254</f>
        <v>0</v>
      </c>
      <c r="I254" s="13">
        <f t="shared" si="39"/>
        <v>0</v>
      </c>
      <c r="K254" s="28">
        <f t="shared" si="40"/>
        <v>0</v>
      </c>
      <c r="M254" s="22">
        <f t="shared" si="41"/>
        <v>0</v>
      </c>
      <c r="N254" s="22">
        <f t="shared" si="42"/>
        <v>103.19999999999999</v>
      </c>
    </row>
    <row r="255" spans="1:14" x14ac:dyDescent="0.2">
      <c r="A255" s="15">
        <f>Data!A255</f>
        <v>45907</v>
      </c>
      <c r="B255" s="1">
        <v>250</v>
      </c>
      <c r="C255" s="16">
        <f>ROUND(Data!BB255,2)</f>
        <v>0</v>
      </c>
      <c r="D255" s="3">
        <f>ROUND(Data!P255,1)</f>
        <v>0</v>
      </c>
      <c r="E255" s="3">
        <f>ROUND(Data!Y255,1)</f>
        <v>0</v>
      </c>
      <c r="F255" s="3">
        <f>Data!BH255</f>
        <v>0</v>
      </c>
      <c r="G255" s="3">
        <f>Data!N255</f>
        <v>0</v>
      </c>
      <c r="H255" s="17">
        <f>Data!AY255</f>
        <v>0</v>
      </c>
      <c r="I255" s="13">
        <f t="shared" ref="I255:I318" si="43">IF(H255&gt;H254,ROUND((H255-H254)*I$1,1),0)</f>
        <v>0</v>
      </c>
      <c r="K255" s="28">
        <f t="shared" si="40"/>
        <v>0</v>
      </c>
      <c r="M255" s="22">
        <f t="shared" si="41"/>
        <v>0</v>
      </c>
      <c r="N255" s="22">
        <f t="shared" si="42"/>
        <v>103.19999999999999</v>
      </c>
    </row>
    <row r="256" spans="1:14" x14ac:dyDescent="0.2">
      <c r="A256" s="15">
        <f>Data!A256</f>
        <v>45908</v>
      </c>
      <c r="B256" s="1">
        <v>251</v>
      </c>
      <c r="C256" s="16">
        <f>ROUND(Data!BB256,2)</f>
        <v>0</v>
      </c>
      <c r="D256" s="3">
        <f>ROUND(Data!P256,1)</f>
        <v>0</v>
      </c>
      <c r="E256" s="3">
        <f>ROUND(Data!Y256,1)</f>
        <v>0</v>
      </c>
      <c r="F256" s="3">
        <f>Data!BH256</f>
        <v>0</v>
      </c>
      <c r="G256" s="3">
        <f>Data!N256</f>
        <v>0</v>
      </c>
      <c r="H256" s="17">
        <f>Data!AY256</f>
        <v>0</v>
      </c>
      <c r="I256" s="13">
        <f t="shared" si="43"/>
        <v>0</v>
      </c>
      <c r="K256" s="28">
        <f t="shared" si="40"/>
        <v>0</v>
      </c>
      <c r="M256" s="22">
        <f t="shared" si="41"/>
        <v>0</v>
      </c>
      <c r="N256" s="22">
        <f t="shared" si="42"/>
        <v>103.19999999999999</v>
      </c>
    </row>
    <row r="257" spans="1:14" x14ac:dyDescent="0.2">
      <c r="A257" s="15">
        <f>Data!A257</f>
        <v>45909</v>
      </c>
      <c r="B257" s="1">
        <v>252</v>
      </c>
      <c r="C257" s="16">
        <f>ROUND(Data!BB257,2)</f>
        <v>0</v>
      </c>
      <c r="D257" s="3">
        <f>ROUND(Data!P257,1)</f>
        <v>0</v>
      </c>
      <c r="E257" s="3">
        <f>ROUND(Data!Y257,1)</f>
        <v>0</v>
      </c>
      <c r="F257" s="3">
        <f>Data!BH257</f>
        <v>0</v>
      </c>
      <c r="G257" s="3">
        <f>Data!N257</f>
        <v>0</v>
      </c>
      <c r="H257" s="17">
        <f>Data!AY257</f>
        <v>0</v>
      </c>
      <c r="I257" s="13">
        <f t="shared" si="43"/>
        <v>0</v>
      </c>
      <c r="K257" s="28">
        <f t="shared" ref="K257:K305" si="44">G257</f>
        <v>0</v>
      </c>
      <c r="M257" s="22">
        <f t="shared" si="41"/>
        <v>0</v>
      </c>
      <c r="N257" s="22">
        <f t="shared" si="42"/>
        <v>103.19999999999999</v>
      </c>
    </row>
    <row r="258" spans="1:14" x14ac:dyDescent="0.2">
      <c r="A258" s="15">
        <f>Data!A258</f>
        <v>45910</v>
      </c>
      <c r="B258" s="1">
        <v>253</v>
      </c>
      <c r="C258" s="16">
        <f>ROUND(Data!BB258,2)</f>
        <v>0</v>
      </c>
      <c r="D258" s="3">
        <f>ROUND(Data!P258,1)</f>
        <v>0</v>
      </c>
      <c r="E258" s="3">
        <f>ROUND(Data!Y258,1)</f>
        <v>0</v>
      </c>
      <c r="F258" s="3">
        <f>Data!BH258</f>
        <v>0</v>
      </c>
      <c r="G258" s="3">
        <f>Data!N258</f>
        <v>0</v>
      </c>
      <c r="H258" s="17">
        <f>Data!AY258</f>
        <v>0</v>
      </c>
      <c r="I258" s="13">
        <f t="shared" si="43"/>
        <v>0</v>
      </c>
      <c r="K258" s="28">
        <f t="shared" si="44"/>
        <v>0</v>
      </c>
      <c r="M258" s="22">
        <f t="shared" si="41"/>
        <v>0</v>
      </c>
      <c r="N258" s="22">
        <f t="shared" si="42"/>
        <v>103.19999999999999</v>
      </c>
    </row>
    <row r="259" spans="1:14" x14ac:dyDescent="0.2">
      <c r="A259" s="15">
        <f>Data!A259</f>
        <v>45911</v>
      </c>
      <c r="B259" s="1">
        <v>254</v>
      </c>
      <c r="C259" s="16">
        <f>ROUND(Data!BB259,2)</f>
        <v>0</v>
      </c>
      <c r="D259" s="3">
        <f>ROUND(Data!P259,1)</f>
        <v>0</v>
      </c>
      <c r="E259" s="3">
        <f>ROUND(Data!Y259,1)</f>
        <v>0</v>
      </c>
      <c r="F259" s="3">
        <f>Data!BH259</f>
        <v>0</v>
      </c>
      <c r="G259" s="3">
        <f>Data!N259</f>
        <v>0</v>
      </c>
      <c r="H259" s="17">
        <f>Data!AY259</f>
        <v>0</v>
      </c>
      <c r="I259" s="13">
        <f t="shared" si="43"/>
        <v>0</v>
      </c>
      <c r="K259" s="28">
        <f t="shared" si="44"/>
        <v>0</v>
      </c>
      <c r="M259" s="22">
        <f t="shared" si="41"/>
        <v>0</v>
      </c>
      <c r="N259" s="22">
        <f t="shared" si="42"/>
        <v>103.19999999999999</v>
      </c>
    </row>
    <row r="260" spans="1:14" x14ac:dyDescent="0.2">
      <c r="A260" s="15">
        <f>Data!A260</f>
        <v>45912</v>
      </c>
      <c r="B260" s="1">
        <v>255</v>
      </c>
      <c r="C260" s="16">
        <f>ROUND(Data!BB260,2)</f>
        <v>0</v>
      </c>
      <c r="D260" s="3">
        <f>ROUND(Data!P260,1)</f>
        <v>0</v>
      </c>
      <c r="E260" s="3">
        <f>ROUND(Data!Y260,1)</f>
        <v>0</v>
      </c>
      <c r="F260" s="3">
        <f>Data!BH260</f>
        <v>0</v>
      </c>
      <c r="G260" s="3">
        <f>Data!N260</f>
        <v>0</v>
      </c>
      <c r="H260" s="17">
        <f>Data!AY260</f>
        <v>0</v>
      </c>
      <c r="I260" s="13">
        <f t="shared" si="43"/>
        <v>0</v>
      </c>
      <c r="K260" s="28">
        <f t="shared" si="44"/>
        <v>0</v>
      </c>
      <c r="M260" s="22">
        <f t="shared" si="41"/>
        <v>0</v>
      </c>
      <c r="N260" s="22">
        <f t="shared" si="42"/>
        <v>103.19999999999999</v>
      </c>
    </row>
    <row r="261" spans="1:14" x14ac:dyDescent="0.2">
      <c r="A261" s="15">
        <f>Data!A261</f>
        <v>45913</v>
      </c>
      <c r="B261" s="1">
        <v>256</v>
      </c>
      <c r="C261" s="16">
        <f>ROUND(Data!BB261,2)</f>
        <v>0</v>
      </c>
      <c r="D261" s="3">
        <f>ROUND(Data!P261,1)</f>
        <v>0</v>
      </c>
      <c r="E261" s="3">
        <f>ROUND(Data!Y261,1)</f>
        <v>0</v>
      </c>
      <c r="F261" s="3">
        <f>Data!BH261</f>
        <v>0</v>
      </c>
      <c r="G261" s="3">
        <f>Data!N261</f>
        <v>0</v>
      </c>
      <c r="H261" s="17">
        <f>Data!AY261</f>
        <v>0</v>
      </c>
      <c r="I261" s="13">
        <f t="shared" si="43"/>
        <v>0</v>
      </c>
      <c r="K261" s="28">
        <f t="shared" si="44"/>
        <v>0</v>
      </c>
      <c r="M261" s="22">
        <f t="shared" si="41"/>
        <v>0</v>
      </c>
      <c r="N261" s="22">
        <f t="shared" si="42"/>
        <v>103.19999999999999</v>
      </c>
    </row>
    <row r="262" spans="1:14" x14ac:dyDescent="0.2">
      <c r="A262" s="15">
        <f>Data!A262</f>
        <v>45914</v>
      </c>
      <c r="B262" s="1">
        <v>257</v>
      </c>
      <c r="C262" s="16">
        <f>ROUND(Data!BB262,2)</f>
        <v>0</v>
      </c>
      <c r="D262" s="3">
        <f>ROUND(Data!P262,1)</f>
        <v>0</v>
      </c>
      <c r="E262" s="3">
        <f>ROUND(Data!Y262,1)</f>
        <v>0</v>
      </c>
      <c r="F262" s="3">
        <f>Data!BH262</f>
        <v>0</v>
      </c>
      <c r="G262" s="3">
        <f>Data!N262</f>
        <v>0</v>
      </c>
      <c r="H262" s="17">
        <f>Data!AY262</f>
        <v>0</v>
      </c>
      <c r="I262" s="13">
        <f t="shared" si="43"/>
        <v>0</v>
      </c>
      <c r="K262" s="28">
        <f t="shared" si="44"/>
        <v>0</v>
      </c>
      <c r="M262" s="22">
        <f t="shared" si="41"/>
        <v>0</v>
      </c>
      <c r="N262" s="22">
        <f t="shared" si="42"/>
        <v>103.19999999999999</v>
      </c>
    </row>
    <row r="263" spans="1:14" x14ac:dyDescent="0.2">
      <c r="A263" s="15">
        <f>Data!A263</f>
        <v>45915</v>
      </c>
      <c r="B263" s="1">
        <v>258</v>
      </c>
      <c r="C263" s="16">
        <f>ROUND(Data!BB263,2)</f>
        <v>0</v>
      </c>
      <c r="D263" s="3">
        <f>ROUND(Data!P263,1)</f>
        <v>0</v>
      </c>
      <c r="E263" s="3">
        <f>ROUND(Data!Y263,1)</f>
        <v>0</v>
      </c>
      <c r="F263" s="3">
        <f>Data!BH263</f>
        <v>0</v>
      </c>
      <c r="G263" s="3">
        <f>Data!N263</f>
        <v>0</v>
      </c>
      <c r="H263" s="17">
        <f>Data!AY263</f>
        <v>0</v>
      </c>
      <c r="I263" s="13">
        <f t="shared" si="43"/>
        <v>0</v>
      </c>
      <c r="K263" s="28">
        <f t="shared" si="44"/>
        <v>0</v>
      </c>
      <c r="M263" s="22">
        <f t="shared" si="41"/>
        <v>0</v>
      </c>
      <c r="N263" s="22">
        <f t="shared" si="42"/>
        <v>103.19999999999999</v>
      </c>
    </row>
    <row r="264" spans="1:14" x14ac:dyDescent="0.2">
      <c r="A264" s="15">
        <f>Data!A264</f>
        <v>45916</v>
      </c>
      <c r="B264" s="1">
        <v>259</v>
      </c>
      <c r="C264" s="16">
        <f>ROUND(Data!BB264,2)</f>
        <v>0</v>
      </c>
      <c r="D264" s="3">
        <f>ROUND(Data!P264,1)</f>
        <v>0</v>
      </c>
      <c r="E264" s="3">
        <f>ROUND(Data!Y264,1)</f>
        <v>0</v>
      </c>
      <c r="F264" s="3">
        <f>Data!BH264</f>
        <v>0</v>
      </c>
      <c r="G264" s="3">
        <f>Data!N264</f>
        <v>0</v>
      </c>
      <c r="H264" s="17">
        <f>Data!AY264</f>
        <v>0</v>
      </c>
      <c r="I264" s="13">
        <f t="shared" si="43"/>
        <v>0</v>
      </c>
      <c r="K264" s="28">
        <f t="shared" si="44"/>
        <v>0</v>
      </c>
      <c r="M264" s="22">
        <f t="shared" si="41"/>
        <v>0</v>
      </c>
      <c r="N264" s="22">
        <f t="shared" si="42"/>
        <v>103.19999999999999</v>
      </c>
    </row>
    <row r="265" spans="1:14" x14ac:dyDescent="0.2">
      <c r="A265" s="15">
        <f>Data!A265</f>
        <v>45917</v>
      </c>
      <c r="B265" s="1">
        <v>260</v>
      </c>
      <c r="C265" s="16">
        <f>ROUND(Data!BB265,2)</f>
        <v>0</v>
      </c>
      <c r="D265" s="3">
        <f>ROUND(Data!P265,1)</f>
        <v>0</v>
      </c>
      <c r="E265" s="3">
        <f>ROUND(Data!Y265,1)</f>
        <v>0</v>
      </c>
      <c r="F265" s="3">
        <f>Data!BH265</f>
        <v>0</v>
      </c>
      <c r="G265" s="3">
        <f>Data!N265</f>
        <v>0</v>
      </c>
      <c r="H265" s="17">
        <f>Data!AY265</f>
        <v>0</v>
      </c>
      <c r="I265" s="13">
        <f t="shared" si="43"/>
        <v>0</v>
      </c>
      <c r="K265" s="28">
        <f t="shared" si="44"/>
        <v>0</v>
      </c>
      <c r="M265" s="22">
        <f t="shared" si="41"/>
        <v>0</v>
      </c>
      <c r="N265" s="22">
        <f t="shared" si="42"/>
        <v>103.19999999999999</v>
      </c>
    </row>
    <row r="266" spans="1:14" x14ac:dyDescent="0.2">
      <c r="A266" s="15">
        <f>Data!A266</f>
        <v>45918</v>
      </c>
      <c r="B266" s="1">
        <v>261</v>
      </c>
      <c r="C266" s="16">
        <f>ROUND(Data!BB266,2)</f>
        <v>0</v>
      </c>
      <c r="D266" s="3">
        <f>ROUND(Data!P266,1)</f>
        <v>0</v>
      </c>
      <c r="E266" s="3">
        <f>ROUND(Data!Y266,1)</f>
        <v>0</v>
      </c>
      <c r="F266" s="3">
        <f>Data!BH266</f>
        <v>0</v>
      </c>
      <c r="G266" s="3">
        <f>Data!N266</f>
        <v>0</v>
      </c>
      <c r="H266" s="17">
        <f>Data!AY266</f>
        <v>0</v>
      </c>
      <c r="I266" s="13">
        <f t="shared" si="43"/>
        <v>0</v>
      </c>
      <c r="K266" s="28">
        <f t="shared" si="44"/>
        <v>0</v>
      </c>
      <c r="M266" s="22">
        <f t="shared" si="41"/>
        <v>0</v>
      </c>
      <c r="N266" s="22">
        <f t="shared" si="42"/>
        <v>103.19999999999999</v>
      </c>
    </row>
    <row r="267" spans="1:14" x14ac:dyDescent="0.2">
      <c r="A267" s="15">
        <f>Data!A267</f>
        <v>45919</v>
      </c>
      <c r="B267" s="1">
        <v>262</v>
      </c>
      <c r="C267" s="16">
        <f>ROUND(Data!BB267,2)</f>
        <v>0</v>
      </c>
      <c r="D267" s="3">
        <f>ROUND(Data!P267,1)</f>
        <v>0</v>
      </c>
      <c r="E267" s="3">
        <f>ROUND(Data!Y267,1)</f>
        <v>0</v>
      </c>
      <c r="F267" s="3">
        <f>Data!BH267</f>
        <v>0</v>
      </c>
      <c r="G267" s="3">
        <f>Data!N267</f>
        <v>0</v>
      </c>
      <c r="H267" s="17">
        <f>Data!AY267</f>
        <v>0</v>
      </c>
      <c r="I267" s="13">
        <f t="shared" si="43"/>
        <v>0</v>
      </c>
      <c r="K267" s="28">
        <f t="shared" si="44"/>
        <v>0</v>
      </c>
      <c r="M267" s="22">
        <f t="shared" si="41"/>
        <v>0</v>
      </c>
      <c r="N267" s="22">
        <f t="shared" si="42"/>
        <v>103.19999999999999</v>
      </c>
    </row>
    <row r="268" spans="1:14" x14ac:dyDescent="0.2">
      <c r="A268" s="15">
        <f>Data!A268</f>
        <v>45920</v>
      </c>
      <c r="B268" s="1">
        <v>263</v>
      </c>
      <c r="C268" s="16">
        <f>ROUND(Data!BB268,2)</f>
        <v>0</v>
      </c>
      <c r="D268" s="3">
        <f>ROUND(Data!P268,1)</f>
        <v>0</v>
      </c>
      <c r="E268" s="3">
        <f>ROUND(Data!Y268,1)</f>
        <v>0</v>
      </c>
      <c r="F268" s="3">
        <f>Data!BH268</f>
        <v>0</v>
      </c>
      <c r="G268" s="3">
        <f>Data!N268</f>
        <v>0</v>
      </c>
      <c r="H268" s="17">
        <f>Data!AY268</f>
        <v>0</v>
      </c>
      <c r="I268" s="13">
        <f t="shared" si="43"/>
        <v>0</v>
      </c>
      <c r="K268" s="28">
        <f t="shared" si="44"/>
        <v>0</v>
      </c>
      <c r="M268" s="22">
        <f t="shared" si="41"/>
        <v>0</v>
      </c>
      <c r="N268" s="22">
        <f t="shared" si="42"/>
        <v>103.19999999999999</v>
      </c>
    </row>
    <row r="269" spans="1:14" x14ac:dyDescent="0.2">
      <c r="A269" s="15">
        <f>Data!A269</f>
        <v>45921</v>
      </c>
      <c r="B269" s="1">
        <v>264</v>
      </c>
      <c r="C269" s="16">
        <f>ROUND(Data!BB269,2)</f>
        <v>0</v>
      </c>
      <c r="D269" s="3">
        <f>ROUND(Data!P269,1)</f>
        <v>0</v>
      </c>
      <c r="E269" s="3">
        <f>ROUND(Data!Y269,1)</f>
        <v>0</v>
      </c>
      <c r="F269" s="3">
        <f>Data!BH269</f>
        <v>0</v>
      </c>
      <c r="G269" s="3">
        <f>Data!N269</f>
        <v>0</v>
      </c>
      <c r="H269" s="17">
        <f>Data!AY269</f>
        <v>0</v>
      </c>
      <c r="I269" s="13">
        <f t="shared" si="43"/>
        <v>0</v>
      </c>
      <c r="K269" s="28">
        <f t="shared" si="44"/>
        <v>0</v>
      </c>
      <c r="M269" s="22">
        <f t="shared" si="41"/>
        <v>0</v>
      </c>
      <c r="N269" s="22">
        <f t="shared" si="42"/>
        <v>103.19999999999999</v>
      </c>
    </row>
    <row r="270" spans="1:14" x14ac:dyDescent="0.2">
      <c r="A270" s="15">
        <f>Data!A270</f>
        <v>45922</v>
      </c>
      <c r="B270" s="1">
        <v>265</v>
      </c>
      <c r="C270" s="16">
        <f>ROUND(Data!BB270,2)</f>
        <v>0</v>
      </c>
      <c r="D270" s="3">
        <f>ROUND(Data!P270,1)</f>
        <v>0</v>
      </c>
      <c r="E270" s="3">
        <f>ROUND(Data!Y270,1)</f>
        <v>0</v>
      </c>
      <c r="F270" s="3">
        <f>Data!BH270</f>
        <v>0</v>
      </c>
      <c r="G270" s="3">
        <f>Data!N270</f>
        <v>0</v>
      </c>
      <c r="H270" s="17">
        <f>Data!AY270</f>
        <v>0</v>
      </c>
      <c r="I270" s="13">
        <f t="shared" si="43"/>
        <v>0</v>
      </c>
      <c r="K270" s="28">
        <f t="shared" si="44"/>
        <v>0</v>
      </c>
      <c r="M270" s="22">
        <f t="shared" si="41"/>
        <v>0</v>
      </c>
      <c r="N270" s="22">
        <f t="shared" si="42"/>
        <v>103.19999999999999</v>
      </c>
    </row>
    <row r="271" spans="1:14" x14ac:dyDescent="0.2">
      <c r="A271" s="15">
        <f>Data!A271</f>
        <v>45923</v>
      </c>
      <c r="B271" s="1">
        <v>266</v>
      </c>
      <c r="C271" s="16">
        <f>ROUND(Data!BB271,2)</f>
        <v>0</v>
      </c>
      <c r="D271" s="3">
        <f>ROUND(Data!P271,1)</f>
        <v>0</v>
      </c>
      <c r="E271" s="3">
        <f>ROUND(Data!Y271,1)</f>
        <v>0</v>
      </c>
      <c r="F271" s="3">
        <f>Data!BH271</f>
        <v>0</v>
      </c>
      <c r="G271" s="3">
        <f>Data!N271</f>
        <v>0</v>
      </c>
      <c r="H271" s="17">
        <f>Data!AY271</f>
        <v>0</v>
      </c>
      <c r="I271" s="13">
        <f t="shared" si="43"/>
        <v>0</v>
      </c>
      <c r="K271" s="28">
        <f t="shared" si="44"/>
        <v>0</v>
      </c>
      <c r="M271" s="22">
        <f t="shared" si="41"/>
        <v>0</v>
      </c>
      <c r="N271" s="22">
        <f t="shared" si="42"/>
        <v>103.19999999999999</v>
      </c>
    </row>
    <row r="272" spans="1:14" x14ac:dyDescent="0.2">
      <c r="A272" s="15">
        <f>Data!A272</f>
        <v>45924</v>
      </c>
      <c r="B272" s="1">
        <v>267</v>
      </c>
      <c r="C272" s="16">
        <f>ROUND(Data!BB272,2)</f>
        <v>0</v>
      </c>
      <c r="D272" s="3">
        <f>ROUND(Data!P272,1)</f>
        <v>0</v>
      </c>
      <c r="E272" s="3">
        <f>ROUND(Data!Y272,1)</f>
        <v>0</v>
      </c>
      <c r="F272" s="3">
        <f>Data!BH272</f>
        <v>0</v>
      </c>
      <c r="G272" s="3">
        <f>Data!N272</f>
        <v>0</v>
      </c>
      <c r="H272" s="17">
        <f>Data!AY272</f>
        <v>0</v>
      </c>
      <c r="I272" s="13">
        <f t="shared" si="43"/>
        <v>0</v>
      </c>
      <c r="K272" s="28">
        <f t="shared" si="44"/>
        <v>0</v>
      </c>
      <c r="M272" s="22">
        <f t="shared" si="41"/>
        <v>0</v>
      </c>
      <c r="N272" s="22">
        <f t="shared" si="42"/>
        <v>103.19999999999999</v>
      </c>
    </row>
    <row r="273" spans="1:20" x14ac:dyDescent="0.2">
      <c r="A273" s="15">
        <f>Data!A273</f>
        <v>45925</v>
      </c>
      <c r="B273" s="1">
        <v>268</v>
      </c>
      <c r="C273" s="16">
        <f>ROUND(Data!BB273,2)</f>
        <v>0</v>
      </c>
      <c r="D273" s="3">
        <f>ROUND(Data!P273,1)</f>
        <v>0</v>
      </c>
      <c r="E273" s="3">
        <f>ROUND(Data!Y273,1)</f>
        <v>0</v>
      </c>
      <c r="F273" s="3">
        <f>Data!BH273</f>
        <v>0</v>
      </c>
      <c r="G273" s="3">
        <f>Data!N273</f>
        <v>0</v>
      </c>
      <c r="H273" s="17">
        <f>Data!AY273</f>
        <v>0</v>
      </c>
      <c r="I273" s="13">
        <f t="shared" si="43"/>
        <v>0</v>
      </c>
      <c r="K273" s="28">
        <f t="shared" si="44"/>
        <v>0</v>
      </c>
      <c r="M273" s="22">
        <f t="shared" si="41"/>
        <v>0</v>
      </c>
      <c r="N273" s="22">
        <f t="shared" si="42"/>
        <v>103.19999999999999</v>
      </c>
    </row>
    <row r="274" spans="1:20" x14ac:dyDescent="0.2">
      <c r="A274" s="15">
        <f>Data!A274</f>
        <v>45926</v>
      </c>
      <c r="B274" s="1">
        <v>269</v>
      </c>
      <c r="C274" s="16">
        <f>ROUND(Data!BB274,2)</f>
        <v>0</v>
      </c>
      <c r="D274" s="3">
        <f>ROUND(Data!P274,1)</f>
        <v>0</v>
      </c>
      <c r="E274" s="3">
        <f>ROUND(Data!Y274,1)</f>
        <v>0</v>
      </c>
      <c r="F274" s="3">
        <f>Data!BH274</f>
        <v>0</v>
      </c>
      <c r="G274" s="3">
        <f>Data!N274</f>
        <v>0</v>
      </c>
      <c r="H274" s="17">
        <f>Data!AY274</f>
        <v>0</v>
      </c>
      <c r="I274" s="13">
        <f t="shared" si="43"/>
        <v>0</v>
      </c>
      <c r="K274" s="28">
        <f t="shared" si="44"/>
        <v>0</v>
      </c>
      <c r="M274" s="22">
        <f t="shared" si="41"/>
        <v>0</v>
      </c>
      <c r="N274" s="22">
        <f t="shared" si="42"/>
        <v>103.19999999999999</v>
      </c>
    </row>
    <row r="275" spans="1:20" x14ac:dyDescent="0.2">
      <c r="A275" s="15">
        <f>Data!A275</f>
        <v>45927</v>
      </c>
      <c r="B275" s="1">
        <v>270</v>
      </c>
      <c r="C275" s="16">
        <f>ROUND(Data!BB275,2)</f>
        <v>0</v>
      </c>
      <c r="D275" s="3">
        <f>ROUND(Data!P275,1)</f>
        <v>0</v>
      </c>
      <c r="E275" s="3">
        <f>ROUND(Data!Y275,1)</f>
        <v>0</v>
      </c>
      <c r="F275" s="3">
        <f>Data!BH275</f>
        <v>0</v>
      </c>
      <c r="G275" s="3">
        <f>Data!N275</f>
        <v>0</v>
      </c>
      <c r="H275" s="17">
        <f>Data!AY275</f>
        <v>0</v>
      </c>
      <c r="I275" s="13">
        <f t="shared" si="43"/>
        <v>0</v>
      </c>
      <c r="K275" s="28">
        <f t="shared" si="44"/>
        <v>0</v>
      </c>
      <c r="M275" s="22">
        <f t="shared" si="41"/>
        <v>0</v>
      </c>
      <c r="N275" s="22">
        <f t="shared" si="42"/>
        <v>103.19999999999999</v>
      </c>
    </row>
    <row r="276" spans="1:20" x14ac:dyDescent="0.2">
      <c r="A276" s="15">
        <f>Data!A276</f>
        <v>45928</v>
      </c>
      <c r="B276" s="1">
        <v>271</v>
      </c>
      <c r="C276" s="16">
        <f>ROUND(Data!BB276,2)</f>
        <v>0</v>
      </c>
      <c r="D276" s="3">
        <f>ROUND(Data!P276,1)</f>
        <v>0</v>
      </c>
      <c r="E276" s="3">
        <f>ROUND(Data!Y276,1)</f>
        <v>0</v>
      </c>
      <c r="F276" s="3">
        <f>Data!BH276</f>
        <v>0</v>
      </c>
      <c r="G276" s="3">
        <f>Data!N276</f>
        <v>0</v>
      </c>
      <c r="H276" s="17">
        <f>Data!AY276</f>
        <v>0</v>
      </c>
      <c r="I276" s="13">
        <f t="shared" si="43"/>
        <v>0</v>
      </c>
      <c r="K276" s="28">
        <f t="shared" si="44"/>
        <v>0</v>
      </c>
      <c r="M276" s="22">
        <f t="shared" si="41"/>
        <v>0</v>
      </c>
      <c r="N276" s="22">
        <f t="shared" si="42"/>
        <v>103.19999999999999</v>
      </c>
    </row>
    <row r="277" spans="1:20" x14ac:dyDescent="0.2">
      <c r="A277" s="15">
        <f>Data!A277</f>
        <v>45929</v>
      </c>
      <c r="B277" s="1">
        <v>272</v>
      </c>
      <c r="C277" s="16">
        <f>ROUND(Data!BB277,2)</f>
        <v>0</v>
      </c>
      <c r="D277" s="3">
        <f>ROUND(Data!P277,1)</f>
        <v>0</v>
      </c>
      <c r="E277" s="3">
        <f>ROUND(Data!Y277,1)</f>
        <v>0</v>
      </c>
      <c r="F277" s="3">
        <f>Data!BH277</f>
        <v>0</v>
      </c>
      <c r="G277" s="3">
        <f>Data!N277</f>
        <v>0</v>
      </c>
      <c r="H277" s="17">
        <f>Data!AY277</f>
        <v>0</v>
      </c>
      <c r="I277" s="13">
        <f t="shared" si="43"/>
        <v>0</v>
      </c>
      <c r="K277" s="28">
        <f t="shared" si="44"/>
        <v>0</v>
      </c>
      <c r="M277" s="22">
        <f t="shared" si="41"/>
        <v>0</v>
      </c>
      <c r="N277" s="22">
        <f t="shared" si="42"/>
        <v>103.19999999999999</v>
      </c>
    </row>
    <row r="278" spans="1:20" x14ac:dyDescent="0.2">
      <c r="A278" s="15">
        <f>Data!A278</f>
        <v>45930</v>
      </c>
      <c r="B278" s="1">
        <v>273</v>
      </c>
      <c r="C278" s="16">
        <f>ROUND(Data!BB278,2)</f>
        <v>0</v>
      </c>
      <c r="D278" s="3">
        <f>ROUND(Data!P278,1)</f>
        <v>0</v>
      </c>
      <c r="E278" s="3">
        <f>ROUND(Data!Y278,1)</f>
        <v>0</v>
      </c>
      <c r="F278" s="3">
        <f>Data!BH278</f>
        <v>0</v>
      </c>
      <c r="G278" s="3">
        <f>Data!N278</f>
        <v>0</v>
      </c>
      <c r="H278" s="17">
        <f>Data!AY278</f>
        <v>0</v>
      </c>
      <c r="I278" s="13">
        <f t="shared" si="43"/>
        <v>0</v>
      </c>
      <c r="K278" s="28">
        <f t="shared" si="44"/>
        <v>0</v>
      </c>
      <c r="M278" s="22">
        <f t="shared" si="41"/>
        <v>0</v>
      </c>
      <c r="N278" s="22">
        <f t="shared" si="42"/>
        <v>103.19999999999999</v>
      </c>
    </row>
    <row r="279" spans="1:20" x14ac:dyDescent="0.2">
      <c r="A279" s="15">
        <f>Data!A279</f>
        <v>45931</v>
      </c>
      <c r="B279" s="1">
        <v>274</v>
      </c>
      <c r="C279" s="16">
        <f>ROUND(Data!BB279,2)</f>
        <v>0</v>
      </c>
      <c r="D279" s="3">
        <f>ROUND(Data!P279,1)</f>
        <v>0</v>
      </c>
      <c r="E279" s="3">
        <f>ROUND(Data!Y279,1)</f>
        <v>0</v>
      </c>
      <c r="F279" s="3">
        <f>Data!BH279</f>
        <v>0</v>
      </c>
      <c r="G279" s="3">
        <f>Data!N279</f>
        <v>0</v>
      </c>
      <c r="H279" s="17">
        <f>Data!AY279</f>
        <v>0</v>
      </c>
      <c r="I279" s="13">
        <f t="shared" si="43"/>
        <v>0</v>
      </c>
      <c r="K279" s="28">
        <f t="shared" si="44"/>
        <v>0</v>
      </c>
      <c r="M279" s="22">
        <f t="shared" si="41"/>
        <v>0</v>
      </c>
      <c r="N279" s="22">
        <f t="shared" si="42"/>
        <v>103.19999999999999</v>
      </c>
    </row>
    <row r="280" spans="1:20" x14ac:dyDescent="0.2">
      <c r="A280" s="15">
        <f>Data!A280</f>
        <v>45932</v>
      </c>
      <c r="B280" s="1">
        <v>275</v>
      </c>
      <c r="C280" s="16">
        <f>ROUND(Data!BB280,2)</f>
        <v>0</v>
      </c>
      <c r="D280" s="3">
        <f>ROUND(Data!P280,1)</f>
        <v>0</v>
      </c>
      <c r="E280" s="3">
        <f>ROUND(Data!Y280,1)</f>
        <v>0</v>
      </c>
      <c r="F280" s="3">
        <f>Data!BH280</f>
        <v>0</v>
      </c>
      <c r="G280" s="3">
        <f>Data!N280</f>
        <v>0</v>
      </c>
      <c r="H280" s="17">
        <f>Data!AY280</f>
        <v>0</v>
      </c>
      <c r="I280" s="13">
        <f t="shared" si="43"/>
        <v>0</v>
      </c>
      <c r="K280" s="28">
        <f t="shared" si="44"/>
        <v>0</v>
      </c>
      <c r="M280" s="22">
        <f t="shared" si="41"/>
        <v>0</v>
      </c>
      <c r="N280" s="22">
        <f t="shared" si="42"/>
        <v>103.19999999999999</v>
      </c>
    </row>
    <row r="281" spans="1:20" x14ac:dyDescent="0.2">
      <c r="A281" s="15">
        <f>Data!A281</f>
        <v>45933</v>
      </c>
      <c r="B281" s="1">
        <v>276</v>
      </c>
      <c r="C281" s="16">
        <f>ROUND(Data!BB281,2)</f>
        <v>0</v>
      </c>
      <c r="D281" s="3">
        <f>ROUND(Data!P281,1)</f>
        <v>0</v>
      </c>
      <c r="E281" s="3">
        <f>ROUND(Data!Y281,1)</f>
        <v>0</v>
      </c>
      <c r="F281" s="3">
        <f>Data!BH281</f>
        <v>0</v>
      </c>
      <c r="G281" s="3">
        <f>Data!N281</f>
        <v>0</v>
      </c>
      <c r="H281" s="17">
        <f>Data!AY281</f>
        <v>0</v>
      </c>
      <c r="I281" s="13">
        <f t="shared" si="43"/>
        <v>0</v>
      </c>
      <c r="K281" s="28">
        <f t="shared" si="44"/>
        <v>0</v>
      </c>
      <c r="M281" s="22">
        <f t="shared" si="41"/>
        <v>0</v>
      </c>
      <c r="N281" s="22">
        <f t="shared" si="42"/>
        <v>103.19999999999999</v>
      </c>
    </row>
    <row r="282" spans="1:20" x14ac:dyDescent="0.2">
      <c r="A282" s="15">
        <f>Data!A282</f>
        <v>45934</v>
      </c>
      <c r="B282" s="1">
        <v>277</v>
      </c>
      <c r="C282" s="16">
        <f>ROUND(Data!BB282,2)</f>
        <v>0</v>
      </c>
      <c r="D282" s="3">
        <f>ROUND(Data!P282,1)</f>
        <v>0</v>
      </c>
      <c r="E282" s="3">
        <f>ROUND(Data!Y282,1)</f>
        <v>0</v>
      </c>
      <c r="F282" s="3">
        <f>Data!BH282</f>
        <v>0</v>
      </c>
      <c r="G282" s="3">
        <f>Data!N282</f>
        <v>0</v>
      </c>
      <c r="H282" s="17">
        <f>Data!AY282</f>
        <v>0</v>
      </c>
      <c r="I282" s="13">
        <f t="shared" si="43"/>
        <v>0</v>
      </c>
      <c r="K282" s="28">
        <f t="shared" si="44"/>
        <v>0</v>
      </c>
      <c r="M282" s="22">
        <f t="shared" si="41"/>
        <v>0</v>
      </c>
      <c r="N282" s="22">
        <f t="shared" si="42"/>
        <v>103.19999999999999</v>
      </c>
    </row>
    <row r="283" spans="1:20" x14ac:dyDescent="0.2">
      <c r="A283" s="15">
        <f>Data!A283</f>
        <v>45935</v>
      </c>
      <c r="B283" s="1">
        <v>278</v>
      </c>
      <c r="C283" s="16">
        <f>ROUND(Data!BB283,2)</f>
        <v>0</v>
      </c>
      <c r="D283" s="3">
        <f>ROUND(Data!P283,1)</f>
        <v>0</v>
      </c>
      <c r="E283" s="3">
        <f>ROUND(Data!Y283,1)</f>
        <v>0</v>
      </c>
      <c r="F283" s="3">
        <f>Data!BH283</f>
        <v>0</v>
      </c>
      <c r="G283" s="3">
        <f>Data!N283</f>
        <v>0</v>
      </c>
      <c r="H283" s="17">
        <f>Data!AY283</f>
        <v>0</v>
      </c>
      <c r="I283" s="13">
        <f t="shared" si="43"/>
        <v>0</v>
      </c>
      <c r="K283" s="28">
        <f t="shared" si="44"/>
        <v>0</v>
      </c>
      <c r="M283" s="22">
        <f t="shared" si="41"/>
        <v>0</v>
      </c>
      <c r="N283" s="22">
        <f t="shared" si="42"/>
        <v>103.19999999999999</v>
      </c>
    </row>
    <row r="284" spans="1:20" x14ac:dyDescent="0.2">
      <c r="A284" s="15">
        <f>Data!A284</f>
        <v>45936</v>
      </c>
      <c r="B284" s="1">
        <v>279</v>
      </c>
      <c r="C284" s="16">
        <f>ROUND(Data!BB284,2)</f>
        <v>0</v>
      </c>
      <c r="D284" s="3">
        <f>ROUND(Data!P284,1)</f>
        <v>0</v>
      </c>
      <c r="E284" s="3">
        <f>ROUND(Data!Y284,1)</f>
        <v>0</v>
      </c>
      <c r="F284" s="3">
        <f>Data!BH284</f>
        <v>0</v>
      </c>
      <c r="G284" s="3">
        <f>Data!N284</f>
        <v>0</v>
      </c>
      <c r="H284" s="17">
        <f>Data!AY284</f>
        <v>0</v>
      </c>
      <c r="I284" s="13">
        <f t="shared" si="43"/>
        <v>0</v>
      </c>
      <c r="K284" s="28">
        <f t="shared" si="44"/>
        <v>0</v>
      </c>
      <c r="M284" s="22">
        <f t="shared" si="41"/>
        <v>0</v>
      </c>
      <c r="N284" s="22">
        <f t="shared" si="42"/>
        <v>103.19999999999999</v>
      </c>
    </row>
    <row r="285" spans="1:20" x14ac:dyDescent="0.2">
      <c r="A285" s="15">
        <f>Data!A285</f>
        <v>45937</v>
      </c>
      <c r="B285" s="1">
        <v>280</v>
      </c>
      <c r="C285" s="16">
        <f>ROUND(Data!BB285,2)</f>
        <v>0</v>
      </c>
      <c r="D285" s="3">
        <f>ROUND(Data!P285,1)</f>
        <v>0</v>
      </c>
      <c r="E285" s="3">
        <f>ROUND(Data!Y285,1)</f>
        <v>0</v>
      </c>
      <c r="F285" s="3">
        <f>Data!BH285</f>
        <v>0</v>
      </c>
      <c r="G285" s="3">
        <f>Data!N285</f>
        <v>0</v>
      </c>
      <c r="H285" s="17">
        <f>Data!AY285</f>
        <v>0</v>
      </c>
      <c r="I285" s="13">
        <f t="shared" si="43"/>
        <v>0</v>
      </c>
      <c r="K285" s="28">
        <f t="shared" si="44"/>
        <v>0</v>
      </c>
      <c r="M285" s="22">
        <f t="shared" si="41"/>
        <v>0</v>
      </c>
      <c r="N285" s="22">
        <f t="shared" si="42"/>
        <v>103.19999999999999</v>
      </c>
    </row>
    <row r="286" spans="1:20" x14ac:dyDescent="0.2">
      <c r="A286" s="15">
        <f>Data!A286</f>
        <v>45938</v>
      </c>
      <c r="B286" s="1">
        <v>281</v>
      </c>
      <c r="C286" s="16">
        <f>ROUND(Data!BB286,2)</f>
        <v>0</v>
      </c>
      <c r="D286" s="3">
        <f>ROUND(Data!P286,1)</f>
        <v>0</v>
      </c>
      <c r="E286" s="3">
        <f>ROUND(Data!Y286,1)</f>
        <v>0</v>
      </c>
      <c r="F286" s="3">
        <f>Data!BH286</f>
        <v>0</v>
      </c>
      <c r="G286" s="3">
        <f>Data!N286</f>
        <v>0</v>
      </c>
      <c r="H286" s="17">
        <f>Data!AY286</f>
        <v>0</v>
      </c>
      <c r="I286" s="13">
        <f t="shared" si="43"/>
        <v>0</v>
      </c>
      <c r="K286" s="28">
        <f t="shared" si="44"/>
        <v>0</v>
      </c>
      <c r="M286" s="22">
        <f t="shared" si="41"/>
        <v>0</v>
      </c>
      <c r="N286" s="22">
        <f t="shared" si="42"/>
        <v>103.19999999999999</v>
      </c>
    </row>
    <row r="287" spans="1:20" x14ac:dyDescent="0.2">
      <c r="A287" s="15">
        <f>Data!A287</f>
        <v>45939</v>
      </c>
      <c r="B287" s="1">
        <v>282</v>
      </c>
      <c r="C287" s="16">
        <f>ROUND(Data!BB287,2)</f>
        <v>0</v>
      </c>
      <c r="D287" s="3">
        <f>ROUND(Data!P287,1)</f>
        <v>0</v>
      </c>
      <c r="E287" s="3">
        <f>ROUND(Data!Y287,1)</f>
        <v>0</v>
      </c>
      <c r="F287" s="3">
        <f>Data!BH287</f>
        <v>0</v>
      </c>
      <c r="G287" s="3">
        <f>Data!N287</f>
        <v>0</v>
      </c>
      <c r="H287" s="17">
        <f>Data!AY287</f>
        <v>0</v>
      </c>
      <c r="I287" s="13">
        <f t="shared" si="43"/>
        <v>0</v>
      </c>
      <c r="K287" s="28">
        <f t="shared" si="44"/>
        <v>0</v>
      </c>
      <c r="M287" s="22">
        <f t="shared" si="41"/>
        <v>0</v>
      </c>
      <c r="N287" s="22">
        <f t="shared" si="42"/>
        <v>103.19999999999999</v>
      </c>
      <c r="P287" s="47"/>
      <c r="Q287" s="47"/>
      <c r="R287" s="49"/>
      <c r="S287" s="50"/>
      <c r="T287" s="50"/>
    </row>
    <row r="288" spans="1:20" x14ac:dyDescent="0.2">
      <c r="A288" s="15">
        <f>Data!A288</f>
        <v>45940</v>
      </c>
      <c r="B288" s="1">
        <v>283</v>
      </c>
      <c r="C288" s="16">
        <f>ROUND(Data!BB288,2)</f>
        <v>0</v>
      </c>
      <c r="D288" s="3">
        <f>ROUND(Data!P288,1)</f>
        <v>0</v>
      </c>
      <c r="E288" s="3">
        <f>ROUND(Data!Y288,1)</f>
        <v>0</v>
      </c>
      <c r="F288" s="3">
        <f>Data!BH288</f>
        <v>0</v>
      </c>
      <c r="G288" s="3">
        <f>Data!N288</f>
        <v>0</v>
      </c>
      <c r="H288" s="17">
        <f>Data!AY288</f>
        <v>0</v>
      </c>
      <c r="I288" s="13">
        <f t="shared" si="43"/>
        <v>0</v>
      </c>
      <c r="K288" s="28">
        <f t="shared" si="44"/>
        <v>0</v>
      </c>
      <c r="M288" s="22">
        <f t="shared" si="41"/>
        <v>0</v>
      </c>
      <c r="N288" s="22">
        <f t="shared" si="42"/>
        <v>103.19999999999999</v>
      </c>
      <c r="P288" s="47"/>
      <c r="Q288" s="47"/>
      <c r="R288" s="49"/>
      <c r="S288" s="50"/>
      <c r="T288" s="50"/>
    </row>
    <row r="289" spans="1:20" x14ac:dyDescent="0.2">
      <c r="A289" s="15">
        <f>Data!A289</f>
        <v>45941</v>
      </c>
      <c r="B289" s="1">
        <v>284</v>
      </c>
      <c r="C289" s="16">
        <f>ROUND(Data!BB289,2)</f>
        <v>0</v>
      </c>
      <c r="D289" s="3">
        <f>ROUND(Data!P289,1)</f>
        <v>0</v>
      </c>
      <c r="E289" s="3">
        <f>ROUND(Data!Y289,1)</f>
        <v>0</v>
      </c>
      <c r="F289" s="3">
        <f>Data!BH289</f>
        <v>0</v>
      </c>
      <c r="G289" s="3">
        <f>Data!N289</f>
        <v>0</v>
      </c>
      <c r="H289" s="17">
        <f>Data!AY289</f>
        <v>0</v>
      </c>
      <c r="I289" s="13">
        <f t="shared" si="43"/>
        <v>0</v>
      </c>
      <c r="K289" s="28">
        <f t="shared" si="44"/>
        <v>0</v>
      </c>
      <c r="M289" s="22">
        <f t="shared" si="41"/>
        <v>0</v>
      </c>
      <c r="N289" s="22">
        <f t="shared" si="42"/>
        <v>103.19999999999999</v>
      </c>
      <c r="P289" s="47"/>
      <c r="Q289" s="47"/>
      <c r="R289" s="49"/>
      <c r="S289" s="50"/>
      <c r="T289" s="50"/>
    </row>
    <row r="290" spans="1:20" x14ac:dyDescent="0.2">
      <c r="A290" s="15">
        <f>Data!A290</f>
        <v>45942</v>
      </c>
      <c r="B290" s="1">
        <v>285</v>
      </c>
      <c r="C290" s="16">
        <f>ROUND(Data!BB290,2)</f>
        <v>0</v>
      </c>
      <c r="D290" s="3">
        <f>ROUND(Data!P290,1)</f>
        <v>0</v>
      </c>
      <c r="E290" s="3">
        <f>ROUND(Data!Y290,1)</f>
        <v>0</v>
      </c>
      <c r="F290" s="3">
        <f>Data!BH290</f>
        <v>0</v>
      </c>
      <c r="G290" s="3">
        <f>Data!N290</f>
        <v>0</v>
      </c>
      <c r="H290" s="17">
        <f>Data!AY290</f>
        <v>0</v>
      </c>
      <c r="I290" s="13">
        <f t="shared" si="43"/>
        <v>0</v>
      </c>
      <c r="K290" s="28">
        <f t="shared" si="44"/>
        <v>0</v>
      </c>
      <c r="M290" s="22">
        <f t="shared" si="41"/>
        <v>0</v>
      </c>
      <c r="N290" s="22">
        <f t="shared" si="42"/>
        <v>103.19999999999999</v>
      </c>
      <c r="P290" s="47"/>
      <c r="Q290" s="47"/>
      <c r="R290" s="49"/>
      <c r="S290" s="50"/>
      <c r="T290" s="50"/>
    </row>
    <row r="291" spans="1:20" x14ac:dyDescent="0.2">
      <c r="A291" s="15">
        <f>Data!A291</f>
        <v>45943</v>
      </c>
      <c r="B291" s="1">
        <v>286</v>
      </c>
      <c r="C291" s="16">
        <f>ROUND(Data!BB291,2)</f>
        <v>0</v>
      </c>
      <c r="D291" s="3">
        <f>ROUND(Data!P291,1)</f>
        <v>0</v>
      </c>
      <c r="E291" s="3">
        <f>ROUND(Data!Y291,1)</f>
        <v>0</v>
      </c>
      <c r="F291" s="3">
        <f>Data!BH291</f>
        <v>0</v>
      </c>
      <c r="G291" s="3">
        <f>Data!N291</f>
        <v>0</v>
      </c>
      <c r="H291" s="17">
        <f>Data!AY291</f>
        <v>0</v>
      </c>
      <c r="I291" s="13">
        <f t="shared" si="43"/>
        <v>0</v>
      </c>
      <c r="K291" s="28">
        <f t="shared" si="44"/>
        <v>0</v>
      </c>
      <c r="M291" s="22">
        <f t="shared" si="41"/>
        <v>0</v>
      </c>
      <c r="N291" s="22">
        <f t="shared" si="42"/>
        <v>103.19999999999999</v>
      </c>
      <c r="P291" s="47"/>
      <c r="Q291" s="47"/>
      <c r="R291" s="49"/>
      <c r="S291" s="50"/>
      <c r="T291" s="50"/>
    </row>
    <row r="292" spans="1:20" x14ac:dyDescent="0.2">
      <c r="A292" s="15">
        <f>Data!A292</f>
        <v>45944</v>
      </c>
      <c r="B292" s="1">
        <v>287</v>
      </c>
      <c r="C292" s="16">
        <f>ROUND(Data!BB292,2)</f>
        <v>0</v>
      </c>
      <c r="D292" s="3">
        <f>ROUND(Data!P292,1)</f>
        <v>0</v>
      </c>
      <c r="E292" s="3">
        <f>ROUND(Data!Y292,1)</f>
        <v>0</v>
      </c>
      <c r="F292" s="3">
        <f>Data!BH292</f>
        <v>0</v>
      </c>
      <c r="G292" s="3">
        <f>Data!N292</f>
        <v>0</v>
      </c>
      <c r="H292" s="17">
        <f>Data!AY292</f>
        <v>0</v>
      </c>
      <c r="I292" s="13">
        <f t="shared" si="43"/>
        <v>0</v>
      </c>
      <c r="K292" s="28">
        <f t="shared" si="44"/>
        <v>0</v>
      </c>
      <c r="M292" s="22">
        <f t="shared" si="41"/>
        <v>0</v>
      </c>
      <c r="N292" s="22">
        <f t="shared" si="42"/>
        <v>103.19999999999999</v>
      </c>
      <c r="P292" s="47"/>
      <c r="Q292" s="47"/>
      <c r="R292" s="49"/>
      <c r="S292" s="50"/>
      <c r="T292" s="50"/>
    </row>
    <row r="293" spans="1:20" x14ac:dyDescent="0.2">
      <c r="A293" s="15">
        <f>Data!A293</f>
        <v>45945</v>
      </c>
      <c r="B293" s="1">
        <v>288</v>
      </c>
      <c r="C293" s="16">
        <f>ROUND(Data!BB293,2)</f>
        <v>0</v>
      </c>
      <c r="D293" s="3">
        <f>ROUND(Data!P293,1)</f>
        <v>0</v>
      </c>
      <c r="E293" s="3">
        <f>ROUND(Data!Y293,1)</f>
        <v>0</v>
      </c>
      <c r="F293" s="3">
        <f>Data!BH293</f>
        <v>0</v>
      </c>
      <c r="G293" s="3">
        <f>Data!N293</f>
        <v>0</v>
      </c>
      <c r="H293" s="17">
        <f>Data!AY293</f>
        <v>0</v>
      </c>
      <c r="I293" s="13">
        <f t="shared" si="43"/>
        <v>0</v>
      </c>
      <c r="K293" s="28">
        <f t="shared" si="44"/>
        <v>0</v>
      </c>
      <c r="M293" s="22">
        <f t="shared" si="41"/>
        <v>0</v>
      </c>
      <c r="N293" s="22">
        <f t="shared" si="42"/>
        <v>103.19999999999999</v>
      </c>
      <c r="P293" s="47"/>
      <c r="Q293" s="47"/>
      <c r="R293" s="49"/>
      <c r="S293" s="50"/>
      <c r="T293" s="50"/>
    </row>
    <row r="294" spans="1:20" x14ac:dyDescent="0.2">
      <c r="A294" s="15">
        <f>Data!A294</f>
        <v>45946</v>
      </c>
      <c r="B294" s="1">
        <v>289</v>
      </c>
      <c r="C294" s="16">
        <f>ROUND(Data!BB294,2)</f>
        <v>0</v>
      </c>
      <c r="D294" s="3">
        <f>ROUND(Data!P294,1)</f>
        <v>0</v>
      </c>
      <c r="E294" s="3">
        <f>ROUND(Data!Y294,1)</f>
        <v>0</v>
      </c>
      <c r="F294" s="3">
        <f>Data!BH294</f>
        <v>0</v>
      </c>
      <c r="G294" s="3">
        <f>Data!N294</f>
        <v>0</v>
      </c>
      <c r="H294" s="17">
        <f>Data!AY294</f>
        <v>0</v>
      </c>
      <c r="I294" s="13">
        <f t="shared" si="43"/>
        <v>0</v>
      </c>
      <c r="K294" s="28">
        <f t="shared" si="44"/>
        <v>0</v>
      </c>
      <c r="M294" s="22">
        <f t="shared" si="41"/>
        <v>0</v>
      </c>
      <c r="N294" s="22">
        <f t="shared" si="42"/>
        <v>103.19999999999999</v>
      </c>
      <c r="P294" s="47"/>
      <c r="Q294" s="47"/>
      <c r="R294" s="49"/>
      <c r="S294" s="50"/>
      <c r="T294" s="50"/>
    </row>
    <row r="295" spans="1:20" x14ac:dyDescent="0.2">
      <c r="A295" s="15">
        <f>Data!A295</f>
        <v>45947</v>
      </c>
      <c r="B295" s="1">
        <v>290</v>
      </c>
      <c r="C295" s="16">
        <f>ROUND(Data!BB295,2)</f>
        <v>0</v>
      </c>
      <c r="D295" s="3">
        <f>ROUND(Data!P295,1)</f>
        <v>0</v>
      </c>
      <c r="E295" s="3">
        <f>ROUND(Data!Y295,1)</f>
        <v>0</v>
      </c>
      <c r="F295" s="3">
        <f>Data!BH295</f>
        <v>0</v>
      </c>
      <c r="G295" s="3">
        <f>Data!N295</f>
        <v>0</v>
      </c>
      <c r="H295" s="17">
        <f>Data!AY295</f>
        <v>0</v>
      </c>
      <c r="I295" s="13">
        <f t="shared" si="43"/>
        <v>0</v>
      </c>
      <c r="K295" s="28">
        <f t="shared" si="44"/>
        <v>0</v>
      </c>
      <c r="M295" s="22">
        <f t="shared" si="41"/>
        <v>0</v>
      </c>
      <c r="N295" s="22">
        <f t="shared" si="42"/>
        <v>103.19999999999999</v>
      </c>
      <c r="P295" s="19"/>
      <c r="Q295" s="19"/>
      <c r="R295" s="17"/>
      <c r="S295" s="22"/>
      <c r="T295" s="22"/>
    </row>
    <row r="296" spans="1:20" x14ac:dyDescent="0.2">
      <c r="A296" s="15">
        <f>Data!A296</f>
        <v>45948</v>
      </c>
      <c r="B296" s="1">
        <v>291</v>
      </c>
      <c r="C296" s="16">
        <f>ROUND(Data!BB296,2)</f>
        <v>0</v>
      </c>
      <c r="D296" s="3">
        <f>ROUND(Data!P296,1)</f>
        <v>0</v>
      </c>
      <c r="E296" s="3">
        <f>ROUND(Data!Y296,1)</f>
        <v>0</v>
      </c>
      <c r="F296" s="3">
        <f>Data!BH296</f>
        <v>0</v>
      </c>
      <c r="G296" s="3">
        <f>Data!N296</f>
        <v>0</v>
      </c>
      <c r="H296" s="17">
        <f>Data!AY296</f>
        <v>0</v>
      </c>
      <c r="I296" s="13">
        <f t="shared" si="43"/>
        <v>0</v>
      </c>
      <c r="K296" s="28">
        <f t="shared" si="44"/>
        <v>0</v>
      </c>
      <c r="M296" s="22">
        <f t="shared" si="41"/>
        <v>0</v>
      </c>
      <c r="N296" s="22">
        <f t="shared" si="42"/>
        <v>103.19999999999999</v>
      </c>
      <c r="P296" s="19"/>
      <c r="Q296" s="19"/>
      <c r="R296" s="17"/>
      <c r="S296" s="22"/>
      <c r="T296" s="22"/>
    </row>
    <row r="297" spans="1:20" x14ac:dyDescent="0.2">
      <c r="A297" s="15">
        <f>Data!A297</f>
        <v>45949</v>
      </c>
      <c r="B297" s="1">
        <v>292</v>
      </c>
      <c r="C297" s="16">
        <f>ROUND(Data!BB297,2)</f>
        <v>0</v>
      </c>
      <c r="D297" s="3">
        <f>ROUND(Data!P297,1)</f>
        <v>0</v>
      </c>
      <c r="E297" s="3">
        <f>ROUND(Data!Y297,1)</f>
        <v>0</v>
      </c>
      <c r="F297" s="3">
        <f>Data!BH297</f>
        <v>0</v>
      </c>
      <c r="G297" s="3">
        <f>Data!N297</f>
        <v>0</v>
      </c>
      <c r="H297" s="17">
        <f>Data!AY297</f>
        <v>0</v>
      </c>
      <c r="I297" s="13">
        <f t="shared" si="43"/>
        <v>0</v>
      </c>
      <c r="K297" s="28">
        <f t="shared" si="44"/>
        <v>0</v>
      </c>
      <c r="M297" s="22">
        <f t="shared" si="41"/>
        <v>0</v>
      </c>
      <c r="N297" s="22">
        <f t="shared" si="42"/>
        <v>103.19999999999999</v>
      </c>
      <c r="P297" s="19"/>
      <c r="Q297" s="19"/>
      <c r="R297" s="17"/>
      <c r="S297" s="22"/>
      <c r="T297" s="22"/>
    </row>
    <row r="298" spans="1:20" x14ac:dyDescent="0.2">
      <c r="A298" s="15">
        <f>Data!A298</f>
        <v>45950</v>
      </c>
      <c r="B298" s="1">
        <v>293</v>
      </c>
      <c r="C298" s="16">
        <f>ROUND(Data!BB298,2)</f>
        <v>0</v>
      </c>
      <c r="D298" s="3">
        <f>ROUND(Data!P298,1)</f>
        <v>0</v>
      </c>
      <c r="E298" s="3">
        <f>ROUND(Data!Y298,1)</f>
        <v>0</v>
      </c>
      <c r="F298" s="3">
        <f>Data!BH298</f>
        <v>0</v>
      </c>
      <c r="G298" s="3">
        <f>Data!N298</f>
        <v>0</v>
      </c>
      <c r="H298" s="17">
        <f>Data!AY298</f>
        <v>0</v>
      </c>
      <c r="I298" s="13">
        <f t="shared" si="43"/>
        <v>0</v>
      </c>
      <c r="K298" s="28">
        <f t="shared" si="44"/>
        <v>0</v>
      </c>
      <c r="M298" s="22">
        <f t="shared" si="41"/>
        <v>0</v>
      </c>
      <c r="N298" s="22">
        <f t="shared" si="42"/>
        <v>103.19999999999999</v>
      </c>
      <c r="P298" s="19"/>
      <c r="Q298" s="19"/>
      <c r="R298" s="17"/>
      <c r="S298" s="22"/>
      <c r="T298" s="22"/>
    </row>
    <row r="299" spans="1:20" x14ac:dyDescent="0.2">
      <c r="A299" s="15">
        <f>Data!A299</f>
        <v>45951</v>
      </c>
      <c r="B299" s="1">
        <v>294</v>
      </c>
      <c r="C299" s="16">
        <f>ROUND(Data!BB299,2)</f>
        <v>0</v>
      </c>
      <c r="D299" s="3">
        <f>ROUND(Data!P299,1)</f>
        <v>0</v>
      </c>
      <c r="E299" s="3">
        <f>ROUND(Data!Y299,1)</f>
        <v>0</v>
      </c>
      <c r="F299" s="3">
        <f>Data!BH299</f>
        <v>0</v>
      </c>
      <c r="G299" s="3">
        <f>Data!N299</f>
        <v>0</v>
      </c>
      <c r="H299" s="17">
        <f>Data!AY299</f>
        <v>0</v>
      </c>
      <c r="I299" s="13">
        <f t="shared" si="43"/>
        <v>0</v>
      </c>
      <c r="K299" s="28">
        <f t="shared" si="44"/>
        <v>0</v>
      </c>
      <c r="M299" s="22">
        <f t="shared" si="41"/>
        <v>0</v>
      </c>
      <c r="N299" s="22">
        <f t="shared" si="42"/>
        <v>103.19999999999999</v>
      </c>
      <c r="P299" s="19"/>
      <c r="Q299" s="19"/>
      <c r="R299" s="17"/>
      <c r="S299" s="22"/>
      <c r="T299" s="22"/>
    </row>
    <row r="300" spans="1:20" x14ac:dyDescent="0.2">
      <c r="A300" s="15">
        <f>Data!A300</f>
        <v>45952</v>
      </c>
      <c r="B300" s="1">
        <v>295</v>
      </c>
      <c r="C300" s="16">
        <f>ROUND(Data!BB300,2)</f>
        <v>0</v>
      </c>
      <c r="D300" s="3">
        <f>ROUND(Data!P300,1)</f>
        <v>0</v>
      </c>
      <c r="E300" s="3">
        <f>ROUND(Data!Y300,1)</f>
        <v>0</v>
      </c>
      <c r="F300" s="3">
        <f>Data!BH300</f>
        <v>0</v>
      </c>
      <c r="G300" s="3">
        <f>Data!N300</f>
        <v>0</v>
      </c>
      <c r="H300" s="17">
        <f>Data!AY300</f>
        <v>0</v>
      </c>
      <c r="I300" s="13">
        <f t="shared" si="43"/>
        <v>0</v>
      </c>
      <c r="K300" s="28">
        <f t="shared" si="44"/>
        <v>0</v>
      </c>
      <c r="M300" s="22">
        <f t="shared" si="41"/>
        <v>0</v>
      </c>
      <c r="N300" s="22">
        <f t="shared" si="42"/>
        <v>103.19999999999999</v>
      </c>
      <c r="P300" s="19"/>
      <c r="Q300" s="19"/>
      <c r="R300" s="17"/>
      <c r="S300" s="22"/>
      <c r="T300" s="22"/>
    </row>
    <row r="301" spans="1:20" x14ac:dyDescent="0.2">
      <c r="A301" s="15">
        <f>Data!A301</f>
        <v>45953</v>
      </c>
      <c r="B301" s="1">
        <v>296</v>
      </c>
      <c r="C301" s="16">
        <f>ROUND(Data!BB301,2)</f>
        <v>0</v>
      </c>
      <c r="D301" s="3">
        <f>ROUND(Data!P301,1)</f>
        <v>0</v>
      </c>
      <c r="E301" s="3">
        <f>ROUND(Data!Y301,1)</f>
        <v>0</v>
      </c>
      <c r="F301" s="3">
        <f>Data!BH301</f>
        <v>0</v>
      </c>
      <c r="G301" s="3">
        <f>Data!N301</f>
        <v>0</v>
      </c>
      <c r="H301" s="17">
        <f>Data!AY301</f>
        <v>0</v>
      </c>
      <c r="I301" s="13">
        <f t="shared" si="43"/>
        <v>0</v>
      </c>
      <c r="K301" s="28">
        <f t="shared" si="44"/>
        <v>0</v>
      </c>
      <c r="M301" s="22">
        <f t="shared" si="41"/>
        <v>0</v>
      </c>
      <c r="N301" s="22">
        <f t="shared" si="42"/>
        <v>103.19999999999999</v>
      </c>
      <c r="P301" s="19"/>
      <c r="Q301" s="19"/>
      <c r="R301" s="17"/>
      <c r="S301" s="22"/>
      <c r="T301" s="22"/>
    </row>
    <row r="302" spans="1:20" x14ac:dyDescent="0.2">
      <c r="A302" s="15">
        <f>Data!A302</f>
        <v>45954</v>
      </c>
      <c r="B302" s="1">
        <v>297</v>
      </c>
      <c r="C302" s="16">
        <f>ROUND(Data!BB302,2)</f>
        <v>0</v>
      </c>
      <c r="D302" s="3">
        <f>ROUND(Data!P302,1)</f>
        <v>0</v>
      </c>
      <c r="E302" s="3">
        <f>ROUND(Data!Y302,1)</f>
        <v>0</v>
      </c>
      <c r="F302" s="3">
        <f>Data!BH302</f>
        <v>0</v>
      </c>
      <c r="G302" s="3">
        <f>Data!N302</f>
        <v>0</v>
      </c>
      <c r="H302" s="17">
        <f>Data!AY302</f>
        <v>0</v>
      </c>
      <c r="I302" s="13">
        <f t="shared" si="43"/>
        <v>0</v>
      </c>
      <c r="K302" s="28">
        <f t="shared" si="44"/>
        <v>0</v>
      </c>
      <c r="M302" s="22">
        <f t="shared" si="41"/>
        <v>0</v>
      </c>
      <c r="N302" s="22">
        <f t="shared" si="42"/>
        <v>103.19999999999999</v>
      </c>
      <c r="P302" s="19"/>
      <c r="Q302" s="19"/>
      <c r="R302" s="17"/>
      <c r="S302" s="22"/>
      <c r="T302" s="22"/>
    </row>
    <row r="303" spans="1:20" x14ac:dyDescent="0.2">
      <c r="A303" s="15">
        <f>Data!A303</f>
        <v>45955</v>
      </c>
      <c r="B303" s="1">
        <v>298</v>
      </c>
      <c r="C303" s="16">
        <f>ROUND(Data!BB303,2)</f>
        <v>0</v>
      </c>
      <c r="D303" s="3">
        <f>ROUND(Data!P303,1)</f>
        <v>0</v>
      </c>
      <c r="E303" s="3">
        <f>ROUND(Data!Y303,1)</f>
        <v>0</v>
      </c>
      <c r="F303" s="3">
        <f>Data!BH303</f>
        <v>0</v>
      </c>
      <c r="G303" s="3">
        <f>Data!N303</f>
        <v>0</v>
      </c>
      <c r="H303" s="17">
        <f>Data!AY303</f>
        <v>0</v>
      </c>
      <c r="I303" s="13">
        <f t="shared" si="43"/>
        <v>0</v>
      </c>
      <c r="K303" s="28">
        <f t="shared" si="44"/>
        <v>0</v>
      </c>
      <c r="M303" s="22">
        <f t="shared" si="41"/>
        <v>0</v>
      </c>
      <c r="N303" s="22">
        <f t="shared" si="42"/>
        <v>103.19999999999999</v>
      </c>
      <c r="P303" s="19"/>
      <c r="Q303" s="19"/>
      <c r="R303" s="17"/>
      <c r="S303" s="22"/>
      <c r="T303" s="22"/>
    </row>
    <row r="304" spans="1:20" x14ac:dyDescent="0.2">
      <c r="A304" s="15">
        <f>Data!A304</f>
        <v>45956</v>
      </c>
      <c r="B304" s="1">
        <v>299</v>
      </c>
      <c r="C304" s="16">
        <f>ROUND(Data!BB304,2)</f>
        <v>0</v>
      </c>
      <c r="D304" s="3">
        <f>ROUND(Data!P304,1)</f>
        <v>0</v>
      </c>
      <c r="E304" s="3">
        <f>ROUND(Data!Y304,1)</f>
        <v>0</v>
      </c>
      <c r="F304" s="3">
        <f>Data!BH304</f>
        <v>0</v>
      </c>
      <c r="G304" s="3">
        <f>Data!N304</f>
        <v>0</v>
      </c>
      <c r="H304" s="17">
        <f>Data!AY304</f>
        <v>0</v>
      </c>
      <c r="I304" s="13">
        <f t="shared" si="43"/>
        <v>0</v>
      </c>
      <c r="K304" s="28">
        <f t="shared" si="44"/>
        <v>0</v>
      </c>
      <c r="M304" s="22">
        <f t="shared" si="41"/>
        <v>0</v>
      </c>
      <c r="N304" s="22">
        <f t="shared" si="42"/>
        <v>103.19999999999999</v>
      </c>
      <c r="P304" s="19"/>
      <c r="Q304" s="19"/>
      <c r="R304" s="17"/>
      <c r="S304" s="22"/>
      <c r="T304" s="22"/>
    </row>
    <row r="305" spans="1:20" x14ac:dyDescent="0.2">
      <c r="A305" s="15">
        <f>Data!A305</f>
        <v>45957</v>
      </c>
      <c r="B305" s="1">
        <v>300</v>
      </c>
      <c r="C305" s="16">
        <f>ROUND(Data!BB305,2)</f>
        <v>0</v>
      </c>
      <c r="D305" s="3">
        <f>ROUND(Data!P305,1)</f>
        <v>0</v>
      </c>
      <c r="E305" s="3">
        <f>ROUND(Data!Y305,1)</f>
        <v>0</v>
      </c>
      <c r="F305" s="3">
        <f>Data!BH305</f>
        <v>0</v>
      </c>
      <c r="G305" s="3">
        <f>Data!N305</f>
        <v>0</v>
      </c>
      <c r="H305" s="17">
        <f>Data!AY305</f>
        <v>0</v>
      </c>
      <c r="I305" s="13">
        <f t="shared" si="43"/>
        <v>0</v>
      </c>
      <c r="K305" s="28">
        <f t="shared" si="44"/>
        <v>0</v>
      </c>
      <c r="M305" s="22">
        <f t="shared" si="41"/>
        <v>0</v>
      </c>
      <c r="N305" s="22">
        <f t="shared" si="42"/>
        <v>103.19999999999999</v>
      </c>
      <c r="P305" s="31">
        <v>0</v>
      </c>
      <c r="Q305" s="19">
        <f t="shared" ref="Q305:Q368" si="45">IF(P305&gt;Q$1,Q$1,P305)</f>
        <v>0</v>
      </c>
      <c r="R305" s="17">
        <f t="shared" ref="R305:R368" si="46">Q305*H305</f>
        <v>0</v>
      </c>
      <c r="S305" s="22">
        <f t="shared" ref="S305:S368" si="47">R305-R304</f>
        <v>0</v>
      </c>
      <c r="T305" s="22">
        <f t="shared" ref="T305:T368" si="48">ROUND(K305-S305,1)</f>
        <v>0</v>
      </c>
    </row>
    <row r="306" spans="1:20" x14ac:dyDescent="0.2">
      <c r="A306" s="15">
        <f>Data!A306</f>
        <v>45958</v>
      </c>
      <c r="B306" s="1">
        <v>301</v>
      </c>
      <c r="C306" s="16">
        <f>ROUND(Data!BB306,2)</f>
        <v>0</v>
      </c>
      <c r="D306" s="3">
        <f>ROUND(Data!P306,1)</f>
        <v>0</v>
      </c>
      <c r="E306" s="3">
        <f>ROUND(Data!Y306,1)</f>
        <v>0</v>
      </c>
      <c r="F306" s="3">
        <f>Data!BH306</f>
        <v>0</v>
      </c>
      <c r="G306" s="3">
        <f>Data!N306</f>
        <v>0</v>
      </c>
      <c r="H306" s="17">
        <f>Data!AY306</f>
        <v>0</v>
      </c>
      <c r="I306" s="13">
        <f t="shared" si="43"/>
        <v>0</v>
      </c>
      <c r="K306" s="27">
        <f t="shared" ref="K306:K314" si="49">I306</f>
        <v>0</v>
      </c>
      <c r="M306" s="22">
        <f t="shared" si="41"/>
        <v>0</v>
      </c>
      <c r="N306" s="22">
        <f t="shared" si="42"/>
        <v>103.19999999999999</v>
      </c>
      <c r="P306" s="19" t="e">
        <f t="shared" ref="P306:P369" si="50">(R305+K306)/H306</f>
        <v>#DIV/0!</v>
      </c>
      <c r="Q306" s="19" t="e">
        <f t="shared" si="45"/>
        <v>#DIV/0!</v>
      </c>
      <c r="R306" s="17" t="e">
        <f t="shared" si="46"/>
        <v>#DIV/0!</v>
      </c>
      <c r="S306" s="22" t="e">
        <f t="shared" si="47"/>
        <v>#DIV/0!</v>
      </c>
      <c r="T306" s="22" t="e">
        <f t="shared" si="48"/>
        <v>#DIV/0!</v>
      </c>
    </row>
    <row r="307" spans="1:20" x14ac:dyDescent="0.2">
      <c r="A307" s="15">
        <f>Data!A307</f>
        <v>45959</v>
      </c>
      <c r="B307" s="1">
        <v>302</v>
      </c>
      <c r="C307" s="16">
        <f>ROUND(Data!BB307,2)</f>
        <v>0</v>
      </c>
      <c r="D307" s="3">
        <f>ROUND(Data!P307,1)</f>
        <v>0</v>
      </c>
      <c r="E307" s="3">
        <f>ROUND(Data!Y307,1)</f>
        <v>0</v>
      </c>
      <c r="F307" s="3">
        <f>Data!BH307</f>
        <v>0</v>
      </c>
      <c r="G307" s="3">
        <f>Data!N307</f>
        <v>0</v>
      </c>
      <c r="H307" s="17">
        <f>Data!AY307</f>
        <v>0</v>
      </c>
      <c r="I307" s="13">
        <f t="shared" si="43"/>
        <v>0</v>
      </c>
      <c r="K307" s="27">
        <f t="shared" si="49"/>
        <v>0</v>
      </c>
      <c r="M307" s="22">
        <f t="shared" si="41"/>
        <v>0</v>
      </c>
      <c r="N307" s="22">
        <f t="shared" si="42"/>
        <v>103.19999999999999</v>
      </c>
      <c r="P307" s="19" t="e">
        <f t="shared" si="50"/>
        <v>#DIV/0!</v>
      </c>
      <c r="Q307" s="19" t="e">
        <f t="shared" si="45"/>
        <v>#DIV/0!</v>
      </c>
      <c r="R307" s="17" t="e">
        <f t="shared" si="46"/>
        <v>#DIV/0!</v>
      </c>
      <c r="S307" s="22" t="e">
        <f t="shared" si="47"/>
        <v>#DIV/0!</v>
      </c>
      <c r="T307" s="22" t="e">
        <f t="shared" si="48"/>
        <v>#DIV/0!</v>
      </c>
    </row>
    <row r="308" spans="1:20" x14ac:dyDescent="0.2">
      <c r="A308" s="15">
        <f>Data!A308</f>
        <v>45960</v>
      </c>
      <c r="B308" s="1">
        <v>303</v>
      </c>
      <c r="C308" s="16">
        <f>ROUND(Data!BB308,2)</f>
        <v>0</v>
      </c>
      <c r="D308" s="3">
        <f>ROUND(Data!P308,1)</f>
        <v>0</v>
      </c>
      <c r="E308" s="3">
        <f>ROUND(Data!Y308,1)</f>
        <v>0</v>
      </c>
      <c r="F308" s="3">
        <f>Data!BH308</f>
        <v>0</v>
      </c>
      <c r="G308" s="3">
        <f>Data!N308</f>
        <v>0</v>
      </c>
      <c r="H308" s="17">
        <f>Data!AY308</f>
        <v>0</v>
      </c>
      <c r="I308" s="13">
        <f t="shared" si="43"/>
        <v>0</v>
      </c>
      <c r="K308" s="27">
        <f t="shared" si="49"/>
        <v>0</v>
      </c>
      <c r="M308" s="22">
        <f t="shared" si="41"/>
        <v>0</v>
      </c>
      <c r="N308" s="22">
        <f t="shared" si="42"/>
        <v>103.19999999999999</v>
      </c>
      <c r="P308" s="19" t="e">
        <f t="shared" si="50"/>
        <v>#DIV/0!</v>
      </c>
      <c r="Q308" s="19" t="e">
        <f t="shared" si="45"/>
        <v>#DIV/0!</v>
      </c>
      <c r="R308" s="17" t="e">
        <f t="shared" si="46"/>
        <v>#DIV/0!</v>
      </c>
      <c r="S308" s="22" t="e">
        <f t="shared" si="47"/>
        <v>#DIV/0!</v>
      </c>
      <c r="T308" s="22" t="e">
        <f t="shared" si="48"/>
        <v>#DIV/0!</v>
      </c>
    </row>
    <row r="309" spans="1:20" x14ac:dyDescent="0.2">
      <c r="A309" s="15">
        <f>Data!A309</f>
        <v>45961</v>
      </c>
      <c r="B309" s="1">
        <v>304</v>
      </c>
      <c r="C309" s="16">
        <f>ROUND(Data!BB309,2)</f>
        <v>0</v>
      </c>
      <c r="D309" s="3">
        <f>ROUND(Data!P309,1)</f>
        <v>0</v>
      </c>
      <c r="E309" s="3">
        <f>ROUND(Data!Y309,1)</f>
        <v>0</v>
      </c>
      <c r="F309" s="3">
        <f>Data!BH309</f>
        <v>0</v>
      </c>
      <c r="G309" s="3">
        <f>Data!N309</f>
        <v>0</v>
      </c>
      <c r="H309" s="17">
        <f>Data!AY309</f>
        <v>0</v>
      </c>
      <c r="I309" s="13">
        <f t="shared" si="43"/>
        <v>0</v>
      </c>
      <c r="K309" s="27">
        <f t="shared" si="49"/>
        <v>0</v>
      </c>
      <c r="M309" s="22">
        <f t="shared" si="41"/>
        <v>0</v>
      </c>
      <c r="N309" s="22">
        <f t="shared" si="42"/>
        <v>103.19999999999999</v>
      </c>
      <c r="P309" s="19" t="e">
        <f t="shared" si="50"/>
        <v>#DIV/0!</v>
      </c>
      <c r="Q309" s="19" t="e">
        <f t="shared" si="45"/>
        <v>#DIV/0!</v>
      </c>
      <c r="R309" s="17" t="e">
        <f t="shared" si="46"/>
        <v>#DIV/0!</v>
      </c>
      <c r="S309" s="22" t="e">
        <f t="shared" si="47"/>
        <v>#DIV/0!</v>
      </c>
      <c r="T309" s="22" t="e">
        <f t="shared" si="48"/>
        <v>#DIV/0!</v>
      </c>
    </row>
    <row r="310" spans="1:20" x14ac:dyDescent="0.2">
      <c r="A310" s="15">
        <f>Data!A310</f>
        <v>45962</v>
      </c>
      <c r="B310" s="1">
        <v>305</v>
      </c>
      <c r="C310" s="16">
        <f>ROUND(Data!BB310,2)</f>
        <v>0</v>
      </c>
      <c r="D310" s="3">
        <f>ROUND(Data!P310,1)</f>
        <v>0</v>
      </c>
      <c r="E310" s="3">
        <f>ROUND(Data!Y310,1)</f>
        <v>0</v>
      </c>
      <c r="F310" s="3">
        <f>Data!BH310</f>
        <v>0</v>
      </c>
      <c r="G310" s="3">
        <f>Data!N310</f>
        <v>0</v>
      </c>
      <c r="H310" s="17">
        <f>Data!AY310</f>
        <v>0</v>
      </c>
      <c r="I310" s="13">
        <f t="shared" si="43"/>
        <v>0</v>
      </c>
      <c r="K310" s="27">
        <f t="shared" si="49"/>
        <v>0</v>
      </c>
      <c r="M310" s="22">
        <f t="shared" si="41"/>
        <v>0</v>
      </c>
      <c r="N310" s="22">
        <f t="shared" si="42"/>
        <v>103.19999999999999</v>
      </c>
      <c r="P310" s="19" t="e">
        <f t="shared" si="50"/>
        <v>#DIV/0!</v>
      </c>
      <c r="Q310" s="19" t="e">
        <f t="shared" si="45"/>
        <v>#DIV/0!</v>
      </c>
      <c r="R310" s="17" t="e">
        <f t="shared" si="46"/>
        <v>#DIV/0!</v>
      </c>
      <c r="S310" s="22" t="e">
        <f t="shared" si="47"/>
        <v>#DIV/0!</v>
      </c>
      <c r="T310" s="22" t="e">
        <f t="shared" si="48"/>
        <v>#DIV/0!</v>
      </c>
    </row>
    <row r="311" spans="1:20" x14ac:dyDescent="0.2">
      <c r="A311" s="15">
        <f>Data!A311</f>
        <v>45963</v>
      </c>
      <c r="B311" s="1">
        <v>306</v>
      </c>
      <c r="C311" s="16">
        <f>ROUND(Data!BB311,2)</f>
        <v>0</v>
      </c>
      <c r="D311" s="3">
        <f>ROUND(Data!P311,1)</f>
        <v>0</v>
      </c>
      <c r="E311" s="3">
        <f>ROUND(Data!Y311,1)</f>
        <v>0</v>
      </c>
      <c r="F311" s="3">
        <f>Data!BH311</f>
        <v>0</v>
      </c>
      <c r="G311" s="3">
        <f>Data!N311</f>
        <v>0</v>
      </c>
      <c r="H311" s="17">
        <f>Data!AY311</f>
        <v>0</v>
      </c>
      <c r="I311" s="13">
        <f t="shared" si="43"/>
        <v>0</v>
      </c>
      <c r="K311" s="27">
        <f t="shared" si="49"/>
        <v>0</v>
      </c>
      <c r="M311" s="22">
        <f t="shared" si="41"/>
        <v>0</v>
      </c>
      <c r="N311" s="22">
        <f t="shared" si="42"/>
        <v>103.19999999999999</v>
      </c>
      <c r="P311" s="19" t="e">
        <f t="shared" si="50"/>
        <v>#DIV/0!</v>
      </c>
      <c r="Q311" s="19" t="e">
        <f t="shared" si="45"/>
        <v>#DIV/0!</v>
      </c>
      <c r="R311" s="17" t="e">
        <f t="shared" si="46"/>
        <v>#DIV/0!</v>
      </c>
      <c r="S311" s="22" t="e">
        <f t="shared" si="47"/>
        <v>#DIV/0!</v>
      </c>
      <c r="T311" s="22" t="e">
        <f t="shared" si="48"/>
        <v>#DIV/0!</v>
      </c>
    </row>
    <row r="312" spans="1:20" x14ac:dyDescent="0.2">
      <c r="A312" s="15">
        <f>Data!A312</f>
        <v>45964</v>
      </c>
      <c r="B312" s="1">
        <v>307</v>
      </c>
      <c r="C312" s="16">
        <f>ROUND(Data!BB312,2)</f>
        <v>0</v>
      </c>
      <c r="D312" s="3">
        <f>ROUND(Data!P312,1)</f>
        <v>0</v>
      </c>
      <c r="E312" s="3">
        <f>ROUND(Data!Y312,1)</f>
        <v>0</v>
      </c>
      <c r="F312" s="3">
        <f>Data!BH312</f>
        <v>0</v>
      </c>
      <c r="G312" s="3">
        <f>Data!N312</f>
        <v>0</v>
      </c>
      <c r="H312" s="17">
        <f>Data!AY312</f>
        <v>0</v>
      </c>
      <c r="I312" s="13">
        <f t="shared" si="43"/>
        <v>0</v>
      </c>
      <c r="K312" s="27">
        <f t="shared" si="49"/>
        <v>0</v>
      </c>
      <c r="M312" s="22">
        <f t="shared" si="41"/>
        <v>0</v>
      </c>
      <c r="N312" s="22">
        <f t="shared" si="42"/>
        <v>103.19999999999999</v>
      </c>
      <c r="P312" s="19" t="e">
        <f t="shared" si="50"/>
        <v>#DIV/0!</v>
      </c>
      <c r="Q312" s="19" t="e">
        <f t="shared" si="45"/>
        <v>#DIV/0!</v>
      </c>
      <c r="R312" s="17" t="e">
        <f t="shared" si="46"/>
        <v>#DIV/0!</v>
      </c>
      <c r="S312" s="22" t="e">
        <f t="shared" si="47"/>
        <v>#DIV/0!</v>
      </c>
      <c r="T312" s="22" t="e">
        <f t="shared" si="48"/>
        <v>#DIV/0!</v>
      </c>
    </row>
    <row r="313" spans="1:20" x14ac:dyDescent="0.2">
      <c r="A313" s="15">
        <f>Data!A313</f>
        <v>45965</v>
      </c>
      <c r="B313" s="1">
        <v>308</v>
      </c>
      <c r="C313" s="16">
        <f>ROUND(Data!BB313,2)</f>
        <v>0</v>
      </c>
      <c r="D313" s="3">
        <f>ROUND(Data!P313,1)</f>
        <v>0</v>
      </c>
      <c r="E313" s="3">
        <f>ROUND(Data!Y313,1)</f>
        <v>0</v>
      </c>
      <c r="F313" s="3">
        <f>Data!BH313</f>
        <v>0</v>
      </c>
      <c r="G313" s="3">
        <f>Data!N313</f>
        <v>0</v>
      </c>
      <c r="H313" s="17">
        <f>Data!AY313</f>
        <v>0</v>
      </c>
      <c r="I313" s="13">
        <f t="shared" si="43"/>
        <v>0</v>
      </c>
      <c r="K313" s="27">
        <f t="shared" si="49"/>
        <v>0</v>
      </c>
      <c r="M313" s="22">
        <f t="shared" si="41"/>
        <v>0</v>
      </c>
      <c r="N313" s="22">
        <f t="shared" si="42"/>
        <v>103.19999999999999</v>
      </c>
      <c r="P313" s="19" t="e">
        <f t="shared" si="50"/>
        <v>#DIV/0!</v>
      </c>
      <c r="Q313" s="19" t="e">
        <f t="shared" si="45"/>
        <v>#DIV/0!</v>
      </c>
      <c r="R313" s="17" t="e">
        <f t="shared" si="46"/>
        <v>#DIV/0!</v>
      </c>
      <c r="S313" s="22" t="e">
        <f t="shared" si="47"/>
        <v>#DIV/0!</v>
      </c>
      <c r="T313" s="22" t="e">
        <f t="shared" si="48"/>
        <v>#DIV/0!</v>
      </c>
    </row>
    <row r="314" spans="1:20" x14ac:dyDescent="0.2">
      <c r="A314" s="15">
        <f>Data!A314</f>
        <v>45966</v>
      </c>
      <c r="B314" s="1">
        <v>309</v>
      </c>
      <c r="C314" s="16">
        <f>ROUND(Data!BB314,2)</f>
        <v>0</v>
      </c>
      <c r="D314" s="3">
        <f>ROUND(Data!P314,1)</f>
        <v>0</v>
      </c>
      <c r="E314" s="3">
        <f>ROUND(Data!Y314,1)</f>
        <v>0</v>
      </c>
      <c r="F314" s="3">
        <f>Data!BH314</f>
        <v>0</v>
      </c>
      <c r="G314" s="3">
        <f>Data!N314</f>
        <v>0</v>
      </c>
      <c r="H314" s="17">
        <f>Data!AY314</f>
        <v>0</v>
      </c>
      <c r="I314" s="13">
        <f t="shared" si="43"/>
        <v>0</v>
      </c>
      <c r="K314" s="27">
        <f t="shared" si="49"/>
        <v>0</v>
      </c>
      <c r="M314" s="22">
        <f t="shared" si="41"/>
        <v>0</v>
      </c>
      <c r="N314" s="22">
        <f t="shared" si="42"/>
        <v>103.19999999999999</v>
      </c>
      <c r="P314" s="19" t="e">
        <f t="shared" si="50"/>
        <v>#DIV/0!</v>
      </c>
      <c r="Q314" s="19" t="e">
        <f t="shared" si="45"/>
        <v>#DIV/0!</v>
      </c>
      <c r="R314" s="17" t="e">
        <f t="shared" si="46"/>
        <v>#DIV/0!</v>
      </c>
      <c r="S314" s="22" t="e">
        <f t="shared" si="47"/>
        <v>#DIV/0!</v>
      </c>
      <c r="T314" s="22" t="e">
        <f t="shared" si="48"/>
        <v>#DIV/0!</v>
      </c>
    </row>
    <row r="315" spans="1:20" x14ac:dyDescent="0.2">
      <c r="A315" s="15">
        <f>Data!A315</f>
        <v>45967</v>
      </c>
      <c r="B315" s="1">
        <v>310</v>
      </c>
      <c r="C315" s="16">
        <f>ROUND(Data!BB315,2)</f>
        <v>0</v>
      </c>
      <c r="D315" s="3">
        <f>ROUND(Data!P315,1)</f>
        <v>0</v>
      </c>
      <c r="E315" s="3">
        <f>ROUND(Data!Y315,1)</f>
        <v>0</v>
      </c>
      <c r="F315" s="3">
        <f>Data!BH315</f>
        <v>0</v>
      </c>
      <c r="G315" s="3">
        <f>Data!N315</f>
        <v>0</v>
      </c>
      <c r="H315" s="17">
        <f>Data!AY315</f>
        <v>0</v>
      </c>
      <c r="I315" s="13">
        <f t="shared" si="43"/>
        <v>0</v>
      </c>
      <c r="K315" s="27">
        <f t="shared" ref="K315:K321" si="51">I315</f>
        <v>0</v>
      </c>
      <c r="M315" s="22">
        <f t="shared" si="41"/>
        <v>0</v>
      </c>
      <c r="N315" s="22">
        <f t="shared" si="42"/>
        <v>103.19999999999999</v>
      </c>
      <c r="P315" s="19" t="e">
        <f t="shared" si="50"/>
        <v>#DIV/0!</v>
      </c>
      <c r="Q315" s="19" t="e">
        <f t="shared" si="45"/>
        <v>#DIV/0!</v>
      </c>
      <c r="R315" s="17" t="e">
        <f t="shared" si="46"/>
        <v>#DIV/0!</v>
      </c>
      <c r="S315" s="22" t="e">
        <f t="shared" si="47"/>
        <v>#DIV/0!</v>
      </c>
      <c r="T315" s="22" t="e">
        <f t="shared" si="48"/>
        <v>#DIV/0!</v>
      </c>
    </row>
    <row r="316" spans="1:20" x14ac:dyDescent="0.2">
      <c r="A316" s="15">
        <f>Data!A316</f>
        <v>45968</v>
      </c>
      <c r="B316" s="1">
        <v>311</v>
      </c>
      <c r="C316" s="16">
        <f>ROUND(Data!BB316,2)</f>
        <v>0</v>
      </c>
      <c r="D316" s="3">
        <f>ROUND(Data!P316,1)</f>
        <v>0</v>
      </c>
      <c r="E316" s="3">
        <f>ROUND(Data!Y316,1)</f>
        <v>0</v>
      </c>
      <c r="F316" s="3">
        <f>Data!BH316</f>
        <v>0</v>
      </c>
      <c r="G316" s="3">
        <f>Data!N316</f>
        <v>0</v>
      </c>
      <c r="H316" s="17">
        <f>Data!AY316</f>
        <v>0</v>
      </c>
      <c r="I316" s="13">
        <f t="shared" si="43"/>
        <v>0</v>
      </c>
      <c r="K316" s="27">
        <f t="shared" si="51"/>
        <v>0</v>
      </c>
      <c r="M316" s="22">
        <f t="shared" si="41"/>
        <v>0</v>
      </c>
      <c r="N316" s="22">
        <f t="shared" si="42"/>
        <v>103.19999999999999</v>
      </c>
      <c r="P316" s="19" t="e">
        <f t="shared" si="50"/>
        <v>#DIV/0!</v>
      </c>
      <c r="Q316" s="19" t="e">
        <f t="shared" si="45"/>
        <v>#DIV/0!</v>
      </c>
      <c r="R316" s="17" t="e">
        <f t="shared" si="46"/>
        <v>#DIV/0!</v>
      </c>
      <c r="S316" s="22" t="e">
        <f t="shared" si="47"/>
        <v>#DIV/0!</v>
      </c>
      <c r="T316" s="22" t="e">
        <f t="shared" si="48"/>
        <v>#DIV/0!</v>
      </c>
    </row>
    <row r="317" spans="1:20" x14ac:dyDescent="0.2">
      <c r="A317" s="15">
        <f>Data!A317</f>
        <v>45969</v>
      </c>
      <c r="B317" s="1">
        <v>312</v>
      </c>
      <c r="C317" s="16">
        <f>ROUND(Data!BB317,2)</f>
        <v>0</v>
      </c>
      <c r="D317" s="3">
        <f>ROUND(Data!P317,1)</f>
        <v>0</v>
      </c>
      <c r="E317" s="3">
        <f>ROUND(Data!Y317,1)</f>
        <v>0</v>
      </c>
      <c r="F317" s="3">
        <f>Data!BH317</f>
        <v>0</v>
      </c>
      <c r="G317" s="3">
        <f>Data!N317</f>
        <v>0</v>
      </c>
      <c r="H317" s="17">
        <f>Data!AY317</f>
        <v>0</v>
      </c>
      <c r="I317" s="13">
        <f t="shared" si="43"/>
        <v>0</v>
      </c>
      <c r="K317" s="27">
        <f t="shared" si="51"/>
        <v>0</v>
      </c>
      <c r="M317" s="22">
        <f t="shared" ref="M317:M370" si="52">J317+M316</f>
        <v>0</v>
      </c>
      <c r="N317" s="22">
        <f t="shared" ref="N317:N370" si="53">K317+N316</f>
        <v>103.19999999999999</v>
      </c>
      <c r="P317" s="19" t="e">
        <f t="shared" si="50"/>
        <v>#DIV/0!</v>
      </c>
      <c r="Q317" s="19" t="e">
        <f t="shared" si="45"/>
        <v>#DIV/0!</v>
      </c>
      <c r="R317" s="17" t="e">
        <f t="shared" si="46"/>
        <v>#DIV/0!</v>
      </c>
      <c r="S317" s="22" t="e">
        <f t="shared" si="47"/>
        <v>#DIV/0!</v>
      </c>
      <c r="T317" s="22" t="e">
        <f t="shared" si="48"/>
        <v>#DIV/0!</v>
      </c>
    </row>
    <row r="318" spans="1:20" x14ac:dyDescent="0.2">
      <c r="A318" s="15">
        <f>Data!A318</f>
        <v>45970</v>
      </c>
      <c r="B318" s="1">
        <v>313</v>
      </c>
      <c r="C318" s="16">
        <f>ROUND(Data!BB318,2)</f>
        <v>0</v>
      </c>
      <c r="D318" s="3">
        <f>ROUND(Data!P318,1)</f>
        <v>0</v>
      </c>
      <c r="E318" s="3">
        <f>ROUND(Data!Y318,1)</f>
        <v>0</v>
      </c>
      <c r="F318" s="3">
        <f>Data!BH318</f>
        <v>0</v>
      </c>
      <c r="G318" s="3">
        <f>Data!N318</f>
        <v>0</v>
      </c>
      <c r="H318" s="17">
        <f>Data!AY318</f>
        <v>0</v>
      </c>
      <c r="I318" s="13">
        <f t="shared" si="43"/>
        <v>0</v>
      </c>
      <c r="K318" s="27">
        <f t="shared" si="51"/>
        <v>0</v>
      </c>
      <c r="M318" s="22">
        <f t="shared" si="52"/>
        <v>0</v>
      </c>
      <c r="N318" s="22">
        <f t="shared" si="53"/>
        <v>103.19999999999999</v>
      </c>
      <c r="P318" s="19" t="e">
        <f t="shared" si="50"/>
        <v>#DIV/0!</v>
      </c>
      <c r="Q318" s="19" t="e">
        <f t="shared" si="45"/>
        <v>#DIV/0!</v>
      </c>
      <c r="R318" s="17" t="e">
        <f t="shared" si="46"/>
        <v>#DIV/0!</v>
      </c>
      <c r="S318" s="22" t="e">
        <f t="shared" si="47"/>
        <v>#DIV/0!</v>
      </c>
      <c r="T318" s="22" t="e">
        <f t="shared" si="48"/>
        <v>#DIV/0!</v>
      </c>
    </row>
    <row r="319" spans="1:20" x14ac:dyDescent="0.2">
      <c r="A319" s="15">
        <f>Data!A319</f>
        <v>45971</v>
      </c>
      <c r="B319" s="1">
        <v>314</v>
      </c>
      <c r="C319" s="16">
        <f>ROUND(Data!BB319,2)</f>
        <v>0</v>
      </c>
      <c r="D319" s="3">
        <f>ROUND(Data!P319,1)</f>
        <v>0</v>
      </c>
      <c r="E319" s="3">
        <f>ROUND(Data!Y319,1)</f>
        <v>0</v>
      </c>
      <c r="F319" s="3">
        <f>Data!BH319</f>
        <v>0</v>
      </c>
      <c r="G319" s="3">
        <f>Data!N319</f>
        <v>0</v>
      </c>
      <c r="H319" s="17">
        <f>Data!AY319</f>
        <v>0</v>
      </c>
      <c r="I319" s="13">
        <f t="shared" ref="I319:I370" si="54">IF(H319&gt;H318,ROUND((H319-H318)*I$1,1),0)</f>
        <v>0</v>
      </c>
      <c r="K319" s="27">
        <f t="shared" si="51"/>
        <v>0</v>
      </c>
      <c r="M319" s="22">
        <f t="shared" si="52"/>
        <v>0</v>
      </c>
      <c r="N319" s="22">
        <f t="shared" si="53"/>
        <v>103.19999999999999</v>
      </c>
      <c r="P319" s="19" t="e">
        <f t="shared" si="50"/>
        <v>#DIV/0!</v>
      </c>
      <c r="Q319" s="19" t="e">
        <f t="shared" si="45"/>
        <v>#DIV/0!</v>
      </c>
      <c r="R319" s="17" t="e">
        <f t="shared" si="46"/>
        <v>#DIV/0!</v>
      </c>
      <c r="S319" s="22" t="e">
        <f t="shared" si="47"/>
        <v>#DIV/0!</v>
      </c>
      <c r="T319" s="22" t="e">
        <f t="shared" si="48"/>
        <v>#DIV/0!</v>
      </c>
    </row>
    <row r="320" spans="1:20" x14ac:dyDescent="0.2">
      <c r="A320" s="15">
        <f>Data!A320</f>
        <v>45972</v>
      </c>
      <c r="B320" s="1">
        <v>315</v>
      </c>
      <c r="C320" s="16">
        <f>ROUND(Data!BB320,2)</f>
        <v>0</v>
      </c>
      <c r="D320" s="3">
        <f>ROUND(Data!P320,1)</f>
        <v>0</v>
      </c>
      <c r="E320" s="3">
        <f>ROUND(Data!Y320,1)</f>
        <v>0</v>
      </c>
      <c r="F320" s="3">
        <f>Data!BH320</f>
        <v>0</v>
      </c>
      <c r="G320" s="3">
        <f>Data!N320</f>
        <v>0</v>
      </c>
      <c r="H320" s="17">
        <f>Data!AY320</f>
        <v>0</v>
      </c>
      <c r="I320" s="13">
        <f t="shared" si="54"/>
        <v>0</v>
      </c>
      <c r="K320" s="27">
        <f t="shared" si="51"/>
        <v>0</v>
      </c>
      <c r="M320" s="22">
        <f t="shared" si="52"/>
        <v>0</v>
      </c>
      <c r="N320" s="22">
        <f t="shared" si="53"/>
        <v>103.19999999999999</v>
      </c>
      <c r="P320" s="19" t="e">
        <f t="shared" si="50"/>
        <v>#DIV/0!</v>
      </c>
      <c r="Q320" s="19" t="e">
        <f t="shared" si="45"/>
        <v>#DIV/0!</v>
      </c>
      <c r="R320" s="17" t="e">
        <f t="shared" si="46"/>
        <v>#DIV/0!</v>
      </c>
      <c r="S320" s="22" t="e">
        <f t="shared" si="47"/>
        <v>#DIV/0!</v>
      </c>
      <c r="T320" s="22" t="e">
        <f t="shared" si="48"/>
        <v>#DIV/0!</v>
      </c>
    </row>
    <row r="321" spans="1:20" x14ac:dyDescent="0.2">
      <c r="A321" s="15">
        <f>Data!A321</f>
        <v>45973</v>
      </c>
      <c r="B321" s="1">
        <v>316</v>
      </c>
      <c r="C321" s="16">
        <f>ROUND(Data!BB321,2)</f>
        <v>0</v>
      </c>
      <c r="D321" s="3">
        <f>ROUND(Data!P321,1)</f>
        <v>0</v>
      </c>
      <c r="E321" s="3">
        <f>ROUND(Data!Y321,1)</f>
        <v>0</v>
      </c>
      <c r="F321" s="3">
        <f>Data!BH321</f>
        <v>0</v>
      </c>
      <c r="G321" s="3">
        <f>Data!N321</f>
        <v>0</v>
      </c>
      <c r="H321" s="17">
        <f>Data!AY321</f>
        <v>0</v>
      </c>
      <c r="I321" s="13">
        <f t="shared" si="54"/>
        <v>0</v>
      </c>
      <c r="K321" s="27">
        <f t="shared" si="51"/>
        <v>0</v>
      </c>
      <c r="M321" s="22">
        <f t="shared" si="52"/>
        <v>0</v>
      </c>
      <c r="N321" s="22">
        <f t="shared" si="53"/>
        <v>103.19999999999999</v>
      </c>
      <c r="P321" s="19" t="e">
        <f t="shared" si="50"/>
        <v>#DIV/0!</v>
      </c>
      <c r="Q321" s="19" t="e">
        <f t="shared" si="45"/>
        <v>#DIV/0!</v>
      </c>
      <c r="R321" s="17" t="e">
        <f t="shared" si="46"/>
        <v>#DIV/0!</v>
      </c>
      <c r="S321" s="22" t="e">
        <f t="shared" si="47"/>
        <v>#DIV/0!</v>
      </c>
      <c r="T321" s="22" t="e">
        <f t="shared" si="48"/>
        <v>#DIV/0!</v>
      </c>
    </row>
    <row r="322" spans="1:20" x14ac:dyDescent="0.2">
      <c r="A322" s="15">
        <f>Data!A322</f>
        <v>45974</v>
      </c>
      <c r="B322" s="1">
        <v>317</v>
      </c>
      <c r="C322" s="16">
        <f>ROUND(Data!BB322,2)</f>
        <v>0</v>
      </c>
      <c r="D322" s="3">
        <f>ROUND(Data!P322,1)</f>
        <v>0</v>
      </c>
      <c r="E322" s="3">
        <f>ROUND(Data!Y322,1)</f>
        <v>0</v>
      </c>
      <c r="F322" s="3">
        <f>Data!BH322</f>
        <v>0</v>
      </c>
      <c r="G322" s="3">
        <f>Data!N322</f>
        <v>0</v>
      </c>
      <c r="H322" s="17">
        <f>Data!AY322</f>
        <v>0</v>
      </c>
      <c r="I322" s="13">
        <f t="shared" si="54"/>
        <v>0</v>
      </c>
      <c r="K322" s="27">
        <f t="shared" ref="K322:K366" si="55">I322</f>
        <v>0</v>
      </c>
      <c r="M322" s="22">
        <f t="shared" si="52"/>
        <v>0</v>
      </c>
      <c r="N322" s="22">
        <f t="shared" si="53"/>
        <v>103.19999999999999</v>
      </c>
      <c r="P322" s="19" t="e">
        <f t="shared" si="50"/>
        <v>#DIV/0!</v>
      </c>
      <c r="Q322" s="19" t="e">
        <f t="shared" si="45"/>
        <v>#DIV/0!</v>
      </c>
      <c r="R322" s="17" t="e">
        <f t="shared" si="46"/>
        <v>#DIV/0!</v>
      </c>
      <c r="S322" s="22" t="e">
        <f t="shared" si="47"/>
        <v>#DIV/0!</v>
      </c>
      <c r="T322" s="22" t="e">
        <f t="shared" si="48"/>
        <v>#DIV/0!</v>
      </c>
    </row>
    <row r="323" spans="1:20" x14ac:dyDescent="0.2">
      <c r="A323" s="15">
        <f>Data!A323</f>
        <v>45975</v>
      </c>
      <c r="B323" s="1">
        <v>318</v>
      </c>
      <c r="C323" s="16">
        <f>ROUND(Data!BB323,2)</f>
        <v>0</v>
      </c>
      <c r="D323" s="3">
        <f>ROUND(Data!P323,1)</f>
        <v>0</v>
      </c>
      <c r="E323" s="3">
        <f>ROUND(Data!Y323,1)</f>
        <v>0</v>
      </c>
      <c r="F323" s="3">
        <f>Data!BH323</f>
        <v>0</v>
      </c>
      <c r="G323" s="3">
        <f>Data!N323</f>
        <v>0</v>
      </c>
      <c r="H323" s="17">
        <f>Data!AY323</f>
        <v>0</v>
      </c>
      <c r="I323" s="13">
        <f t="shared" si="54"/>
        <v>0</v>
      </c>
      <c r="K323" s="27">
        <f t="shared" si="55"/>
        <v>0</v>
      </c>
      <c r="M323" s="22">
        <f t="shared" si="52"/>
        <v>0</v>
      </c>
      <c r="N323" s="22">
        <f t="shared" si="53"/>
        <v>103.19999999999999</v>
      </c>
      <c r="P323" s="19" t="e">
        <f t="shared" si="50"/>
        <v>#DIV/0!</v>
      </c>
      <c r="Q323" s="19" t="e">
        <f t="shared" si="45"/>
        <v>#DIV/0!</v>
      </c>
      <c r="R323" s="17" t="e">
        <f t="shared" si="46"/>
        <v>#DIV/0!</v>
      </c>
      <c r="S323" s="22" t="e">
        <f t="shared" si="47"/>
        <v>#DIV/0!</v>
      </c>
      <c r="T323" s="22" t="e">
        <f t="shared" si="48"/>
        <v>#DIV/0!</v>
      </c>
    </row>
    <row r="324" spans="1:20" x14ac:dyDescent="0.2">
      <c r="A324" s="15">
        <f>Data!A324</f>
        <v>45976</v>
      </c>
      <c r="B324" s="1">
        <v>319</v>
      </c>
      <c r="C324" s="16">
        <f>ROUND(Data!BB324,2)</f>
        <v>0</v>
      </c>
      <c r="D324" s="3">
        <f>ROUND(Data!P324,1)</f>
        <v>0</v>
      </c>
      <c r="E324" s="3">
        <f>ROUND(Data!Y324,1)</f>
        <v>0</v>
      </c>
      <c r="F324" s="3">
        <f>Data!BH324</f>
        <v>0</v>
      </c>
      <c r="G324" s="3">
        <f>Data!N324</f>
        <v>0</v>
      </c>
      <c r="H324" s="17">
        <f>Data!AY324</f>
        <v>0</v>
      </c>
      <c r="I324" s="13">
        <f t="shared" si="54"/>
        <v>0</v>
      </c>
      <c r="K324" s="27">
        <f t="shared" si="55"/>
        <v>0</v>
      </c>
      <c r="M324" s="22">
        <f t="shared" si="52"/>
        <v>0</v>
      </c>
      <c r="N324" s="22">
        <f t="shared" si="53"/>
        <v>103.19999999999999</v>
      </c>
      <c r="P324" s="19" t="e">
        <f t="shared" si="50"/>
        <v>#DIV/0!</v>
      </c>
      <c r="Q324" s="19" t="e">
        <f t="shared" si="45"/>
        <v>#DIV/0!</v>
      </c>
      <c r="R324" s="17" t="e">
        <f t="shared" si="46"/>
        <v>#DIV/0!</v>
      </c>
      <c r="S324" s="22" t="e">
        <f t="shared" si="47"/>
        <v>#DIV/0!</v>
      </c>
      <c r="T324" s="22" t="e">
        <f t="shared" si="48"/>
        <v>#DIV/0!</v>
      </c>
    </row>
    <row r="325" spans="1:20" x14ac:dyDescent="0.2">
      <c r="A325" s="15">
        <f>Data!A325</f>
        <v>45977</v>
      </c>
      <c r="B325" s="1">
        <v>320</v>
      </c>
      <c r="C325" s="16">
        <f>ROUND(Data!BB325,2)</f>
        <v>0</v>
      </c>
      <c r="D325" s="3">
        <f>ROUND(Data!P325,1)</f>
        <v>0</v>
      </c>
      <c r="E325" s="3">
        <f>ROUND(Data!Y325,1)</f>
        <v>0</v>
      </c>
      <c r="F325" s="3">
        <f>Data!BH325</f>
        <v>0</v>
      </c>
      <c r="G325" s="3">
        <f>Data!N325</f>
        <v>0</v>
      </c>
      <c r="H325" s="17">
        <f>Data!AY325</f>
        <v>0</v>
      </c>
      <c r="I325" s="13">
        <f t="shared" si="54"/>
        <v>0</v>
      </c>
      <c r="K325" s="27">
        <f t="shared" si="55"/>
        <v>0</v>
      </c>
      <c r="M325" s="22">
        <f t="shared" si="52"/>
        <v>0</v>
      </c>
      <c r="N325" s="22">
        <f t="shared" si="53"/>
        <v>103.19999999999999</v>
      </c>
      <c r="P325" s="19" t="e">
        <f t="shared" si="50"/>
        <v>#DIV/0!</v>
      </c>
      <c r="Q325" s="19" t="e">
        <f t="shared" si="45"/>
        <v>#DIV/0!</v>
      </c>
      <c r="R325" s="17" t="e">
        <f t="shared" si="46"/>
        <v>#DIV/0!</v>
      </c>
      <c r="S325" s="22" t="e">
        <f t="shared" si="47"/>
        <v>#DIV/0!</v>
      </c>
      <c r="T325" s="22" t="e">
        <f t="shared" si="48"/>
        <v>#DIV/0!</v>
      </c>
    </row>
    <row r="326" spans="1:20" x14ac:dyDescent="0.2">
      <c r="A326" s="15">
        <f>Data!A326</f>
        <v>45978</v>
      </c>
      <c r="B326" s="1">
        <v>321</v>
      </c>
      <c r="C326" s="16">
        <f>ROUND(Data!BB326,2)</f>
        <v>0</v>
      </c>
      <c r="D326" s="3">
        <f>ROUND(Data!P326,1)</f>
        <v>0</v>
      </c>
      <c r="E326" s="3">
        <f>ROUND(Data!Y326,1)</f>
        <v>0</v>
      </c>
      <c r="F326" s="3">
        <f>Data!BH326</f>
        <v>0</v>
      </c>
      <c r="G326" s="3">
        <f>Data!N326</f>
        <v>0</v>
      </c>
      <c r="H326" s="17">
        <f>Data!AY326</f>
        <v>0</v>
      </c>
      <c r="I326" s="13">
        <f t="shared" si="54"/>
        <v>0</v>
      </c>
      <c r="K326" s="27">
        <f t="shared" si="55"/>
        <v>0</v>
      </c>
      <c r="M326" s="22">
        <f t="shared" si="52"/>
        <v>0</v>
      </c>
      <c r="N326" s="22">
        <f t="shared" si="53"/>
        <v>103.19999999999999</v>
      </c>
      <c r="P326" s="19" t="e">
        <f t="shared" si="50"/>
        <v>#DIV/0!</v>
      </c>
      <c r="Q326" s="19" t="e">
        <f t="shared" si="45"/>
        <v>#DIV/0!</v>
      </c>
      <c r="R326" s="17" t="e">
        <f t="shared" si="46"/>
        <v>#DIV/0!</v>
      </c>
      <c r="S326" s="22" t="e">
        <f t="shared" si="47"/>
        <v>#DIV/0!</v>
      </c>
      <c r="T326" s="22" t="e">
        <f t="shared" si="48"/>
        <v>#DIV/0!</v>
      </c>
    </row>
    <row r="327" spans="1:20" x14ac:dyDescent="0.2">
      <c r="A327" s="15">
        <f>Data!A327</f>
        <v>45979</v>
      </c>
      <c r="B327" s="1">
        <v>322</v>
      </c>
      <c r="C327" s="16">
        <f>ROUND(Data!BB327,2)</f>
        <v>0</v>
      </c>
      <c r="D327" s="3">
        <f>ROUND(Data!P327,1)</f>
        <v>0</v>
      </c>
      <c r="E327" s="3">
        <f>ROUND(Data!Y327,1)</f>
        <v>0</v>
      </c>
      <c r="F327" s="3">
        <f>Data!BH327</f>
        <v>0</v>
      </c>
      <c r="G327" s="3">
        <f>Data!N327</f>
        <v>0</v>
      </c>
      <c r="H327" s="17">
        <f>Data!AY327</f>
        <v>0</v>
      </c>
      <c r="I327" s="13">
        <f t="shared" si="54"/>
        <v>0</v>
      </c>
      <c r="K327" s="27">
        <f t="shared" si="55"/>
        <v>0</v>
      </c>
      <c r="M327" s="22">
        <f t="shared" si="52"/>
        <v>0</v>
      </c>
      <c r="N327" s="22">
        <f t="shared" si="53"/>
        <v>103.19999999999999</v>
      </c>
      <c r="P327" s="19" t="e">
        <f t="shared" si="50"/>
        <v>#DIV/0!</v>
      </c>
      <c r="Q327" s="19" t="e">
        <f t="shared" si="45"/>
        <v>#DIV/0!</v>
      </c>
      <c r="R327" s="17" t="e">
        <f t="shared" si="46"/>
        <v>#DIV/0!</v>
      </c>
      <c r="S327" s="22" t="e">
        <f t="shared" si="47"/>
        <v>#DIV/0!</v>
      </c>
      <c r="T327" s="22" t="e">
        <f t="shared" si="48"/>
        <v>#DIV/0!</v>
      </c>
    </row>
    <row r="328" spans="1:20" x14ac:dyDescent="0.2">
      <c r="A328" s="15">
        <f>Data!A328</f>
        <v>45980</v>
      </c>
      <c r="B328" s="1">
        <v>323</v>
      </c>
      <c r="C328" s="16">
        <f>ROUND(Data!BB328,2)</f>
        <v>0</v>
      </c>
      <c r="D328" s="3">
        <f>ROUND(Data!P328,1)</f>
        <v>0</v>
      </c>
      <c r="E328" s="3">
        <f>ROUND(Data!Y328,1)</f>
        <v>0</v>
      </c>
      <c r="F328" s="3">
        <f>Data!BH328</f>
        <v>0</v>
      </c>
      <c r="G328" s="3">
        <f>Data!N328</f>
        <v>0</v>
      </c>
      <c r="H328" s="17">
        <f>Data!AY328</f>
        <v>0</v>
      </c>
      <c r="I328" s="13">
        <f t="shared" si="54"/>
        <v>0</v>
      </c>
      <c r="K328" s="27">
        <f t="shared" si="55"/>
        <v>0</v>
      </c>
      <c r="M328" s="22">
        <f t="shared" si="52"/>
        <v>0</v>
      </c>
      <c r="N328" s="22">
        <f t="shared" si="53"/>
        <v>103.19999999999999</v>
      </c>
      <c r="P328" s="19" t="e">
        <f t="shared" si="50"/>
        <v>#DIV/0!</v>
      </c>
      <c r="Q328" s="19" t="e">
        <f t="shared" si="45"/>
        <v>#DIV/0!</v>
      </c>
      <c r="R328" s="17" t="e">
        <f t="shared" si="46"/>
        <v>#DIV/0!</v>
      </c>
      <c r="S328" s="22" t="e">
        <f t="shared" si="47"/>
        <v>#DIV/0!</v>
      </c>
      <c r="T328" s="22" t="e">
        <f t="shared" si="48"/>
        <v>#DIV/0!</v>
      </c>
    </row>
    <row r="329" spans="1:20" x14ac:dyDescent="0.2">
      <c r="A329" s="15">
        <f>Data!A329</f>
        <v>45981</v>
      </c>
      <c r="B329" s="1">
        <v>324</v>
      </c>
      <c r="C329" s="16">
        <f>ROUND(Data!BB329,2)</f>
        <v>0</v>
      </c>
      <c r="D329" s="3">
        <f>ROUND(Data!P329,1)</f>
        <v>0</v>
      </c>
      <c r="E329" s="3">
        <f>ROUND(Data!Y329,1)</f>
        <v>0</v>
      </c>
      <c r="F329" s="3">
        <f>Data!BH329</f>
        <v>0</v>
      </c>
      <c r="G329" s="3">
        <f>Data!N329</f>
        <v>0</v>
      </c>
      <c r="H329" s="17">
        <f>Data!AY329</f>
        <v>0</v>
      </c>
      <c r="I329" s="13">
        <f t="shared" si="54"/>
        <v>0</v>
      </c>
      <c r="K329" s="27">
        <f t="shared" si="55"/>
        <v>0</v>
      </c>
      <c r="M329" s="22">
        <f t="shared" si="52"/>
        <v>0</v>
      </c>
      <c r="N329" s="22">
        <f t="shared" si="53"/>
        <v>103.19999999999999</v>
      </c>
      <c r="P329" s="19" t="e">
        <f t="shared" si="50"/>
        <v>#DIV/0!</v>
      </c>
      <c r="Q329" s="19" t="e">
        <f t="shared" si="45"/>
        <v>#DIV/0!</v>
      </c>
      <c r="R329" s="17" t="e">
        <f t="shared" si="46"/>
        <v>#DIV/0!</v>
      </c>
      <c r="S329" s="22" t="e">
        <f t="shared" si="47"/>
        <v>#DIV/0!</v>
      </c>
      <c r="T329" s="22" t="e">
        <f t="shared" si="48"/>
        <v>#DIV/0!</v>
      </c>
    </row>
    <row r="330" spans="1:20" x14ac:dyDescent="0.2">
      <c r="A330" s="15">
        <f>Data!A330</f>
        <v>45982</v>
      </c>
      <c r="B330" s="1">
        <v>325</v>
      </c>
      <c r="C330" s="16">
        <f>ROUND(Data!BB330,2)</f>
        <v>0</v>
      </c>
      <c r="D330" s="3">
        <f>ROUND(Data!P330,1)</f>
        <v>0</v>
      </c>
      <c r="E330" s="3">
        <f>ROUND(Data!Y330,1)</f>
        <v>0</v>
      </c>
      <c r="F330" s="3">
        <f>Data!BH330</f>
        <v>0</v>
      </c>
      <c r="G330" s="3">
        <f>Data!N330</f>
        <v>0</v>
      </c>
      <c r="H330" s="17">
        <f>Data!AY330</f>
        <v>0</v>
      </c>
      <c r="I330" s="13">
        <f t="shared" si="54"/>
        <v>0</v>
      </c>
      <c r="K330" s="27">
        <f t="shared" si="55"/>
        <v>0</v>
      </c>
      <c r="M330" s="22">
        <f t="shared" si="52"/>
        <v>0</v>
      </c>
      <c r="N330" s="22">
        <f t="shared" si="53"/>
        <v>103.19999999999999</v>
      </c>
      <c r="P330" s="19" t="e">
        <f t="shared" si="50"/>
        <v>#DIV/0!</v>
      </c>
      <c r="Q330" s="19" t="e">
        <f t="shared" si="45"/>
        <v>#DIV/0!</v>
      </c>
      <c r="R330" s="17" t="e">
        <f t="shared" si="46"/>
        <v>#DIV/0!</v>
      </c>
      <c r="S330" s="22" t="e">
        <f t="shared" si="47"/>
        <v>#DIV/0!</v>
      </c>
      <c r="T330" s="22" t="e">
        <f t="shared" si="48"/>
        <v>#DIV/0!</v>
      </c>
    </row>
    <row r="331" spans="1:20" x14ac:dyDescent="0.2">
      <c r="A331" s="15">
        <f>Data!A331</f>
        <v>45983</v>
      </c>
      <c r="B331" s="1">
        <v>326</v>
      </c>
      <c r="C331" s="16">
        <f>ROUND(Data!BB331,2)</f>
        <v>0</v>
      </c>
      <c r="D331" s="3">
        <f>ROUND(Data!P331,1)</f>
        <v>0</v>
      </c>
      <c r="E331" s="3">
        <f>ROUND(Data!Y331,1)</f>
        <v>0</v>
      </c>
      <c r="F331" s="3">
        <f>Data!BH331</f>
        <v>0</v>
      </c>
      <c r="G331" s="3">
        <f>Data!N331</f>
        <v>0</v>
      </c>
      <c r="H331" s="17">
        <f>Data!AY331</f>
        <v>0</v>
      </c>
      <c r="I331" s="13">
        <f t="shared" si="54"/>
        <v>0</v>
      </c>
      <c r="K331" s="27">
        <f t="shared" si="55"/>
        <v>0</v>
      </c>
      <c r="M331" s="22">
        <f t="shared" si="52"/>
        <v>0</v>
      </c>
      <c r="N331" s="22">
        <f t="shared" si="53"/>
        <v>103.19999999999999</v>
      </c>
      <c r="P331" s="19" t="e">
        <f t="shared" si="50"/>
        <v>#DIV/0!</v>
      </c>
      <c r="Q331" s="19" t="e">
        <f t="shared" si="45"/>
        <v>#DIV/0!</v>
      </c>
      <c r="R331" s="17" t="e">
        <f t="shared" si="46"/>
        <v>#DIV/0!</v>
      </c>
      <c r="S331" s="22" t="e">
        <f t="shared" si="47"/>
        <v>#DIV/0!</v>
      </c>
      <c r="T331" s="22" t="e">
        <f t="shared" si="48"/>
        <v>#DIV/0!</v>
      </c>
    </row>
    <row r="332" spans="1:20" x14ac:dyDescent="0.2">
      <c r="A332" s="15">
        <f>Data!A332</f>
        <v>45984</v>
      </c>
      <c r="B332" s="1">
        <v>327</v>
      </c>
      <c r="C332" s="16">
        <f>ROUND(Data!BB332,2)</f>
        <v>0</v>
      </c>
      <c r="D332" s="3">
        <f>ROUND(Data!P332,1)</f>
        <v>0</v>
      </c>
      <c r="E332" s="3">
        <f>ROUND(Data!Y332,1)</f>
        <v>0</v>
      </c>
      <c r="F332" s="3">
        <f>Data!BH332</f>
        <v>0</v>
      </c>
      <c r="G332" s="3">
        <f>Data!N332</f>
        <v>0</v>
      </c>
      <c r="H332" s="17">
        <f>Data!AY332</f>
        <v>0</v>
      </c>
      <c r="I332" s="13">
        <f t="shared" si="54"/>
        <v>0</v>
      </c>
      <c r="K332" s="27">
        <f t="shared" si="55"/>
        <v>0</v>
      </c>
      <c r="M332" s="22">
        <f t="shared" si="52"/>
        <v>0</v>
      </c>
      <c r="N332" s="22">
        <f t="shared" si="53"/>
        <v>103.19999999999999</v>
      </c>
      <c r="P332" s="19" t="e">
        <f t="shared" si="50"/>
        <v>#DIV/0!</v>
      </c>
      <c r="Q332" s="19" t="e">
        <f t="shared" si="45"/>
        <v>#DIV/0!</v>
      </c>
      <c r="R332" s="17" t="e">
        <f t="shared" si="46"/>
        <v>#DIV/0!</v>
      </c>
      <c r="S332" s="22" t="e">
        <f t="shared" si="47"/>
        <v>#DIV/0!</v>
      </c>
      <c r="T332" s="22" t="e">
        <f t="shared" si="48"/>
        <v>#DIV/0!</v>
      </c>
    </row>
    <row r="333" spans="1:20" x14ac:dyDescent="0.2">
      <c r="A333" s="15">
        <f>Data!A333</f>
        <v>45985</v>
      </c>
      <c r="B333" s="1">
        <v>328</v>
      </c>
      <c r="C333" s="16">
        <f>ROUND(Data!BB333,2)</f>
        <v>0</v>
      </c>
      <c r="D333" s="3">
        <f>ROUND(Data!P333,1)</f>
        <v>0</v>
      </c>
      <c r="E333" s="3">
        <f>ROUND(Data!Y333,1)</f>
        <v>0</v>
      </c>
      <c r="F333" s="3">
        <f>Data!BH333</f>
        <v>0</v>
      </c>
      <c r="G333" s="3">
        <f>Data!N333</f>
        <v>0</v>
      </c>
      <c r="H333" s="17">
        <f>Data!AY333</f>
        <v>0</v>
      </c>
      <c r="I333" s="13">
        <f t="shared" si="54"/>
        <v>0</v>
      </c>
      <c r="K333" s="27">
        <f t="shared" si="55"/>
        <v>0</v>
      </c>
      <c r="M333" s="22">
        <f t="shared" si="52"/>
        <v>0</v>
      </c>
      <c r="N333" s="22">
        <f t="shared" si="53"/>
        <v>103.19999999999999</v>
      </c>
      <c r="P333" s="19" t="e">
        <f t="shared" si="50"/>
        <v>#DIV/0!</v>
      </c>
      <c r="Q333" s="19" t="e">
        <f t="shared" si="45"/>
        <v>#DIV/0!</v>
      </c>
      <c r="R333" s="17" t="e">
        <f t="shared" si="46"/>
        <v>#DIV/0!</v>
      </c>
      <c r="S333" s="22" t="e">
        <f t="shared" si="47"/>
        <v>#DIV/0!</v>
      </c>
      <c r="T333" s="22" t="e">
        <f t="shared" si="48"/>
        <v>#DIV/0!</v>
      </c>
    </row>
    <row r="334" spans="1:20" x14ac:dyDescent="0.2">
      <c r="A334" s="15">
        <f>Data!A334</f>
        <v>45986</v>
      </c>
      <c r="B334" s="1">
        <v>329</v>
      </c>
      <c r="C334" s="16">
        <f>ROUND(Data!BB334,2)</f>
        <v>0</v>
      </c>
      <c r="D334" s="3">
        <f>ROUND(Data!P334,1)</f>
        <v>0</v>
      </c>
      <c r="E334" s="3">
        <f>ROUND(Data!Y334,1)</f>
        <v>0</v>
      </c>
      <c r="F334" s="3">
        <f>Data!BH334</f>
        <v>0</v>
      </c>
      <c r="G334" s="3">
        <f>Data!N334</f>
        <v>0</v>
      </c>
      <c r="H334" s="17">
        <f>Data!AY334</f>
        <v>0</v>
      </c>
      <c r="I334" s="13">
        <f t="shared" si="54"/>
        <v>0</v>
      </c>
      <c r="K334" s="27">
        <f t="shared" si="55"/>
        <v>0</v>
      </c>
      <c r="M334" s="22">
        <f t="shared" si="52"/>
        <v>0</v>
      </c>
      <c r="N334" s="22">
        <f t="shared" si="53"/>
        <v>103.19999999999999</v>
      </c>
      <c r="P334" s="19" t="e">
        <f t="shared" si="50"/>
        <v>#DIV/0!</v>
      </c>
      <c r="Q334" s="19" t="e">
        <f t="shared" si="45"/>
        <v>#DIV/0!</v>
      </c>
      <c r="R334" s="17" t="e">
        <f t="shared" si="46"/>
        <v>#DIV/0!</v>
      </c>
      <c r="S334" s="22" t="e">
        <f t="shared" si="47"/>
        <v>#DIV/0!</v>
      </c>
      <c r="T334" s="22" t="e">
        <f t="shared" si="48"/>
        <v>#DIV/0!</v>
      </c>
    </row>
    <row r="335" spans="1:20" x14ac:dyDescent="0.2">
      <c r="A335" s="15">
        <f>Data!A335</f>
        <v>45987</v>
      </c>
      <c r="B335" s="1">
        <v>330</v>
      </c>
      <c r="C335" s="16">
        <f>ROUND(Data!BB335,2)</f>
        <v>0</v>
      </c>
      <c r="D335" s="3">
        <f>ROUND(Data!P335,1)</f>
        <v>0</v>
      </c>
      <c r="E335" s="3">
        <f>ROUND(Data!Y335,1)</f>
        <v>0</v>
      </c>
      <c r="F335" s="3">
        <f>Data!BH335</f>
        <v>0</v>
      </c>
      <c r="G335" s="3">
        <f>Data!N335</f>
        <v>0</v>
      </c>
      <c r="H335" s="17">
        <f>Data!AY335</f>
        <v>0</v>
      </c>
      <c r="I335" s="13">
        <f t="shared" si="54"/>
        <v>0</v>
      </c>
      <c r="K335" s="27">
        <f t="shared" si="55"/>
        <v>0</v>
      </c>
      <c r="M335" s="22">
        <f t="shared" si="52"/>
        <v>0</v>
      </c>
      <c r="N335" s="22">
        <f t="shared" si="53"/>
        <v>103.19999999999999</v>
      </c>
      <c r="P335" s="19" t="e">
        <f t="shared" si="50"/>
        <v>#DIV/0!</v>
      </c>
      <c r="Q335" s="19" t="e">
        <f t="shared" si="45"/>
        <v>#DIV/0!</v>
      </c>
      <c r="R335" s="17" t="e">
        <f t="shared" si="46"/>
        <v>#DIV/0!</v>
      </c>
      <c r="S335" s="22" t="e">
        <f t="shared" si="47"/>
        <v>#DIV/0!</v>
      </c>
      <c r="T335" s="22" t="e">
        <f t="shared" si="48"/>
        <v>#DIV/0!</v>
      </c>
    </row>
    <row r="336" spans="1:20" x14ac:dyDescent="0.2">
      <c r="A336" s="15">
        <f>Data!A336</f>
        <v>45988</v>
      </c>
      <c r="B336" s="1">
        <v>331</v>
      </c>
      <c r="C336" s="16">
        <f>ROUND(Data!BB336,2)</f>
        <v>0</v>
      </c>
      <c r="D336" s="3">
        <f>ROUND(Data!P336,1)</f>
        <v>0</v>
      </c>
      <c r="E336" s="3">
        <f>ROUND(Data!Y336,1)</f>
        <v>0</v>
      </c>
      <c r="F336" s="3">
        <f>Data!BH336</f>
        <v>0</v>
      </c>
      <c r="G336" s="3">
        <f>Data!N336</f>
        <v>0</v>
      </c>
      <c r="H336" s="17">
        <f>Data!AY336</f>
        <v>0</v>
      </c>
      <c r="I336" s="13">
        <f t="shared" si="54"/>
        <v>0</v>
      </c>
      <c r="K336" s="27">
        <f t="shared" si="55"/>
        <v>0</v>
      </c>
      <c r="M336" s="22">
        <f t="shared" si="52"/>
        <v>0</v>
      </c>
      <c r="N336" s="22">
        <f t="shared" si="53"/>
        <v>103.19999999999999</v>
      </c>
      <c r="P336" s="19" t="e">
        <f t="shared" si="50"/>
        <v>#DIV/0!</v>
      </c>
      <c r="Q336" s="19" t="e">
        <f t="shared" si="45"/>
        <v>#DIV/0!</v>
      </c>
      <c r="R336" s="17" t="e">
        <f t="shared" si="46"/>
        <v>#DIV/0!</v>
      </c>
      <c r="S336" s="22" t="e">
        <f t="shared" si="47"/>
        <v>#DIV/0!</v>
      </c>
      <c r="T336" s="22" t="e">
        <f t="shared" si="48"/>
        <v>#DIV/0!</v>
      </c>
    </row>
    <row r="337" spans="1:20" x14ac:dyDescent="0.2">
      <c r="A337" s="15">
        <f>Data!A337</f>
        <v>45989</v>
      </c>
      <c r="B337" s="1">
        <v>332</v>
      </c>
      <c r="C337" s="16">
        <f>ROUND(Data!BB337,2)</f>
        <v>0</v>
      </c>
      <c r="D337" s="3">
        <f>ROUND(Data!P337,1)</f>
        <v>0</v>
      </c>
      <c r="E337" s="3">
        <f>ROUND(Data!Y337,1)</f>
        <v>0</v>
      </c>
      <c r="F337" s="3">
        <f>Data!BH337</f>
        <v>0</v>
      </c>
      <c r="G337" s="3">
        <f>Data!N337</f>
        <v>0</v>
      </c>
      <c r="H337" s="17">
        <f>Data!AY337</f>
        <v>0</v>
      </c>
      <c r="I337" s="13">
        <f t="shared" si="54"/>
        <v>0</v>
      </c>
      <c r="K337" s="27">
        <f t="shared" si="55"/>
        <v>0</v>
      </c>
      <c r="M337" s="22">
        <f t="shared" si="52"/>
        <v>0</v>
      </c>
      <c r="N337" s="22">
        <f t="shared" si="53"/>
        <v>103.19999999999999</v>
      </c>
      <c r="P337" s="19" t="e">
        <f t="shared" si="50"/>
        <v>#DIV/0!</v>
      </c>
      <c r="Q337" s="19" t="e">
        <f t="shared" si="45"/>
        <v>#DIV/0!</v>
      </c>
      <c r="R337" s="17" t="e">
        <f t="shared" si="46"/>
        <v>#DIV/0!</v>
      </c>
      <c r="S337" s="22" t="e">
        <f t="shared" si="47"/>
        <v>#DIV/0!</v>
      </c>
      <c r="T337" s="22" t="e">
        <f t="shared" si="48"/>
        <v>#DIV/0!</v>
      </c>
    </row>
    <row r="338" spans="1:20" x14ac:dyDescent="0.2">
      <c r="A338" s="15">
        <f>Data!A338</f>
        <v>45990</v>
      </c>
      <c r="B338" s="1">
        <v>333</v>
      </c>
      <c r="C338" s="16">
        <f>ROUND(Data!BB338,2)</f>
        <v>0</v>
      </c>
      <c r="D338" s="3">
        <f>ROUND(Data!P338,1)</f>
        <v>0</v>
      </c>
      <c r="E338" s="3">
        <f>ROUND(Data!Y338,1)</f>
        <v>0</v>
      </c>
      <c r="F338" s="3">
        <f>Data!BH338</f>
        <v>0</v>
      </c>
      <c r="G338" s="3">
        <f>Data!N338</f>
        <v>0</v>
      </c>
      <c r="H338" s="17">
        <f>Data!AY338</f>
        <v>0</v>
      </c>
      <c r="I338" s="13">
        <f t="shared" si="54"/>
        <v>0</v>
      </c>
      <c r="K338" s="27">
        <f t="shared" si="55"/>
        <v>0</v>
      </c>
      <c r="M338" s="22">
        <f t="shared" si="52"/>
        <v>0</v>
      </c>
      <c r="N338" s="22">
        <f t="shared" si="53"/>
        <v>103.19999999999999</v>
      </c>
      <c r="P338" s="19" t="e">
        <f t="shared" si="50"/>
        <v>#DIV/0!</v>
      </c>
      <c r="Q338" s="19" t="e">
        <f t="shared" si="45"/>
        <v>#DIV/0!</v>
      </c>
      <c r="R338" s="17" t="e">
        <f t="shared" si="46"/>
        <v>#DIV/0!</v>
      </c>
      <c r="S338" s="22" t="e">
        <f t="shared" si="47"/>
        <v>#DIV/0!</v>
      </c>
      <c r="T338" s="22" t="e">
        <f t="shared" si="48"/>
        <v>#DIV/0!</v>
      </c>
    </row>
    <row r="339" spans="1:20" x14ac:dyDescent="0.2">
      <c r="A339" s="15">
        <f>Data!A339</f>
        <v>45991</v>
      </c>
      <c r="B339" s="1">
        <v>334</v>
      </c>
      <c r="C339" s="16">
        <f>ROUND(Data!BB339,2)</f>
        <v>0</v>
      </c>
      <c r="D339" s="3">
        <f>ROUND(Data!P339,1)</f>
        <v>0</v>
      </c>
      <c r="E339" s="3">
        <f>ROUND(Data!Y339,1)</f>
        <v>0</v>
      </c>
      <c r="F339" s="3">
        <f>Data!BH339</f>
        <v>0</v>
      </c>
      <c r="G339" s="3">
        <f>Data!N339</f>
        <v>0</v>
      </c>
      <c r="H339" s="17">
        <f>Data!AY339</f>
        <v>0</v>
      </c>
      <c r="I339" s="13">
        <f t="shared" si="54"/>
        <v>0</v>
      </c>
      <c r="K339" s="27">
        <f t="shared" si="55"/>
        <v>0</v>
      </c>
      <c r="M339" s="22">
        <f t="shared" si="52"/>
        <v>0</v>
      </c>
      <c r="N339" s="22">
        <f t="shared" si="53"/>
        <v>103.19999999999999</v>
      </c>
      <c r="P339" s="19" t="e">
        <f t="shared" si="50"/>
        <v>#DIV/0!</v>
      </c>
      <c r="Q339" s="19" t="e">
        <f t="shared" si="45"/>
        <v>#DIV/0!</v>
      </c>
      <c r="R339" s="17" t="e">
        <f t="shared" si="46"/>
        <v>#DIV/0!</v>
      </c>
      <c r="S339" s="22" t="e">
        <f t="shared" si="47"/>
        <v>#DIV/0!</v>
      </c>
      <c r="T339" s="22" t="e">
        <f t="shared" si="48"/>
        <v>#DIV/0!</v>
      </c>
    </row>
    <row r="340" spans="1:20" x14ac:dyDescent="0.2">
      <c r="A340" s="15">
        <f>Data!A340</f>
        <v>45992</v>
      </c>
      <c r="B340" s="1">
        <v>335</v>
      </c>
      <c r="C340" s="16">
        <f>ROUND(Data!BB340,2)</f>
        <v>0</v>
      </c>
      <c r="D340" s="3">
        <f>ROUND(Data!P340,1)</f>
        <v>0</v>
      </c>
      <c r="E340" s="3">
        <f>ROUND(Data!Y340,1)</f>
        <v>0</v>
      </c>
      <c r="F340" s="3">
        <f>Data!BH340</f>
        <v>0</v>
      </c>
      <c r="G340" s="3">
        <f>Data!N340</f>
        <v>0</v>
      </c>
      <c r="H340" s="17">
        <f>Data!AY340</f>
        <v>0</v>
      </c>
      <c r="I340" s="13">
        <f t="shared" si="54"/>
        <v>0</v>
      </c>
      <c r="K340" s="27">
        <f t="shared" si="55"/>
        <v>0</v>
      </c>
      <c r="M340" s="22">
        <f t="shared" si="52"/>
        <v>0</v>
      </c>
      <c r="N340" s="22">
        <f t="shared" si="53"/>
        <v>103.19999999999999</v>
      </c>
      <c r="P340" s="19" t="e">
        <f t="shared" si="50"/>
        <v>#DIV/0!</v>
      </c>
      <c r="Q340" s="19" t="e">
        <f t="shared" si="45"/>
        <v>#DIV/0!</v>
      </c>
      <c r="R340" s="17" t="e">
        <f t="shared" si="46"/>
        <v>#DIV/0!</v>
      </c>
      <c r="S340" s="22" t="e">
        <f t="shared" si="47"/>
        <v>#DIV/0!</v>
      </c>
      <c r="T340" s="22" t="e">
        <f t="shared" si="48"/>
        <v>#DIV/0!</v>
      </c>
    </row>
    <row r="341" spans="1:20" x14ac:dyDescent="0.2">
      <c r="A341" s="15">
        <f>Data!A341</f>
        <v>45993</v>
      </c>
      <c r="B341" s="1">
        <v>336</v>
      </c>
      <c r="C341" s="16">
        <f>ROUND(Data!BB341,2)</f>
        <v>0</v>
      </c>
      <c r="D341" s="3">
        <f>ROUND(Data!P341,1)</f>
        <v>0</v>
      </c>
      <c r="E341" s="3">
        <f>ROUND(Data!Y341,1)</f>
        <v>0</v>
      </c>
      <c r="F341" s="3">
        <f>Data!BH341</f>
        <v>0</v>
      </c>
      <c r="G341" s="3">
        <f>Data!N341</f>
        <v>0</v>
      </c>
      <c r="H341" s="17">
        <f>Data!AY341</f>
        <v>0</v>
      </c>
      <c r="I341" s="13">
        <f t="shared" si="54"/>
        <v>0</v>
      </c>
      <c r="K341" s="27">
        <f t="shared" si="55"/>
        <v>0</v>
      </c>
      <c r="M341" s="22">
        <f t="shared" si="52"/>
        <v>0</v>
      </c>
      <c r="N341" s="22">
        <f t="shared" si="53"/>
        <v>103.19999999999999</v>
      </c>
      <c r="P341" s="19" t="e">
        <f t="shared" si="50"/>
        <v>#DIV/0!</v>
      </c>
      <c r="Q341" s="19" t="e">
        <f t="shared" si="45"/>
        <v>#DIV/0!</v>
      </c>
      <c r="R341" s="17" t="e">
        <f t="shared" si="46"/>
        <v>#DIV/0!</v>
      </c>
      <c r="S341" s="22" t="e">
        <f t="shared" si="47"/>
        <v>#DIV/0!</v>
      </c>
      <c r="T341" s="22" t="e">
        <f t="shared" si="48"/>
        <v>#DIV/0!</v>
      </c>
    </row>
    <row r="342" spans="1:20" x14ac:dyDescent="0.2">
      <c r="A342" s="15">
        <f>Data!A342</f>
        <v>45994</v>
      </c>
      <c r="B342" s="1">
        <v>337</v>
      </c>
      <c r="C342" s="16">
        <f>ROUND(Data!BB342,2)</f>
        <v>0</v>
      </c>
      <c r="D342" s="3">
        <f>ROUND(Data!P342,1)</f>
        <v>0</v>
      </c>
      <c r="E342" s="3">
        <f>ROUND(Data!Y342,1)</f>
        <v>0</v>
      </c>
      <c r="F342" s="3">
        <f>Data!BH342</f>
        <v>0</v>
      </c>
      <c r="G342" s="3">
        <f>Data!N342</f>
        <v>0</v>
      </c>
      <c r="H342" s="17">
        <f>Data!AY342</f>
        <v>0</v>
      </c>
      <c r="I342" s="13">
        <f t="shared" si="54"/>
        <v>0</v>
      </c>
      <c r="K342" s="27">
        <f t="shared" si="55"/>
        <v>0</v>
      </c>
      <c r="M342" s="22">
        <f t="shared" si="52"/>
        <v>0</v>
      </c>
      <c r="N342" s="22">
        <f t="shared" si="53"/>
        <v>103.19999999999999</v>
      </c>
      <c r="P342" s="19" t="e">
        <f t="shared" si="50"/>
        <v>#DIV/0!</v>
      </c>
      <c r="Q342" s="19" t="e">
        <f t="shared" si="45"/>
        <v>#DIV/0!</v>
      </c>
      <c r="R342" s="17" t="e">
        <f t="shared" si="46"/>
        <v>#DIV/0!</v>
      </c>
      <c r="S342" s="22" t="e">
        <f t="shared" si="47"/>
        <v>#DIV/0!</v>
      </c>
      <c r="T342" s="22" t="e">
        <f t="shared" si="48"/>
        <v>#DIV/0!</v>
      </c>
    </row>
    <row r="343" spans="1:20" x14ac:dyDescent="0.2">
      <c r="A343" s="15">
        <f>Data!A343</f>
        <v>45995</v>
      </c>
      <c r="B343" s="1">
        <v>338</v>
      </c>
      <c r="C343" s="16">
        <f>ROUND(Data!BB343,2)</f>
        <v>0</v>
      </c>
      <c r="D343" s="3">
        <f>ROUND(Data!P343,1)</f>
        <v>0</v>
      </c>
      <c r="E343" s="3">
        <f>ROUND(Data!Y343,1)</f>
        <v>0</v>
      </c>
      <c r="F343" s="3">
        <f>Data!BH343</f>
        <v>0</v>
      </c>
      <c r="G343" s="3">
        <f>Data!N343</f>
        <v>0</v>
      </c>
      <c r="H343" s="17">
        <f>Data!AY343</f>
        <v>0</v>
      </c>
      <c r="I343" s="13">
        <f t="shared" si="54"/>
        <v>0</v>
      </c>
      <c r="K343" s="27">
        <f t="shared" si="55"/>
        <v>0</v>
      </c>
      <c r="M343" s="22">
        <f t="shared" si="52"/>
        <v>0</v>
      </c>
      <c r="N343" s="22">
        <f t="shared" si="53"/>
        <v>103.19999999999999</v>
      </c>
      <c r="P343" s="19" t="e">
        <f t="shared" si="50"/>
        <v>#DIV/0!</v>
      </c>
      <c r="Q343" s="19" t="e">
        <f t="shared" si="45"/>
        <v>#DIV/0!</v>
      </c>
      <c r="R343" s="17" t="e">
        <f t="shared" si="46"/>
        <v>#DIV/0!</v>
      </c>
      <c r="S343" s="22" t="e">
        <f t="shared" si="47"/>
        <v>#DIV/0!</v>
      </c>
      <c r="T343" s="22" t="e">
        <f t="shared" si="48"/>
        <v>#DIV/0!</v>
      </c>
    </row>
    <row r="344" spans="1:20" x14ac:dyDescent="0.2">
      <c r="A344" s="15">
        <f>Data!A344</f>
        <v>45996</v>
      </c>
      <c r="B344" s="1">
        <v>339</v>
      </c>
      <c r="C344" s="16">
        <f>ROUND(Data!BB344,2)</f>
        <v>0</v>
      </c>
      <c r="D344" s="3">
        <f>ROUND(Data!P344,1)</f>
        <v>0</v>
      </c>
      <c r="E344" s="3">
        <f>ROUND(Data!Y344,1)</f>
        <v>0</v>
      </c>
      <c r="F344" s="3">
        <f>Data!BH344</f>
        <v>0</v>
      </c>
      <c r="G344" s="3">
        <f>Data!N344</f>
        <v>0</v>
      </c>
      <c r="H344" s="17">
        <f>Data!AY344</f>
        <v>0</v>
      </c>
      <c r="I344" s="13">
        <f t="shared" si="54"/>
        <v>0</v>
      </c>
      <c r="K344" s="27">
        <f t="shared" si="55"/>
        <v>0</v>
      </c>
      <c r="M344" s="22">
        <f t="shared" si="52"/>
        <v>0</v>
      </c>
      <c r="N344" s="22">
        <f t="shared" si="53"/>
        <v>103.19999999999999</v>
      </c>
      <c r="P344" s="19" t="e">
        <f t="shared" si="50"/>
        <v>#DIV/0!</v>
      </c>
      <c r="Q344" s="19" t="e">
        <f t="shared" si="45"/>
        <v>#DIV/0!</v>
      </c>
      <c r="R344" s="17" t="e">
        <f t="shared" si="46"/>
        <v>#DIV/0!</v>
      </c>
      <c r="S344" s="22" t="e">
        <f t="shared" si="47"/>
        <v>#DIV/0!</v>
      </c>
      <c r="T344" s="22" t="e">
        <f t="shared" si="48"/>
        <v>#DIV/0!</v>
      </c>
    </row>
    <row r="345" spans="1:20" x14ac:dyDescent="0.2">
      <c r="A345" s="15">
        <f>Data!A345</f>
        <v>45997</v>
      </c>
      <c r="B345" s="1">
        <v>340</v>
      </c>
      <c r="C345" s="16">
        <f>ROUND(Data!BB345,2)</f>
        <v>0</v>
      </c>
      <c r="D345" s="3">
        <f>ROUND(Data!P345,1)</f>
        <v>0</v>
      </c>
      <c r="E345" s="3">
        <f>ROUND(Data!Y345,1)</f>
        <v>0</v>
      </c>
      <c r="F345" s="3">
        <f>Data!BH345</f>
        <v>0</v>
      </c>
      <c r="G345" s="3">
        <f>Data!N345</f>
        <v>0</v>
      </c>
      <c r="H345" s="17">
        <f>Data!AY345</f>
        <v>0</v>
      </c>
      <c r="I345" s="13">
        <f t="shared" si="54"/>
        <v>0</v>
      </c>
      <c r="K345" s="27">
        <f t="shared" si="55"/>
        <v>0</v>
      </c>
      <c r="M345" s="22">
        <f t="shared" si="52"/>
        <v>0</v>
      </c>
      <c r="N345" s="22">
        <f t="shared" si="53"/>
        <v>103.19999999999999</v>
      </c>
      <c r="P345" s="19" t="e">
        <f t="shared" si="50"/>
        <v>#DIV/0!</v>
      </c>
      <c r="Q345" s="19" t="e">
        <f t="shared" si="45"/>
        <v>#DIV/0!</v>
      </c>
      <c r="R345" s="17" t="e">
        <f t="shared" si="46"/>
        <v>#DIV/0!</v>
      </c>
      <c r="S345" s="22" t="e">
        <f t="shared" si="47"/>
        <v>#DIV/0!</v>
      </c>
      <c r="T345" s="22" t="e">
        <f t="shared" si="48"/>
        <v>#DIV/0!</v>
      </c>
    </row>
    <row r="346" spans="1:20" x14ac:dyDescent="0.2">
      <c r="A346" s="15">
        <f>Data!A346</f>
        <v>45998</v>
      </c>
      <c r="B346" s="1">
        <v>341</v>
      </c>
      <c r="C346" s="16">
        <f>ROUND(Data!BB346,2)</f>
        <v>0</v>
      </c>
      <c r="D346" s="3">
        <f>ROUND(Data!P346,1)</f>
        <v>0</v>
      </c>
      <c r="E346" s="3">
        <f>ROUND(Data!Y346,1)</f>
        <v>0</v>
      </c>
      <c r="F346" s="3">
        <f>Data!BH346</f>
        <v>0</v>
      </c>
      <c r="G346" s="3">
        <f>Data!N346</f>
        <v>0</v>
      </c>
      <c r="H346" s="17">
        <f>Data!AY346</f>
        <v>0</v>
      </c>
      <c r="I346" s="13">
        <f t="shared" si="54"/>
        <v>0</v>
      </c>
      <c r="K346" s="27">
        <f t="shared" si="55"/>
        <v>0</v>
      </c>
      <c r="M346" s="22">
        <f t="shared" si="52"/>
        <v>0</v>
      </c>
      <c r="N346" s="22">
        <f t="shared" si="53"/>
        <v>103.19999999999999</v>
      </c>
      <c r="P346" s="19" t="e">
        <f t="shared" si="50"/>
        <v>#DIV/0!</v>
      </c>
      <c r="Q346" s="19" t="e">
        <f t="shared" si="45"/>
        <v>#DIV/0!</v>
      </c>
      <c r="R346" s="17" t="e">
        <f t="shared" si="46"/>
        <v>#DIV/0!</v>
      </c>
      <c r="S346" s="22" t="e">
        <f t="shared" si="47"/>
        <v>#DIV/0!</v>
      </c>
      <c r="T346" s="22" t="e">
        <f t="shared" si="48"/>
        <v>#DIV/0!</v>
      </c>
    </row>
    <row r="347" spans="1:20" x14ac:dyDescent="0.2">
      <c r="A347" s="15">
        <f>Data!A347</f>
        <v>45999</v>
      </c>
      <c r="B347" s="1">
        <v>342</v>
      </c>
      <c r="C347" s="16">
        <f>ROUND(Data!BB347,2)</f>
        <v>0</v>
      </c>
      <c r="D347" s="3">
        <f>ROUND(Data!P347,1)</f>
        <v>0</v>
      </c>
      <c r="E347" s="3">
        <f>ROUND(Data!Y347,1)</f>
        <v>0</v>
      </c>
      <c r="F347" s="3">
        <f>Data!BH347</f>
        <v>0</v>
      </c>
      <c r="G347" s="3">
        <f>Data!N347</f>
        <v>0</v>
      </c>
      <c r="H347" s="17">
        <f>Data!AY347</f>
        <v>0</v>
      </c>
      <c r="I347" s="13">
        <f t="shared" si="54"/>
        <v>0</v>
      </c>
      <c r="K347" s="27">
        <f t="shared" si="55"/>
        <v>0</v>
      </c>
      <c r="M347" s="22">
        <f t="shared" si="52"/>
        <v>0</v>
      </c>
      <c r="N347" s="22">
        <f t="shared" si="53"/>
        <v>103.19999999999999</v>
      </c>
      <c r="P347" s="19" t="e">
        <f t="shared" si="50"/>
        <v>#DIV/0!</v>
      </c>
      <c r="Q347" s="19" t="e">
        <f t="shared" si="45"/>
        <v>#DIV/0!</v>
      </c>
      <c r="R347" s="17" t="e">
        <f t="shared" si="46"/>
        <v>#DIV/0!</v>
      </c>
      <c r="S347" s="22" t="e">
        <f t="shared" si="47"/>
        <v>#DIV/0!</v>
      </c>
      <c r="T347" s="22" t="e">
        <f t="shared" si="48"/>
        <v>#DIV/0!</v>
      </c>
    </row>
    <row r="348" spans="1:20" x14ac:dyDescent="0.2">
      <c r="A348" s="15">
        <f>Data!A348</f>
        <v>46000</v>
      </c>
      <c r="B348" s="1">
        <v>343</v>
      </c>
      <c r="C348" s="16">
        <f>ROUND(Data!BB348,2)</f>
        <v>0</v>
      </c>
      <c r="D348" s="3">
        <f>ROUND(Data!P348,1)</f>
        <v>0</v>
      </c>
      <c r="E348" s="3">
        <f>ROUND(Data!Y348,1)</f>
        <v>0</v>
      </c>
      <c r="F348" s="3">
        <f>Data!BH348</f>
        <v>0</v>
      </c>
      <c r="G348" s="3">
        <f>Data!N348</f>
        <v>0</v>
      </c>
      <c r="H348" s="17">
        <f>Data!AY348</f>
        <v>0</v>
      </c>
      <c r="I348" s="13">
        <f t="shared" si="54"/>
        <v>0</v>
      </c>
      <c r="K348" s="27">
        <f t="shared" si="55"/>
        <v>0</v>
      </c>
      <c r="M348" s="22">
        <f t="shared" si="52"/>
        <v>0</v>
      </c>
      <c r="N348" s="22">
        <f t="shared" si="53"/>
        <v>103.19999999999999</v>
      </c>
      <c r="P348" s="19" t="e">
        <f t="shared" si="50"/>
        <v>#DIV/0!</v>
      </c>
      <c r="Q348" s="19" t="e">
        <f t="shared" si="45"/>
        <v>#DIV/0!</v>
      </c>
      <c r="R348" s="17" t="e">
        <f t="shared" si="46"/>
        <v>#DIV/0!</v>
      </c>
      <c r="S348" s="22" t="e">
        <f t="shared" si="47"/>
        <v>#DIV/0!</v>
      </c>
      <c r="T348" s="22" t="e">
        <f t="shared" si="48"/>
        <v>#DIV/0!</v>
      </c>
    </row>
    <row r="349" spans="1:20" x14ac:dyDescent="0.2">
      <c r="A349" s="15">
        <f>Data!A349</f>
        <v>46001</v>
      </c>
      <c r="B349" s="1">
        <v>344</v>
      </c>
      <c r="C349" s="16">
        <f>ROUND(Data!BB349,2)</f>
        <v>0</v>
      </c>
      <c r="D349" s="3">
        <f>ROUND(Data!P349,1)</f>
        <v>0</v>
      </c>
      <c r="E349" s="3">
        <f>ROUND(Data!Y349,1)</f>
        <v>0</v>
      </c>
      <c r="F349" s="3">
        <f>Data!BH349</f>
        <v>0</v>
      </c>
      <c r="G349" s="3">
        <f>Data!N349</f>
        <v>0</v>
      </c>
      <c r="H349" s="17">
        <f>Data!AY349</f>
        <v>0</v>
      </c>
      <c r="I349" s="13">
        <f t="shared" si="54"/>
        <v>0</v>
      </c>
      <c r="K349" s="27">
        <f t="shared" si="55"/>
        <v>0</v>
      </c>
      <c r="M349" s="22">
        <f t="shared" si="52"/>
        <v>0</v>
      </c>
      <c r="N349" s="22">
        <f t="shared" si="53"/>
        <v>103.19999999999999</v>
      </c>
      <c r="P349" s="19" t="e">
        <f t="shared" si="50"/>
        <v>#DIV/0!</v>
      </c>
      <c r="Q349" s="19" t="e">
        <f t="shared" si="45"/>
        <v>#DIV/0!</v>
      </c>
      <c r="R349" s="17" t="e">
        <f t="shared" si="46"/>
        <v>#DIV/0!</v>
      </c>
      <c r="S349" s="22" t="e">
        <f t="shared" si="47"/>
        <v>#DIV/0!</v>
      </c>
      <c r="T349" s="22" t="e">
        <f t="shared" si="48"/>
        <v>#DIV/0!</v>
      </c>
    </row>
    <row r="350" spans="1:20" x14ac:dyDescent="0.2">
      <c r="A350" s="15">
        <f>Data!A350</f>
        <v>46002</v>
      </c>
      <c r="B350" s="1">
        <v>345</v>
      </c>
      <c r="C350" s="16">
        <f>ROUND(Data!BB350,2)</f>
        <v>0</v>
      </c>
      <c r="D350" s="3">
        <f>ROUND(Data!P350,1)</f>
        <v>0</v>
      </c>
      <c r="E350" s="3">
        <f>ROUND(Data!Y350,1)</f>
        <v>0</v>
      </c>
      <c r="F350" s="3">
        <f>Data!BH350</f>
        <v>0</v>
      </c>
      <c r="G350" s="3">
        <f>Data!N350</f>
        <v>0</v>
      </c>
      <c r="H350" s="17">
        <f>Data!AY350</f>
        <v>0</v>
      </c>
      <c r="I350" s="13">
        <f t="shared" si="54"/>
        <v>0</v>
      </c>
      <c r="K350" s="27">
        <f t="shared" si="55"/>
        <v>0</v>
      </c>
      <c r="M350" s="22">
        <f t="shared" si="52"/>
        <v>0</v>
      </c>
      <c r="N350" s="22">
        <f t="shared" si="53"/>
        <v>103.19999999999999</v>
      </c>
      <c r="P350" s="19" t="e">
        <f t="shared" si="50"/>
        <v>#DIV/0!</v>
      </c>
      <c r="Q350" s="19" t="e">
        <f t="shared" si="45"/>
        <v>#DIV/0!</v>
      </c>
      <c r="R350" s="17" t="e">
        <f t="shared" si="46"/>
        <v>#DIV/0!</v>
      </c>
      <c r="S350" s="22" t="e">
        <f t="shared" si="47"/>
        <v>#DIV/0!</v>
      </c>
      <c r="T350" s="22" t="e">
        <f t="shared" si="48"/>
        <v>#DIV/0!</v>
      </c>
    </row>
    <row r="351" spans="1:20" x14ac:dyDescent="0.2">
      <c r="A351" s="15">
        <f>Data!A351</f>
        <v>46003</v>
      </c>
      <c r="B351" s="1">
        <v>346</v>
      </c>
      <c r="C351" s="16">
        <f>ROUND(Data!BB351,2)</f>
        <v>0</v>
      </c>
      <c r="D351" s="3">
        <f>ROUND(Data!P351,1)</f>
        <v>0</v>
      </c>
      <c r="E351" s="3">
        <f>ROUND(Data!Y351,1)</f>
        <v>0</v>
      </c>
      <c r="F351" s="3">
        <f>Data!BH351</f>
        <v>0</v>
      </c>
      <c r="G351" s="3">
        <f>Data!N351</f>
        <v>0</v>
      </c>
      <c r="H351" s="17">
        <f>Data!AY351</f>
        <v>0</v>
      </c>
      <c r="I351" s="13">
        <f t="shared" si="54"/>
        <v>0</v>
      </c>
      <c r="K351" s="27">
        <f t="shared" si="55"/>
        <v>0</v>
      </c>
      <c r="M351" s="22">
        <f t="shared" si="52"/>
        <v>0</v>
      </c>
      <c r="N351" s="22">
        <f t="shared" si="53"/>
        <v>103.19999999999999</v>
      </c>
      <c r="P351" s="19" t="e">
        <f t="shared" si="50"/>
        <v>#DIV/0!</v>
      </c>
      <c r="Q351" s="19" t="e">
        <f t="shared" si="45"/>
        <v>#DIV/0!</v>
      </c>
      <c r="R351" s="17" t="e">
        <f t="shared" si="46"/>
        <v>#DIV/0!</v>
      </c>
      <c r="S351" s="22" t="e">
        <f t="shared" si="47"/>
        <v>#DIV/0!</v>
      </c>
      <c r="T351" s="22" t="e">
        <f t="shared" si="48"/>
        <v>#DIV/0!</v>
      </c>
    </row>
    <row r="352" spans="1:20" x14ac:dyDescent="0.2">
      <c r="A352" s="15">
        <f>Data!A352</f>
        <v>46004</v>
      </c>
      <c r="B352" s="1">
        <v>347</v>
      </c>
      <c r="C352" s="16">
        <f>ROUND(Data!BB352,2)</f>
        <v>0</v>
      </c>
      <c r="D352" s="3">
        <f>ROUND(Data!P352,1)</f>
        <v>0</v>
      </c>
      <c r="E352" s="3">
        <f>ROUND(Data!Y352,1)</f>
        <v>0</v>
      </c>
      <c r="F352" s="3">
        <f>Data!BH352</f>
        <v>0</v>
      </c>
      <c r="G352" s="3">
        <f>Data!N352</f>
        <v>0</v>
      </c>
      <c r="H352" s="17">
        <f>Data!AY352</f>
        <v>0</v>
      </c>
      <c r="I352" s="13">
        <f t="shared" si="54"/>
        <v>0</v>
      </c>
      <c r="K352" s="27">
        <f t="shared" si="55"/>
        <v>0</v>
      </c>
      <c r="M352" s="22">
        <f t="shared" si="52"/>
        <v>0</v>
      </c>
      <c r="N352" s="22">
        <f t="shared" si="53"/>
        <v>103.19999999999999</v>
      </c>
      <c r="P352" s="19" t="e">
        <f t="shared" si="50"/>
        <v>#DIV/0!</v>
      </c>
      <c r="Q352" s="19" t="e">
        <f t="shared" si="45"/>
        <v>#DIV/0!</v>
      </c>
      <c r="R352" s="17" t="e">
        <f t="shared" si="46"/>
        <v>#DIV/0!</v>
      </c>
      <c r="S352" s="22" t="e">
        <f t="shared" si="47"/>
        <v>#DIV/0!</v>
      </c>
      <c r="T352" s="22" t="e">
        <f t="shared" si="48"/>
        <v>#DIV/0!</v>
      </c>
    </row>
    <row r="353" spans="1:20" x14ac:dyDescent="0.2">
      <c r="A353" s="15">
        <f>Data!A353</f>
        <v>46005</v>
      </c>
      <c r="B353" s="1">
        <v>348</v>
      </c>
      <c r="C353" s="16">
        <f>ROUND(Data!BB353,2)</f>
        <v>0</v>
      </c>
      <c r="D353" s="3">
        <f>ROUND(Data!P353,1)</f>
        <v>0</v>
      </c>
      <c r="E353" s="3">
        <f>ROUND(Data!Y353,1)</f>
        <v>0</v>
      </c>
      <c r="F353" s="3">
        <f>Data!BH353</f>
        <v>0</v>
      </c>
      <c r="G353" s="3">
        <f>Data!N353</f>
        <v>0</v>
      </c>
      <c r="H353" s="17">
        <f>Data!AY353</f>
        <v>0</v>
      </c>
      <c r="I353" s="13">
        <f t="shared" si="54"/>
        <v>0</v>
      </c>
      <c r="K353" s="27">
        <f t="shared" si="55"/>
        <v>0</v>
      </c>
      <c r="M353" s="22">
        <f t="shared" si="52"/>
        <v>0</v>
      </c>
      <c r="N353" s="22">
        <f t="shared" si="53"/>
        <v>103.19999999999999</v>
      </c>
      <c r="P353" s="19" t="e">
        <f t="shared" si="50"/>
        <v>#DIV/0!</v>
      </c>
      <c r="Q353" s="19" t="e">
        <f t="shared" si="45"/>
        <v>#DIV/0!</v>
      </c>
      <c r="R353" s="17" t="e">
        <f t="shared" si="46"/>
        <v>#DIV/0!</v>
      </c>
      <c r="S353" s="22" t="e">
        <f t="shared" si="47"/>
        <v>#DIV/0!</v>
      </c>
      <c r="T353" s="22" t="e">
        <f t="shared" si="48"/>
        <v>#DIV/0!</v>
      </c>
    </row>
    <row r="354" spans="1:20" x14ac:dyDescent="0.2">
      <c r="A354" s="15">
        <f>Data!A354</f>
        <v>46006</v>
      </c>
      <c r="B354" s="1">
        <v>349</v>
      </c>
      <c r="C354" s="16">
        <f>ROUND(Data!BB354,2)</f>
        <v>0</v>
      </c>
      <c r="D354" s="3">
        <f>ROUND(Data!P354,1)</f>
        <v>0</v>
      </c>
      <c r="E354" s="3">
        <f>ROUND(Data!Y354,1)</f>
        <v>0</v>
      </c>
      <c r="F354" s="3">
        <f>Data!BH354</f>
        <v>0</v>
      </c>
      <c r="G354" s="3">
        <f>Data!N354</f>
        <v>0</v>
      </c>
      <c r="H354" s="17">
        <f>Data!AY354</f>
        <v>0</v>
      </c>
      <c r="I354" s="13">
        <f t="shared" si="54"/>
        <v>0</v>
      </c>
      <c r="K354" s="27">
        <f t="shared" si="55"/>
        <v>0</v>
      </c>
      <c r="M354" s="22">
        <f t="shared" si="52"/>
        <v>0</v>
      </c>
      <c r="N354" s="22">
        <f t="shared" si="53"/>
        <v>103.19999999999999</v>
      </c>
      <c r="P354" s="19" t="e">
        <f t="shared" si="50"/>
        <v>#DIV/0!</v>
      </c>
      <c r="Q354" s="19" t="e">
        <f t="shared" si="45"/>
        <v>#DIV/0!</v>
      </c>
      <c r="R354" s="17" t="e">
        <f t="shared" si="46"/>
        <v>#DIV/0!</v>
      </c>
      <c r="S354" s="22" t="e">
        <f t="shared" si="47"/>
        <v>#DIV/0!</v>
      </c>
      <c r="T354" s="22" t="e">
        <f t="shared" si="48"/>
        <v>#DIV/0!</v>
      </c>
    </row>
    <row r="355" spans="1:20" x14ac:dyDescent="0.2">
      <c r="A355" s="15">
        <f>Data!A355</f>
        <v>46007</v>
      </c>
      <c r="B355" s="1">
        <v>350</v>
      </c>
      <c r="C355" s="16">
        <f>ROUND(Data!BB355,2)</f>
        <v>0</v>
      </c>
      <c r="D355" s="3">
        <f>ROUND(Data!P355,1)</f>
        <v>0</v>
      </c>
      <c r="E355" s="3">
        <f>ROUND(Data!Y355,1)</f>
        <v>0</v>
      </c>
      <c r="F355" s="3">
        <f>Data!BH355</f>
        <v>0</v>
      </c>
      <c r="G355" s="3">
        <f>Data!N355</f>
        <v>0</v>
      </c>
      <c r="H355" s="17">
        <f>Data!AY355</f>
        <v>0</v>
      </c>
      <c r="I355" s="13">
        <f t="shared" si="54"/>
        <v>0</v>
      </c>
      <c r="K355" s="27">
        <f t="shared" si="55"/>
        <v>0</v>
      </c>
      <c r="M355" s="22">
        <f t="shared" si="52"/>
        <v>0</v>
      </c>
      <c r="N355" s="22">
        <f t="shared" si="53"/>
        <v>103.19999999999999</v>
      </c>
      <c r="P355" s="19" t="e">
        <f t="shared" si="50"/>
        <v>#DIV/0!</v>
      </c>
      <c r="Q355" s="19" t="e">
        <f t="shared" si="45"/>
        <v>#DIV/0!</v>
      </c>
      <c r="R355" s="17" t="e">
        <f t="shared" si="46"/>
        <v>#DIV/0!</v>
      </c>
      <c r="S355" s="22" t="e">
        <f t="shared" si="47"/>
        <v>#DIV/0!</v>
      </c>
      <c r="T355" s="22" t="e">
        <f t="shared" si="48"/>
        <v>#DIV/0!</v>
      </c>
    </row>
    <row r="356" spans="1:20" x14ac:dyDescent="0.2">
      <c r="A356" s="15">
        <f>Data!A356</f>
        <v>46008</v>
      </c>
      <c r="B356" s="1">
        <v>351</v>
      </c>
      <c r="C356" s="16">
        <f>ROUND(Data!BB356,2)</f>
        <v>0</v>
      </c>
      <c r="D356" s="3">
        <f>ROUND(Data!P356,1)</f>
        <v>0</v>
      </c>
      <c r="E356" s="3">
        <f>ROUND(Data!Y356,1)</f>
        <v>0</v>
      </c>
      <c r="F356" s="3">
        <f>Data!BH356</f>
        <v>0</v>
      </c>
      <c r="G356" s="3">
        <f>Data!N356</f>
        <v>0</v>
      </c>
      <c r="H356" s="17">
        <f>Data!AY356</f>
        <v>0</v>
      </c>
      <c r="I356" s="13">
        <f t="shared" si="54"/>
        <v>0</v>
      </c>
      <c r="K356" s="27">
        <f t="shared" si="55"/>
        <v>0</v>
      </c>
      <c r="M356" s="22">
        <f t="shared" si="52"/>
        <v>0</v>
      </c>
      <c r="N356" s="22">
        <f t="shared" si="53"/>
        <v>103.19999999999999</v>
      </c>
      <c r="P356" s="19" t="e">
        <f t="shared" si="50"/>
        <v>#DIV/0!</v>
      </c>
      <c r="Q356" s="19" t="e">
        <f t="shared" si="45"/>
        <v>#DIV/0!</v>
      </c>
      <c r="R356" s="17" t="e">
        <f t="shared" si="46"/>
        <v>#DIV/0!</v>
      </c>
      <c r="S356" s="22" t="e">
        <f t="shared" si="47"/>
        <v>#DIV/0!</v>
      </c>
      <c r="T356" s="22" t="e">
        <f t="shared" si="48"/>
        <v>#DIV/0!</v>
      </c>
    </row>
    <row r="357" spans="1:20" x14ac:dyDescent="0.2">
      <c r="A357" s="15">
        <f>Data!A357</f>
        <v>46009</v>
      </c>
      <c r="B357" s="1">
        <v>352</v>
      </c>
      <c r="C357" s="16">
        <f>ROUND(Data!BB357,2)</f>
        <v>0</v>
      </c>
      <c r="D357" s="3">
        <f>ROUND(Data!P357,1)</f>
        <v>0</v>
      </c>
      <c r="E357" s="3">
        <f>ROUND(Data!Y357,1)</f>
        <v>0</v>
      </c>
      <c r="F357" s="3">
        <f>Data!BH357</f>
        <v>0</v>
      </c>
      <c r="G357" s="3">
        <f>Data!N357</f>
        <v>0</v>
      </c>
      <c r="H357" s="17">
        <f>Data!AY357</f>
        <v>0</v>
      </c>
      <c r="I357" s="13">
        <f t="shared" si="54"/>
        <v>0</v>
      </c>
      <c r="K357" s="27">
        <f t="shared" si="55"/>
        <v>0</v>
      </c>
      <c r="M357" s="22">
        <f t="shared" si="52"/>
        <v>0</v>
      </c>
      <c r="N357" s="22">
        <f t="shared" si="53"/>
        <v>103.19999999999999</v>
      </c>
      <c r="P357" s="19" t="e">
        <f t="shared" si="50"/>
        <v>#DIV/0!</v>
      </c>
      <c r="Q357" s="19" t="e">
        <f t="shared" si="45"/>
        <v>#DIV/0!</v>
      </c>
      <c r="R357" s="17" t="e">
        <f t="shared" si="46"/>
        <v>#DIV/0!</v>
      </c>
      <c r="S357" s="22" t="e">
        <f t="shared" si="47"/>
        <v>#DIV/0!</v>
      </c>
      <c r="T357" s="22" t="e">
        <f t="shared" si="48"/>
        <v>#DIV/0!</v>
      </c>
    </row>
    <row r="358" spans="1:20" x14ac:dyDescent="0.2">
      <c r="A358" s="15">
        <f>Data!A358</f>
        <v>46010</v>
      </c>
      <c r="B358" s="1">
        <v>353</v>
      </c>
      <c r="C358" s="16">
        <f>ROUND(Data!BB358,2)</f>
        <v>0</v>
      </c>
      <c r="D358" s="3">
        <f>ROUND(Data!P358,1)</f>
        <v>0</v>
      </c>
      <c r="E358" s="3">
        <f>ROUND(Data!Y358,1)</f>
        <v>0</v>
      </c>
      <c r="F358" s="3">
        <f>Data!BH358</f>
        <v>0</v>
      </c>
      <c r="G358" s="3">
        <f>Data!N358</f>
        <v>0</v>
      </c>
      <c r="H358" s="17">
        <f>Data!AY358</f>
        <v>0</v>
      </c>
      <c r="I358" s="13">
        <f t="shared" si="54"/>
        <v>0</v>
      </c>
      <c r="K358" s="27">
        <f t="shared" si="55"/>
        <v>0</v>
      </c>
      <c r="M358" s="22">
        <f t="shared" si="52"/>
        <v>0</v>
      </c>
      <c r="N358" s="22">
        <f t="shared" si="53"/>
        <v>103.19999999999999</v>
      </c>
      <c r="P358" s="19" t="e">
        <f t="shared" si="50"/>
        <v>#DIV/0!</v>
      </c>
      <c r="Q358" s="19" t="e">
        <f t="shared" si="45"/>
        <v>#DIV/0!</v>
      </c>
      <c r="R358" s="17" t="e">
        <f t="shared" si="46"/>
        <v>#DIV/0!</v>
      </c>
      <c r="S358" s="22" t="e">
        <f t="shared" si="47"/>
        <v>#DIV/0!</v>
      </c>
      <c r="T358" s="22" t="e">
        <f t="shared" si="48"/>
        <v>#DIV/0!</v>
      </c>
    </row>
    <row r="359" spans="1:20" x14ac:dyDescent="0.2">
      <c r="A359" s="15">
        <f>Data!A359</f>
        <v>46011</v>
      </c>
      <c r="B359" s="1">
        <v>354</v>
      </c>
      <c r="C359" s="16">
        <f>ROUND(Data!BB359,2)</f>
        <v>0</v>
      </c>
      <c r="D359" s="3">
        <f>ROUND(Data!P359,1)</f>
        <v>0</v>
      </c>
      <c r="E359" s="3">
        <f>ROUND(Data!Y359,1)</f>
        <v>0</v>
      </c>
      <c r="F359" s="3">
        <f>Data!BH359</f>
        <v>0</v>
      </c>
      <c r="G359" s="3">
        <f>Data!N359</f>
        <v>0</v>
      </c>
      <c r="H359" s="17">
        <f>Data!AY359</f>
        <v>0</v>
      </c>
      <c r="I359" s="13">
        <f t="shared" si="54"/>
        <v>0</v>
      </c>
      <c r="K359" s="27">
        <f t="shared" si="55"/>
        <v>0</v>
      </c>
      <c r="M359" s="22">
        <f t="shared" si="52"/>
        <v>0</v>
      </c>
      <c r="N359" s="22">
        <f t="shared" si="53"/>
        <v>103.19999999999999</v>
      </c>
      <c r="P359" s="19" t="e">
        <f t="shared" si="50"/>
        <v>#DIV/0!</v>
      </c>
      <c r="Q359" s="19" t="e">
        <f t="shared" si="45"/>
        <v>#DIV/0!</v>
      </c>
      <c r="R359" s="17" t="e">
        <f t="shared" si="46"/>
        <v>#DIV/0!</v>
      </c>
      <c r="S359" s="22" t="e">
        <f t="shared" si="47"/>
        <v>#DIV/0!</v>
      </c>
      <c r="T359" s="22" t="e">
        <f t="shared" si="48"/>
        <v>#DIV/0!</v>
      </c>
    </row>
    <row r="360" spans="1:20" x14ac:dyDescent="0.2">
      <c r="A360" s="15">
        <f>Data!A360</f>
        <v>46012</v>
      </c>
      <c r="B360" s="1">
        <v>355</v>
      </c>
      <c r="C360" s="16">
        <f>ROUND(Data!BB360,2)</f>
        <v>0</v>
      </c>
      <c r="D360" s="3">
        <f>ROUND(Data!P360,1)</f>
        <v>0</v>
      </c>
      <c r="E360" s="3">
        <f>ROUND(Data!Y360,1)</f>
        <v>0</v>
      </c>
      <c r="F360" s="3">
        <f>Data!BH360</f>
        <v>0</v>
      </c>
      <c r="G360" s="3">
        <f>Data!N360</f>
        <v>0</v>
      </c>
      <c r="H360" s="17">
        <f>Data!AY360</f>
        <v>0</v>
      </c>
      <c r="I360" s="13">
        <f t="shared" si="54"/>
        <v>0</v>
      </c>
      <c r="K360" s="27">
        <f t="shared" si="55"/>
        <v>0</v>
      </c>
      <c r="M360" s="22">
        <f t="shared" si="52"/>
        <v>0</v>
      </c>
      <c r="N360" s="22">
        <f t="shared" si="53"/>
        <v>103.19999999999999</v>
      </c>
      <c r="P360" s="19" t="e">
        <f t="shared" si="50"/>
        <v>#DIV/0!</v>
      </c>
      <c r="Q360" s="19" t="e">
        <f t="shared" si="45"/>
        <v>#DIV/0!</v>
      </c>
      <c r="R360" s="17" t="e">
        <f t="shared" si="46"/>
        <v>#DIV/0!</v>
      </c>
      <c r="S360" s="22" t="e">
        <f t="shared" si="47"/>
        <v>#DIV/0!</v>
      </c>
      <c r="T360" s="22" t="e">
        <f t="shared" si="48"/>
        <v>#DIV/0!</v>
      </c>
    </row>
    <row r="361" spans="1:20" x14ac:dyDescent="0.2">
      <c r="A361" s="15">
        <f>Data!A361</f>
        <v>46013</v>
      </c>
      <c r="B361" s="1">
        <v>356</v>
      </c>
      <c r="C361" s="16">
        <f>ROUND(Data!BB361,2)</f>
        <v>0</v>
      </c>
      <c r="D361" s="3">
        <f>ROUND(Data!P361,1)</f>
        <v>0</v>
      </c>
      <c r="E361" s="3">
        <f>ROUND(Data!Y361,1)</f>
        <v>0</v>
      </c>
      <c r="F361" s="3">
        <f>Data!BH361</f>
        <v>0</v>
      </c>
      <c r="G361" s="3">
        <f>Data!N361</f>
        <v>0</v>
      </c>
      <c r="H361" s="17">
        <f>Data!AY361</f>
        <v>0</v>
      </c>
      <c r="I361" s="13">
        <f t="shared" si="54"/>
        <v>0</v>
      </c>
      <c r="K361" s="27">
        <f t="shared" si="55"/>
        <v>0</v>
      </c>
      <c r="M361" s="22">
        <f t="shared" si="52"/>
        <v>0</v>
      </c>
      <c r="N361" s="22">
        <f t="shared" si="53"/>
        <v>103.19999999999999</v>
      </c>
      <c r="P361" s="19" t="e">
        <f t="shared" si="50"/>
        <v>#DIV/0!</v>
      </c>
      <c r="Q361" s="19" t="e">
        <f t="shared" si="45"/>
        <v>#DIV/0!</v>
      </c>
      <c r="R361" s="17" t="e">
        <f t="shared" si="46"/>
        <v>#DIV/0!</v>
      </c>
      <c r="S361" s="22" t="e">
        <f t="shared" si="47"/>
        <v>#DIV/0!</v>
      </c>
      <c r="T361" s="22" t="e">
        <f t="shared" si="48"/>
        <v>#DIV/0!</v>
      </c>
    </row>
    <row r="362" spans="1:20" x14ac:dyDescent="0.2">
      <c r="A362" s="15">
        <f>Data!A362</f>
        <v>46014</v>
      </c>
      <c r="B362" s="1">
        <v>357</v>
      </c>
      <c r="C362" s="16">
        <f>ROUND(Data!BB362,2)</f>
        <v>0</v>
      </c>
      <c r="D362" s="3">
        <f>ROUND(Data!P362,1)</f>
        <v>0</v>
      </c>
      <c r="E362" s="3">
        <f>ROUND(Data!Y362,1)</f>
        <v>0</v>
      </c>
      <c r="F362" s="3">
        <f>Data!BH362</f>
        <v>0</v>
      </c>
      <c r="G362" s="3">
        <f>Data!N362</f>
        <v>0</v>
      </c>
      <c r="H362" s="17">
        <f>Data!AY362</f>
        <v>0</v>
      </c>
      <c r="I362" s="13">
        <f t="shared" si="54"/>
        <v>0</v>
      </c>
      <c r="K362" s="27">
        <f t="shared" si="55"/>
        <v>0</v>
      </c>
      <c r="M362" s="22">
        <f t="shared" si="52"/>
        <v>0</v>
      </c>
      <c r="N362" s="22">
        <f t="shared" si="53"/>
        <v>103.19999999999999</v>
      </c>
      <c r="P362" s="19" t="e">
        <f t="shared" si="50"/>
        <v>#DIV/0!</v>
      </c>
      <c r="Q362" s="19" t="e">
        <f t="shared" si="45"/>
        <v>#DIV/0!</v>
      </c>
      <c r="R362" s="17" t="e">
        <f t="shared" si="46"/>
        <v>#DIV/0!</v>
      </c>
      <c r="S362" s="22" t="e">
        <f t="shared" si="47"/>
        <v>#DIV/0!</v>
      </c>
      <c r="T362" s="22" t="e">
        <f t="shared" si="48"/>
        <v>#DIV/0!</v>
      </c>
    </row>
    <row r="363" spans="1:20" x14ac:dyDescent="0.2">
      <c r="A363" s="15">
        <f>Data!A363</f>
        <v>46015</v>
      </c>
      <c r="B363" s="1">
        <v>358</v>
      </c>
      <c r="C363" s="16">
        <f>ROUND(Data!BB363,2)</f>
        <v>0</v>
      </c>
      <c r="D363" s="3">
        <f>ROUND(Data!P363,1)</f>
        <v>0</v>
      </c>
      <c r="E363" s="3">
        <f>ROUND(Data!Y363,1)</f>
        <v>0</v>
      </c>
      <c r="F363" s="3">
        <f>Data!BH363</f>
        <v>0</v>
      </c>
      <c r="G363" s="3">
        <f>Data!N363</f>
        <v>0</v>
      </c>
      <c r="H363" s="17">
        <f>Data!AY363</f>
        <v>0</v>
      </c>
      <c r="I363" s="13">
        <f t="shared" si="54"/>
        <v>0</v>
      </c>
      <c r="K363" s="27">
        <f t="shared" si="55"/>
        <v>0</v>
      </c>
      <c r="M363" s="22">
        <f t="shared" si="52"/>
        <v>0</v>
      </c>
      <c r="N363" s="22">
        <f t="shared" si="53"/>
        <v>103.19999999999999</v>
      </c>
      <c r="P363" s="19" t="e">
        <f t="shared" si="50"/>
        <v>#DIV/0!</v>
      </c>
      <c r="Q363" s="19" t="e">
        <f t="shared" si="45"/>
        <v>#DIV/0!</v>
      </c>
      <c r="R363" s="17" t="e">
        <f t="shared" si="46"/>
        <v>#DIV/0!</v>
      </c>
      <c r="S363" s="22" t="e">
        <f t="shared" si="47"/>
        <v>#DIV/0!</v>
      </c>
      <c r="T363" s="22" t="e">
        <f t="shared" si="48"/>
        <v>#DIV/0!</v>
      </c>
    </row>
    <row r="364" spans="1:20" x14ac:dyDescent="0.2">
      <c r="A364" s="15">
        <f>Data!A364</f>
        <v>46016</v>
      </c>
      <c r="B364" s="1">
        <v>359</v>
      </c>
      <c r="C364" s="16">
        <f>ROUND(Data!BB364,2)</f>
        <v>0</v>
      </c>
      <c r="D364" s="3">
        <f>ROUND(Data!P364,1)</f>
        <v>0</v>
      </c>
      <c r="E364" s="3">
        <f>ROUND(Data!Y364,1)</f>
        <v>0</v>
      </c>
      <c r="F364" s="3">
        <f>Data!BH364</f>
        <v>0</v>
      </c>
      <c r="G364" s="3">
        <f>Data!N364</f>
        <v>0</v>
      </c>
      <c r="H364" s="17">
        <f>Data!AY364</f>
        <v>0</v>
      </c>
      <c r="I364" s="13">
        <f t="shared" si="54"/>
        <v>0</v>
      </c>
      <c r="K364" s="27">
        <f t="shared" si="55"/>
        <v>0</v>
      </c>
      <c r="M364" s="22">
        <f t="shared" si="52"/>
        <v>0</v>
      </c>
      <c r="N364" s="22">
        <f t="shared" si="53"/>
        <v>103.19999999999999</v>
      </c>
      <c r="P364" s="19" t="e">
        <f t="shared" si="50"/>
        <v>#DIV/0!</v>
      </c>
      <c r="Q364" s="19" t="e">
        <f t="shared" si="45"/>
        <v>#DIV/0!</v>
      </c>
      <c r="R364" s="17" t="e">
        <f t="shared" si="46"/>
        <v>#DIV/0!</v>
      </c>
      <c r="S364" s="22" t="e">
        <f t="shared" si="47"/>
        <v>#DIV/0!</v>
      </c>
      <c r="T364" s="22" t="e">
        <f t="shared" si="48"/>
        <v>#DIV/0!</v>
      </c>
    </row>
    <row r="365" spans="1:20" x14ac:dyDescent="0.2">
      <c r="A365" s="15">
        <f>Data!A365</f>
        <v>46017</v>
      </c>
      <c r="B365" s="1">
        <v>360</v>
      </c>
      <c r="C365" s="16">
        <f>ROUND(Data!BB365,2)</f>
        <v>0</v>
      </c>
      <c r="D365" s="3">
        <f>ROUND(Data!P365,1)</f>
        <v>0</v>
      </c>
      <c r="E365" s="3">
        <f>ROUND(Data!Y365,1)</f>
        <v>0</v>
      </c>
      <c r="F365" s="3">
        <f>Data!BH365</f>
        <v>0</v>
      </c>
      <c r="G365" s="3">
        <f>Data!N365</f>
        <v>0</v>
      </c>
      <c r="H365" s="17">
        <f>Data!AY365</f>
        <v>0</v>
      </c>
      <c r="I365" s="13">
        <f t="shared" si="54"/>
        <v>0</v>
      </c>
      <c r="K365" s="27">
        <f t="shared" si="55"/>
        <v>0</v>
      </c>
      <c r="M365" s="22">
        <f t="shared" si="52"/>
        <v>0</v>
      </c>
      <c r="N365" s="22">
        <f t="shared" si="53"/>
        <v>103.19999999999999</v>
      </c>
      <c r="P365" s="19" t="e">
        <f t="shared" si="50"/>
        <v>#DIV/0!</v>
      </c>
      <c r="Q365" s="19" t="e">
        <f t="shared" si="45"/>
        <v>#DIV/0!</v>
      </c>
      <c r="R365" s="17" t="e">
        <f t="shared" si="46"/>
        <v>#DIV/0!</v>
      </c>
      <c r="S365" s="22" t="e">
        <f t="shared" si="47"/>
        <v>#DIV/0!</v>
      </c>
      <c r="T365" s="22" t="e">
        <f t="shared" si="48"/>
        <v>#DIV/0!</v>
      </c>
    </row>
    <row r="366" spans="1:20" x14ac:dyDescent="0.2">
      <c r="A366" s="15">
        <f>Data!A366</f>
        <v>46018</v>
      </c>
      <c r="B366" s="1">
        <v>361</v>
      </c>
      <c r="C366" s="16">
        <f>ROUND(Data!BB366,2)</f>
        <v>0</v>
      </c>
      <c r="D366" s="3">
        <f>ROUND(Data!P366,1)</f>
        <v>0</v>
      </c>
      <c r="E366" s="3">
        <f>ROUND(Data!Y366,1)</f>
        <v>0</v>
      </c>
      <c r="F366" s="3">
        <f>Data!BH366</f>
        <v>0</v>
      </c>
      <c r="G366" s="3">
        <f>Data!N366</f>
        <v>0</v>
      </c>
      <c r="H366" s="17">
        <f>Data!AY366</f>
        <v>0</v>
      </c>
      <c r="I366" s="13">
        <f t="shared" si="54"/>
        <v>0</v>
      </c>
      <c r="K366" s="27">
        <f t="shared" si="55"/>
        <v>0</v>
      </c>
      <c r="M366" s="22">
        <f t="shared" si="52"/>
        <v>0</v>
      </c>
      <c r="N366" s="22">
        <f t="shared" si="53"/>
        <v>103.19999999999999</v>
      </c>
      <c r="P366" s="19" t="e">
        <f t="shared" si="50"/>
        <v>#DIV/0!</v>
      </c>
      <c r="Q366" s="19" t="e">
        <f t="shared" si="45"/>
        <v>#DIV/0!</v>
      </c>
      <c r="R366" s="17" t="e">
        <f t="shared" si="46"/>
        <v>#DIV/0!</v>
      </c>
      <c r="S366" s="22" t="e">
        <f t="shared" si="47"/>
        <v>#DIV/0!</v>
      </c>
      <c r="T366" s="22" t="e">
        <f t="shared" si="48"/>
        <v>#DIV/0!</v>
      </c>
    </row>
    <row r="367" spans="1:20" x14ac:dyDescent="0.2">
      <c r="A367" s="15">
        <f>Data!A367</f>
        <v>46019</v>
      </c>
      <c r="B367" s="1">
        <v>362</v>
      </c>
      <c r="C367" s="16">
        <f>ROUND(Data!BB367,2)</f>
        <v>0</v>
      </c>
      <c r="D367" s="3">
        <f>ROUND(Data!P367,1)</f>
        <v>0</v>
      </c>
      <c r="E367" s="3">
        <f>ROUND(Data!Y367,1)</f>
        <v>0</v>
      </c>
      <c r="F367" s="3">
        <f>Data!BH367</f>
        <v>0</v>
      </c>
      <c r="G367" s="3">
        <f>Data!N367</f>
        <v>0</v>
      </c>
      <c r="H367" s="17">
        <f>Data!AY367</f>
        <v>0</v>
      </c>
      <c r="I367" s="13">
        <f t="shared" si="54"/>
        <v>0</v>
      </c>
      <c r="K367" s="27">
        <f>I367</f>
        <v>0</v>
      </c>
      <c r="M367" s="22">
        <f t="shared" si="52"/>
        <v>0</v>
      </c>
      <c r="N367" s="22">
        <f t="shared" si="53"/>
        <v>103.19999999999999</v>
      </c>
      <c r="P367" s="19" t="e">
        <f t="shared" si="50"/>
        <v>#DIV/0!</v>
      </c>
      <c r="Q367" s="19" t="e">
        <f t="shared" si="45"/>
        <v>#DIV/0!</v>
      </c>
      <c r="R367" s="17" t="e">
        <f t="shared" si="46"/>
        <v>#DIV/0!</v>
      </c>
      <c r="S367" s="22" t="e">
        <f t="shared" si="47"/>
        <v>#DIV/0!</v>
      </c>
      <c r="T367" s="22" t="e">
        <f t="shared" si="48"/>
        <v>#DIV/0!</v>
      </c>
    </row>
    <row r="368" spans="1:20" x14ac:dyDescent="0.2">
      <c r="A368" s="15">
        <f>Data!A368</f>
        <v>46020</v>
      </c>
      <c r="B368" s="1">
        <v>363</v>
      </c>
      <c r="C368" s="16">
        <f>ROUND(Data!BB368,2)</f>
        <v>0</v>
      </c>
      <c r="D368" s="3">
        <f>ROUND(Data!P368,1)</f>
        <v>0</v>
      </c>
      <c r="E368" s="3">
        <f>ROUND(Data!Y368,1)</f>
        <v>0</v>
      </c>
      <c r="F368" s="3">
        <f>Data!BH368</f>
        <v>0</v>
      </c>
      <c r="G368" s="3">
        <f>Data!N368</f>
        <v>0</v>
      </c>
      <c r="H368" s="17">
        <f>Data!AY368</f>
        <v>0</v>
      </c>
      <c r="I368" s="13">
        <f t="shared" si="54"/>
        <v>0</v>
      </c>
      <c r="K368" s="27">
        <f>I368</f>
        <v>0</v>
      </c>
      <c r="M368" s="22">
        <f t="shared" si="52"/>
        <v>0</v>
      </c>
      <c r="N368" s="22">
        <f t="shared" si="53"/>
        <v>103.19999999999999</v>
      </c>
      <c r="P368" s="19" t="e">
        <f t="shared" si="50"/>
        <v>#DIV/0!</v>
      </c>
      <c r="Q368" s="19" t="e">
        <f t="shared" si="45"/>
        <v>#DIV/0!</v>
      </c>
      <c r="R368" s="17" t="e">
        <f t="shared" si="46"/>
        <v>#DIV/0!</v>
      </c>
      <c r="S368" s="22" t="e">
        <f t="shared" si="47"/>
        <v>#DIV/0!</v>
      </c>
      <c r="T368" s="22" t="e">
        <f t="shared" si="48"/>
        <v>#DIV/0!</v>
      </c>
    </row>
    <row r="369" spans="1:20" x14ac:dyDescent="0.2">
      <c r="A369" s="15">
        <f>Data!A369</f>
        <v>46021</v>
      </c>
      <c r="B369" s="1">
        <v>364</v>
      </c>
      <c r="C369" s="16">
        <f>ROUND(Data!BB369,2)</f>
        <v>0</v>
      </c>
      <c r="D369" s="3">
        <f>ROUND(Data!P369,1)</f>
        <v>0</v>
      </c>
      <c r="E369" s="3">
        <f>ROUND(Data!Y369,1)</f>
        <v>0</v>
      </c>
      <c r="F369" s="3">
        <f>Data!BH369</f>
        <v>0</v>
      </c>
      <c r="G369" s="3">
        <f>Data!N369</f>
        <v>0</v>
      </c>
      <c r="H369" s="17">
        <f>Data!AY369</f>
        <v>0</v>
      </c>
      <c r="I369" s="13">
        <f t="shared" si="54"/>
        <v>0</v>
      </c>
      <c r="K369" s="27">
        <f>I369</f>
        <v>0</v>
      </c>
      <c r="M369" s="22">
        <f t="shared" si="52"/>
        <v>0</v>
      </c>
      <c r="N369" s="22">
        <f t="shared" si="53"/>
        <v>103.19999999999999</v>
      </c>
      <c r="P369" s="19" t="e">
        <f t="shared" si="50"/>
        <v>#DIV/0!</v>
      </c>
      <c r="Q369" s="19" t="e">
        <f t="shared" ref="Q369:Q370" si="56">IF(P369&gt;Q$1,Q$1,P369)</f>
        <v>#DIV/0!</v>
      </c>
      <c r="R369" s="17" t="e">
        <f t="shared" ref="R369:R370" si="57">Q369*H369</f>
        <v>#DIV/0!</v>
      </c>
      <c r="S369" s="22" t="e">
        <f t="shared" ref="S369:S370" si="58">R369-R368</f>
        <v>#DIV/0!</v>
      </c>
      <c r="T369" s="22" t="e">
        <f t="shared" ref="T369:T370" si="59">ROUND(K369-S369,1)</f>
        <v>#DIV/0!</v>
      </c>
    </row>
    <row r="370" spans="1:20" x14ac:dyDescent="0.2">
      <c r="A370" s="15">
        <f>Data!A370</f>
        <v>46022</v>
      </c>
      <c r="B370" s="1">
        <v>365</v>
      </c>
      <c r="C370" s="16">
        <f>ROUND(Data!BB370,2)</f>
        <v>0</v>
      </c>
      <c r="D370" s="3">
        <f>ROUND(Data!P370,1)</f>
        <v>0</v>
      </c>
      <c r="E370" s="3">
        <f>ROUND(Data!Y370,1)</f>
        <v>0</v>
      </c>
      <c r="F370" s="3">
        <f>Data!BH370</f>
        <v>0</v>
      </c>
      <c r="G370" s="3">
        <f>Data!N370</f>
        <v>0</v>
      </c>
      <c r="H370" s="17">
        <f>Data!AY370</f>
        <v>0</v>
      </c>
      <c r="I370" s="13">
        <f t="shared" si="54"/>
        <v>0</v>
      </c>
      <c r="K370" s="27">
        <f>I370</f>
        <v>0</v>
      </c>
      <c r="M370" s="22">
        <f t="shared" si="52"/>
        <v>0</v>
      </c>
      <c r="N370" s="22">
        <f t="shared" si="53"/>
        <v>103.19999999999999</v>
      </c>
      <c r="P370" s="19" t="e">
        <f t="shared" ref="P370" si="60">(R369+K370)/H370</f>
        <v>#DIV/0!</v>
      </c>
      <c r="Q370" s="19" t="e">
        <f t="shared" si="56"/>
        <v>#DIV/0!</v>
      </c>
      <c r="R370" s="17" t="e">
        <f t="shared" si="57"/>
        <v>#DIV/0!</v>
      </c>
      <c r="S370" s="22" t="e">
        <f t="shared" si="58"/>
        <v>#DIV/0!</v>
      </c>
      <c r="T370" s="22" t="e">
        <f t="shared" si="59"/>
        <v>#DIV/0!</v>
      </c>
    </row>
    <row r="371" spans="1:20" x14ac:dyDescent="0.2">
      <c r="M371" s="22"/>
      <c r="N371" s="22"/>
    </row>
    <row r="373" spans="1:20" x14ac:dyDescent="0.2">
      <c r="A373" s="3" t="s">
        <v>88</v>
      </c>
    </row>
    <row r="374" spans="1:20" x14ac:dyDescent="0.2">
      <c r="A374" s="3" t="s">
        <v>66</v>
      </c>
      <c r="K374" s="29">
        <f>ROUND(SUM(K6:K36),1)</f>
        <v>66.3</v>
      </c>
    </row>
    <row r="375" spans="1:20" x14ac:dyDescent="0.2">
      <c r="A375" s="3" t="s">
        <v>67</v>
      </c>
      <c r="K375" s="29">
        <f>ROUND(SUM(K37:K64),1)</f>
        <v>36.9</v>
      </c>
    </row>
    <row r="376" spans="1:20" x14ac:dyDescent="0.2">
      <c r="A376" s="3" t="s">
        <v>68</v>
      </c>
      <c r="K376" s="29">
        <f>ROUND(SUM(K65:K95),1)</f>
        <v>0</v>
      </c>
    </row>
    <row r="377" spans="1:20" x14ac:dyDescent="0.2">
      <c r="A377" s="3" t="s">
        <v>69</v>
      </c>
      <c r="K377" s="29">
        <f>ROUND(SUM(K96:K125),1)</f>
        <v>0</v>
      </c>
    </row>
    <row r="378" spans="1:20" x14ac:dyDescent="0.2">
      <c r="A378" s="3" t="s">
        <v>70</v>
      </c>
      <c r="K378" s="29">
        <f>ROUND(SUM(K126:K156),1)</f>
        <v>0</v>
      </c>
    </row>
    <row r="379" spans="1:20" x14ac:dyDescent="0.2">
      <c r="A379" s="3" t="s">
        <v>71</v>
      </c>
      <c r="K379" s="34">
        <f>ROUND(SUM(K157:K186),1)</f>
        <v>0</v>
      </c>
    </row>
    <row r="380" spans="1:20" x14ac:dyDescent="0.2">
      <c r="A380" s="3" t="s">
        <v>72</v>
      </c>
      <c r="K380" s="34">
        <f>ROUND(SUM(K187:K217),1)</f>
        <v>0</v>
      </c>
    </row>
    <row r="381" spans="1:20" x14ac:dyDescent="0.2">
      <c r="A381" s="3" t="s">
        <v>73</v>
      </c>
      <c r="K381" s="34">
        <f>ROUND(SUM(K218:K248),1)</f>
        <v>0</v>
      </c>
    </row>
    <row r="382" spans="1:20" x14ac:dyDescent="0.2">
      <c r="A382" s="3" t="s">
        <v>74</v>
      </c>
      <c r="K382" s="34">
        <f>ROUND(SUM(K249:K278),1)</f>
        <v>0</v>
      </c>
    </row>
    <row r="383" spans="1:20" x14ac:dyDescent="0.2">
      <c r="A383" s="3" t="s">
        <v>75</v>
      </c>
      <c r="K383" s="34">
        <f>ROUND(SUM(K279:K309),1)</f>
        <v>0</v>
      </c>
    </row>
    <row r="384" spans="1:20" x14ac:dyDescent="0.2">
      <c r="A384" s="3" t="s">
        <v>76</v>
      </c>
      <c r="K384" s="29">
        <f>ROUND(SUM(K310:K339),1)</f>
        <v>0</v>
      </c>
      <c r="M384" s="3"/>
      <c r="N384" s="3"/>
    </row>
    <row r="385" spans="1:14" x14ac:dyDescent="0.2">
      <c r="A385" s="3" t="s">
        <v>77</v>
      </c>
      <c r="K385" s="29">
        <f>ROUND(SUM(K340:K370),1)</f>
        <v>0</v>
      </c>
      <c r="M385" s="3"/>
      <c r="N385" s="3"/>
    </row>
    <row r="386" spans="1:14" x14ac:dyDescent="0.2">
      <c r="K386" s="13"/>
      <c r="M386" s="3"/>
      <c r="N386" s="3"/>
    </row>
    <row r="387" spans="1:14" x14ac:dyDescent="0.2">
      <c r="K387" s="13">
        <f>SUM(K374:K385)</f>
        <v>103.19999999999999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399"/>
  <sheetViews>
    <sheetView tabSelected="1" workbookViewId="0">
      <pane xSplit="2" ySplit="4" topLeftCell="BV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13" width="6.7109375" style="1" customWidth="1"/>
    <col min="14" max="15" width="6.7109375" style="4" customWidth="1"/>
    <col min="16" max="32" width="6.7109375" style="1" customWidth="1"/>
    <col min="33" max="40" width="6.7109375" customWidth="1"/>
    <col min="41" max="49" width="6.7109375" style="1" customWidth="1"/>
    <col min="50" max="50" width="20.7109375" style="1" customWidth="1"/>
    <col min="51" max="62" width="6.7109375" style="2" customWidth="1"/>
    <col min="63" max="91" width="6.7109375" style="1" customWidth="1"/>
    <col min="92" max="101" width="6.7109375" customWidth="1"/>
    <col min="102" max="109" width="6.7109375" style="1" customWidth="1"/>
    <col min="110" max="111" width="6.7109375" customWidth="1"/>
    <col min="112" max="118" width="6.7109375" style="1" customWidth="1"/>
    <col min="119" max="16384" width="9.140625" style="1"/>
  </cols>
  <sheetData>
    <row r="1" spans="1:106" x14ac:dyDescent="0.2">
      <c r="A1" s="1" t="s">
        <v>145</v>
      </c>
      <c r="G1" s="1" t="s">
        <v>23</v>
      </c>
      <c r="O1" s="48" t="s">
        <v>116</v>
      </c>
      <c r="P1" s="4"/>
      <c r="Q1" s="4"/>
      <c r="AY1" s="7">
        <v>3.24</v>
      </c>
      <c r="BA1" s="3"/>
      <c r="BB1" s="8"/>
      <c r="BC1" s="8"/>
      <c r="BD1" s="8"/>
      <c r="BE1" s="8"/>
    </row>
    <row r="2" spans="1:106" x14ac:dyDescent="0.2">
      <c r="A2" s="1" t="s">
        <v>194</v>
      </c>
      <c r="C2" s="5" t="s">
        <v>34</v>
      </c>
      <c r="D2" s="5" t="s">
        <v>34</v>
      </c>
      <c r="E2" s="5" t="s">
        <v>36</v>
      </c>
      <c r="F2" s="5" t="s">
        <v>36</v>
      </c>
      <c r="G2" s="5" t="s">
        <v>36</v>
      </c>
      <c r="H2" s="5" t="s">
        <v>36</v>
      </c>
      <c r="I2" s="5" t="s">
        <v>36</v>
      </c>
      <c r="J2" s="5" t="s">
        <v>36</v>
      </c>
      <c r="K2" s="5" t="s">
        <v>36</v>
      </c>
      <c r="L2" s="5" t="s">
        <v>36</v>
      </c>
      <c r="M2" s="5" t="s">
        <v>36</v>
      </c>
      <c r="N2" s="5" t="s">
        <v>34</v>
      </c>
      <c r="O2" s="5" t="s">
        <v>48</v>
      </c>
      <c r="P2" s="5" t="s">
        <v>38</v>
      </c>
      <c r="Q2" s="5" t="s">
        <v>38</v>
      </c>
      <c r="R2" s="5" t="s">
        <v>38</v>
      </c>
      <c r="S2" s="5" t="s">
        <v>38</v>
      </c>
      <c r="T2" s="5" t="s">
        <v>38</v>
      </c>
      <c r="U2" s="5" t="s">
        <v>38</v>
      </c>
      <c r="V2" s="5" t="s">
        <v>38</v>
      </c>
      <c r="W2" s="5" t="s">
        <v>38</v>
      </c>
      <c r="X2" s="5" t="s">
        <v>38</v>
      </c>
      <c r="Y2" s="5" t="s">
        <v>39</v>
      </c>
      <c r="Z2" s="5" t="s">
        <v>39</v>
      </c>
      <c r="AA2" s="5" t="s">
        <v>39</v>
      </c>
      <c r="AB2" s="5" t="s">
        <v>39</v>
      </c>
      <c r="AC2" s="5" t="s">
        <v>39</v>
      </c>
      <c r="AD2" s="5" t="s">
        <v>39</v>
      </c>
      <c r="AE2" s="5" t="s">
        <v>39</v>
      </c>
      <c r="AF2" s="5" t="s">
        <v>39</v>
      </c>
      <c r="AG2" s="9" t="s">
        <v>122</v>
      </c>
      <c r="AH2" s="1"/>
      <c r="AI2" s="1"/>
      <c r="AJ2" s="1"/>
      <c r="AK2" s="1"/>
      <c r="AL2" s="1"/>
      <c r="AM2" s="1"/>
      <c r="AN2" s="1"/>
      <c r="AY2" s="7"/>
      <c r="BA2" s="3"/>
      <c r="BB2" s="2" t="s">
        <v>115</v>
      </c>
      <c r="BF2" s="2">
        <v>0</v>
      </c>
      <c r="BG2" s="2">
        <v>0</v>
      </c>
      <c r="BH2" s="2">
        <v>0</v>
      </c>
      <c r="BI2" s="3" t="s">
        <v>120</v>
      </c>
      <c r="BM2" s="9" t="s">
        <v>0</v>
      </c>
      <c r="BV2" s="3" t="s">
        <v>144</v>
      </c>
      <c r="BW2" s="51"/>
      <c r="BX2" s="51"/>
      <c r="BY2" s="51"/>
      <c r="BZ2" s="51"/>
      <c r="CA2" s="51"/>
      <c r="CB2" s="51"/>
      <c r="CC2" s="51"/>
      <c r="CD2" s="51"/>
      <c r="CE2" s="51"/>
      <c r="CN2" s="1"/>
      <c r="CO2" s="1"/>
      <c r="CP2" s="1"/>
      <c r="CQ2" s="1"/>
      <c r="CR2" s="1"/>
      <c r="CS2" s="1"/>
      <c r="CT2" s="1"/>
      <c r="CU2" s="1"/>
      <c r="CV2" s="1" t="s">
        <v>147</v>
      </c>
      <c r="CW2" s="1"/>
      <c r="CX2"/>
      <c r="CY2"/>
      <c r="CZ2"/>
      <c r="DA2"/>
      <c r="DB2"/>
    </row>
    <row r="3" spans="1:106" x14ac:dyDescent="0.2">
      <c r="C3" s="5" t="s">
        <v>35</v>
      </c>
      <c r="D3" s="5" t="s">
        <v>51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40</v>
      </c>
      <c r="K3" s="5" t="s">
        <v>41</v>
      </c>
      <c r="L3" s="5" t="s">
        <v>42</v>
      </c>
      <c r="M3" s="5" t="s">
        <v>33</v>
      </c>
      <c r="N3" s="5" t="s">
        <v>37</v>
      </c>
      <c r="O3" s="5"/>
      <c r="P3" s="5" t="s">
        <v>1</v>
      </c>
      <c r="Q3" s="5" t="s">
        <v>2</v>
      </c>
      <c r="R3" s="5" t="s">
        <v>3</v>
      </c>
      <c r="S3" s="5" t="s">
        <v>4</v>
      </c>
      <c r="T3" s="5" t="s">
        <v>5</v>
      </c>
      <c r="U3" s="5" t="s">
        <v>40</v>
      </c>
      <c r="V3" s="5" t="s">
        <v>41</v>
      </c>
      <c r="W3" s="5" t="s">
        <v>42</v>
      </c>
      <c r="X3" s="5" t="s">
        <v>33</v>
      </c>
      <c r="Y3" s="5" t="s">
        <v>1</v>
      </c>
      <c r="Z3" s="5" t="s">
        <v>2</v>
      </c>
      <c r="AA3" s="5" t="s">
        <v>3</v>
      </c>
      <c r="AB3" s="5" t="s">
        <v>4</v>
      </c>
      <c r="AC3" s="5" t="s">
        <v>5</v>
      </c>
      <c r="AD3" s="5" t="s">
        <v>40</v>
      </c>
      <c r="AE3" s="5" t="s">
        <v>41</v>
      </c>
      <c r="AF3" s="5" t="s">
        <v>42</v>
      </c>
      <c r="AG3" s="1"/>
      <c r="AH3" s="1"/>
      <c r="AI3" s="1"/>
      <c r="AJ3" s="1"/>
      <c r="AK3" s="1"/>
      <c r="AL3" s="1"/>
      <c r="AM3" s="1"/>
      <c r="AN3" s="1"/>
      <c r="AO3" s="5" t="s">
        <v>20</v>
      </c>
      <c r="AP3" s="1" t="s">
        <v>141</v>
      </c>
      <c r="AQ3" s="5" t="s">
        <v>29</v>
      </c>
      <c r="AR3" s="5" t="s">
        <v>29</v>
      </c>
      <c r="AS3" s="1" t="s">
        <v>30</v>
      </c>
      <c r="AT3" s="5" t="s">
        <v>29</v>
      </c>
      <c r="AU3" s="1" t="s">
        <v>30</v>
      </c>
      <c r="AV3" s="5" t="s">
        <v>6</v>
      </c>
      <c r="AW3" s="1" t="s">
        <v>28</v>
      </c>
      <c r="AX3" s="1" t="s">
        <v>32</v>
      </c>
      <c r="AY3" s="2" t="s">
        <v>31</v>
      </c>
      <c r="BA3" s="3" t="s">
        <v>43</v>
      </c>
      <c r="BB3" s="2" t="s">
        <v>35</v>
      </c>
      <c r="BC3" s="2" t="s">
        <v>51</v>
      </c>
      <c r="BD3" s="2" t="s">
        <v>52</v>
      </c>
      <c r="BG3" s="2" t="s">
        <v>99</v>
      </c>
      <c r="BI3" s="3" t="s">
        <v>121</v>
      </c>
      <c r="BJ3" s="2" t="s">
        <v>158</v>
      </c>
      <c r="BK3" s="2"/>
      <c r="BL3" s="4"/>
      <c r="BV3" s="5" t="s">
        <v>35</v>
      </c>
      <c r="BW3" s="5" t="s">
        <v>148</v>
      </c>
      <c r="BX3" s="4" t="s">
        <v>149</v>
      </c>
      <c r="BY3" s="4" t="s">
        <v>150</v>
      </c>
      <c r="BZ3" s="4" t="s">
        <v>151</v>
      </c>
      <c r="CA3" s="4" t="s">
        <v>152</v>
      </c>
      <c r="CB3" s="4" t="s">
        <v>153</v>
      </c>
      <c r="CC3" s="4" t="s">
        <v>154</v>
      </c>
      <c r="CD3" s="4" t="s">
        <v>155</v>
      </c>
      <c r="CE3" s="4" t="s">
        <v>156</v>
      </c>
      <c r="CF3" s="3" t="s">
        <v>166</v>
      </c>
      <c r="CG3" s="4" t="s">
        <v>167</v>
      </c>
      <c r="CH3" s="4" t="s">
        <v>168</v>
      </c>
      <c r="CI3" s="4" t="s">
        <v>169</v>
      </c>
      <c r="CJ3" s="4" t="s">
        <v>170</v>
      </c>
      <c r="CK3" s="4" t="s">
        <v>171</v>
      </c>
      <c r="CL3" s="4" t="s">
        <v>172</v>
      </c>
      <c r="CM3" s="3" t="s">
        <v>173</v>
      </c>
      <c r="CN3" s="3" t="s">
        <v>174</v>
      </c>
      <c r="CO3" s="4" t="s">
        <v>175</v>
      </c>
      <c r="CP3" s="4" t="s">
        <v>176</v>
      </c>
      <c r="CQ3" s="4" t="s">
        <v>177</v>
      </c>
      <c r="CR3" s="4" t="s">
        <v>178</v>
      </c>
      <c r="CS3" s="4" t="s">
        <v>179</v>
      </c>
      <c r="CT3" s="4" t="s">
        <v>180</v>
      </c>
      <c r="CU3" s="3" t="s">
        <v>181</v>
      </c>
      <c r="CV3" s="3" t="s">
        <v>86</v>
      </c>
      <c r="CW3" s="1" t="s">
        <v>81</v>
      </c>
      <c r="CX3" s="5" t="s">
        <v>33</v>
      </c>
      <c r="CY3" s="5" t="s">
        <v>60</v>
      </c>
      <c r="CZ3" s="4" t="s">
        <v>157</v>
      </c>
      <c r="DA3" s="4" t="s">
        <v>158</v>
      </c>
      <c r="DB3" s="1" t="s">
        <v>159</v>
      </c>
    </row>
    <row r="4" spans="1:106" x14ac:dyDescent="0.2">
      <c r="A4" s="6" t="s">
        <v>16</v>
      </c>
      <c r="B4" s="5" t="s">
        <v>50</v>
      </c>
      <c r="C4" s="10" t="s">
        <v>24</v>
      </c>
      <c r="D4" s="10" t="s">
        <v>24</v>
      </c>
      <c r="E4" s="10" t="s">
        <v>25</v>
      </c>
      <c r="F4" s="11" t="s">
        <v>26</v>
      </c>
      <c r="G4" s="11" t="s">
        <v>25</v>
      </c>
      <c r="H4" s="11" t="s">
        <v>25</v>
      </c>
      <c r="I4" s="11" t="s">
        <v>25</v>
      </c>
      <c r="J4" s="11" t="s">
        <v>25</v>
      </c>
      <c r="K4" s="11" t="s">
        <v>25</v>
      </c>
      <c r="L4" s="11" t="s">
        <v>25</v>
      </c>
      <c r="M4" s="10" t="s">
        <v>17</v>
      </c>
      <c r="N4" s="10" t="s">
        <v>19</v>
      </c>
      <c r="O4" s="10" t="s">
        <v>49</v>
      </c>
      <c r="P4" s="10" t="s">
        <v>25</v>
      </c>
      <c r="Q4" s="11" t="s">
        <v>26</v>
      </c>
      <c r="R4" s="10" t="s">
        <v>25</v>
      </c>
      <c r="S4" s="10" t="s">
        <v>25</v>
      </c>
      <c r="T4" s="10" t="s">
        <v>25</v>
      </c>
      <c r="U4" s="11" t="s">
        <v>25</v>
      </c>
      <c r="V4" s="11" t="s">
        <v>25</v>
      </c>
      <c r="W4" s="11" t="s">
        <v>25</v>
      </c>
      <c r="X4" s="11" t="s">
        <v>17</v>
      </c>
      <c r="Y4" s="11" t="s">
        <v>25</v>
      </c>
      <c r="Z4" s="11" t="s">
        <v>26</v>
      </c>
      <c r="AA4" s="11" t="s">
        <v>25</v>
      </c>
      <c r="AB4" s="11" t="s">
        <v>25</v>
      </c>
      <c r="AC4" s="11" t="s">
        <v>25</v>
      </c>
      <c r="AD4" s="11" t="s">
        <v>25</v>
      </c>
      <c r="AE4" s="11" t="s">
        <v>25</v>
      </c>
      <c r="AF4" s="11" t="s">
        <v>25</v>
      </c>
      <c r="AG4" s="5" t="s">
        <v>7</v>
      </c>
      <c r="AH4" s="5" t="s">
        <v>8</v>
      </c>
      <c r="AI4" s="5" t="s">
        <v>9</v>
      </c>
      <c r="AJ4" s="5" t="s">
        <v>10</v>
      </c>
      <c r="AK4" s="5" t="s">
        <v>11</v>
      </c>
      <c r="AL4" s="5" t="s">
        <v>12</v>
      </c>
      <c r="AM4" s="5" t="s">
        <v>13</v>
      </c>
      <c r="AN4" s="5" t="s">
        <v>14</v>
      </c>
      <c r="AO4" s="1" t="s">
        <v>47</v>
      </c>
      <c r="AP4" s="1" t="s">
        <v>142</v>
      </c>
      <c r="AQ4" s="5" t="s">
        <v>27</v>
      </c>
      <c r="AR4" s="6" t="s">
        <v>22</v>
      </c>
      <c r="AS4" s="6" t="s">
        <v>22</v>
      </c>
      <c r="AT4" s="6" t="s">
        <v>21</v>
      </c>
      <c r="AU4" s="6" t="s">
        <v>21</v>
      </c>
      <c r="AV4" s="5" t="s">
        <v>15</v>
      </c>
      <c r="AY4" s="2" t="s">
        <v>19</v>
      </c>
      <c r="BA4" s="11" t="s">
        <v>24</v>
      </c>
      <c r="BB4" s="11" t="s">
        <v>24</v>
      </c>
      <c r="BC4" s="11" t="s">
        <v>24</v>
      </c>
      <c r="BD4" s="11"/>
      <c r="BE4" s="11"/>
      <c r="BF4" s="1" t="s">
        <v>101</v>
      </c>
      <c r="BG4" s="1" t="s">
        <v>100</v>
      </c>
      <c r="BH4" s="1" t="s">
        <v>102</v>
      </c>
      <c r="BI4" s="3" t="s">
        <v>18</v>
      </c>
      <c r="BJ4" s="3" t="s">
        <v>18</v>
      </c>
      <c r="BL4" s="1" t="s">
        <v>123</v>
      </c>
      <c r="BM4" s="5" t="s">
        <v>7</v>
      </c>
      <c r="BN4" s="5" t="s">
        <v>8</v>
      </c>
      <c r="BO4" s="5" t="s">
        <v>9</v>
      </c>
      <c r="BP4" s="5" t="s">
        <v>10</v>
      </c>
      <c r="BQ4" s="5" t="s">
        <v>11</v>
      </c>
      <c r="BR4" s="5" t="s">
        <v>12</v>
      </c>
      <c r="BS4" s="5" t="s">
        <v>13</v>
      </c>
      <c r="BT4" s="5" t="s">
        <v>14</v>
      </c>
      <c r="BV4" s="10" t="s">
        <v>24</v>
      </c>
      <c r="BW4" s="10" t="s">
        <v>24</v>
      </c>
      <c r="BX4" s="10" t="s">
        <v>25</v>
      </c>
      <c r="BY4" s="10" t="s">
        <v>25</v>
      </c>
      <c r="BZ4" s="10" t="s">
        <v>25</v>
      </c>
      <c r="CA4" s="10" t="s">
        <v>25</v>
      </c>
      <c r="CB4" s="10" t="s">
        <v>25</v>
      </c>
      <c r="CC4" s="10" t="s">
        <v>25</v>
      </c>
      <c r="CD4" s="10" t="s">
        <v>25</v>
      </c>
      <c r="CE4" s="11" t="s">
        <v>26</v>
      </c>
      <c r="CF4" s="10" t="s">
        <v>25</v>
      </c>
      <c r="CG4" s="10" t="s">
        <v>25</v>
      </c>
      <c r="CH4" s="10" t="s">
        <v>25</v>
      </c>
      <c r="CI4" s="10" t="s">
        <v>25</v>
      </c>
      <c r="CJ4" s="10" t="s">
        <v>25</v>
      </c>
      <c r="CK4" s="10" t="s">
        <v>25</v>
      </c>
      <c r="CL4" s="10" t="s">
        <v>25</v>
      </c>
      <c r="CM4" s="10" t="s">
        <v>26</v>
      </c>
      <c r="CN4" s="10" t="s">
        <v>25</v>
      </c>
      <c r="CO4" s="10" t="s">
        <v>25</v>
      </c>
      <c r="CP4" s="10" t="s">
        <v>25</v>
      </c>
      <c r="CQ4" s="10" t="s">
        <v>25</v>
      </c>
      <c r="CR4" s="10" t="s">
        <v>25</v>
      </c>
      <c r="CS4" s="10" t="s">
        <v>25</v>
      </c>
      <c r="CT4" s="10" t="s">
        <v>25</v>
      </c>
      <c r="CU4" s="11" t="s">
        <v>26</v>
      </c>
      <c r="CV4" s="1" t="s">
        <v>19</v>
      </c>
      <c r="CW4" s="1" t="s">
        <v>160</v>
      </c>
      <c r="CX4" s="1" t="s">
        <v>17</v>
      </c>
      <c r="CY4" s="1" t="s">
        <v>17</v>
      </c>
      <c r="CZ4" s="1" t="s">
        <v>18</v>
      </c>
      <c r="DA4" s="1" t="s">
        <v>18</v>
      </c>
      <c r="DB4" s="1" t="s">
        <v>161</v>
      </c>
    </row>
    <row r="5" spans="1:106" x14ac:dyDescent="0.2">
      <c r="N5" s="1"/>
      <c r="O5" s="1"/>
      <c r="P5" s="3"/>
      <c r="AY5" s="12"/>
      <c r="AZ5" s="12"/>
      <c r="BA5" s="3"/>
      <c r="BI5" s="3"/>
      <c r="BV5"/>
      <c r="BW5"/>
      <c r="BX5"/>
      <c r="BY5"/>
      <c r="BZ5"/>
      <c r="CA5"/>
      <c r="CB5"/>
      <c r="CC5"/>
      <c r="CD5"/>
      <c r="CE5"/>
      <c r="CN5" s="1"/>
      <c r="CO5" s="1"/>
      <c r="CP5" s="1"/>
      <c r="CQ5" s="1"/>
      <c r="CR5" s="1"/>
      <c r="CS5" s="1"/>
      <c r="CT5" s="1"/>
      <c r="CU5" s="1"/>
      <c r="CV5" s="1"/>
      <c r="CW5" s="1"/>
      <c r="CX5"/>
      <c r="CY5"/>
      <c r="CZ5"/>
      <c r="DA5"/>
    </row>
    <row r="6" spans="1:106" x14ac:dyDescent="0.2">
      <c r="A6" s="15">
        <v>45658</v>
      </c>
      <c r="B6" s="1">
        <v>1</v>
      </c>
      <c r="C6" s="18">
        <v>0.36499999999999999</v>
      </c>
      <c r="D6" s="18">
        <v>1.351</v>
      </c>
      <c r="E6" s="18">
        <v>-8.0299999999999994</v>
      </c>
      <c r="F6" s="18">
        <v>90.9</v>
      </c>
      <c r="G6" s="18">
        <v>-7.74</v>
      </c>
      <c r="H6" s="18"/>
      <c r="I6" s="18">
        <v>0.85899999999999999</v>
      </c>
      <c r="J6" s="18">
        <v>0.63900000000000001</v>
      </c>
      <c r="K6" s="18">
        <v>1.248</v>
      </c>
      <c r="L6" s="18">
        <v>1.8160000000000001</v>
      </c>
      <c r="M6" s="18">
        <v>0</v>
      </c>
      <c r="N6" s="18">
        <v>0</v>
      </c>
      <c r="O6" s="18">
        <v>2.468</v>
      </c>
      <c r="P6" s="18">
        <v>-6.0330000000000004</v>
      </c>
      <c r="Q6" s="18">
        <v>94.2</v>
      </c>
      <c r="R6" s="18">
        <v>-5.3440000000000003</v>
      </c>
      <c r="S6" s="18"/>
      <c r="T6" s="18">
        <v>0.94</v>
      </c>
      <c r="U6" s="18">
        <v>0.71699999999999997</v>
      </c>
      <c r="V6" s="18">
        <v>1.3320000000000001</v>
      </c>
      <c r="W6" s="18">
        <v>1.9059999999999999</v>
      </c>
      <c r="X6" s="18">
        <v>0</v>
      </c>
      <c r="Y6" s="18">
        <v>-9.2899999999999991</v>
      </c>
      <c r="Z6" s="18">
        <v>85.3</v>
      </c>
      <c r="AA6" s="18">
        <v>-9.1</v>
      </c>
      <c r="AB6" s="18"/>
      <c r="AC6" s="18">
        <v>0.76300000000000001</v>
      </c>
      <c r="AD6" s="18">
        <v>0.56299999999999994</v>
      </c>
      <c r="AE6" s="18">
        <v>1.161</v>
      </c>
      <c r="AF6" s="18">
        <v>1.736</v>
      </c>
      <c r="AG6" s="18">
        <v>324</v>
      </c>
      <c r="AH6" s="18">
        <v>660</v>
      </c>
      <c r="AI6" s="18">
        <v>437</v>
      </c>
      <c r="AJ6" s="18">
        <v>54</v>
      </c>
      <c r="AK6" s="18">
        <v>281</v>
      </c>
      <c r="AL6" s="18">
        <v>527</v>
      </c>
      <c r="AM6" s="18">
        <v>386</v>
      </c>
      <c r="AN6" s="18">
        <v>128</v>
      </c>
      <c r="AO6" s="18">
        <v>2.5110000000000001</v>
      </c>
      <c r="AP6" s="18">
        <v>205</v>
      </c>
      <c r="AQ6" s="18">
        <v>-3.7120000000000002</v>
      </c>
      <c r="AR6" s="18">
        <v>-3.3849999999999998</v>
      </c>
      <c r="AS6" s="18">
        <v>-3.9449999999999998</v>
      </c>
      <c r="AT6" s="18">
        <v>5.0000000000000001E-3</v>
      </c>
      <c r="AU6" s="18">
        <v>-3.0000000000000001E-3</v>
      </c>
      <c r="AV6" s="18">
        <v>12.86</v>
      </c>
      <c r="AW6" s="18">
        <v>2876</v>
      </c>
      <c r="AX6" s="4"/>
      <c r="AY6" s="12">
        <f t="shared" ref="AY6:AY62" si="0">(AY$1-O6)*1000</f>
        <v>772.00000000000023</v>
      </c>
      <c r="AZ6" s="12"/>
      <c r="BA6" s="16">
        <v>4.59</v>
      </c>
      <c r="BB6" s="41">
        <v>1.35</v>
      </c>
      <c r="BC6" s="41">
        <v>1.24</v>
      </c>
      <c r="BD6" s="8">
        <f t="shared" ref="BD6:BD62" si="1">BC6/BB6</f>
        <v>0.9185185185185184</v>
      </c>
      <c r="BE6" s="8"/>
      <c r="BF6" s="2">
        <f>ROUND(Q6-BF$2,1)</f>
        <v>94.2</v>
      </c>
      <c r="BG6" s="2">
        <f>ROUND(F6-BG$2,1)</f>
        <v>90.9</v>
      </c>
      <c r="BH6" s="2">
        <f>ROUND(Z6-BH$2,1)</f>
        <v>85.3</v>
      </c>
      <c r="BI6" s="35">
        <f t="shared" ref="BI6:BI62" si="2">ROUND((0.6105*(EXP((17.273*P6)/(P6+237.3))))*BH6/100,3)</f>
        <v>0.33200000000000002</v>
      </c>
      <c r="BJ6" s="35">
        <f t="shared" ref="BJ6:BJ69" si="3">ROUND(BI6/BH6*(100-BH6),3)</f>
        <v>5.7000000000000002E-2</v>
      </c>
      <c r="BL6" s="3">
        <f t="shared" ref="BL6:BL69" si="4">SUM(AG6:AN6)</f>
        <v>2797</v>
      </c>
      <c r="BM6" s="19">
        <f t="shared" ref="BM6:BM69" si="5">ROUND(AG6/$BL6,3)</f>
        <v>0.11600000000000001</v>
      </c>
      <c r="BN6" s="19">
        <f t="shared" ref="BN6:BN69" si="6">ROUND(AH6/$BL6,3)</f>
        <v>0.23599999999999999</v>
      </c>
      <c r="BO6" s="19">
        <f t="shared" ref="BO6:BO69" si="7">ROUND(AI6/$BL6,3)</f>
        <v>0.156</v>
      </c>
      <c r="BP6" s="19">
        <f t="shared" ref="BP6:BP69" si="8">ROUND(AJ6/$BL6,3)</f>
        <v>1.9E-2</v>
      </c>
      <c r="BQ6" s="19">
        <f t="shared" ref="BQ6:BQ69" si="9">ROUND(AK6/$BL6,3)</f>
        <v>0.1</v>
      </c>
      <c r="BR6" s="19">
        <f t="shared" ref="BR6:BR69" si="10">ROUND(AL6/$BL6,3)</f>
        <v>0.188</v>
      </c>
      <c r="BS6" s="19">
        <f t="shared" ref="BS6:BS69" si="11">ROUND(AM6/$BL6,3)</f>
        <v>0.13800000000000001</v>
      </c>
      <c r="BT6" s="19">
        <f t="shared" ref="BT6:BT69" si="12">ROUND(AN6/$BL6,3)</f>
        <v>4.5999999999999999E-2</v>
      </c>
      <c r="BV6" s="16">
        <f t="shared" ref="BV6:BV69" si="13">BB6</f>
        <v>1.35</v>
      </c>
      <c r="BW6" s="16">
        <f t="shared" ref="BW6:BW69" si="14">BC6</f>
        <v>1.24</v>
      </c>
      <c r="BX6" s="3">
        <f t="shared" ref="BX6:BX69" si="15">ROUND(E6,1)</f>
        <v>-8</v>
      </c>
      <c r="BY6" s="3">
        <f t="shared" ref="BY6:BY37" si="16">ROUND(G6,1)</f>
        <v>-7.7</v>
      </c>
      <c r="BZ6" s="3" t="s">
        <v>162</v>
      </c>
      <c r="CA6" s="3">
        <f t="shared" ref="CA6:CA69" si="17">ROUND(I6,1)</f>
        <v>0.9</v>
      </c>
      <c r="CB6" s="3">
        <f t="shared" ref="CB6:CB69" si="18">ROUND(J6,1)</f>
        <v>0.6</v>
      </c>
      <c r="CC6" s="3">
        <f t="shared" ref="CC6:CC69" si="19">ROUND(K6,1)</f>
        <v>1.2</v>
      </c>
      <c r="CD6" s="3">
        <f t="shared" ref="CD6:CD69" si="20">ROUND(L6,1)</f>
        <v>1.8</v>
      </c>
      <c r="CE6" s="22">
        <f>ROUND(BG6,1)</f>
        <v>90.9</v>
      </c>
      <c r="CF6" s="1">
        <f t="shared" ref="CF6" si="21">ROUND(P6,1)</f>
        <v>-6</v>
      </c>
      <c r="CG6" s="1">
        <f>ROUND(R6,1)</f>
        <v>-5.3</v>
      </c>
      <c r="CH6" s="3" t="s">
        <v>162</v>
      </c>
      <c r="CI6" s="1">
        <f t="shared" ref="CI6:CL6" si="22">ROUND(T6,1)</f>
        <v>0.9</v>
      </c>
      <c r="CJ6" s="1">
        <f t="shared" si="22"/>
        <v>0.7</v>
      </c>
      <c r="CK6" s="1">
        <f t="shared" si="22"/>
        <v>1.3</v>
      </c>
      <c r="CL6" s="1">
        <f t="shared" si="22"/>
        <v>1.9</v>
      </c>
      <c r="CM6" s="2">
        <f>ROUND(BF6,1)</f>
        <v>94.2</v>
      </c>
      <c r="CN6" s="1">
        <f>ROUND(Y6,1)</f>
        <v>-9.3000000000000007</v>
      </c>
      <c r="CO6" s="1">
        <f>ROUND(AA6,1)</f>
        <v>-9.1</v>
      </c>
      <c r="CP6" s="3" t="s">
        <v>162</v>
      </c>
      <c r="CQ6" s="1">
        <f t="shared" ref="CQ6:CT6" si="23">ROUND(AC6,1)</f>
        <v>0.8</v>
      </c>
      <c r="CR6" s="1">
        <f t="shared" si="23"/>
        <v>0.6</v>
      </c>
      <c r="CS6" s="1">
        <f t="shared" si="23"/>
        <v>1.2</v>
      </c>
      <c r="CT6" s="1">
        <f t="shared" si="23"/>
        <v>1.7</v>
      </c>
      <c r="CU6" s="2">
        <f t="shared" ref="CU6" si="24">ROUND(BH6,1)</f>
        <v>85.3</v>
      </c>
      <c r="CV6" s="14">
        <f>AY6</f>
        <v>772.00000000000023</v>
      </c>
      <c r="CW6" s="1">
        <f>ROUND(PPTest!K6,1)</f>
        <v>0</v>
      </c>
      <c r="CX6" s="3">
        <f t="shared" ref="CX6:CX69" si="25">ROUND(M6,2)</f>
        <v>0</v>
      </c>
      <c r="CY6" s="3">
        <f>ROUND(X6,2)</f>
        <v>0</v>
      </c>
      <c r="CZ6" s="19">
        <f>BI6</f>
        <v>0.33200000000000002</v>
      </c>
      <c r="DA6" s="19">
        <f>BJ6</f>
        <v>5.7000000000000002E-2</v>
      </c>
      <c r="DB6" s="16">
        <f>AV6</f>
        <v>12.86</v>
      </c>
    </row>
    <row r="7" spans="1:106" x14ac:dyDescent="0.2">
      <c r="A7" s="15">
        <f>A6+1</f>
        <v>45659</v>
      </c>
      <c r="B7" s="1">
        <v>2</v>
      </c>
      <c r="C7" s="18">
        <v>0.311</v>
      </c>
      <c r="D7" s="18">
        <v>1.1679999999999999</v>
      </c>
      <c r="E7" s="18">
        <v>-7.9139999999999997</v>
      </c>
      <c r="F7" s="18">
        <v>90.6</v>
      </c>
      <c r="G7" s="18">
        <v>-7.6820000000000004</v>
      </c>
      <c r="H7" s="18"/>
      <c r="I7" s="18">
        <v>0.85</v>
      </c>
      <c r="J7" s="18">
        <v>0.629</v>
      </c>
      <c r="K7" s="18">
        <v>1.234</v>
      </c>
      <c r="L7" s="18">
        <v>1.802</v>
      </c>
      <c r="M7" s="18">
        <v>0</v>
      </c>
      <c r="N7" s="18">
        <v>0</v>
      </c>
      <c r="O7" s="18">
        <v>2.448</v>
      </c>
      <c r="P7" s="18">
        <v>-5.625</v>
      </c>
      <c r="Q7" s="18">
        <v>93.5</v>
      </c>
      <c r="R7" s="18">
        <v>-5.1189999999999998</v>
      </c>
      <c r="S7" s="18"/>
      <c r="T7" s="18">
        <v>0.93200000000000005</v>
      </c>
      <c r="U7" s="18">
        <v>0.71399999999999997</v>
      </c>
      <c r="V7" s="18">
        <v>1.3080000000000001</v>
      </c>
      <c r="W7" s="18">
        <v>1.8939999999999999</v>
      </c>
      <c r="X7" s="18">
        <v>0</v>
      </c>
      <c r="Y7" s="18">
        <v>-9.9700000000000006</v>
      </c>
      <c r="Z7" s="18">
        <v>84.6</v>
      </c>
      <c r="AA7" s="18">
        <v>-9.83</v>
      </c>
      <c r="AB7" s="18"/>
      <c r="AC7" s="18">
        <v>0.77300000000000002</v>
      </c>
      <c r="AD7" s="18">
        <v>0.55600000000000005</v>
      </c>
      <c r="AE7" s="18">
        <v>1.1539999999999999</v>
      </c>
      <c r="AF7" s="18">
        <v>1.73</v>
      </c>
      <c r="AG7" s="18">
        <v>763</v>
      </c>
      <c r="AH7" s="18">
        <v>834</v>
      </c>
      <c r="AI7" s="18">
        <v>609</v>
      </c>
      <c r="AJ7" s="18">
        <v>132</v>
      </c>
      <c r="AK7" s="18">
        <v>175</v>
      </c>
      <c r="AL7" s="18">
        <v>144</v>
      </c>
      <c r="AM7" s="18">
        <v>68</v>
      </c>
      <c r="AN7" s="18">
        <v>99</v>
      </c>
      <c r="AO7" s="18">
        <v>2.48</v>
      </c>
      <c r="AP7" s="18">
        <v>272</v>
      </c>
      <c r="AQ7" s="18">
        <v>-3.9209999999999998</v>
      </c>
      <c r="AR7" s="18">
        <v>-3.665</v>
      </c>
      <c r="AS7" s="18">
        <v>-4.2249999999999996</v>
      </c>
      <c r="AT7" s="18">
        <v>4.0000000000000001E-3</v>
      </c>
      <c r="AU7" s="18">
        <v>-3.0000000000000001E-3</v>
      </c>
      <c r="AV7" s="18">
        <v>12.85</v>
      </c>
      <c r="AW7" s="18">
        <v>2876</v>
      </c>
      <c r="AX7" s="4"/>
      <c r="AY7" s="12">
        <f t="shared" si="0"/>
        <v>792.00000000000023</v>
      </c>
      <c r="AZ7" s="12"/>
      <c r="BA7" s="16">
        <v>4.63</v>
      </c>
      <c r="BB7" s="41">
        <v>1.17</v>
      </c>
      <c r="BC7" s="41">
        <v>1.07</v>
      </c>
      <c r="BD7" s="8">
        <f t="shared" si="1"/>
        <v>0.91452991452991461</v>
      </c>
      <c r="BE7" s="8"/>
      <c r="BF7" s="2">
        <f t="shared" ref="BF7:BF70" si="26">ROUND(Q7-BF$2,1)</f>
        <v>93.5</v>
      </c>
      <c r="BG7" s="2">
        <f t="shared" ref="BG7:BG70" si="27">ROUND(F7-BG$2,1)</f>
        <v>90.6</v>
      </c>
      <c r="BH7" s="2">
        <f t="shared" ref="BH7:BH70" si="28">ROUND(Z7-BH$2,1)</f>
        <v>84.6</v>
      </c>
      <c r="BI7" s="35">
        <f t="shared" si="2"/>
        <v>0.34</v>
      </c>
      <c r="BJ7" s="35">
        <f t="shared" si="3"/>
        <v>6.2E-2</v>
      </c>
      <c r="BL7" s="3">
        <f t="shared" si="4"/>
        <v>2824</v>
      </c>
      <c r="BM7" s="19">
        <f t="shared" si="5"/>
        <v>0.27</v>
      </c>
      <c r="BN7" s="19">
        <f t="shared" si="6"/>
        <v>0.29499999999999998</v>
      </c>
      <c r="BO7" s="19">
        <f t="shared" si="7"/>
        <v>0.216</v>
      </c>
      <c r="BP7" s="19">
        <f t="shared" si="8"/>
        <v>4.7E-2</v>
      </c>
      <c r="BQ7" s="19">
        <f t="shared" si="9"/>
        <v>6.2E-2</v>
      </c>
      <c r="BR7" s="19">
        <f t="shared" si="10"/>
        <v>5.0999999999999997E-2</v>
      </c>
      <c r="BS7" s="19">
        <f t="shared" si="11"/>
        <v>2.4E-2</v>
      </c>
      <c r="BT7" s="19">
        <f t="shared" si="12"/>
        <v>3.5000000000000003E-2</v>
      </c>
      <c r="BV7" s="16">
        <f t="shared" si="13"/>
        <v>1.17</v>
      </c>
      <c r="BW7" s="16">
        <f t="shared" si="14"/>
        <v>1.07</v>
      </c>
      <c r="BX7" s="3">
        <f t="shared" si="15"/>
        <v>-7.9</v>
      </c>
      <c r="BY7" s="3">
        <f t="shared" si="16"/>
        <v>-7.7</v>
      </c>
      <c r="BZ7" s="3" t="s">
        <v>162</v>
      </c>
      <c r="CA7" s="3">
        <f t="shared" si="17"/>
        <v>0.9</v>
      </c>
      <c r="CB7" s="3">
        <f t="shared" si="18"/>
        <v>0.6</v>
      </c>
      <c r="CC7" s="3">
        <f t="shared" si="19"/>
        <v>1.2</v>
      </c>
      <c r="CD7" s="3">
        <f t="shared" si="20"/>
        <v>1.8</v>
      </c>
      <c r="CE7" s="22">
        <f t="shared" ref="CE7:CE70" si="29">ROUND(BG7,1)</f>
        <v>90.6</v>
      </c>
      <c r="CF7" s="1">
        <f t="shared" ref="CF7:CF69" si="30">ROUND(P7,1)</f>
        <v>-5.6</v>
      </c>
      <c r="CG7" s="1">
        <f t="shared" ref="CG7:CG70" si="31">ROUND(R7,1)</f>
        <v>-5.0999999999999996</v>
      </c>
      <c r="CH7" s="3" t="s">
        <v>162</v>
      </c>
      <c r="CI7" s="1">
        <f t="shared" ref="CI7:CI70" si="32">ROUND(T7,1)</f>
        <v>0.9</v>
      </c>
      <c r="CJ7" s="1">
        <f t="shared" ref="CJ7:CJ70" si="33">ROUND(U7,1)</f>
        <v>0.7</v>
      </c>
      <c r="CK7" s="1">
        <f t="shared" ref="CK7:CK70" si="34">ROUND(V7,1)</f>
        <v>1.3</v>
      </c>
      <c r="CL7" s="1">
        <f t="shared" ref="CL7:CL70" si="35">ROUND(W7,1)</f>
        <v>1.9</v>
      </c>
      <c r="CM7" s="2">
        <f t="shared" ref="CM7:CM70" si="36">ROUND(BF7,1)</f>
        <v>93.5</v>
      </c>
      <c r="CN7" s="1">
        <f t="shared" ref="CN7:CN70" si="37">ROUND(Y7,1)</f>
        <v>-10</v>
      </c>
      <c r="CO7" s="1">
        <f t="shared" ref="CO7:CO70" si="38">ROUND(AA7,1)</f>
        <v>-9.8000000000000007</v>
      </c>
      <c r="CP7" s="3" t="s">
        <v>162</v>
      </c>
      <c r="CQ7" s="1">
        <f t="shared" ref="CQ7:CQ70" si="39">ROUND(AC7,1)</f>
        <v>0.8</v>
      </c>
      <c r="CR7" s="1">
        <f t="shared" ref="CR7:CR70" si="40">ROUND(AD7,1)</f>
        <v>0.6</v>
      </c>
      <c r="CS7" s="1">
        <f t="shared" ref="CS7:CS70" si="41">ROUND(AE7,1)</f>
        <v>1.2</v>
      </c>
      <c r="CT7" s="1">
        <f t="shared" ref="CT7:CT70" si="42">ROUND(AF7,1)</f>
        <v>1.7</v>
      </c>
      <c r="CU7" s="2">
        <f t="shared" ref="CU7:CU70" si="43">ROUND(BH7,1)</f>
        <v>84.6</v>
      </c>
      <c r="CV7" s="14">
        <f t="shared" ref="CV7:CV70" si="44">AY7</f>
        <v>792.00000000000023</v>
      </c>
      <c r="CW7" s="1">
        <f>ROUND(PPTest!K7,1)</f>
        <v>2.6</v>
      </c>
      <c r="CX7" s="3">
        <f t="shared" si="25"/>
        <v>0</v>
      </c>
      <c r="CY7" s="3">
        <f t="shared" ref="CY7:CY70" si="45">ROUND(X7,2)</f>
        <v>0</v>
      </c>
      <c r="CZ7" s="19">
        <f t="shared" ref="CZ7:DA70" si="46">BI7</f>
        <v>0.34</v>
      </c>
      <c r="DA7" s="19">
        <f t="shared" si="46"/>
        <v>6.2E-2</v>
      </c>
      <c r="DB7" s="16">
        <f t="shared" ref="DB7:DB70" si="47">AV7</f>
        <v>12.85</v>
      </c>
    </row>
    <row r="8" spans="1:106" x14ac:dyDescent="0.2">
      <c r="A8" s="15">
        <f t="shared" ref="A8:A71" si="48">A7+1</f>
        <v>45660</v>
      </c>
      <c r="B8" s="1">
        <v>3</v>
      </c>
      <c r="C8" s="18">
        <v>0.52200000000000002</v>
      </c>
      <c r="D8" s="18">
        <v>1.768</v>
      </c>
      <c r="E8" s="18">
        <v>-6.298</v>
      </c>
      <c r="F8" s="18">
        <v>90.4</v>
      </c>
      <c r="G8" s="18">
        <v>-6.2149999999999999</v>
      </c>
      <c r="H8" s="18"/>
      <c r="I8" s="18">
        <v>0.84699999999999998</v>
      </c>
      <c r="J8" s="18">
        <v>0.624</v>
      </c>
      <c r="K8" s="18">
        <v>1.2270000000000001</v>
      </c>
      <c r="L8" s="18">
        <v>1.796</v>
      </c>
      <c r="M8" s="18">
        <v>0</v>
      </c>
      <c r="N8" s="18">
        <v>0</v>
      </c>
      <c r="O8" s="18">
        <v>2.448</v>
      </c>
      <c r="P8" s="18">
        <v>-3.2469999999999999</v>
      </c>
      <c r="Q8" s="18">
        <v>94.4</v>
      </c>
      <c r="R8" s="18">
        <v>-2.7530000000000001</v>
      </c>
      <c r="S8" s="18"/>
      <c r="T8" s="18">
        <v>0.93200000000000005</v>
      </c>
      <c r="U8" s="18">
        <v>0.71399999999999997</v>
      </c>
      <c r="V8" s="18">
        <v>1.3120000000000001</v>
      </c>
      <c r="W8" s="18">
        <v>1.8859999999999999</v>
      </c>
      <c r="X8" s="18">
        <v>0</v>
      </c>
      <c r="Y8" s="18">
        <v>-10.72</v>
      </c>
      <c r="Z8" s="18">
        <v>79.62</v>
      </c>
      <c r="AA8" s="18">
        <v>-11.64</v>
      </c>
      <c r="AB8" s="18"/>
      <c r="AC8" s="18">
        <v>0.77500000000000002</v>
      </c>
      <c r="AD8" s="18">
        <v>0.54500000000000004</v>
      </c>
      <c r="AE8" s="18">
        <v>1.1539999999999999</v>
      </c>
      <c r="AF8" s="18">
        <v>1.7210000000000001</v>
      </c>
      <c r="AG8" s="18">
        <v>1547</v>
      </c>
      <c r="AH8" s="18">
        <v>594</v>
      </c>
      <c r="AI8" s="18">
        <v>356</v>
      </c>
      <c r="AJ8" s="18">
        <v>175</v>
      </c>
      <c r="AK8" s="18">
        <v>29</v>
      </c>
      <c r="AL8" s="18">
        <v>21</v>
      </c>
      <c r="AM8" s="18">
        <v>29</v>
      </c>
      <c r="AN8" s="18">
        <v>106</v>
      </c>
      <c r="AO8" s="18">
        <v>2.4729999999999999</v>
      </c>
      <c r="AP8" s="18">
        <v>325</v>
      </c>
      <c r="AQ8" s="18">
        <v>-3.758</v>
      </c>
      <c r="AR8" s="18">
        <v>-3.45</v>
      </c>
      <c r="AS8" s="18">
        <v>-4.202</v>
      </c>
      <c r="AT8" s="18">
        <v>5.0000000000000001E-3</v>
      </c>
      <c r="AU8" s="18">
        <v>-4.0000000000000001E-3</v>
      </c>
      <c r="AV8" s="18">
        <v>12.84</v>
      </c>
      <c r="AW8" s="18">
        <v>2876</v>
      </c>
      <c r="AX8" s="4"/>
      <c r="AY8" s="12">
        <f t="shared" si="0"/>
        <v>792.00000000000023</v>
      </c>
      <c r="AZ8" s="12"/>
      <c r="BA8" s="16">
        <v>4.67</v>
      </c>
      <c r="BB8" s="41">
        <v>1.77</v>
      </c>
      <c r="BC8" s="41">
        <v>1.62</v>
      </c>
      <c r="BD8" s="8">
        <f t="shared" si="1"/>
        <v>0.9152542372881356</v>
      </c>
      <c r="BE8" s="8"/>
      <c r="BF8" s="2">
        <f t="shared" si="26"/>
        <v>94.4</v>
      </c>
      <c r="BG8" s="2">
        <f t="shared" si="27"/>
        <v>90.4</v>
      </c>
      <c r="BH8" s="2">
        <f t="shared" si="28"/>
        <v>79.599999999999994</v>
      </c>
      <c r="BI8" s="35">
        <f t="shared" si="2"/>
        <v>0.38200000000000001</v>
      </c>
      <c r="BJ8" s="35">
        <f t="shared" si="3"/>
        <v>9.8000000000000004E-2</v>
      </c>
      <c r="BL8" s="3">
        <f t="shared" si="4"/>
        <v>2857</v>
      </c>
      <c r="BM8" s="19">
        <f t="shared" si="5"/>
        <v>0.54100000000000004</v>
      </c>
      <c r="BN8" s="19">
        <f t="shared" si="6"/>
        <v>0.20799999999999999</v>
      </c>
      <c r="BO8" s="19">
        <f t="shared" si="7"/>
        <v>0.125</v>
      </c>
      <c r="BP8" s="19">
        <f t="shared" si="8"/>
        <v>6.0999999999999999E-2</v>
      </c>
      <c r="BQ8" s="19">
        <f t="shared" si="9"/>
        <v>0.01</v>
      </c>
      <c r="BR8" s="19">
        <f t="shared" si="10"/>
        <v>7.0000000000000001E-3</v>
      </c>
      <c r="BS8" s="19">
        <f t="shared" si="11"/>
        <v>0.01</v>
      </c>
      <c r="BT8" s="19">
        <f t="shared" si="12"/>
        <v>3.6999999999999998E-2</v>
      </c>
      <c r="BV8" s="16">
        <f t="shared" si="13"/>
        <v>1.77</v>
      </c>
      <c r="BW8" s="16">
        <f t="shared" si="14"/>
        <v>1.62</v>
      </c>
      <c r="BX8" s="3">
        <f t="shared" si="15"/>
        <v>-6.3</v>
      </c>
      <c r="BY8" s="3">
        <f t="shared" si="16"/>
        <v>-6.2</v>
      </c>
      <c r="BZ8" s="3" t="s">
        <v>162</v>
      </c>
      <c r="CA8" s="3">
        <f t="shared" si="17"/>
        <v>0.8</v>
      </c>
      <c r="CB8" s="3">
        <f t="shared" si="18"/>
        <v>0.6</v>
      </c>
      <c r="CC8" s="3">
        <f t="shared" si="19"/>
        <v>1.2</v>
      </c>
      <c r="CD8" s="3">
        <f t="shared" si="20"/>
        <v>1.8</v>
      </c>
      <c r="CE8" s="22">
        <f t="shared" si="29"/>
        <v>90.4</v>
      </c>
      <c r="CF8" s="1">
        <f t="shared" si="30"/>
        <v>-3.2</v>
      </c>
      <c r="CG8" s="1">
        <f t="shared" si="31"/>
        <v>-2.8</v>
      </c>
      <c r="CH8" s="3" t="s">
        <v>162</v>
      </c>
      <c r="CI8" s="1">
        <f t="shared" si="32"/>
        <v>0.9</v>
      </c>
      <c r="CJ8" s="1">
        <f t="shared" si="33"/>
        <v>0.7</v>
      </c>
      <c r="CK8" s="1">
        <f t="shared" si="34"/>
        <v>1.3</v>
      </c>
      <c r="CL8" s="1">
        <f t="shared" si="35"/>
        <v>1.9</v>
      </c>
      <c r="CM8" s="2">
        <f t="shared" si="36"/>
        <v>94.4</v>
      </c>
      <c r="CN8" s="1">
        <f t="shared" si="37"/>
        <v>-10.7</v>
      </c>
      <c r="CO8" s="1">
        <f t="shared" si="38"/>
        <v>-11.6</v>
      </c>
      <c r="CP8" s="3" t="s">
        <v>162</v>
      </c>
      <c r="CQ8" s="1">
        <f t="shared" si="39"/>
        <v>0.8</v>
      </c>
      <c r="CR8" s="1">
        <f t="shared" si="40"/>
        <v>0.5</v>
      </c>
      <c r="CS8" s="1">
        <f t="shared" si="41"/>
        <v>1.2</v>
      </c>
      <c r="CT8" s="1">
        <f t="shared" si="42"/>
        <v>1.7</v>
      </c>
      <c r="CU8" s="2">
        <f t="shared" si="43"/>
        <v>79.599999999999994</v>
      </c>
      <c r="CV8" s="14">
        <f t="shared" si="44"/>
        <v>792.00000000000023</v>
      </c>
      <c r="CW8" s="1">
        <f>ROUND(PPTest!K8,1)</f>
        <v>0</v>
      </c>
      <c r="CX8" s="3">
        <f t="shared" si="25"/>
        <v>0</v>
      </c>
      <c r="CY8" s="3">
        <f t="shared" si="45"/>
        <v>0</v>
      </c>
      <c r="CZ8" s="19">
        <f t="shared" si="46"/>
        <v>0.38200000000000001</v>
      </c>
      <c r="DA8" s="19">
        <f t="shared" si="46"/>
        <v>9.8000000000000004E-2</v>
      </c>
      <c r="DB8" s="16">
        <f t="shared" si="47"/>
        <v>12.84</v>
      </c>
    </row>
    <row r="9" spans="1:106" x14ac:dyDescent="0.2">
      <c r="A9" s="15">
        <f t="shared" si="48"/>
        <v>45661</v>
      </c>
      <c r="B9" s="1">
        <v>4</v>
      </c>
      <c r="C9" s="18">
        <v>0.51400000000000001</v>
      </c>
      <c r="D9" s="18">
        <v>1.6879999999999999</v>
      </c>
      <c r="E9" s="18">
        <v>-4.1870000000000003</v>
      </c>
      <c r="F9" s="18">
        <v>91.1</v>
      </c>
      <c r="G9" s="18">
        <v>-4.0629999999999997</v>
      </c>
      <c r="H9" s="18"/>
      <c r="I9" s="18">
        <v>0.84699999999999998</v>
      </c>
      <c r="J9" s="18">
        <v>0.621</v>
      </c>
      <c r="K9" s="18">
        <v>1.2250000000000001</v>
      </c>
      <c r="L9" s="18">
        <v>1.792</v>
      </c>
      <c r="M9" s="18">
        <v>0</v>
      </c>
      <c r="N9" s="18">
        <v>0</v>
      </c>
      <c r="O9" s="18">
        <v>2.4700000000000002</v>
      </c>
      <c r="P9" s="18">
        <v>-0.46200000000000002</v>
      </c>
      <c r="Q9" s="18">
        <v>95.8</v>
      </c>
      <c r="R9" s="18">
        <v>0.59599999999999997</v>
      </c>
      <c r="S9" s="18"/>
      <c r="T9" s="18">
        <v>0.92</v>
      </c>
      <c r="U9" s="18">
        <v>0.69</v>
      </c>
      <c r="V9" s="18">
        <v>1.3140000000000001</v>
      </c>
      <c r="W9" s="18">
        <v>1.875</v>
      </c>
      <c r="X9" s="18">
        <v>0</v>
      </c>
      <c r="Y9" s="18">
        <v>-6.508</v>
      </c>
      <c r="Z9" s="18">
        <v>80.599999999999994</v>
      </c>
      <c r="AA9" s="18">
        <v>-6.5039999999999996</v>
      </c>
      <c r="AB9" s="18"/>
      <c r="AC9" s="18">
        <v>0.76600000000000001</v>
      </c>
      <c r="AD9" s="18">
        <v>0.54100000000000004</v>
      </c>
      <c r="AE9" s="18">
        <v>1.145</v>
      </c>
      <c r="AF9" s="18">
        <v>1.7170000000000001</v>
      </c>
      <c r="AG9" s="18">
        <v>1536</v>
      </c>
      <c r="AH9" s="18">
        <v>268</v>
      </c>
      <c r="AI9" s="18">
        <v>266</v>
      </c>
      <c r="AJ9" s="18">
        <v>160</v>
      </c>
      <c r="AK9" s="18">
        <v>186</v>
      </c>
      <c r="AL9" s="18">
        <v>200</v>
      </c>
      <c r="AM9" s="18">
        <v>102</v>
      </c>
      <c r="AN9" s="18">
        <v>134</v>
      </c>
      <c r="AO9" s="18">
        <v>2.4910000000000001</v>
      </c>
      <c r="AP9" s="18">
        <v>216</v>
      </c>
      <c r="AQ9" s="18">
        <v>-3.1309999999999998</v>
      </c>
      <c r="AR9" s="18">
        <v>-2.42</v>
      </c>
      <c r="AS9" s="18">
        <v>-3.536</v>
      </c>
      <c r="AT9" s="18">
        <v>4.0000000000000001E-3</v>
      </c>
      <c r="AU9" s="18">
        <v>-3.0000000000000001E-3</v>
      </c>
      <c r="AV9" s="18">
        <v>12.84</v>
      </c>
      <c r="AW9" s="18">
        <v>2876</v>
      </c>
      <c r="AX9" s="4"/>
      <c r="AY9" s="12">
        <f t="shared" si="0"/>
        <v>770</v>
      </c>
      <c r="AZ9" s="12"/>
      <c r="BA9" s="16">
        <v>4.72</v>
      </c>
      <c r="BB9" s="41">
        <v>1.68</v>
      </c>
      <c r="BC9" s="41">
        <v>1.55</v>
      </c>
      <c r="BD9" s="8">
        <f t="shared" si="1"/>
        <v>0.92261904761904767</v>
      </c>
      <c r="BE9" s="8"/>
      <c r="BF9" s="2">
        <f t="shared" si="26"/>
        <v>95.8</v>
      </c>
      <c r="BG9" s="2">
        <f t="shared" si="27"/>
        <v>91.1</v>
      </c>
      <c r="BH9" s="2">
        <f t="shared" si="28"/>
        <v>80.599999999999994</v>
      </c>
      <c r="BI9" s="35">
        <f t="shared" si="2"/>
        <v>0.47599999999999998</v>
      </c>
      <c r="BJ9" s="35">
        <f t="shared" si="3"/>
        <v>0.115</v>
      </c>
      <c r="BL9" s="3">
        <f t="shared" si="4"/>
        <v>2852</v>
      </c>
      <c r="BM9" s="19">
        <f t="shared" si="5"/>
        <v>0.53900000000000003</v>
      </c>
      <c r="BN9" s="19">
        <f t="shared" si="6"/>
        <v>9.4E-2</v>
      </c>
      <c r="BO9" s="19">
        <f t="shared" si="7"/>
        <v>9.2999999999999999E-2</v>
      </c>
      <c r="BP9" s="19">
        <f t="shared" si="8"/>
        <v>5.6000000000000001E-2</v>
      </c>
      <c r="BQ9" s="19">
        <f t="shared" si="9"/>
        <v>6.5000000000000002E-2</v>
      </c>
      <c r="BR9" s="19">
        <f t="shared" si="10"/>
        <v>7.0000000000000007E-2</v>
      </c>
      <c r="BS9" s="19">
        <f t="shared" si="11"/>
        <v>3.5999999999999997E-2</v>
      </c>
      <c r="BT9" s="19">
        <f t="shared" si="12"/>
        <v>4.7E-2</v>
      </c>
      <c r="BV9" s="16">
        <f t="shared" si="13"/>
        <v>1.68</v>
      </c>
      <c r="BW9" s="16">
        <f t="shared" si="14"/>
        <v>1.55</v>
      </c>
      <c r="BX9" s="3">
        <f t="shared" si="15"/>
        <v>-4.2</v>
      </c>
      <c r="BY9" s="3">
        <f t="shared" si="16"/>
        <v>-4.0999999999999996</v>
      </c>
      <c r="BZ9" s="3" t="s">
        <v>162</v>
      </c>
      <c r="CA9" s="3">
        <f t="shared" si="17"/>
        <v>0.8</v>
      </c>
      <c r="CB9" s="3">
        <f t="shared" si="18"/>
        <v>0.6</v>
      </c>
      <c r="CC9" s="3">
        <f t="shared" si="19"/>
        <v>1.2</v>
      </c>
      <c r="CD9" s="3">
        <f t="shared" si="20"/>
        <v>1.8</v>
      </c>
      <c r="CE9" s="22">
        <f t="shared" si="29"/>
        <v>91.1</v>
      </c>
      <c r="CF9" s="1">
        <f t="shared" si="30"/>
        <v>-0.5</v>
      </c>
      <c r="CG9" s="1">
        <f t="shared" si="31"/>
        <v>0.6</v>
      </c>
      <c r="CH9" s="3" t="s">
        <v>162</v>
      </c>
      <c r="CI9" s="1">
        <f t="shared" si="32"/>
        <v>0.9</v>
      </c>
      <c r="CJ9" s="1">
        <f t="shared" si="33"/>
        <v>0.7</v>
      </c>
      <c r="CK9" s="1">
        <f t="shared" si="34"/>
        <v>1.3</v>
      </c>
      <c r="CL9" s="1">
        <f t="shared" si="35"/>
        <v>1.9</v>
      </c>
      <c r="CM9" s="2">
        <f t="shared" si="36"/>
        <v>95.8</v>
      </c>
      <c r="CN9" s="1">
        <f t="shared" si="37"/>
        <v>-6.5</v>
      </c>
      <c r="CO9" s="1">
        <f t="shared" si="38"/>
        <v>-6.5</v>
      </c>
      <c r="CP9" s="3" t="s">
        <v>162</v>
      </c>
      <c r="CQ9" s="1">
        <f t="shared" si="39"/>
        <v>0.8</v>
      </c>
      <c r="CR9" s="1">
        <f t="shared" si="40"/>
        <v>0.5</v>
      </c>
      <c r="CS9" s="1">
        <f t="shared" si="41"/>
        <v>1.1000000000000001</v>
      </c>
      <c r="CT9" s="1">
        <f t="shared" si="42"/>
        <v>1.7</v>
      </c>
      <c r="CU9" s="2">
        <f t="shared" si="43"/>
        <v>80.599999999999994</v>
      </c>
      <c r="CV9" s="14">
        <f t="shared" si="44"/>
        <v>770</v>
      </c>
      <c r="CW9" s="1">
        <f>ROUND(PPTest!K9,1)</f>
        <v>0</v>
      </c>
      <c r="CX9" s="3">
        <f t="shared" si="25"/>
        <v>0</v>
      </c>
      <c r="CY9" s="3">
        <f t="shared" si="45"/>
        <v>0</v>
      </c>
      <c r="CZ9" s="19">
        <f t="shared" si="46"/>
        <v>0.47599999999999998</v>
      </c>
      <c r="DA9" s="19">
        <f t="shared" si="46"/>
        <v>0.115</v>
      </c>
      <c r="DB9" s="16">
        <f t="shared" si="47"/>
        <v>12.84</v>
      </c>
    </row>
    <row r="10" spans="1:106" x14ac:dyDescent="0.2">
      <c r="A10" s="15">
        <f t="shared" si="48"/>
        <v>45662</v>
      </c>
      <c r="B10" s="1">
        <v>5</v>
      </c>
      <c r="C10" s="18">
        <v>0.63400000000000001</v>
      </c>
      <c r="D10" s="18">
        <v>1.8129999999999999</v>
      </c>
      <c r="E10" s="18">
        <v>-3.9550000000000001</v>
      </c>
      <c r="F10" s="18">
        <v>93.3</v>
      </c>
      <c r="G10" s="18">
        <v>-3.6949999999999998</v>
      </c>
      <c r="H10" s="18"/>
      <c r="I10" s="18">
        <v>0.84199999999999997</v>
      </c>
      <c r="J10" s="18">
        <v>0.61699999999999999</v>
      </c>
      <c r="K10" s="18">
        <v>1.2210000000000001</v>
      </c>
      <c r="L10" s="18">
        <v>1.788</v>
      </c>
      <c r="M10" s="18">
        <v>0</v>
      </c>
      <c r="N10" s="18">
        <v>0</v>
      </c>
      <c r="O10" s="18">
        <v>2.5009999999999999</v>
      </c>
      <c r="P10" s="18">
        <v>-1.141</v>
      </c>
      <c r="Q10" s="18">
        <v>96.1</v>
      </c>
      <c r="R10" s="18">
        <v>1.036</v>
      </c>
      <c r="S10" s="18"/>
      <c r="T10" s="18">
        <v>0.91100000000000003</v>
      </c>
      <c r="U10" s="18">
        <v>0.70799999999999996</v>
      </c>
      <c r="V10" s="18">
        <v>1.3029999999999999</v>
      </c>
      <c r="W10" s="18">
        <v>1.859</v>
      </c>
      <c r="X10" s="18">
        <v>0</v>
      </c>
      <c r="Y10" s="18">
        <v>-5.4889999999999999</v>
      </c>
      <c r="Z10" s="18">
        <v>84.8</v>
      </c>
      <c r="AA10" s="18">
        <v>-5.3360000000000003</v>
      </c>
      <c r="AB10" s="18"/>
      <c r="AC10" s="18">
        <v>0.76900000000000002</v>
      </c>
      <c r="AD10" s="18">
        <v>0.55200000000000005</v>
      </c>
      <c r="AE10" s="18">
        <v>1.1319999999999999</v>
      </c>
      <c r="AF10" s="18">
        <v>1.708</v>
      </c>
      <c r="AG10" s="18">
        <v>369</v>
      </c>
      <c r="AH10" s="18">
        <v>509</v>
      </c>
      <c r="AI10" s="18">
        <v>368</v>
      </c>
      <c r="AJ10" s="18">
        <v>146</v>
      </c>
      <c r="AK10" s="18">
        <v>543</v>
      </c>
      <c r="AL10" s="18">
        <v>482</v>
      </c>
      <c r="AM10" s="18">
        <v>176</v>
      </c>
      <c r="AN10" s="18">
        <v>171</v>
      </c>
      <c r="AO10" s="18">
        <v>2.5259999999999998</v>
      </c>
      <c r="AP10" s="18">
        <v>209</v>
      </c>
      <c r="AQ10" s="18">
        <v>-2.6920000000000002</v>
      </c>
      <c r="AR10" s="18">
        <v>-2.056</v>
      </c>
      <c r="AS10" s="18">
        <v>-3.15</v>
      </c>
      <c r="AT10" s="18">
        <v>4.0000000000000001E-3</v>
      </c>
      <c r="AU10" s="18">
        <v>-3.0000000000000001E-3</v>
      </c>
      <c r="AV10" s="18">
        <v>12.96</v>
      </c>
      <c r="AW10" s="18">
        <v>2876</v>
      </c>
      <c r="AX10" s="4"/>
      <c r="AY10" s="12">
        <f t="shared" si="0"/>
        <v>739.00000000000034</v>
      </c>
      <c r="AZ10" s="12"/>
      <c r="BA10" s="16">
        <v>4.76</v>
      </c>
      <c r="BB10" s="41">
        <v>1.81</v>
      </c>
      <c r="BC10" s="41">
        <v>1.66</v>
      </c>
      <c r="BD10" s="8">
        <f t="shared" si="1"/>
        <v>0.9171270718232043</v>
      </c>
      <c r="BE10" s="8"/>
      <c r="BF10" s="2">
        <f t="shared" si="26"/>
        <v>96.1</v>
      </c>
      <c r="BG10" s="2">
        <f t="shared" si="27"/>
        <v>93.3</v>
      </c>
      <c r="BH10" s="2">
        <f t="shared" si="28"/>
        <v>84.8</v>
      </c>
      <c r="BI10" s="35">
        <f t="shared" si="2"/>
        <v>0.47599999999999998</v>
      </c>
      <c r="BJ10" s="35">
        <f t="shared" si="3"/>
        <v>8.5000000000000006E-2</v>
      </c>
      <c r="BL10" s="3">
        <f t="shared" si="4"/>
        <v>2764</v>
      </c>
      <c r="BM10" s="19">
        <f t="shared" si="5"/>
        <v>0.13400000000000001</v>
      </c>
      <c r="BN10" s="19">
        <f t="shared" si="6"/>
        <v>0.184</v>
      </c>
      <c r="BO10" s="19">
        <f t="shared" si="7"/>
        <v>0.13300000000000001</v>
      </c>
      <c r="BP10" s="19">
        <f t="shared" si="8"/>
        <v>5.2999999999999999E-2</v>
      </c>
      <c r="BQ10" s="19">
        <f t="shared" si="9"/>
        <v>0.19600000000000001</v>
      </c>
      <c r="BR10" s="19">
        <f t="shared" si="10"/>
        <v>0.17399999999999999</v>
      </c>
      <c r="BS10" s="19">
        <f t="shared" si="11"/>
        <v>6.4000000000000001E-2</v>
      </c>
      <c r="BT10" s="19">
        <f t="shared" si="12"/>
        <v>6.2E-2</v>
      </c>
      <c r="BV10" s="16">
        <f t="shared" si="13"/>
        <v>1.81</v>
      </c>
      <c r="BW10" s="16">
        <f t="shared" si="14"/>
        <v>1.66</v>
      </c>
      <c r="BX10" s="3">
        <f t="shared" si="15"/>
        <v>-4</v>
      </c>
      <c r="BY10" s="3">
        <f t="shared" si="16"/>
        <v>-3.7</v>
      </c>
      <c r="BZ10" s="3" t="s">
        <v>162</v>
      </c>
      <c r="CA10" s="3">
        <f t="shared" si="17"/>
        <v>0.8</v>
      </c>
      <c r="CB10" s="3">
        <f t="shared" si="18"/>
        <v>0.6</v>
      </c>
      <c r="CC10" s="3">
        <f t="shared" si="19"/>
        <v>1.2</v>
      </c>
      <c r="CD10" s="3">
        <f t="shared" si="20"/>
        <v>1.8</v>
      </c>
      <c r="CE10" s="22">
        <f t="shared" si="29"/>
        <v>93.3</v>
      </c>
      <c r="CF10" s="1">
        <f t="shared" si="30"/>
        <v>-1.1000000000000001</v>
      </c>
      <c r="CG10" s="1">
        <f t="shared" si="31"/>
        <v>1</v>
      </c>
      <c r="CH10" s="3" t="s">
        <v>162</v>
      </c>
      <c r="CI10" s="1">
        <f t="shared" si="32"/>
        <v>0.9</v>
      </c>
      <c r="CJ10" s="1">
        <f t="shared" si="33"/>
        <v>0.7</v>
      </c>
      <c r="CK10" s="1">
        <f t="shared" si="34"/>
        <v>1.3</v>
      </c>
      <c r="CL10" s="1">
        <f t="shared" si="35"/>
        <v>1.9</v>
      </c>
      <c r="CM10" s="2">
        <f t="shared" si="36"/>
        <v>96.1</v>
      </c>
      <c r="CN10" s="1">
        <f t="shared" si="37"/>
        <v>-5.5</v>
      </c>
      <c r="CO10" s="1">
        <f t="shared" si="38"/>
        <v>-5.3</v>
      </c>
      <c r="CP10" s="3" t="s">
        <v>162</v>
      </c>
      <c r="CQ10" s="1">
        <f t="shared" si="39"/>
        <v>0.8</v>
      </c>
      <c r="CR10" s="1">
        <f t="shared" si="40"/>
        <v>0.6</v>
      </c>
      <c r="CS10" s="1">
        <f t="shared" si="41"/>
        <v>1.1000000000000001</v>
      </c>
      <c r="CT10" s="1">
        <f t="shared" si="42"/>
        <v>1.7</v>
      </c>
      <c r="CU10" s="2">
        <f t="shared" si="43"/>
        <v>84.8</v>
      </c>
      <c r="CV10" s="14">
        <f t="shared" si="44"/>
        <v>739.00000000000034</v>
      </c>
      <c r="CW10" s="1">
        <f>ROUND(PPTest!K10,1)</f>
        <v>0</v>
      </c>
      <c r="CX10" s="3">
        <f t="shared" si="25"/>
        <v>0</v>
      </c>
      <c r="CY10" s="3">
        <f t="shared" si="45"/>
        <v>0</v>
      </c>
      <c r="CZ10" s="19">
        <f t="shared" si="46"/>
        <v>0.47599999999999998</v>
      </c>
      <c r="DA10" s="19">
        <f t="shared" si="46"/>
        <v>8.5000000000000006E-2</v>
      </c>
      <c r="DB10" s="16">
        <f t="shared" si="47"/>
        <v>12.96</v>
      </c>
    </row>
    <row r="11" spans="1:106" x14ac:dyDescent="0.2">
      <c r="A11" s="15">
        <f t="shared" si="48"/>
        <v>45663</v>
      </c>
      <c r="B11" s="1">
        <v>6</v>
      </c>
      <c r="C11" s="18">
        <v>0.371</v>
      </c>
      <c r="D11" s="18">
        <v>1.403</v>
      </c>
      <c r="E11" s="18">
        <v>-5.1609999999999996</v>
      </c>
      <c r="F11" s="18">
        <v>93.8</v>
      </c>
      <c r="G11" s="18">
        <v>-4.8620000000000001</v>
      </c>
      <c r="H11" s="18"/>
      <c r="I11" s="18">
        <v>0.83299999999999996</v>
      </c>
      <c r="J11" s="18">
        <v>0.61199999999999999</v>
      </c>
      <c r="K11" s="18">
        <v>1.208</v>
      </c>
      <c r="L11" s="18">
        <v>1.7769999999999999</v>
      </c>
      <c r="M11" s="18">
        <v>0</v>
      </c>
      <c r="N11" s="18">
        <v>0</v>
      </c>
      <c r="O11" s="18">
        <v>2.5209999999999999</v>
      </c>
      <c r="P11" s="18">
        <v>-3.6549999999999998</v>
      </c>
      <c r="Q11" s="18">
        <v>96.3</v>
      </c>
      <c r="R11" s="18">
        <v>-3.1360000000000001</v>
      </c>
      <c r="S11" s="18"/>
      <c r="T11" s="18">
        <v>0.92800000000000005</v>
      </c>
      <c r="U11" s="18">
        <v>0.68700000000000006</v>
      </c>
      <c r="V11" s="18">
        <v>1.2789999999999999</v>
      </c>
      <c r="W11" s="18">
        <v>1.8560000000000001</v>
      </c>
      <c r="X11" s="18">
        <v>0.52700000000000002</v>
      </c>
      <c r="Y11" s="18">
        <v>-7.867</v>
      </c>
      <c r="Z11" s="18">
        <v>88.5</v>
      </c>
      <c r="AA11" s="18">
        <v>-7.4189999999999996</v>
      </c>
      <c r="AB11" s="18"/>
      <c r="AC11" s="18">
        <v>0.75700000000000001</v>
      </c>
      <c r="AD11" s="18">
        <v>0.53700000000000003</v>
      </c>
      <c r="AE11" s="18">
        <v>1.127</v>
      </c>
      <c r="AF11" s="18">
        <v>1.696</v>
      </c>
      <c r="AG11" s="18">
        <v>266</v>
      </c>
      <c r="AH11" s="18">
        <v>310</v>
      </c>
      <c r="AI11" s="18">
        <v>595</v>
      </c>
      <c r="AJ11" s="18">
        <v>247</v>
      </c>
      <c r="AK11" s="18">
        <v>399</v>
      </c>
      <c r="AL11" s="18">
        <v>400</v>
      </c>
      <c r="AM11" s="18">
        <v>244</v>
      </c>
      <c r="AN11" s="18">
        <v>337</v>
      </c>
      <c r="AO11" s="18">
        <v>2.5579999999999998</v>
      </c>
      <c r="AP11" s="18">
        <v>221</v>
      </c>
      <c r="AQ11" s="18">
        <v>-2.8849999999999998</v>
      </c>
      <c r="AR11" s="18">
        <v>-2.4630000000000001</v>
      </c>
      <c r="AS11" s="18">
        <v>-3.407</v>
      </c>
      <c r="AT11" s="18">
        <v>4.0000000000000001E-3</v>
      </c>
      <c r="AU11" s="18">
        <v>-3.0000000000000001E-3</v>
      </c>
      <c r="AV11" s="18">
        <v>12.84</v>
      </c>
      <c r="AW11" s="18">
        <v>2876</v>
      </c>
      <c r="AX11" s="4"/>
      <c r="AY11" s="12">
        <f t="shared" si="0"/>
        <v>719.00000000000034</v>
      </c>
      <c r="AZ11" s="12"/>
      <c r="BA11" s="16">
        <v>4.82</v>
      </c>
      <c r="BB11" s="41">
        <v>1.4</v>
      </c>
      <c r="BC11" s="41">
        <v>1.29</v>
      </c>
      <c r="BD11" s="8">
        <f t="shared" si="1"/>
        <v>0.92142857142857149</v>
      </c>
      <c r="BE11" s="8"/>
      <c r="BF11" s="2">
        <f t="shared" si="26"/>
        <v>96.3</v>
      </c>
      <c r="BG11" s="2">
        <f t="shared" si="27"/>
        <v>93.8</v>
      </c>
      <c r="BH11" s="2">
        <f t="shared" si="28"/>
        <v>88.5</v>
      </c>
      <c r="BI11" s="35">
        <f t="shared" si="2"/>
        <v>0.41199999999999998</v>
      </c>
      <c r="BJ11" s="35">
        <f t="shared" si="3"/>
        <v>5.3999999999999999E-2</v>
      </c>
      <c r="BL11" s="3">
        <f t="shared" si="4"/>
        <v>2798</v>
      </c>
      <c r="BM11" s="19">
        <f t="shared" si="5"/>
        <v>9.5000000000000001E-2</v>
      </c>
      <c r="BN11" s="19">
        <f t="shared" si="6"/>
        <v>0.111</v>
      </c>
      <c r="BO11" s="19">
        <f t="shared" si="7"/>
        <v>0.21299999999999999</v>
      </c>
      <c r="BP11" s="19">
        <f t="shared" si="8"/>
        <v>8.7999999999999995E-2</v>
      </c>
      <c r="BQ11" s="19">
        <f t="shared" si="9"/>
        <v>0.14299999999999999</v>
      </c>
      <c r="BR11" s="19">
        <f t="shared" si="10"/>
        <v>0.14299999999999999</v>
      </c>
      <c r="BS11" s="19">
        <f t="shared" si="11"/>
        <v>8.6999999999999994E-2</v>
      </c>
      <c r="BT11" s="19">
        <f t="shared" si="12"/>
        <v>0.12</v>
      </c>
      <c r="BV11" s="16">
        <f t="shared" si="13"/>
        <v>1.4</v>
      </c>
      <c r="BW11" s="16">
        <f t="shared" si="14"/>
        <v>1.29</v>
      </c>
      <c r="BX11" s="3">
        <f t="shared" si="15"/>
        <v>-5.2</v>
      </c>
      <c r="BY11" s="3">
        <f t="shared" si="16"/>
        <v>-4.9000000000000004</v>
      </c>
      <c r="BZ11" s="3" t="s">
        <v>162</v>
      </c>
      <c r="CA11" s="3">
        <f t="shared" si="17"/>
        <v>0.8</v>
      </c>
      <c r="CB11" s="3">
        <f t="shared" si="18"/>
        <v>0.6</v>
      </c>
      <c r="CC11" s="3">
        <f t="shared" si="19"/>
        <v>1.2</v>
      </c>
      <c r="CD11" s="3">
        <f t="shared" si="20"/>
        <v>1.8</v>
      </c>
      <c r="CE11" s="22">
        <f t="shared" si="29"/>
        <v>93.8</v>
      </c>
      <c r="CF11" s="1">
        <f t="shared" si="30"/>
        <v>-3.7</v>
      </c>
      <c r="CG11" s="1">
        <f t="shared" si="31"/>
        <v>-3.1</v>
      </c>
      <c r="CH11" s="3" t="s">
        <v>162</v>
      </c>
      <c r="CI11" s="1">
        <f t="shared" si="32"/>
        <v>0.9</v>
      </c>
      <c r="CJ11" s="1">
        <f t="shared" si="33"/>
        <v>0.7</v>
      </c>
      <c r="CK11" s="1">
        <f t="shared" si="34"/>
        <v>1.3</v>
      </c>
      <c r="CL11" s="1">
        <f t="shared" si="35"/>
        <v>1.9</v>
      </c>
      <c r="CM11" s="2">
        <f t="shared" si="36"/>
        <v>96.3</v>
      </c>
      <c r="CN11" s="1">
        <f t="shared" si="37"/>
        <v>-7.9</v>
      </c>
      <c r="CO11" s="1">
        <f t="shared" si="38"/>
        <v>-7.4</v>
      </c>
      <c r="CP11" s="3" t="s">
        <v>162</v>
      </c>
      <c r="CQ11" s="1">
        <f t="shared" si="39"/>
        <v>0.8</v>
      </c>
      <c r="CR11" s="1">
        <f t="shared" si="40"/>
        <v>0.5</v>
      </c>
      <c r="CS11" s="1">
        <f t="shared" si="41"/>
        <v>1.1000000000000001</v>
      </c>
      <c r="CT11" s="1">
        <f t="shared" si="42"/>
        <v>1.7</v>
      </c>
      <c r="CU11" s="2">
        <f t="shared" si="43"/>
        <v>88.5</v>
      </c>
      <c r="CV11" s="14">
        <f t="shared" si="44"/>
        <v>719.00000000000034</v>
      </c>
      <c r="CW11" s="1">
        <f>ROUND(PPTest!K11,1)</f>
        <v>0</v>
      </c>
      <c r="CX11" s="3">
        <f t="shared" si="25"/>
        <v>0</v>
      </c>
      <c r="CY11" s="3">
        <f t="shared" si="45"/>
        <v>0.53</v>
      </c>
      <c r="CZ11" s="19">
        <f t="shared" si="46"/>
        <v>0.41199999999999998</v>
      </c>
      <c r="DA11" s="19">
        <f t="shared" si="46"/>
        <v>5.3999999999999999E-2</v>
      </c>
      <c r="DB11" s="16">
        <f t="shared" si="47"/>
        <v>12.84</v>
      </c>
    </row>
    <row r="12" spans="1:106" x14ac:dyDescent="0.2">
      <c r="A12" s="15">
        <f t="shared" si="48"/>
        <v>45664</v>
      </c>
      <c r="B12" s="1">
        <v>7</v>
      </c>
      <c r="C12" s="18">
        <v>0.67800000000000005</v>
      </c>
      <c r="D12" s="18">
        <v>1.774</v>
      </c>
      <c r="E12" s="18">
        <v>-7.4640000000000004</v>
      </c>
      <c r="F12" s="18">
        <v>93</v>
      </c>
      <c r="G12" s="18">
        <v>-7.1260000000000003</v>
      </c>
      <c r="H12" s="18"/>
      <c r="I12" s="18">
        <v>0.82899999999999996</v>
      </c>
      <c r="J12" s="18">
        <v>0.61099999999999999</v>
      </c>
      <c r="K12" s="18">
        <v>1.198</v>
      </c>
      <c r="L12" s="18">
        <v>1.7669999999999999</v>
      </c>
      <c r="M12" s="18">
        <v>0</v>
      </c>
      <c r="N12" s="18">
        <v>0</v>
      </c>
      <c r="O12" s="18">
        <v>2.5110000000000001</v>
      </c>
      <c r="P12" s="18">
        <v>-4.6059999999999999</v>
      </c>
      <c r="Q12" s="18">
        <v>94.8</v>
      </c>
      <c r="R12" s="18">
        <v>-4.45</v>
      </c>
      <c r="S12" s="18"/>
      <c r="T12" s="18">
        <v>0.91500000000000004</v>
      </c>
      <c r="U12" s="18">
        <v>0.69599999999999995</v>
      </c>
      <c r="V12" s="18">
        <v>1.2769999999999999</v>
      </c>
      <c r="W12" s="18">
        <v>1.84</v>
      </c>
      <c r="X12" s="18">
        <v>0</v>
      </c>
      <c r="Y12" s="18">
        <v>-10.58</v>
      </c>
      <c r="Z12" s="18">
        <v>90</v>
      </c>
      <c r="AA12" s="18">
        <v>-10.37</v>
      </c>
      <c r="AB12" s="18"/>
      <c r="AC12" s="18">
        <v>0.752</v>
      </c>
      <c r="AD12" s="18">
        <v>0.53700000000000003</v>
      </c>
      <c r="AE12" s="18">
        <v>1.1220000000000001</v>
      </c>
      <c r="AF12" s="18">
        <v>1.675</v>
      </c>
      <c r="AG12" s="18">
        <v>361</v>
      </c>
      <c r="AH12" s="18">
        <v>663</v>
      </c>
      <c r="AI12" s="18">
        <v>669</v>
      </c>
      <c r="AJ12" s="18">
        <v>206</v>
      </c>
      <c r="AK12" s="18">
        <v>303</v>
      </c>
      <c r="AL12" s="18">
        <v>314</v>
      </c>
      <c r="AM12" s="18">
        <v>162</v>
      </c>
      <c r="AN12" s="18">
        <v>188</v>
      </c>
      <c r="AO12" s="18">
        <v>2.5419999999999998</v>
      </c>
      <c r="AP12" s="18">
        <v>234</v>
      </c>
      <c r="AQ12" s="18">
        <v>-4.0069999999999997</v>
      </c>
      <c r="AR12" s="18">
        <v>-3.407</v>
      </c>
      <c r="AS12" s="18">
        <v>-4.6989999999999998</v>
      </c>
      <c r="AT12" s="18">
        <v>5.0000000000000001E-3</v>
      </c>
      <c r="AU12" s="18">
        <v>-3.0000000000000001E-3</v>
      </c>
      <c r="AV12" s="18">
        <v>12.83</v>
      </c>
      <c r="AW12" s="18">
        <v>2876</v>
      </c>
      <c r="AX12" s="4"/>
      <c r="AY12" s="12">
        <f t="shared" si="0"/>
        <v>729.00000000000011</v>
      </c>
      <c r="AZ12" s="12"/>
      <c r="BA12" s="16">
        <v>4.87</v>
      </c>
      <c r="BB12" s="41">
        <v>1.77</v>
      </c>
      <c r="BC12" s="41">
        <v>1.63</v>
      </c>
      <c r="BD12" s="8">
        <f t="shared" si="1"/>
        <v>0.92090395480225984</v>
      </c>
      <c r="BE12" s="8"/>
      <c r="BF12" s="2">
        <f t="shared" si="26"/>
        <v>94.8</v>
      </c>
      <c r="BG12" s="2">
        <f t="shared" si="27"/>
        <v>93</v>
      </c>
      <c r="BH12" s="2">
        <f t="shared" si="28"/>
        <v>90</v>
      </c>
      <c r="BI12" s="35">
        <f t="shared" si="2"/>
        <v>0.39</v>
      </c>
      <c r="BJ12" s="35">
        <f t="shared" si="3"/>
        <v>4.2999999999999997E-2</v>
      </c>
      <c r="BL12" s="3">
        <f t="shared" si="4"/>
        <v>2866</v>
      </c>
      <c r="BM12" s="19">
        <f t="shared" si="5"/>
        <v>0.126</v>
      </c>
      <c r="BN12" s="19">
        <f t="shared" si="6"/>
        <v>0.23100000000000001</v>
      </c>
      <c r="BO12" s="19">
        <f t="shared" si="7"/>
        <v>0.23300000000000001</v>
      </c>
      <c r="BP12" s="19">
        <f t="shared" si="8"/>
        <v>7.1999999999999995E-2</v>
      </c>
      <c r="BQ12" s="19">
        <f t="shared" si="9"/>
        <v>0.106</v>
      </c>
      <c r="BR12" s="19">
        <f t="shared" si="10"/>
        <v>0.11</v>
      </c>
      <c r="BS12" s="19">
        <f t="shared" si="11"/>
        <v>5.7000000000000002E-2</v>
      </c>
      <c r="BT12" s="19">
        <f t="shared" si="12"/>
        <v>6.6000000000000003E-2</v>
      </c>
      <c r="BV12" s="16">
        <f t="shared" si="13"/>
        <v>1.77</v>
      </c>
      <c r="BW12" s="16">
        <f t="shared" si="14"/>
        <v>1.63</v>
      </c>
      <c r="BX12" s="3">
        <f t="shared" si="15"/>
        <v>-7.5</v>
      </c>
      <c r="BY12" s="3">
        <f t="shared" si="16"/>
        <v>-7.1</v>
      </c>
      <c r="BZ12" s="3" t="s">
        <v>162</v>
      </c>
      <c r="CA12" s="3">
        <f t="shared" si="17"/>
        <v>0.8</v>
      </c>
      <c r="CB12" s="3">
        <f t="shared" si="18"/>
        <v>0.6</v>
      </c>
      <c r="CC12" s="3">
        <f t="shared" si="19"/>
        <v>1.2</v>
      </c>
      <c r="CD12" s="3">
        <f t="shared" si="20"/>
        <v>1.8</v>
      </c>
      <c r="CE12" s="22">
        <f t="shared" si="29"/>
        <v>93</v>
      </c>
      <c r="CF12" s="1">
        <f t="shared" si="30"/>
        <v>-4.5999999999999996</v>
      </c>
      <c r="CG12" s="1">
        <f t="shared" si="31"/>
        <v>-4.5</v>
      </c>
      <c r="CH12" s="3" t="s">
        <v>162</v>
      </c>
      <c r="CI12" s="1">
        <f t="shared" si="32"/>
        <v>0.9</v>
      </c>
      <c r="CJ12" s="1">
        <f t="shared" si="33"/>
        <v>0.7</v>
      </c>
      <c r="CK12" s="1">
        <f t="shared" si="34"/>
        <v>1.3</v>
      </c>
      <c r="CL12" s="1">
        <f t="shared" si="35"/>
        <v>1.8</v>
      </c>
      <c r="CM12" s="2">
        <f t="shared" si="36"/>
        <v>94.8</v>
      </c>
      <c r="CN12" s="1">
        <f t="shared" si="37"/>
        <v>-10.6</v>
      </c>
      <c r="CO12" s="1">
        <f t="shared" si="38"/>
        <v>-10.4</v>
      </c>
      <c r="CP12" s="3" t="s">
        <v>162</v>
      </c>
      <c r="CQ12" s="1">
        <f t="shared" si="39"/>
        <v>0.8</v>
      </c>
      <c r="CR12" s="1">
        <f t="shared" si="40"/>
        <v>0.5</v>
      </c>
      <c r="CS12" s="1">
        <f t="shared" si="41"/>
        <v>1.1000000000000001</v>
      </c>
      <c r="CT12" s="1">
        <f t="shared" si="42"/>
        <v>1.7</v>
      </c>
      <c r="CU12" s="2">
        <f t="shared" si="43"/>
        <v>90</v>
      </c>
      <c r="CV12" s="14">
        <f t="shared" si="44"/>
        <v>729.00000000000011</v>
      </c>
      <c r="CW12" s="1">
        <f>ROUND(PPTest!K12,1)</f>
        <v>1.3</v>
      </c>
      <c r="CX12" s="3">
        <f t="shared" si="25"/>
        <v>0</v>
      </c>
      <c r="CY12" s="3">
        <f t="shared" si="45"/>
        <v>0</v>
      </c>
      <c r="CZ12" s="19">
        <f t="shared" si="46"/>
        <v>0.39</v>
      </c>
      <c r="DA12" s="19">
        <f t="shared" si="46"/>
        <v>4.2999999999999997E-2</v>
      </c>
      <c r="DB12" s="16">
        <f t="shared" si="47"/>
        <v>12.83</v>
      </c>
    </row>
    <row r="13" spans="1:106" x14ac:dyDescent="0.2">
      <c r="A13" s="15">
        <f t="shared" si="48"/>
        <v>45665</v>
      </c>
      <c r="B13" s="1">
        <v>8</v>
      </c>
      <c r="C13" s="18">
        <v>0.308</v>
      </c>
      <c r="D13" s="18">
        <v>1.2130000000000001</v>
      </c>
      <c r="E13" s="18">
        <v>-4.8179999999999996</v>
      </c>
      <c r="F13" s="18">
        <v>94.4</v>
      </c>
      <c r="G13" s="18">
        <v>-4.649</v>
      </c>
      <c r="H13" s="18"/>
      <c r="I13" s="18">
        <v>0.82499999999999996</v>
      </c>
      <c r="J13" s="18">
        <v>0.60599999999999998</v>
      </c>
      <c r="K13" s="18">
        <v>1.194</v>
      </c>
      <c r="L13" s="18">
        <v>1.764</v>
      </c>
      <c r="M13" s="18">
        <v>0</v>
      </c>
      <c r="N13" s="18">
        <v>0</v>
      </c>
      <c r="O13" s="18">
        <v>2.5089999999999999</v>
      </c>
      <c r="P13" s="18">
        <v>-2.3639999999999999</v>
      </c>
      <c r="Q13" s="18">
        <v>95.9</v>
      </c>
      <c r="R13" s="18">
        <v>-2.1800000000000002</v>
      </c>
      <c r="S13" s="18"/>
      <c r="T13" s="18">
        <v>0.9</v>
      </c>
      <c r="U13" s="18">
        <v>0.69</v>
      </c>
      <c r="V13" s="18">
        <v>1.2729999999999999</v>
      </c>
      <c r="W13" s="18">
        <v>1.85</v>
      </c>
      <c r="X13" s="18">
        <v>0</v>
      </c>
      <c r="Y13" s="18">
        <v>-7.7309999999999999</v>
      </c>
      <c r="Z13" s="18">
        <v>92.1</v>
      </c>
      <c r="AA13" s="18">
        <v>-8.3699999999999992</v>
      </c>
      <c r="AB13" s="18"/>
      <c r="AC13" s="18">
        <v>0.751</v>
      </c>
      <c r="AD13" s="18">
        <v>0.53400000000000003</v>
      </c>
      <c r="AE13" s="18">
        <v>1.1180000000000001</v>
      </c>
      <c r="AF13" s="18">
        <v>1.6930000000000001</v>
      </c>
      <c r="AG13" s="18">
        <v>187</v>
      </c>
      <c r="AH13" s="18">
        <v>406</v>
      </c>
      <c r="AI13" s="18">
        <v>417</v>
      </c>
      <c r="AJ13" s="18">
        <v>293</v>
      </c>
      <c r="AK13" s="18">
        <v>427</v>
      </c>
      <c r="AL13" s="18">
        <v>472</v>
      </c>
      <c r="AM13" s="18">
        <v>330</v>
      </c>
      <c r="AN13" s="18">
        <v>314</v>
      </c>
      <c r="AO13" s="18">
        <v>2.5449999999999999</v>
      </c>
      <c r="AP13" s="18">
        <v>222</v>
      </c>
      <c r="AQ13" s="18">
        <v>-3.3879999999999999</v>
      </c>
      <c r="AR13" s="18">
        <v>-2.5059999999999998</v>
      </c>
      <c r="AS13" s="18">
        <v>-4.0510000000000002</v>
      </c>
      <c r="AT13" s="18">
        <v>4.0000000000000001E-3</v>
      </c>
      <c r="AU13" s="18">
        <v>-3.0000000000000001E-3</v>
      </c>
      <c r="AV13" s="18">
        <v>12.83</v>
      </c>
      <c r="AW13" s="18">
        <v>2876</v>
      </c>
      <c r="AX13" s="4"/>
      <c r="AY13" s="12">
        <f t="shared" si="0"/>
        <v>731.00000000000034</v>
      </c>
      <c r="AZ13" s="12"/>
      <c r="BA13" s="16">
        <v>4.93</v>
      </c>
      <c r="BB13" s="41">
        <v>1.21</v>
      </c>
      <c r="BC13" s="41">
        <v>1.1100000000000001</v>
      </c>
      <c r="BD13" s="8">
        <f t="shared" si="1"/>
        <v>0.9173553719008265</v>
      </c>
      <c r="BE13" s="8"/>
      <c r="BF13" s="2">
        <f t="shared" si="26"/>
        <v>95.9</v>
      </c>
      <c r="BG13" s="2">
        <f t="shared" si="27"/>
        <v>94.4</v>
      </c>
      <c r="BH13" s="2">
        <f t="shared" si="28"/>
        <v>92.1</v>
      </c>
      <c r="BI13" s="35">
        <f t="shared" si="2"/>
        <v>0.47299999999999998</v>
      </c>
      <c r="BJ13" s="35">
        <f t="shared" si="3"/>
        <v>4.1000000000000002E-2</v>
      </c>
      <c r="BL13" s="3">
        <f t="shared" si="4"/>
        <v>2846</v>
      </c>
      <c r="BM13" s="19">
        <f t="shared" si="5"/>
        <v>6.6000000000000003E-2</v>
      </c>
      <c r="BN13" s="19">
        <f t="shared" si="6"/>
        <v>0.14299999999999999</v>
      </c>
      <c r="BO13" s="19">
        <f t="shared" si="7"/>
        <v>0.14699999999999999</v>
      </c>
      <c r="BP13" s="19">
        <f t="shared" si="8"/>
        <v>0.10299999999999999</v>
      </c>
      <c r="BQ13" s="19">
        <f t="shared" si="9"/>
        <v>0.15</v>
      </c>
      <c r="BR13" s="19">
        <f t="shared" si="10"/>
        <v>0.16600000000000001</v>
      </c>
      <c r="BS13" s="19">
        <f t="shared" si="11"/>
        <v>0.11600000000000001</v>
      </c>
      <c r="BT13" s="19">
        <f t="shared" si="12"/>
        <v>0.11</v>
      </c>
      <c r="BV13" s="16">
        <f t="shared" si="13"/>
        <v>1.21</v>
      </c>
      <c r="BW13" s="16">
        <f t="shared" si="14"/>
        <v>1.1100000000000001</v>
      </c>
      <c r="BX13" s="3">
        <f t="shared" si="15"/>
        <v>-4.8</v>
      </c>
      <c r="BY13" s="3">
        <f t="shared" si="16"/>
        <v>-4.5999999999999996</v>
      </c>
      <c r="BZ13" s="3" t="s">
        <v>162</v>
      </c>
      <c r="CA13" s="3">
        <f t="shared" si="17"/>
        <v>0.8</v>
      </c>
      <c r="CB13" s="3">
        <f t="shared" si="18"/>
        <v>0.6</v>
      </c>
      <c r="CC13" s="3">
        <f t="shared" si="19"/>
        <v>1.2</v>
      </c>
      <c r="CD13" s="3">
        <f t="shared" si="20"/>
        <v>1.8</v>
      </c>
      <c r="CE13" s="22">
        <f t="shared" si="29"/>
        <v>94.4</v>
      </c>
      <c r="CF13" s="1">
        <f t="shared" si="30"/>
        <v>-2.4</v>
      </c>
      <c r="CG13" s="1">
        <f t="shared" si="31"/>
        <v>-2.2000000000000002</v>
      </c>
      <c r="CH13" s="3" t="s">
        <v>162</v>
      </c>
      <c r="CI13" s="1">
        <f t="shared" si="32"/>
        <v>0.9</v>
      </c>
      <c r="CJ13" s="1">
        <f t="shared" si="33"/>
        <v>0.7</v>
      </c>
      <c r="CK13" s="1">
        <f t="shared" si="34"/>
        <v>1.3</v>
      </c>
      <c r="CL13" s="1">
        <f t="shared" si="35"/>
        <v>1.9</v>
      </c>
      <c r="CM13" s="2">
        <f t="shared" si="36"/>
        <v>95.9</v>
      </c>
      <c r="CN13" s="1">
        <f t="shared" si="37"/>
        <v>-7.7</v>
      </c>
      <c r="CO13" s="1">
        <f t="shared" si="38"/>
        <v>-8.4</v>
      </c>
      <c r="CP13" s="3" t="s">
        <v>162</v>
      </c>
      <c r="CQ13" s="1">
        <f t="shared" si="39"/>
        <v>0.8</v>
      </c>
      <c r="CR13" s="1">
        <f t="shared" si="40"/>
        <v>0.5</v>
      </c>
      <c r="CS13" s="1">
        <f t="shared" si="41"/>
        <v>1.1000000000000001</v>
      </c>
      <c r="CT13" s="1">
        <f t="shared" si="42"/>
        <v>1.7</v>
      </c>
      <c r="CU13" s="2">
        <f t="shared" si="43"/>
        <v>92.1</v>
      </c>
      <c r="CV13" s="14">
        <f t="shared" si="44"/>
        <v>731.00000000000034</v>
      </c>
      <c r="CW13" s="1">
        <f>ROUND(PPTest!K13,1)</f>
        <v>0.3</v>
      </c>
      <c r="CX13" s="3">
        <f t="shared" si="25"/>
        <v>0</v>
      </c>
      <c r="CY13" s="3">
        <f t="shared" si="45"/>
        <v>0</v>
      </c>
      <c r="CZ13" s="19">
        <f t="shared" si="46"/>
        <v>0.47299999999999998</v>
      </c>
      <c r="DA13" s="19">
        <f t="shared" si="46"/>
        <v>4.1000000000000002E-2</v>
      </c>
      <c r="DB13" s="16">
        <f t="shared" si="47"/>
        <v>12.83</v>
      </c>
    </row>
    <row r="14" spans="1:106" x14ac:dyDescent="0.2">
      <c r="A14" s="15">
        <f t="shared" si="48"/>
        <v>45666</v>
      </c>
      <c r="B14" s="1">
        <v>9</v>
      </c>
      <c r="C14" s="18">
        <v>0.89100000000000001</v>
      </c>
      <c r="D14" s="18">
        <v>2.1619999999999999</v>
      </c>
      <c r="E14" s="18">
        <v>-6.3609999999999998</v>
      </c>
      <c r="F14" s="18">
        <v>91.5</v>
      </c>
      <c r="G14" s="18">
        <v>-6.3470000000000004</v>
      </c>
      <c r="H14" s="18"/>
      <c r="I14" s="18">
        <v>0.82399999999999995</v>
      </c>
      <c r="J14" s="18">
        <v>0.60799999999999998</v>
      </c>
      <c r="K14" s="18">
        <v>1.19</v>
      </c>
      <c r="L14" s="18">
        <v>1.7609999999999999</v>
      </c>
      <c r="M14" s="18">
        <v>0</v>
      </c>
      <c r="N14" s="18">
        <v>0</v>
      </c>
      <c r="O14" s="52">
        <v>2.5299999999999998</v>
      </c>
      <c r="P14" s="18">
        <v>-0.73399999999999999</v>
      </c>
      <c r="Q14" s="18">
        <v>95.4</v>
      </c>
      <c r="R14" s="18">
        <v>-1.0209999999999999</v>
      </c>
      <c r="S14" s="18"/>
      <c r="T14" s="18">
        <v>0.90600000000000003</v>
      </c>
      <c r="U14" s="18">
        <v>0.69599999999999995</v>
      </c>
      <c r="V14" s="18">
        <v>1.2729999999999999</v>
      </c>
      <c r="W14" s="18">
        <v>1.8480000000000001</v>
      </c>
      <c r="X14" s="18">
        <v>0.5</v>
      </c>
      <c r="Y14" s="18">
        <v>-11.67</v>
      </c>
      <c r="Z14" s="18">
        <v>83.6</v>
      </c>
      <c r="AA14" s="18">
        <v>-12.43</v>
      </c>
      <c r="AB14" s="18"/>
      <c r="AC14" s="18">
        <v>0.74399999999999999</v>
      </c>
      <c r="AD14" s="18">
        <v>0.52800000000000002</v>
      </c>
      <c r="AE14" s="18">
        <v>1.109</v>
      </c>
      <c r="AF14" s="18">
        <v>1.6830000000000001</v>
      </c>
      <c r="AG14" s="18">
        <v>258</v>
      </c>
      <c r="AH14" s="18">
        <v>905</v>
      </c>
      <c r="AI14" s="18">
        <v>877</v>
      </c>
      <c r="AJ14" s="18">
        <v>105</v>
      </c>
      <c r="AK14" s="18">
        <v>233</v>
      </c>
      <c r="AL14" s="18">
        <v>275</v>
      </c>
      <c r="AM14" s="18">
        <v>141</v>
      </c>
      <c r="AN14" s="18">
        <v>76</v>
      </c>
      <c r="AO14" s="18">
        <v>0</v>
      </c>
      <c r="AP14" s="18">
        <v>0</v>
      </c>
      <c r="AQ14" s="18">
        <v>-4</v>
      </c>
      <c r="AR14" s="18">
        <v>-3.0209999999999999</v>
      </c>
      <c r="AS14" s="18">
        <v>-5.07</v>
      </c>
      <c r="AT14" s="18">
        <v>5.0000000000000001E-3</v>
      </c>
      <c r="AU14" s="18">
        <v>-3.0000000000000001E-3</v>
      </c>
      <c r="AV14" s="18">
        <v>13.06</v>
      </c>
      <c r="AW14" s="18">
        <v>2876</v>
      </c>
      <c r="AX14" s="4"/>
      <c r="AY14" s="12">
        <f t="shared" si="0"/>
        <v>710.00000000000045</v>
      </c>
      <c r="AZ14" s="12"/>
      <c r="BA14" s="16">
        <v>4.99</v>
      </c>
      <c r="BB14" s="41">
        <v>2.16</v>
      </c>
      <c r="BC14" s="41">
        <v>1.99</v>
      </c>
      <c r="BD14" s="8">
        <f t="shared" si="1"/>
        <v>0.92129629629629628</v>
      </c>
      <c r="BE14" s="8"/>
      <c r="BF14" s="2">
        <f t="shared" si="26"/>
        <v>95.4</v>
      </c>
      <c r="BG14" s="2">
        <f t="shared" si="27"/>
        <v>91.5</v>
      </c>
      <c r="BH14" s="2">
        <f t="shared" si="28"/>
        <v>83.6</v>
      </c>
      <c r="BI14" s="35">
        <f t="shared" si="2"/>
        <v>0.48399999999999999</v>
      </c>
      <c r="BJ14" s="35">
        <f t="shared" si="3"/>
        <v>9.5000000000000001E-2</v>
      </c>
      <c r="BL14" s="3">
        <f t="shared" si="4"/>
        <v>2870</v>
      </c>
      <c r="BM14" s="19">
        <f t="shared" si="5"/>
        <v>0.09</v>
      </c>
      <c r="BN14" s="19">
        <f t="shared" si="6"/>
        <v>0.315</v>
      </c>
      <c r="BO14" s="19">
        <f t="shared" si="7"/>
        <v>0.30599999999999999</v>
      </c>
      <c r="BP14" s="19">
        <f t="shared" si="8"/>
        <v>3.6999999999999998E-2</v>
      </c>
      <c r="BQ14" s="19">
        <f t="shared" si="9"/>
        <v>8.1000000000000003E-2</v>
      </c>
      <c r="BR14" s="19">
        <f t="shared" si="10"/>
        <v>9.6000000000000002E-2</v>
      </c>
      <c r="BS14" s="19">
        <f t="shared" si="11"/>
        <v>4.9000000000000002E-2</v>
      </c>
      <c r="BT14" s="19">
        <f t="shared" si="12"/>
        <v>2.5999999999999999E-2</v>
      </c>
      <c r="BV14" s="16">
        <f t="shared" si="13"/>
        <v>2.16</v>
      </c>
      <c r="BW14" s="16">
        <f t="shared" si="14"/>
        <v>1.99</v>
      </c>
      <c r="BX14" s="3">
        <f t="shared" si="15"/>
        <v>-6.4</v>
      </c>
      <c r="BY14" s="3">
        <f t="shared" si="16"/>
        <v>-6.3</v>
      </c>
      <c r="BZ14" s="3" t="s">
        <v>162</v>
      </c>
      <c r="CA14" s="3">
        <f t="shared" si="17"/>
        <v>0.8</v>
      </c>
      <c r="CB14" s="3">
        <f t="shared" si="18"/>
        <v>0.6</v>
      </c>
      <c r="CC14" s="3">
        <f t="shared" si="19"/>
        <v>1.2</v>
      </c>
      <c r="CD14" s="3">
        <f t="shared" si="20"/>
        <v>1.8</v>
      </c>
      <c r="CE14" s="22">
        <f t="shared" si="29"/>
        <v>91.5</v>
      </c>
      <c r="CF14" s="1">
        <f t="shared" si="30"/>
        <v>-0.7</v>
      </c>
      <c r="CG14" s="1">
        <f t="shared" si="31"/>
        <v>-1</v>
      </c>
      <c r="CH14" s="3" t="s">
        <v>162</v>
      </c>
      <c r="CI14" s="1">
        <f t="shared" si="32"/>
        <v>0.9</v>
      </c>
      <c r="CJ14" s="1">
        <f t="shared" si="33"/>
        <v>0.7</v>
      </c>
      <c r="CK14" s="1">
        <f t="shared" si="34"/>
        <v>1.3</v>
      </c>
      <c r="CL14" s="1">
        <f t="shared" si="35"/>
        <v>1.8</v>
      </c>
      <c r="CM14" s="2">
        <f t="shared" si="36"/>
        <v>95.4</v>
      </c>
      <c r="CN14" s="1">
        <f t="shared" si="37"/>
        <v>-11.7</v>
      </c>
      <c r="CO14" s="1">
        <f t="shared" si="38"/>
        <v>-12.4</v>
      </c>
      <c r="CP14" s="3" t="s">
        <v>162</v>
      </c>
      <c r="CQ14" s="1">
        <f t="shared" si="39"/>
        <v>0.7</v>
      </c>
      <c r="CR14" s="1">
        <f t="shared" si="40"/>
        <v>0.5</v>
      </c>
      <c r="CS14" s="1">
        <f t="shared" si="41"/>
        <v>1.1000000000000001</v>
      </c>
      <c r="CT14" s="1">
        <f t="shared" si="42"/>
        <v>1.7</v>
      </c>
      <c r="CU14" s="2">
        <f t="shared" si="43"/>
        <v>83.6</v>
      </c>
      <c r="CV14" s="14">
        <f t="shared" si="44"/>
        <v>710.00000000000045</v>
      </c>
      <c r="CW14" s="1">
        <f>ROUND(PPTest!K14,1)</f>
        <v>0</v>
      </c>
      <c r="CX14" s="3">
        <f t="shared" si="25"/>
        <v>0</v>
      </c>
      <c r="CY14" s="3">
        <f t="shared" si="45"/>
        <v>0.5</v>
      </c>
      <c r="CZ14" s="19">
        <f t="shared" si="46"/>
        <v>0.48399999999999999</v>
      </c>
      <c r="DA14" s="19">
        <f t="shared" si="46"/>
        <v>9.5000000000000001E-2</v>
      </c>
      <c r="DB14" s="16">
        <f t="shared" si="47"/>
        <v>13.06</v>
      </c>
    </row>
    <row r="15" spans="1:106" x14ac:dyDescent="0.2">
      <c r="A15" s="15">
        <f t="shared" si="48"/>
        <v>45667</v>
      </c>
      <c r="B15" s="1">
        <v>10</v>
      </c>
      <c r="C15" s="18">
        <v>0.26200000000000001</v>
      </c>
      <c r="D15" s="18">
        <v>1.0269999999999999</v>
      </c>
      <c r="E15" s="18">
        <v>-4.9669999999999996</v>
      </c>
      <c r="F15" s="18">
        <v>94.3</v>
      </c>
      <c r="G15" s="18">
        <v>-4.5869999999999997</v>
      </c>
      <c r="H15" s="18"/>
      <c r="I15" s="18">
        <v>0.81299999999999994</v>
      </c>
      <c r="J15" s="18">
        <v>0.59599999999999997</v>
      </c>
      <c r="K15" s="18">
        <v>1.177</v>
      </c>
      <c r="L15" s="18">
        <v>1.7490000000000001</v>
      </c>
      <c r="M15" s="18">
        <v>3.0000000000000001E-3</v>
      </c>
      <c r="N15" s="18">
        <v>0</v>
      </c>
      <c r="O15" s="18">
        <v>2.4239999999999999</v>
      </c>
      <c r="P15" s="18">
        <v>-3.7229999999999999</v>
      </c>
      <c r="Q15" s="18">
        <v>96.1</v>
      </c>
      <c r="R15" s="18">
        <v>-3.1840000000000002</v>
      </c>
      <c r="S15" s="18"/>
      <c r="T15" s="18">
        <v>0.88200000000000001</v>
      </c>
      <c r="U15" s="18">
        <v>0.67700000000000005</v>
      </c>
      <c r="V15" s="18">
        <v>1.2589999999999999</v>
      </c>
      <c r="W15" s="18">
        <v>1.8149999999999999</v>
      </c>
      <c r="X15" s="18">
        <v>0.57999999999999996</v>
      </c>
      <c r="Y15" s="18">
        <v>-6.7119999999999997</v>
      </c>
      <c r="Z15" s="18">
        <v>92</v>
      </c>
      <c r="AA15" s="18">
        <v>-6.274</v>
      </c>
      <c r="AB15" s="18"/>
      <c r="AC15" s="18">
        <v>0.72099999999999997</v>
      </c>
      <c r="AD15" s="18">
        <v>0.52100000000000002</v>
      </c>
      <c r="AE15" s="18">
        <v>1.095</v>
      </c>
      <c r="AF15" s="18">
        <v>1.6659999999999999</v>
      </c>
      <c r="AG15" s="18">
        <v>53</v>
      </c>
      <c r="AH15" s="18">
        <v>53</v>
      </c>
      <c r="AI15" s="18">
        <v>43</v>
      </c>
      <c r="AJ15" s="18">
        <v>28</v>
      </c>
      <c r="AK15" s="18">
        <v>172</v>
      </c>
      <c r="AL15" s="18">
        <v>2048</v>
      </c>
      <c r="AM15" s="18">
        <v>381</v>
      </c>
      <c r="AN15" s="18">
        <v>53</v>
      </c>
      <c r="AO15" s="18">
        <v>2.4420000000000002</v>
      </c>
      <c r="AP15" s="18">
        <v>276</v>
      </c>
      <c r="AQ15" s="18">
        <v>-3.4649999999999999</v>
      </c>
      <c r="AR15" s="18">
        <v>-3.0209999999999999</v>
      </c>
      <c r="AS15" s="18">
        <v>-3.988</v>
      </c>
      <c r="AT15" s="18">
        <v>5.0000000000000001E-3</v>
      </c>
      <c r="AU15" s="18">
        <v>-4.0000000000000001E-3</v>
      </c>
      <c r="AV15" s="18">
        <v>12.83</v>
      </c>
      <c r="AW15" s="18">
        <v>2876</v>
      </c>
      <c r="AX15" s="4"/>
      <c r="AY15" s="12">
        <f t="shared" si="0"/>
        <v>816.00000000000023</v>
      </c>
      <c r="AZ15" s="12"/>
      <c r="BA15" s="16">
        <v>5.0599999999999996</v>
      </c>
      <c r="BB15" s="41">
        <v>1.03</v>
      </c>
      <c r="BC15" s="41">
        <v>0.94</v>
      </c>
      <c r="BD15" s="8">
        <f t="shared" si="1"/>
        <v>0.9126213592233009</v>
      </c>
      <c r="BE15" s="8"/>
      <c r="BF15" s="2">
        <f t="shared" si="26"/>
        <v>96.1</v>
      </c>
      <c r="BG15" s="2">
        <f t="shared" si="27"/>
        <v>94.3</v>
      </c>
      <c r="BH15" s="2">
        <f t="shared" si="28"/>
        <v>92</v>
      </c>
      <c r="BI15" s="35">
        <f t="shared" si="2"/>
        <v>0.42599999999999999</v>
      </c>
      <c r="BJ15" s="35">
        <f t="shared" si="3"/>
        <v>3.6999999999999998E-2</v>
      </c>
      <c r="BL15" s="3">
        <f t="shared" si="4"/>
        <v>2831</v>
      </c>
      <c r="BM15" s="19">
        <f t="shared" si="5"/>
        <v>1.9E-2</v>
      </c>
      <c r="BN15" s="19">
        <f t="shared" si="6"/>
        <v>1.9E-2</v>
      </c>
      <c r="BO15" s="19">
        <f t="shared" si="7"/>
        <v>1.4999999999999999E-2</v>
      </c>
      <c r="BP15" s="19">
        <f t="shared" si="8"/>
        <v>0.01</v>
      </c>
      <c r="BQ15" s="19">
        <f t="shared" si="9"/>
        <v>6.0999999999999999E-2</v>
      </c>
      <c r="BR15" s="19">
        <f t="shared" si="10"/>
        <v>0.72299999999999998</v>
      </c>
      <c r="BS15" s="19">
        <f t="shared" si="11"/>
        <v>0.13500000000000001</v>
      </c>
      <c r="BT15" s="19">
        <f t="shared" si="12"/>
        <v>1.9E-2</v>
      </c>
      <c r="BV15" s="16">
        <f t="shared" si="13"/>
        <v>1.03</v>
      </c>
      <c r="BW15" s="16">
        <f t="shared" si="14"/>
        <v>0.94</v>
      </c>
      <c r="BX15" s="3">
        <f t="shared" si="15"/>
        <v>-5</v>
      </c>
      <c r="BY15" s="3">
        <f t="shared" si="16"/>
        <v>-4.5999999999999996</v>
      </c>
      <c r="BZ15" s="3" t="s">
        <v>162</v>
      </c>
      <c r="CA15" s="3">
        <f t="shared" si="17"/>
        <v>0.8</v>
      </c>
      <c r="CB15" s="3">
        <f t="shared" si="18"/>
        <v>0.6</v>
      </c>
      <c r="CC15" s="3">
        <f t="shared" si="19"/>
        <v>1.2</v>
      </c>
      <c r="CD15" s="3">
        <f t="shared" si="20"/>
        <v>1.7</v>
      </c>
      <c r="CE15" s="22">
        <f t="shared" si="29"/>
        <v>94.3</v>
      </c>
      <c r="CF15" s="1">
        <f t="shared" si="30"/>
        <v>-3.7</v>
      </c>
      <c r="CG15" s="1">
        <f t="shared" si="31"/>
        <v>-3.2</v>
      </c>
      <c r="CH15" s="3" t="s">
        <v>162</v>
      </c>
      <c r="CI15" s="1">
        <f t="shared" si="32"/>
        <v>0.9</v>
      </c>
      <c r="CJ15" s="1">
        <f t="shared" si="33"/>
        <v>0.7</v>
      </c>
      <c r="CK15" s="1">
        <f t="shared" si="34"/>
        <v>1.3</v>
      </c>
      <c r="CL15" s="1">
        <f t="shared" si="35"/>
        <v>1.8</v>
      </c>
      <c r="CM15" s="2">
        <f t="shared" si="36"/>
        <v>96.1</v>
      </c>
      <c r="CN15" s="1">
        <f t="shared" si="37"/>
        <v>-6.7</v>
      </c>
      <c r="CO15" s="1">
        <f t="shared" si="38"/>
        <v>-6.3</v>
      </c>
      <c r="CP15" s="3" t="s">
        <v>162</v>
      </c>
      <c r="CQ15" s="1">
        <f t="shared" si="39"/>
        <v>0.7</v>
      </c>
      <c r="CR15" s="1">
        <f t="shared" si="40"/>
        <v>0.5</v>
      </c>
      <c r="CS15" s="1">
        <f t="shared" si="41"/>
        <v>1.1000000000000001</v>
      </c>
      <c r="CT15" s="1">
        <f t="shared" si="42"/>
        <v>1.7</v>
      </c>
      <c r="CU15" s="2">
        <f t="shared" si="43"/>
        <v>92</v>
      </c>
      <c r="CV15" s="14">
        <f t="shared" si="44"/>
        <v>816.00000000000023</v>
      </c>
      <c r="CW15" s="1">
        <f>ROUND(PPTest!K15,1)</f>
        <v>13.8</v>
      </c>
      <c r="CX15" s="3">
        <f t="shared" si="25"/>
        <v>0</v>
      </c>
      <c r="CY15" s="3">
        <f t="shared" si="45"/>
        <v>0.57999999999999996</v>
      </c>
      <c r="CZ15" s="19">
        <f t="shared" si="46"/>
        <v>0.42599999999999999</v>
      </c>
      <c r="DA15" s="19">
        <f t="shared" si="46"/>
        <v>3.6999999999999998E-2</v>
      </c>
      <c r="DB15" s="16">
        <f t="shared" si="47"/>
        <v>12.83</v>
      </c>
    </row>
    <row r="16" spans="1:106" x14ac:dyDescent="0.2">
      <c r="A16" s="15">
        <f t="shared" si="48"/>
        <v>45668</v>
      </c>
      <c r="B16" s="1">
        <v>11</v>
      </c>
      <c r="C16" s="18">
        <v>0.22500000000000001</v>
      </c>
      <c r="D16" s="18">
        <v>0.86099999999999999</v>
      </c>
      <c r="E16" s="18">
        <v>-4.4320000000000004</v>
      </c>
      <c r="F16" s="18">
        <v>94.3</v>
      </c>
      <c r="G16" s="18">
        <v>-4.09</v>
      </c>
      <c r="H16" s="18"/>
      <c r="I16" s="18">
        <v>0.80800000000000005</v>
      </c>
      <c r="J16" s="18">
        <v>0.59099999999999997</v>
      </c>
      <c r="K16" s="18">
        <v>1.1739999999999999</v>
      </c>
      <c r="L16" s="18">
        <v>1.746</v>
      </c>
      <c r="M16" s="18">
        <v>4.0000000000000001E-3</v>
      </c>
      <c r="N16" s="18">
        <v>0</v>
      </c>
      <c r="O16" s="18">
        <v>2.4369999999999998</v>
      </c>
      <c r="P16" s="18">
        <v>-3.859</v>
      </c>
      <c r="Q16" s="18">
        <v>95.2</v>
      </c>
      <c r="R16" s="18">
        <v>-3.181</v>
      </c>
      <c r="S16" s="18"/>
      <c r="T16" s="18">
        <v>0.88700000000000001</v>
      </c>
      <c r="U16" s="18">
        <v>0.67100000000000004</v>
      </c>
      <c r="V16" s="18">
        <v>1.246</v>
      </c>
      <c r="W16" s="18">
        <v>1.8180000000000001</v>
      </c>
      <c r="X16" s="18">
        <v>0.57999999999999996</v>
      </c>
      <c r="Y16" s="18">
        <v>-5.4889999999999999</v>
      </c>
      <c r="Z16" s="18">
        <v>92.3</v>
      </c>
      <c r="AA16" s="18">
        <v>-5.226</v>
      </c>
      <c r="AB16" s="18"/>
      <c r="AC16" s="18">
        <v>0.72599999999999998</v>
      </c>
      <c r="AD16" s="18">
        <v>0.51</v>
      </c>
      <c r="AE16" s="18">
        <v>1.089</v>
      </c>
      <c r="AF16" s="18">
        <v>1.6679999999999999</v>
      </c>
      <c r="AG16" s="18">
        <v>14</v>
      </c>
      <c r="AH16" s="18">
        <v>13</v>
      </c>
      <c r="AI16" s="18">
        <v>14</v>
      </c>
      <c r="AJ16" s="18">
        <v>50</v>
      </c>
      <c r="AK16" s="18">
        <v>241</v>
      </c>
      <c r="AL16" s="18">
        <v>1768</v>
      </c>
      <c r="AM16" s="18">
        <v>276</v>
      </c>
      <c r="AN16" s="18">
        <v>59</v>
      </c>
      <c r="AO16" s="18">
        <v>2.4620000000000002</v>
      </c>
      <c r="AP16" s="18">
        <v>195</v>
      </c>
      <c r="AQ16" s="18">
        <v>-2.9039999999999999</v>
      </c>
      <c r="AR16" s="18">
        <v>-2.677</v>
      </c>
      <c r="AS16" s="18">
        <v>-3.1070000000000002</v>
      </c>
      <c r="AT16" s="18">
        <v>5.0000000000000001E-3</v>
      </c>
      <c r="AU16" s="18">
        <v>-3.0000000000000001E-3</v>
      </c>
      <c r="AV16" s="18">
        <v>12.82</v>
      </c>
      <c r="AW16" s="18">
        <v>2876</v>
      </c>
      <c r="AX16" s="4"/>
      <c r="AY16" s="12">
        <f t="shared" si="0"/>
        <v>803.00000000000034</v>
      </c>
      <c r="AZ16" s="12"/>
      <c r="BA16" s="16">
        <v>5.13</v>
      </c>
      <c r="BB16" s="41">
        <v>0.86</v>
      </c>
      <c r="BC16" s="41">
        <v>0.79</v>
      </c>
      <c r="BD16" s="8">
        <f t="shared" si="1"/>
        <v>0.91860465116279078</v>
      </c>
      <c r="BE16" s="8"/>
      <c r="BF16" s="2">
        <f t="shared" si="26"/>
        <v>95.2</v>
      </c>
      <c r="BG16" s="2">
        <f t="shared" si="27"/>
        <v>94.3</v>
      </c>
      <c r="BH16" s="2">
        <f t="shared" si="28"/>
        <v>92.3</v>
      </c>
      <c r="BI16" s="35">
        <f t="shared" si="2"/>
        <v>0.42399999999999999</v>
      </c>
      <c r="BJ16" s="35">
        <f t="shared" si="3"/>
        <v>3.5000000000000003E-2</v>
      </c>
      <c r="BL16" s="3">
        <f t="shared" si="4"/>
        <v>2435</v>
      </c>
      <c r="BM16" s="19">
        <f t="shared" si="5"/>
        <v>6.0000000000000001E-3</v>
      </c>
      <c r="BN16" s="19">
        <f t="shared" si="6"/>
        <v>5.0000000000000001E-3</v>
      </c>
      <c r="BO16" s="19">
        <f t="shared" si="7"/>
        <v>6.0000000000000001E-3</v>
      </c>
      <c r="BP16" s="19">
        <f t="shared" si="8"/>
        <v>2.1000000000000001E-2</v>
      </c>
      <c r="BQ16" s="19">
        <f t="shared" si="9"/>
        <v>9.9000000000000005E-2</v>
      </c>
      <c r="BR16" s="19">
        <f t="shared" si="10"/>
        <v>0.72599999999999998</v>
      </c>
      <c r="BS16" s="19">
        <f t="shared" si="11"/>
        <v>0.113</v>
      </c>
      <c r="BT16" s="19">
        <f t="shared" si="12"/>
        <v>2.4E-2</v>
      </c>
      <c r="BV16" s="16">
        <f t="shared" si="13"/>
        <v>0.86</v>
      </c>
      <c r="BW16" s="16">
        <f t="shared" si="14"/>
        <v>0.79</v>
      </c>
      <c r="BX16" s="3">
        <f t="shared" si="15"/>
        <v>-4.4000000000000004</v>
      </c>
      <c r="BY16" s="3">
        <f t="shared" si="16"/>
        <v>-4.0999999999999996</v>
      </c>
      <c r="BZ16" s="3" t="s">
        <v>162</v>
      </c>
      <c r="CA16" s="3">
        <f t="shared" si="17"/>
        <v>0.8</v>
      </c>
      <c r="CB16" s="3">
        <f t="shared" si="18"/>
        <v>0.6</v>
      </c>
      <c r="CC16" s="3">
        <f t="shared" si="19"/>
        <v>1.2</v>
      </c>
      <c r="CD16" s="3">
        <f t="shared" si="20"/>
        <v>1.7</v>
      </c>
      <c r="CE16" s="22">
        <f t="shared" si="29"/>
        <v>94.3</v>
      </c>
      <c r="CF16" s="1">
        <f t="shared" si="30"/>
        <v>-3.9</v>
      </c>
      <c r="CG16" s="1">
        <f t="shared" si="31"/>
        <v>-3.2</v>
      </c>
      <c r="CH16" s="3" t="s">
        <v>162</v>
      </c>
      <c r="CI16" s="1">
        <f t="shared" si="32"/>
        <v>0.9</v>
      </c>
      <c r="CJ16" s="1">
        <f t="shared" si="33"/>
        <v>0.7</v>
      </c>
      <c r="CK16" s="1">
        <f t="shared" si="34"/>
        <v>1.2</v>
      </c>
      <c r="CL16" s="1">
        <f t="shared" si="35"/>
        <v>1.8</v>
      </c>
      <c r="CM16" s="2">
        <f t="shared" si="36"/>
        <v>95.2</v>
      </c>
      <c r="CN16" s="1">
        <f t="shared" si="37"/>
        <v>-5.5</v>
      </c>
      <c r="CO16" s="1">
        <f t="shared" si="38"/>
        <v>-5.2</v>
      </c>
      <c r="CP16" s="3" t="s">
        <v>162</v>
      </c>
      <c r="CQ16" s="1">
        <f t="shared" si="39"/>
        <v>0.7</v>
      </c>
      <c r="CR16" s="1">
        <f t="shared" si="40"/>
        <v>0.5</v>
      </c>
      <c r="CS16" s="1">
        <f t="shared" si="41"/>
        <v>1.1000000000000001</v>
      </c>
      <c r="CT16" s="1">
        <f t="shared" si="42"/>
        <v>1.7</v>
      </c>
      <c r="CU16" s="2">
        <f t="shared" si="43"/>
        <v>92.3</v>
      </c>
      <c r="CV16" s="14">
        <f t="shared" si="44"/>
        <v>803.00000000000034</v>
      </c>
      <c r="CW16" s="1">
        <f>ROUND(PPTest!K16,1)</f>
        <v>0</v>
      </c>
      <c r="CX16" s="3">
        <f t="shared" si="25"/>
        <v>0</v>
      </c>
      <c r="CY16" s="3">
        <f t="shared" si="45"/>
        <v>0.57999999999999996</v>
      </c>
      <c r="CZ16" s="19">
        <f t="shared" si="46"/>
        <v>0.42399999999999999</v>
      </c>
      <c r="DA16" s="19">
        <f t="shared" si="46"/>
        <v>3.5000000000000003E-2</v>
      </c>
      <c r="DB16" s="16">
        <f t="shared" si="47"/>
        <v>12.82</v>
      </c>
    </row>
    <row r="17" spans="1:106" x14ac:dyDescent="0.2">
      <c r="A17" s="15">
        <f t="shared" si="48"/>
        <v>45669</v>
      </c>
      <c r="B17" s="1">
        <v>12</v>
      </c>
      <c r="C17" s="18">
        <v>0.28299999999999997</v>
      </c>
      <c r="D17" s="18">
        <v>1.071</v>
      </c>
      <c r="E17" s="18">
        <v>-5.5359999999999996</v>
      </c>
      <c r="F17" s="18">
        <v>93.3</v>
      </c>
      <c r="G17" s="18">
        <v>-5.2939999999999996</v>
      </c>
      <c r="H17" s="18"/>
      <c r="I17" s="18">
        <v>0.80500000000000005</v>
      </c>
      <c r="J17" s="18">
        <v>0.58899999999999997</v>
      </c>
      <c r="K17" s="18">
        <v>1.1679999999999999</v>
      </c>
      <c r="L17" s="18">
        <v>1.7390000000000001</v>
      </c>
      <c r="M17" s="18">
        <v>0</v>
      </c>
      <c r="N17" s="18">
        <v>0</v>
      </c>
      <c r="O17" s="18">
        <v>2.4620000000000002</v>
      </c>
      <c r="P17" s="18">
        <v>-4.1980000000000004</v>
      </c>
      <c r="Q17" s="18">
        <v>95</v>
      </c>
      <c r="R17" s="18">
        <v>-3.9729999999999999</v>
      </c>
      <c r="S17" s="18"/>
      <c r="T17" s="18">
        <v>0.88600000000000001</v>
      </c>
      <c r="U17" s="18">
        <v>0.67</v>
      </c>
      <c r="V17" s="18">
        <v>1.2370000000000001</v>
      </c>
      <c r="W17" s="18">
        <v>1.8140000000000001</v>
      </c>
      <c r="X17" s="18">
        <v>0</v>
      </c>
      <c r="Y17" s="18">
        <v>-8.89</v>
      </c>
      <c r="Z17" s="18">
        <v>88.5</v>
      </c>
      <c r="AA17" s="18">
        <v>-9.61</v>
      </c>
      <c r="AB17" s="18"/>
      <c r="AC17" s="18">
        <v>0.71799999999999997</v>
      </c>
      <c r="AD17" s="18">
        <v>0.51700000000000002</v>
      </c>
      <c r="AE17" s="18">
        <v>1.097</v>
      </c>
      <c r="AF17" s="18">
        <v>1.667</v>
      </c>
      <c r="AG17" s="18">
        <v>13</v>
      </c>
      <c r="AH17" s="18">
        <v>9</v>
      </c>
      <c r="AI17" s="18">
        <v>6</v>
      </c>
      <c r="AJ17" s="18">
        <v>21</v>
      </c>
      <c r="AK17" s="18">
        <v>133</v>
      </c>
      <c r="AL17" s="18">
        <v>2338</v>
      </c>
      <c r="AM17" s="18">
        <v>73</v>
      </c>
      <c r="AN17" s="18">
        <v>23</v>
      </c>
      <c r="AO17" s="18">
        <v>2.5030000000000001</v>
      </c>
      <c r="AP17" s="18">
        <v>195</v>
      </c>
      <c r="AQ17" s="18">
        <v>-2.8439999999999999</v>
      </c>
      <c r="AR17" s="18">
        <v>-2.677</v>
      </c>
      <c r="AS17" s="18">
        <v>-2.9780000000000002</v>
      </c>
      <c r="AT17" s="18">
        <v>4.0000000000000001E-3</v>
      </c>
      <c r="AU17" s="18">
        <v>-4.0000000000000001E-3</v>
      </c>
      <c r="AV17" s="18">
        <v>12.82</v>
      </c>
      <c r="AW17" s="18">
        <v>2876</v>
      </c>
      <c r="AX17" s="4"/>
      <c r="AY17" s="12">
        <f t="shared" si="0"/>
        <v>778</v>
      </c>
      <c r="AZ17" s="12"/>
      <c r="BA17" s="16">
        <v>5.2</v>
      </c>
      <c r="BB17" s="41">
        <v>1.07</v>
      </c>
      <c r="BC17" s="41">
        <v>0.98</v>
      </c>
      <c r="BD17" s="8">
        <f t="shared" si="1"/>
        <v>0.9158878504672896</v>
      </c>
      <c r="BE17" s="8"/>
      <c r="BF17" s="2">
        <f t="shared" si="26"/>
        <v>95</v>
      </c>
      <c r="BG17" s="2">
        <f t="shared" si="27"/>
        <v>93.3</v>
      </c>
      <c r="BH17" s="2">
        <f t="shared" si="28"/>
        <v>88.5</v>
      </c>
      <c r="BI17" s="35">
        <f t="shared" si="2"/>
        <v>0.39600000000000002</v>
      </c>
      <c r="BJ17" s="35">
        <f t="shared" si="3"/>
        <v>5.0999999999999997E-2</v>
      </c>
      <c r="BL17" s="3">
        <f t="shared" si="4"/>
        <v>2616</v>
      </c>
      <c r="BM17" s="19">
        <f t="shared" si="5"/>
        <v>5.0000000000000001E-3</v>
      </c>
      <c r="BN17" s="19">
        <f t="shared" si="6"/>
        <v>3.0000000000000001E-3</v>
      </c>
      <c r="BO17" s="19">
        <f t="shared" si="7"/>
        <v>2E-3</v>
      </c>
      <c r="BP17" s="19">
        <f t="shared" si="8"/>
        <v>8.0000000000000002E-3</v>
      </c>
      <c r="BQ17" s="19">
        <f t="shared" si="9"/>
        <v>5.0999999999999997E-2</v>
      </c>
      <c r="BR17" s="19">
        <f t="shared" si="10"/>
        <v>0.89400000000000002</v>
      </c>
      <c r="BS17" s="19">
        <f t="shared" si="11"/>
        <v>2.8000000000000001E-2</v>
      </c>
      <c r="BT17" s="19">
        <f t="shared" si="12"/>
        <v>8.9999999999999993E-3</v>
      </c>
      <c r="BV17" s="16">
        <f t="shared" si="13"/>
        <v>1.07</v>
      </c>
      <c r="BW17" s="16">
        <f t="shared" si="14"/>
        <v>0.98</v>
      </c>
      <c r="BX17" s="3">
        <f t="shared" si="15"/>
        <v>-5.5</v>
      </c>
      <c r="BY17" s="3">
        <f t="shared" si="16"/>
        <v>-5.3</v>
      </c>
      <c r="BZ17" s="3" t="s">
        <v>162</v>
      </c>
      <c r="CA17" s="3">
        <f t="shared" si="17"/>
        <v>0.8</v>
      </c>
      <c r="CB17" s="3">
        <f t="shared" si="18"/>
        <v>0.6</v>
      </c>
      <c r="CC17" s="3">
        <f t="shared" si="19"/>
        <v>1.2</v>
      </c>
      <c r="CD17" s="3">
        <f t="shared" si="20"/>
        <v>1.7</v>
      </c>
      <c r="CE17" s="22">
        <f t="shared" si="29"/>
        <v>93.3</v>
      </c>
      <c r="CF17" s="1">
        <f t="shared" si="30"/>
        <v>-4.2</v>
      </c>
      <c r="CG17" s="1">
        <f t="shared" si="31"/>
        <v>-4</v>
      </c>
      <c r="CH17" s="3" t="s">
        <v>162</v>
      </c>
      <c r="CI17" s="1">
        <f t="shared" si="32"/>
        <v>0.9</v>
      </c>
      <c r="CJ17" s="1">
        <f t="shared" si="33"/>
        <v>0.7</v>
      </c>
      <c r="CK17" s="1">
        <f t="shared" si="34"/>
        <v>1.2</v>
      </c>
      <c r="CL17" s="1">
        <f t="shared" si="35"/>
        <v>1.8</v>
      </c>
      <c r="CM17" s="2">
        <f t="shared" si="36"/>
        <v>95</v>
      </c>
      <c r="CN17" s="1">
        <f t="shared" si="37"/>
        <v>-8.9</v>
      </c>
      <c r="CO17" s="1">
        <f t="shared" si="38"/>
        <v>-9.6</v>
      </c>
      <c r="CP17" s="3" t="s">
        <v>162</v>
      </c>
      <c r="CQ17" s="1">
        <f t="shared" si="39"/>
        <v>0.7</v>
      </c>
      <c r="CR17" s="1">
        <f t="shared" si="40"/>
        <v>0.5</v>
      </c>
      <c r="CS17" s="1">
        <f t="shared" si="41"/>
        <v>1.1000000000000001</v>
      </c>
      <c r="CT17" s="1">
        <f t="shared" si="42"/>
        <v>1.7</v>
      </c>
      <c r="CU17" s="2">
        <f t="shared" si="43"/>
        <v>88.5</v>
      </c>
      <c r="CV17" s="14">
        <f t="shared" si="44"/>
        <v>778</v>
      </c>
      <c r="CW17" s="1">
        <f>ROUND(PPTest!K17,1)</f>
        <v>0</v>
      </c>
      <c r="CX17" s="3">
        <f t="shared" si="25"/>
        <v>0</v>
      </c>
      <c r="CY17" s="3">
        <f t="shared" si="45"/>
        <v>0</v>
      </c>
      <c r="CZ17" s="19">
        <f t="shared" si="46"/>
        <v>0.39600000000000002</v>
      </c>
      <c r="DA17" s="19">
        <f t="shared" si="46"/>
        <v>5.0999999999999997E-2</v>
      </c>
      <c r="DB17" s="16">
        <f t="shared" si="47"/>
        <v>12.82</v>
      </c>
    </row>
    <row r="18" spans="1:106" x14ac:dyDescent="0.2">
      <c r="A18" s="15">
        <f t="shared" si="48"/>
        <v>45670</v>
      </c>
      <c r="B18" s="1">
        <v>13</v>
      </c>
      <c r="C18" s="18">
        <v>2.5529999999999999</v>
      </c>
      <c r="D18" s="18">
        <v>2.1949999999999998</v>
      </c>
      <c r="E18" s="18">
        <v>-10.07</v>
      </c>
      <c r="F18" s="18">
        <v>88.1</v>
      </c>
      <c r="G18" s="18">
        <v>-10.15</v>
      </c>
      <c r="H18" s="18"/>
      <c r="I18" s="18">
        <v>0.80900000000000005</v>
      </c>
      <c r="J18" s="18">
        <v>0.59699999999999998</v>
      </c>
      <c r="K18" s="18">
        <v>1.169</v>
      </c>
      <c r="L18" s="18">
        <v>1.74</v>
      </c>
      <c r="M18" s="18">
        <v>0</v>
      </c>
      <c r="N18" s="18">
        <v>0</v>
      </c>
      <c r="O18" s="18">
        <v>2.4729999999999999</v>
      </c>
      <c r="P18" s="18">
        <v>-1.413</v>
      </c>
      <c r="Q18" s="18">
        <v>92.7</v>
      </c>
      <c r="R18" s="18">
        <v>1.581</v>
      </c>
      <c r="S18" s="18"/>
      <c r="T18" s="18">
        <v>0.88400000000000001</v>
      </c>
      <c r="U18" s="18">
        <v>0.67</v>
      </c>
      <c r="V18" s="18">
        <v>1.2589999999999999</v>
      </c>
      <c r="W18" s="18">
        <v>1.819</v>
      </c>
      <c r="X18" s="18">
        <v>0</v>
      </c>
      <c r="Y18" s="18">
        <v>-13.98</v>
      </c>
      <c r="Z18" s="18">
        <v>73.23</v>
      </c>
      <c r="AA18" s="18">
        <v>-14.27</v>
      </c>
      <c r="AB18" s="18"/>
      <c r="AC18" s="18">
        <v>0.72899999999999998</v>
      </c>
      <c r="AD18" s="18">
        <v>0.52100000000000002</v>
      </c>
      <c r="AE18" s="18">
        <v>1.085</v>
      </c>
      <c r="AF18" s="18">
        <v>1.667</v>
      </c>
      <c r="AG18" s="18">
        <v>51</v>
      </c>
      <c r="AH18" s="18">
        <v>228</v>
      </c>
      <c r="AI18" s="18">
        <v>176</v>
      </c>
      <c r="AJ18" s="18">
        <v>81</v>
      </c>
      <c r="AK18" s="18">
        <v>123</v>
      </c>
      <c r="AL18" s="18">
        <v>1420</v>
      </c>
      <c r="AM18" s="18">
        <v>58</v>
      </c>
      <c r="AN18" s="18">
        <v>28</v>
      </c>
      <c r="AO18" s="18">
        <v>2.5249999999999999</v>
      </c>
      <c r="AP18" s="18">
        <v>183</v>
      </c>
      <c r="AQ18" s="18">
        <v>-3.278</v>
      </c>
      <c r="AR18" s="18">
        <v>-2.5489999999999999</v>
      </c>
      <c r="AS18" s="18">
        <v>-3.8159999999999998</v>
      </c>
      <c r="AT18" s="18">
        <v>5.0000000000000001E-3</v>
      </c>
      <c r="AU18" s="18">
        <v>-3.0000000000000001E-3</v>
      </c>
      <c r="AV18" s="18">
        <v>13.16</v>
      </c>
      <c r="AW18" s="18">
        <v>2876</v>
      </c>
      <c r="AX18" s="4"/>
      <c r="AY18" s="12">
        <f t="shared" si="0"/>
        <v>767.00000000000034</v>
      </c>
      <c r="AZ18" s="12"/>
      <c r="BA18" s="16">
        <v>5.27</v>
      </c>
      <c r="BB18" s="41">
        <v>3.15</v>
      </c>
      <c r="BC18" s="41">
        <v>2.02</v>
      </c>
      <c r="BD18" s="8">
        <f t="shared" si="1"/>
        <v>0.64126984126984132</v>
      </c>
      <c r="BE18" s="8"/>
      <c r="BF18" s="2">
        <f t="shared" si="26"/>
        <v>92.7</v>
      </c>
      <c r="BG18" s="2">
        <f t="shared" si="27"/>
        <v>88.1</v>
      </c>
      <c r="BH18" s="2">
        <f t="shared" si="28"/>
        <v>73.2</v>
      </c>
      <c r="BI18" s="35">
        <f t="shared" si="2"/>
        <v>0.40300000000000002</v>
      </c>
      <c r="BJ18" s="35">
        <f t="shared" si="3"/>
        <v>0.14799999999999999</v>
      </c>
      <c r="BL18" s="3">
        <f t="shared" si="4"/>
        <v>2165</v>
      </c>
      <c r="BM18" s="19">
        <f t="shared" si="5"/>
        <v>2.4E-2</v>
      </c>
      <c r="BN18" s="19">
        <f t="shared" si="6"/>
        <v>0.105</v>
      </c>
      <c r="BO18" s="19">
        <f t="shared" si="7"/>
        <v>8.1000000000000003E-2</v>
      </c>
      <c r="BP18" s="19">
        <f t="shared" si="8"/>
        <v>3.6999999999999998E-2</v>
      </c>
      <c r="BQ18" s="19">
        <f t="shared" si="9"/>
        <v>5.7000000000000002E-2</v>
      </c>
      <c r="BR18" s="19">
        <f t="shared" si="10"/>
        <v>0.65600000000000003</v>
      </c>
      <c r="BS18" s="19">
        <f t="shared" si="11"/>
        <v>2.7E-2</v>
      </c>
      <c r="BT18" s="19">
        <f t="shared" si="12"/>
        <v>1.2999999999999999E-2</v>
      </c>
      <c r="BV18" s="16">
        <f t="shared" si="13"/>
        <v>3.15</v>
      </c>
      <c r="BW18" s="16">
        <f t="shared" si="14"/>
        <v>2.02</v>
      </c>
      <c r="BX18" s="3">
        <f t="shared" si="15"/>
        <v>-10.1</v>
      </c>
      <c r="BY18" s="3">
        <f t="shared" si="16"/>
        <v>-10.199999999999999</v>
      </c>
      <c r="BZ18" s="3" t="s">
        <v>162</v>
      </c>
      <c r="CA18" s="3">
        <f t="shared" si="17"/>
        <v>0.8</v>
      </c>
      <c r="CB18" s="3">
        <f t="shared" si="18"/>
        <v>0.6</v>
      </c>
      <c r="CC18" s="3">
        <f t="shared" si="19"/>
        <v>1.2</v>
      </c>
      <c r="CD18" s="3">
        <f t="shared" si="20"/>
        <v>1.7</v>
      </c>
      <c r="CE18" s="22">
        <f t="shared" si="29"/>
        <v>88.1</v>
      </c>
      <c r="CF18" s="1">
        <f t="shared" si="30"/>
        <v>-1.4</v>
      </c>
      <c r="CG18" s="1">
        <f t="shared" si="31"/>
        <v>1.6</v>
      </c>
      <c r="CH18" s="3" t="s">
        <v>162</v>
      </c>
      <c r="CI18" s="1">
        <f t="shared" si="32"/>
        <v>0.9</v>
      </c>
      <c r="CJ18" s="1">
        <f t="shared" si="33"/>
        <v>0.7</v>
      </c>
      <c r="CK18" s="1">
        <f t="shared" si="34"/>
        <v>1.3</v>
      </c>
      <c r="CL18" s="1">
        <f t="shared" si="35"/>
        <v>1.8</v>
      </c>
      <c r="CM18" s="2">
        <f t="shared" si="36"/>
        <v>92.7</v>
      </c>
      <c r="CN18" s="1">
        <f t="shared" si="37"/>
        <v>-14</v>
      </c>
      <c r="CO18" s="1">
        <f t="shared" si="38"/>
        <v>-14.3</v>
      </c>
      <c r="CP18" s="3" t="s">
        <v>162</v>
      </c>
      <c r="CQ18" s="1">
        <f t="shared" si="39"/>
        <v>0.7</v>
      </c>
      <c r="CR18" s="1">
        <f t="shared" si="40"/>
        <v>0.5</v>
      </c>
      <c r="CS18" s="1">
        <f t="shared" si="41"/>
        <v>1.1000000000000001</v>
      </c>
      <c r="CT18" s="1">
        <f t="shared" si="42"/>
        <v>1.7</v>
      </c>
      <c r="CU18" s="2">
        <f t="shared" si="43"/>
        <v>73.2</v>
      </c>
      <c r="CV18" s="14">
        <f t="shared" si="44"/>
        <v>767.00000000000034</v>
      </c>
      <c r="CW18" s="1">
        <f>ROUND(PPTest!K18,1)</f>
        <v>0</v>
      </c>
      <c r="CX18" s="3">
        <f t="shared" si="25"/>
        <v>0</v>
      </c>
      <c r="CY18" s="3">
        <f t="shared" si="45"/>
        <v>0</v>
      </c>
      <c r="CZ18" s="19">
        <f t="shared" si="46"/>
        <v>0.40300000000000002</v>
      </c>
      <c r="DA18" s="19">
        <f t="shared" si="46"/>
        <v>0.14799999999999999</v>
      </c>
      <c r="DB18" s="16">
        <f t="shared" si="47"/>
        <v>13.16</v>
      </c>
    </row>
    <row r="19" spans="1:106" x14ac:dyDescent="0.2">
      <c r="A19" s="15">
        <f t="shared" si="48"/>
        <v>45671</v>
      </c>
      <c r="B19" s="1">
        <v>14</v>
      </c>
      <c r="C19" s="18">
        <v>2.0329999999999999</v>
      </c>
      <c r="D19" s="18">
        <v>2.0299999999999998</v>
      </c>
      <c r="E19" s="18">
        <v>-5.7229999999999999</v>
      </c>
      <c r="F19" s="18">
        <v>90.7</v>
      </c>
      <c r="G19" s="18">
        <v>-5.8179999999999996</v>
      </c>
      <c r="H19" s="18"/>
      <c r="I19" s="18">
        <v>0.79900000000000004</v>
      </c>
      <c r="J19" s="18">
        <v>0.58699999999999997</v>
      </c>
      <c r="K19" s="18">
        <v>1.155</v>
      </c>
      <c r="L19" s="18">
        <v>1.7250000000000001</v>
      </c>
      <c r="M19" s="18">
        <v>0</v>
      </c>
      <c r="N19" s="18">
        <v>0</v>
      </c>
      <c r="O19" s="18">
        <v>2.4860000000000002</v>
      </c>
      <c r="P19" s="18">
        <v>1.236</v>
      </c>
      <c r="Q19" s="18">
        <v>95.2</v>
      </c>
      <c r="R19" s="18">
        <v>2.0510000000000002</v>
      </c>
      <c r="S19" s="18"/>
      <c r="T19" s="18">
        <v>0.879</v>
      </c>
      <c r="U19" s="18">
        <v>0.67500000000000004</v>
      </c>
      <c r="V19" s="18">
        <v>1.234</v>
      </c>
      <c r="W19" s="18">
        <v>1.8129999999999999</v>
      </c>
      <c r="X19" s="18">
        <v>0</v>
      </c>
      <c r="Y19" s="18">
        <v>-11.67</v>
      </c>
      <c r="Z19" s="18">
        <v>74.319999999999993</v>
      </c>
      <c r="AA19" s="18">
        <v>-12.07</v>
      </c>
      <c r="AB19" s="18"/>
      <c r="AC19" s="18">
        <v>0.71799999999999997</v>
      </c>
      <c r="AD19" s="18">
        <v>0.51100000000000001</v>
      </c>
      <c r="AE19" s="18">
        <v>1.0780000000000001</v>
      </c>
      <c r="AF19" s="18">
        <v>1.645</v>
      </c>
      <c r="AG19" s="18">
        <v>342</v>
      </c>
      <c r="AH19" s="18">
        <v>848</v>
      </c>
      <c r="AI19" s="18">
        <v>574</v>
      </c>
      <c r="AJ19" s="18">
        <v>137</v>
      </c>
      <c r="AK19" s="18">
        <v>137</v>
      </c>
      <c r="AL19" s="18">
        <v>70</v>
      </c>
      <c r="AM19" s="18">
        <v>61</v>
      </c>
      <c r="AN19" s="18">
        <v>162</v>
      </c>
      <c r="AO19" s="18">
        <v>2.5110000000000001</v>
      </c>
      <c r="AP19" s="18">
        <v>179</v>
      </c>
      <c r="AQ19" s="18">
        <v>-3.536</v>
      </c>
      <c r="AR19" s="18">
        <v>-2.9119999999999999</v>
      </c>
      <c r="AS19" s="18">
        <v>-4.0739999999999998</v>
      </c>
      <c r="AT19" s="18">
        <v>5.0000000000000001E-3</v>
      </c>
      <c r="AU19" s="18">
        <v>-3.0000000000000001E-3</v>
      </c>
      <c r="AV19" s="18">
        <v>13.18</v>
      </c>
      <c r="AW19" s="18">
        <v>2876</v>
      </c>
      <c r="AX19" s="4"/>
      <c r="AY19" s="12">
        <f t="shared" si="0"/>
        <v>754</v>
      </c>
      <c r="AZ19" s="12"/>
      <c r="BA19" s="16">
        <v>5.36</v>
      </c>
      <c r="BB19" s="41">
        <v>2.4500000000000002</v>
      </c>
      <c r="BC19" s="41">
        <v>1.87</v>
      </c>
      <c r="BD19" s="8">
        <f t="shared" si="1"/>
        <v>0.76326530612244892</v>
      </c>
      <c r="BE19" s="8"/>
      <c r="BF19" s="2">
        <f t="shared" si="26"/>
        <v>95.2</v>
      </c>
      <c r="BG19" s="2">
        <f t="shared" si="27"/>
        <v>90.7</v>
      </c>
      <c r="BH19" s="2">
        <f t="shared" si="28"/>
        <v>74.3</v>
      </c>
      <c r="BI19" s="35">
        <f t="shared" si="2"/>
        <v>0.496</v>
      </c>
      <c r="BJ19" s="35">
        <f t="shared" si="3"/>
        <v>0.17199999999999999</v>
      </c>
      <c r="BL19" s="3">
        <f t="shared" si="4"/>
        <v>2331</v>
      </c>
      <c r="BM19" s="19">
        <f t="shared" si="5"/>
        <v>0.14699999999999999</v>
      </c>
      <c r="BN19" s="19">
        <f t="shared" si="6"/>
        <v>0.36399999999999999</v>
      </c>
      <c r="BO19" s="19">
        <f t="shared" si="7"/>
        <v>0.246</v>
      </c>
      <c r="BP19" s="19">
        <f t="shared" si="8"/>
        <v>5.8999999999999997E-2</v>
      </c>
      <c r="BQ19" s="19">
        <f t="shared" si="9"/>
        <v>5.8999999999999997E-2</v>
      </c>
      <c r="BR19" s="19">
        <f t="shared" si="10"/>
        <v>0.03</v>
      </c>
      <c r="BS19" s="19">
        <f t="shared" si="11"/>
        <v>2.5999999999999999E-2</v>
      </c>
      <c r="BT19" s="19">
        <f t="shared" si="12"/>
        <v>6.9000000000000006E-2</v>
      </c>
      <c r="BV19" s="16">
        <f t="shared" si="13"/>
        <v>2.4500000000000002</v>
      </c>
      <c r="BW19" s="16">
        <f t="shared" si="14"/>
        <v>1.87</v>
      </c>
      <c r="BX19" s="3">
        <f t="shared" si="15"/>
        <v>-5.7</v>
      </c>
      <c r="BY19" s="3">
        <f t="shared" si="16"/>
        <v>-5.8</v>
      </c>
      <c r="BZ19" s="3" t="s">
        <v>162</v>
      </c>
      <c r="CA19" s="3">
        <f t="shared" si="17"/>
        <v>0.8</v>
      </c>
      <c r="CB19" s="3">
        <f t="shared" si="18"/>
        <v>0.6</v>
      </c>
      <c r="CC19" s="3">
        <f t="shared" si="19"/>
        <v>1.2</v>
      </c>
      <c r="CD19" s="3">
        <f t="shared" si="20"/>
        <v>1.7</v>
      </c>
      <c r="CE19" s="22">
        <f t="shared" si="29"/>
        <v>90.7</v>
      </c>
      <c r="CF19" s="1">
        <f t="shared" si="30"/>
        <v>1.2</v>
      </c>
      <c r="CG19" s="1">
        <f t="shared" si="31"/>
        <v>2.1</v>
      </c>
      <c r="CH19" s="3" t="s">
        <v>162</v>
      </c>
      <c r="CI19" s="1">
        <f t="shared" si="32"/>
        <v>0.9</v>
      </c>
      <c r="CJ19" s="1">
        <f t="shared" si="33"/>
        <v>0.7</v>
      </c>
      <c r="CK19" s="1">
        <f t="shared" si="34"/>
        <v>1.2</v>
      </c>
      <c r="CL19" s="1">
        <f t="shared" si="35"/>
        <v>1.8</v>
      </c>
      <c r="CM19" s="2">
        <f t="shared" si="36"/>
        <v>95.2</v>
      </c>
      <c r="CN19" s="1">
        <f t="shared" si="37"/>
        <v>-11.7</v>
      </c>
      <c r="CO19" s="1">
        <f t="shared" si="38"/>
        <v>-12.1</v>
      </c>
      <c r="CP19" s="3" t="s">
        <v>162</v>
      </c>
      <c r="CQ19" s="1">
        <f t="shared" si="39"/>
        <v>0.7</v>
      </c>
      <c r="CR19" s="1">
        <f t="shared" si="40"/>
        <v>0.5</v>
      </c>
      <c r="CS19" s="1">
        <f t="shared" si="41"/>
        <v>1.1000000000000001</v>
      </c>
      <c r="CT19" s="1">
        <f t="shared" si="42"/>
        <v>1.6</v>
      </c>
      <c r="CU19" s="2">
        <f t="shared" si="43"/>
        <v>74.3</v>
      </c>
      <c r="CV19" s="14">
        <f t="shared" si="44"/>
        <v>754</v>
      </c>
      <c r="CW19" s="1">
        <f>ROUND(PPTest!K19,1)</f>
        <v>0</v>
      </c>
      <c r="CX19" s="3">
        <f t="shared" si="25"/>
        <v>0</v>
      </c>
      <c r="CY19" s="3">
        <f t="shared" si="45"/>
        <v>0</v>
      </c>
      <c r="CZ19" s="19">
        <f t="shared" si="46"/>
        <v>0.496</v>
      </c>
      <c r="DA19" s="19">
        <f t="shared" si="46"/>
        <v>0.17199999999999999</v>
      </c>
      <c r="DB19" s="16">
        <f t="shared" si="47"/>
        <v>13.18</v>
      </c>
    </row>
    <row r="20" spans="1:106" x14ac:dyDescent="0.2">
      <c r="A20" s="15">
        <f t="shared" si="48"/>
        <v>45672</v>
      </c>
      <c r="B20" s="1">
        <v>15</v>
      </c>
      <c r="C20" s="18">
        <v>4.1740000000000004</v>
      </c>
      <c r="D20" s="18">
        <v>2.6480000000000001</v>
      </c>
      <c r="E20" s="18">
        <v>-3.9390000000000001</v>
      </c>
      <c r="F20" s="18">
        <v>92.5</v>
      </c>
      <c r="G20" s="18">
        <v>-4.28</v>
      </c>
      <c r="H20" s="18"/>
      <c r="I20" s="18">
        <v>0.80500000000000005</v>
      </c>
      <c r="J20" s="18">
        <v>0.59</v>
      </c>
      <c r="K20" s="18">
        <v>1.1599999999999999</v>
      </c>
      <c r="L20" s="18">
        <v>1.7310000000000001</v>
      </c>
      <c r="M20" s="18">
        <v>7.0000000000000001E-3</v>
      </c>
      <c r="N20" s="18">
        <v>0</v>
      </c>
      <c r="O20" s="18">
        <v>2.504</v>
      </c>
      <c r="P20" s="18">
        <v>5.6520000000000001</v>
      </c>
      <c r="Q20" s="18">
        <v>96.8</v>
      </c>
      <c r="R20" s="18">
        <v>4.5369999999999999</v>
      </c>
      <c r="S20" s="18"/>
      <c r="T20" s="18">
        <v>0.88700000000000001</v>
      </c>
      <c r="U20" s="18">
        <v>0.67700000000000005</v>
      </c>
      <c r="V20" s="18">
        <v>1.238</v>
      </c>
      <c r="W20" s="18">
        <v>1.8120000000000001</v>
      </c>
      <c r="X20" s="18">
        <v>1.7270000000000001</v>
      </c>
      <c r="Y20" s="18">
        <v>-8.68</v>
      </c>
      <c r="Z20" s="18">
        <v>67.39</v>
      </c>
      <c r="AA20" s="18">
        <v>-9</v>
      </c>
      <c r="AB20" s="18"/>
      <c r="AC20" s="18">
        <v>0.71599999999999997</v>
      </c>
      <c r="AD20" s="18">
        <v>0.51200000000000001</v>
      </c>
      <c r="AE20" s="18">
        <v>1.081</v>
      </c>
      <c r="AF20" s="18">
        <v>1.6619999999999999</v>
      </c>
      <c r="AG20" s="18">
        <v>410</v>
      </c>
      <c r="AH20" s="18">
        <v>1321</v>
      </c>
      <c r="AI20" s="18">
        <v>681</v>
      </c>
      <c r="AJ20" s="18">
        <v>109</v>
      </c>
      <c r="AK20" s="18">
        <v>102</v>
      </c>
      <c r="AL20" s="18">
        <v>48</v>
      </c>
      <c r="AM20" s="18">
        <v>63</v>
      </c>
      <c r="AN20" s="18">
        <v>135</v>
      </c>
      <c r="AO20" s="18">
        <v>2.5270000000000001</v>
      </c>
      <c r="AP20" s="18">
        <v>200</v>
      </c>
      <c r="AQ20" s="18">
        <v>-3.1440000000000001</v>
      </c>
      <c r="AR20" s="18">
        <v>-2.2480000000000002</v>
      </c>
      <c r="AS20" s="18">
        <v>-3.665</v>
      </c>
      <c r="AT20" s="18">
        <v>5.0000000000000001E-3</v>
      </c>
      <c r="AU20" s="18">
        <v>-3.0000000000000001E-3</v>
      </c>
      <c r="AV20" s="18">
        <v>13.23</v>
      </c>
      <c r="AW20" s="18">
        <v>2876</v>
      </c>
      <c r="AX20" s="4"/>
      <c r="AY20" s="12">
        <f t="shared" si="0"/>
        <v>736.00000000000023</v>
      </c>
      <c r="AZ20" s="12"/>
      <c r="BA20" s="16">
        <v>5.44</v>
      </c>
      <c r="BB20" s="41">
        <v>4.2</v>
      </c>
      <c r="BC20" s="41">
        <v>2.44</v>
      </c>
      <c r="BD20" s="8">
        <f t="shared" si="1"/>
        <v>0.58095238095238089</v>
      </c>
      <c r="BE20" s="8"/>
      <c r="BF20" s="2">
        <f t="shared" si="26"/>
        <v>96.8</v>
      </c>
      <c r="BG20" s="2">
        <f t="shared" si="27"/>
        <v>92.5</v>
      </c>
      <c r="BH20" s="2">
        <f t="shared" si="28"/>
        <v>67.400000000000006</v>
      </c>
      <c r="BI20" s="35">
        <f t="shared" si="2"/>
        <v>0.61499999999999999</v>
      </c>
      <c r="BJ20" s="35">
        <f t="shared" si="3"/>
        <v>0.29699999999999999</v>
      </c>
      <c r="BL20" s="3">
        <f t="shared" si="4"/>
        <v>2869</v>
      </c>
      <c r="BM20" s="19">
        <f t="shared" si="5"/>
        <v>0.14299999999999999</v>
      </c>
      <c r="BN20" s="19">
        <f t="shared" si="6"/>
        <v>0.46</v>
      </c>
      <c r="BO20" s="19">
        <f t="shared" si="7"/>
        <v>0.23699999999999999</v>
      </c>
      <c r="BP20" s="19">
        <f t="shared" si="8"/>
        <v>3.7999999999999999E-2</v>
      </c>
      <c r="BQ20" s="19">
        <f t="shared" si="9"/>
        <v>3.5999999999999997E-2</v>
      </c>
      <c r="BR20" s="19">
        <f t="shared" si="10"/>
        <v>1.7000000000000001E-2</v>
      </c>
      <c r="BS20" s="19">
        <f t="shared" si="11"/>
        <v>2.1999999999999999E-2</v>
      </c>
      <c r="BT20" s="19">
        <f t="shared" si="12"/>
        <v>4.7E-2</v>
      </c>
      <c r="BV20" s="16">
        <f t="shared" si="13"/>
        <v>4.2</v>
      </c>
      <c r="BW20" s="16">
        <f t="shared" si="14"/>
        <v>2.44</v>
      </c>
      <c r="BX20" s="3">
        <f t="shared" si="15"/>
        <v>-3.9</v>
      </c>
      <c r="BY20" s="3">
        <f t="shared" si="16"/>
        <v>-4.3</v>
      </c>
      <c r="BZ20" s="3" t="s">
        <v>162</v>
      </c>
      <c r="CA20" s="3">
        <f t="shared" si="17"/>
        <v>0.8</v>
      </c>
      <c r="CB20" s="3">
        <f t="shared" si="18"/>
        <v>0.6</v>
      </c>
      <c r="CC20" s="3">
        <f t="shared" si="19"/>
        <v>1.2</v>
      </c>
      <c r="CD20" s="3">
        <f t="shared" si="20"/>
        <v>1.7</v>
      </c>
      <c r="CE20" s="22">
        <f t="shared" si="29"/>
        <v>92.5</v>
      </c>
      <c r="CF20" s="1">
        <f t="shared" si="30"/>
        <v>5.7</v>
      </c>
      <c r="CG20" s="1">
        <f t="shared" si="31"/>
        <v>4.5</v>
      </c>
      <c r="CH20" s="3" t="s">
        <v>162</v>
      </c>
      <c r="CI20" s="1">
        <f t="shared" si="32"/>
        <v>0.9</v>
      </c>
      <c r="CJ20" s="1">
        <f t="shared" si="33"/>
        <v>0.7</v>
      </c>
      <c r="CK20" s="1">
        <f t="shared" si="34"/>
        <v>1.2</v>
      </c>
      <c r="CL20" s="1">
        <f t="shared" si="35"/>
        <v>1.8</v>
      </c>
      <c r="CM20" s="2">
        <f t="shared" si="36"/>
        <v>96.8</v>
      </c>
      <c r="CN20" s="1">
        <f t="shared" si="37"/>
        <v>-8.6999999999999993</v>
      </c>
      <c r="CO20" s="1">
        <f t="shared" si="38"/>
        <v>-9</v>
      </c>
      <c r="CP20" s="3" t="s">
        <v>162</v>
      </c>
      <c r="CQ20" s="1">
        <f t="shared" si="39"/>
        <v>0.7</v>
      </c>
      <c r="CR20" s="1">
        <f t="shared" si="40"/>
        <v>0.5</v>
      </c>
      <c r="CS20" s="1">
        <f t="shared" si="41"/>
        <v>1.1000000000000001</v>
      </c>
      <c r="CT20" s="1">
        <f t="shared" si="42"/>
        <v>1.7</v>
      </c>
      <c r="CU20" s="2">
        <f t="shared" si="43"/>
        <v>67.400000000000006</v>
      </c>
      <c r="CV20" s="14">
        <f t="shared" si="44"/>
        <v>736.00000000000023</v>
      </c>
      <c r="CW20" s="1">
        <f>ROUND(PPTest!K20,1)</f>
        <v>0</v>
      </c>
      <c r="CX20" s="3">
        <f t="shared" si="25"/>
        <v>0.01</v>
      </c>
      <c r="CY20" s="3">
        <f t="shared" si="45"/>
        <v>1.73</v>
      </c>
      <c r="CZ20" s="19">
        <f t="shared" si="46"/>
        <v>0.61499999999999999</v>
      </c>
      <c r="DA20" s="19">
        <f t="shared" si="46"/>
        <v>0.29699999999999999</v>
      </c>
      <c r="DB20" s="16">
        <f t="shared" si="47"/>
        <v>13.23</v>
      </c>
    </row>
    <row r="21" spans="1:106" x14ac:dyDescent="0.2">
      <c r="A21" s="15">
        <f t="shared" si="48"/>
        <v>45673</v>
      </c>
      <c r="B21" s="1">
        <v>16</v>
      </c>
      <c r="C21" s="18">
        <v>1.821</v>
      </c>
      <c r="D21" s="18">
        <v>1.232</v>
      </c>
      <c r="E21" s="18">
        <v>-5.2750000000000004</v>
      </c>
      <c r="F21" s="18">
        <v>85.6</v>
      </c>
      <c r="G21" s="18">
        <v>-5.2149999999999999</v>
      </c>
      <c r="H21" s="18"/>
      <c r="I21" s="18">
        <v>0.78700000000000003</v>
      </c>
      <c r="J21" s="18">
        <v>0.57399999999999995</v>
      </c>
      <c r="K21" s="18">
        <v>1.1419999999999999</v>
      </c>
      <c r="L21" s="18">
        <v>1.712</v>
      </c>
      <c r="M21" s="18">
        <v>0.313</v>
      </c>
      <c r="N21" s="18">
        <v>0</v>
      </c>
      <c r="O21" s="18">
        <v>2.4990000000000001</v>
      </c>
      <c r="P21" s="18">
        <v>-0.66600000000000004</v>
      </c>
      <c r="Q21" s="18">
        <v>95.8</v>
      </c>
      <c r="R21" s="18">
        <v>1.0669999999999999</v>
      </c>
      <c r="S21" s="18"/>
      <c r="T21" s="18">
        <v>0.874</v>
      </c>
      <c r="U21" s="18">
        <v>0.65300000000000002</v>
      </c>
      <c r="V21" s="18">
        <v>1.2310000000000001</v>
      </c>
      <c r="W21" s="18">
        <v>1.794</v>
      </c>
      <c r="X21" s="18">
        <v>3.94</v>
      </c>
      <c r="Y21" s="18">
        <v>-8.27</v>
      </c>
      <c r="Z21" s="18">
        <v>72.55</v>
      </c>
      <c r="AA21" s="18">
        <v>-8.31</v>
      </c>
      <c r="AB21" s="18"/>
      <c r="AC21" s="18">
        <v>0.70299999999999996</v>
      </c>
      <c r="AD21" s="18">
        <v>0.497</v>
      </c>
      <c r="AE21" s="18">
        <v>1.0609999999999999</v>
      </c>
      <c r="AF21" s="18">
        <v>1.623</v>
      </c>
      <c r="AG21" s="18">
        <v>83</v>
      </c>
      <c r="AH21" s="18">
        <v>49</v>
      </c>
      <c r="AI21" s="18">
        <v>134</v>
      </c>
      <c r="AJ21" s="18">
        <v>230</v>
      </c>
      <c r="AK21" s="18">
        <v>800</v>
      </c>
      <c r="AL21" s="18">
        <v>861</v>
      </c>
      <c r="AM21" s="18">
        <v>478</v>
      </c>
      <c r="AN21" s="18">
        <v>236</v>
      </c>
      <c r="AO21" s="18">
        <v>2.5369999999999999</v>
      </c>
      <c r="AP21" s="18">
        <v>216</v>
      </c>
      <c r="AQ21" s="18">
        <v>-4.0819999999999999</v>
      </c>
      <c r="AR21" s="18">
        <v>-3.6419999999999999</v>
      </c>
      <c r="AS21" s="18">
        <v>-5.2439999999999998</v>
      </c>
      <c r="AT21" s="18">
        <v>5.0000000000000001E-3</v>
      </c>
      <c r="AU21" s="18">
        <v>-3.0000000000000001E-3</v>
      </c>
      <c r="AV21" s="18">
        <v>13.17</v>
      </c>
      <c r="AW21" s="18">
        <v>2876</v>
      </c>
      <c r="AX21" s="4"/>
      <c r="AY21" s="12">
        <f t="shared" si="0"/>
        <v>741.00000000000011</v>
      </c>
      <c r="AZ21" s="12"/>
      <c r="BA21" s="16">
        <v>5.53</v>
      </c>
      <c r="BB21" s="41">
        <v>1.82</v>
      </c>
      <c r="BC21" s="41">
        <v>1.1299999999999999</v>
      </c>
      <c r="BD21" s="8">
        <f t="shared" si="1"/>
        <v>0.62087912087912078</v>
      </c>
      <c r="BE21" s="8"/>
      <c r="BF21" s="2">
        <f t="shared" si="26"/>
        <v>95.8</v>
      </c>
      <c r="BG21" s="2">
        <f t="shared" si="27"/>
        <v>85.6</v>
      </c>
      <c r="BH21" s="2">
        <f t="shared" si="28"/>
        <v>72.599999999999994</v>
      </c>
      <c r="BI21" s="35">
        <f t="shared" si="2"/>
        <v>0.42199999999999999</v>
      </c>
      <c r="BJ21" s="35">
        <f t="shared" si="3"/>
        <v>0.159</v>
      </c>
      <c r="BL21" s="3">
        <f t="shared" si="4"/>
        <v>2871</v>
      </c>
      <c r="BM21" s="19">
        <f t="shared" si="5"/>
        <v>2.9000000000000001E-2</v>
      </c>
      <c r="BN21" s="19">
        <f t="shared" si="6"/>
        <v>1.7000000000000001E-2</v>
      </c>
      <c r="BO21" s="19">
        <f t="shared" si="7"/>
        <v>4.7E-2</v>
      </c>
      <c r="BP21" s="19">
        <f t="shared" si="8"/>
        <v>0.08</v>
      </c>
      <c r="BQ21" s="19">
        <f t="shared" si="9"/>
        <v>0.27900000000000003</v>
      </c>
      <c r="BR21" s="19">
        <f t="shared" si="10"/>
        <v>0.3</v>
      </c>
      <c r="BS21" s="19">
        <f t="shared" si="11"/>
        <v>0.16600000000000001</v>
      </c>
      <c r="BT21" s="19">
        <f t="shared" si="12"/>
        <v>8.2000000000000003E-2</v>
      </c>
      <c r="BV21" s="16">
        <f t="shared" si="13"/>
        <v>1.82</v>
      </c>
      <c r="BW21" s="16">
        <f t="shared" si="14"/>
        <v>1.1299999999999999</v>
      </c>
      <c r="BX21" s="3">
        <f t="shared" si="15"/>
        <v>-5.3</v>
      </c>
      <c r="BY21" s="3">
        <f t="shared" si="16"/>
        <v>-5.2</v>
      </c>
      <c r="BZ21" s="3" t="s">
        <v>162</v>
      </c>
      <c r="CA21" s="3">
        <f t="shared" si="17"/>
        <v>0.8</v>
      </c>
      <c r="CB21" s="3">
        <f t="shared" si="18"/>
        <v>0.6</v>
      </c>
      <c r="CC21" s="3">
        <f t="shared" si="19"/>
        <v>1.1000000000000001</v>
      </c>
      <c r="CD21" s="3">
        <f t="shared" si="20"/>
        <v>1.7</v>
      </c>
      <c r="CE21" s="22">
        <f t="shared" si="29"/>
        <v>85.6</v>
      </c>
      <c r="CF21" s="1">
        <f t="shared" si="30"/>
        <v>-0.7</v>
      </c>
      <c r="CG21" s="1">
        <f t="shared" si="31"/>
        <v>1.1000000000000001</v>
      </c>
      <c r="CH21" s="3" t="s">
        <v>162</v>
      </c>
      <c r="CI21" s="1">
        <f t="shared" si="32"/>
        <v>0.9</v>
      </c>
      <c r="CJ21" s="1">
        <f t="shared" si="33"/>
        <v>0.7</v>
      </c>
      <c r="CK21" s="1">
        <f t="shared" si="34"/>
        <v>1.2</v>
      </c>
      <c r="CL21" s="1">
        <f t="shared" si="35"/>
        <v>1.8</v>
      </c>
      <c r="CM21" s="2">
        <f t="shared" si="36"/>
        <v>95.8</v>
      </c>
      <c r="CN21" s="1">
        <f t="shared" si="37"/>
        <v>-8.3000000000000007</v>
      </c>
      <c r="CO21" s="1">
        <f t="shared" si="38"/>
        <v>-8.3000000000000007</v>
      </c>
      <c r="CP21" s="3" t="s">
        <v>162</v>
      </c>
      <c r="CQ21" s="1">
        <f t="shared" si="39"/>
        <v>0.7</v>
      </c>
      <c r="CR21" s="1">
        <f t="shared" si="40"/>
        <v>0.5</v>
      </c>
      <c r="CS21" s="1">
        <f t="shared" si="41"/>
        <v>1.1000000000000001</v>
      </c>
      <c r="CT21" s="1">
        <f t="shared" si="42"/>
        <v>1.6</v>
      </c>
      <c r="CU21" s="2">
        <f t="shared" si="43"/>
        <v>72.599999999999994</v>
      </c>
      <c r="CV21" s="14">
        <f t="shared" si="44"/>
        <v>741.00000000000011</v>
      </c>
      <c r="CW21" s="1">
        <f>ROUND(PPTest!K21,1)</f>
        <v>0.6</v>
      </c>
      <c r="CX21" s="3">
        <f t="shared" si="25"/>
        <v>0.31</v>
      </c>
      <c r="CY21" s="3">
        <f t="shared" si="45"/>
        <v>3.94</v>
      </c>
      <c r="CZ21" s="19">
        <f t="shared" si="46"/>
        <v>0.42199999999999999</v>
      </c>
      <c r="DA21" s="19">
        <f t="shared" si="46"/>
        <v>0.159</v>
      </c>
      <c r="DB21" s="16">
        <f t="shared" si="47"/>
        <v>13.17</v>
      </c>
    </row>
    <row r="22" spans="1:106" x14ac:dyDescent="0.2">
      <c r="A22" s="15">
        <f t="shared" si="48"/>
        <v>45674</v>
      </c>
      <c r="B22" s="1">
        <v>17</v>
      </c>
      <c r="C22" s="18">
        <v>0.98199999999999998</v>
      </c>
      <c r="D22" s="18">
        <v>0.67</v>
      </c>
      <c r="E22" s="18">
        <v>-8.84</v>
      </c>
      <c r="F22" s="18">
        <v>89.5</v>
      </c>
      <c r="G22" s="18">
        <v>-8.6199999999999992</v>
      </c>
      <c r="H22" s="18"/>
      <c r="I22" s="18">
        <v>0.77700000000000002</v>
      </c>
      <c r="J22" s="18">
        <v>0.56499999999999995</v>
      </c>
      <c r="K22" s="18">
        <v>1.127</v>
      </c>
      <c r="L22" s="18">
        <v>1.6970000000000001</v>
      </c>
      <c r="M22" s="18">
        <v>0.14099999999999999</v>
      </c>
      <c r="N22" s="18">
        <v>0</v>
      </c>
      <c r="O22" s="18">
        <v>2.5009999999999999</v>
      </c>
      <c r="P22" s="18">
        <v>-7.72</v>
      </c>
      <c r="Q22" s="18">
        <v>92.4</v>
      </c>
      <c r="R22" s="18">
        <v>-6.9029999999999996</v>
      </c>
      <c r="S22" s="18"/>
      <c r="T22" s="18">
        <v>0.84799999999999998</v>
      </c>
      <c r="U22" s="18">
        <v>0.65300000000000002</v>
      </c>
      <c r="V22" s="18">
        <v>1.214</v>
      </c>
      <c r="W22" s="18">
        <v>1.7769999999999999</v>
      </c>
      <c r="X22" s="18">
        <v>2.82</v>
      </c>
      <c r="Y22" s="18">
        <v>-10.44</v>
      </c>
      <c r="Z22" s="18">
        <v>83</v>
      </c>
      <c r="AA22" s="18">
        <v>-10.43</v>
      </c>
      <c r="AB22" s="18"/>
      <c r="AC22" s="18">
        <v>0.70099999999999996</v>
      </c>
      <c r="AD22" s="18">
        <v>0.48899999999999999</v>
      </c>
      <c r="AE22" s="18">
        <v>1.0529999999999999</v>
      </c>
      <c r="AF22" s="18">
        <v>1.6080000000000001</v>
      </c>
      <c r="AG22" s="18">
        <v>101</v>
      </c>
      <c r="AH22" s="18">
        <v>107</v>
      </c>
      <c r="AI22" s="18">
        <v>170</v>
      </c>
      <c r="AJ22" s="18">
        <v>248</v>
      </c>
      <c r="AK22" s="18">
        <v>598</v>
      </c>
      <c r="AL22" s="18">
        <v>805</v>
      </c>
      <c r="AM22" s="18">
        <v>519</v>
      </c>
      <c r="AN22" s="18">
        <v>294</v>
      </c>
      <c r="AO22" s="18">
        <v>2.5470000000000002</v>
      </c>
      <c r="AP22" s="18">
        <v>227</v>
      </c>
      <c r="AQ22" s="18">
        <v>-5.9459999999999997</v>
      </c>
      <c r="AR22" s="18">
        <v>-5.2439999999999998</v>
      </c>
      <c r="AS22" s="18">
        <v>-6.7759999999999998</v>
      </c>
      <c r="AT22" s="18">
        <v>4.0000000000000001E-3</v>
      </c>
      <c r="AU22" s="18">
        <v>-4.0000000000000001E-3</v>
      </c>
      <c r="AV22" s="18">
        <v>13.11</v>
      </c>
      <c r="AW22" s="18">
        <v>2876</v>
      </c>
      <c r="AX22" s="4"/>
      <c r="AY22" s="12">
        <f t="shared" si="0"/>
        <v>739.00000000000034</v>
      </c>
      <c r="AZ22" s="12"/>
      <c r="BA22" s="16">
        <v>5.63</v>
      </c>
      <c r="BB22" s="41">
        <v>0.98</v>
      </c>
      <c r="BC22" s="41">
        <v>0.61</v>
      </c>
      <c r="BD22" s="8">
        <f t="shared" si="1"/>
        <v>0.62244897959183676</v>
      </c>
      <c r="BE22" s="8"/>
      <c r="BF22" s="2">
        <f t="shared" si="26"/>
        <v>92.4</v>
      </c>
      <c r="BG22" s="2">
        <f t="shared" si="27"/>
        <v>89.5</v>
      </c>
      <c r="BH22" s="2">
        <f t="shared" si="28"/>
        <v>83</v>
      </c>
      <c r="BI22" s="35">
        <f t="shared" si="2"/>
        <v>0.28299999999999997</v>
      </c>
      <c r="BJ22" s="35">
        <f t="shared" si="3"/>
        <v>5.8000000000000003E-2</v>
      </c>
      <c r="BL22" s="3">
        <f t="shared" si="4"/>
        <v>2842</v>
      </c>
      <c r="BM22" s="19">
        <f t="shared" si="5"/>
        <v>3.5999999999999997E-2</v>
      </c>
      <c r="BN22" s="19">
        <f t="shared" si="6"/>
        <v>3.7999999999999999E-2</v>
      </c>
      <c r="BO22" s="19">
        <f t="shared" si="7"/>
        <v>0.06</v>
      </c>
      <c r="BP22" s="19">
        <f t="shared" si="8"/>
        <v>8.6999999999999994E-2</v>
      </c>
      <c r="BQ22" s="19">
        <f t="shared" si="9"/>
        <v>0.21</v>
      </c>
      <c r="BR22" s="19">
        <f t="shared" si="10"/>
        <v>0.28299999999999997</v>
      </c>
      <c r="BS22" s="19">
        <f t="shared" si="11"/>
        <v>0.183</v>
      </c>
      <c r="BT22" s="19">
        <f t="shared" si="12"/>
        <v>0.10299999999999999</v>
      </c>
      <c r="BV22" s="16">
        <f t="shared" si="13"/>
        <v>0.98</v>
      </c>
      <c r="BW22" s="16">
        <f t="shared" si="14"/>
        <v>0.61</v>
      </c>
      <c r="BX22" s="3">
        <f t="shared" si="15"/>
        <v>-8.8000000000000007</v>
      </c>
      <c r="BY22" s="3">
        <f t="shared" si="16"/>
        <v>-8.6</v>
      </c>
      <c r="BZ22" s="3" t="s">
        <v>162</v>
      </c>
      <c r="CA22" s="3">
        <f t="shared" si="17"/>
        <v>0.8</v>
      </c>
      <c r="CB22" s="3">
        <f t="shared" si="18"/>
        <v>0.6</v>
      </c>
      <c r="CC22" s="3">
        <f t="shared" si="19"/>
        <v>1.1000000000000001</v>
      </c>
      <c r="CD22" s="3">
        <f t="shared" si="20"/>
        <v>1.7</v>
      </c>
      <c r="CE22" s="22">
        <f t="shared" si="29"/>
        <v>89.5</v>
      </c>
      <c r="CF22" s="1">
        <f t="shared" si="30"/>
        <v>-7.7</v>
      </c>
      <c r="CG22" s="1">
        <f t="shared" si="31"/>
        <v>-6.9</v>
      </c>
      <c r="CH22" s="3" t="s">
        <v>162</v>
      </c>
      <c r="CI22" s="1">
        <f t="shared" si="32"/>
        <v>0.8</v>
      </c>
      <c r="CJ22" s="1">
        <f t="shared" si="33"/>
        <v>0.7</v>
      </c>
      <c r="CK22" s="1">
        <f t="shared" si="34"/>
        <v>1.2</v>
      </c>
      <c r="CL22" s="1">
        <f t="shared" si="35"/>
        <v>1.8</v>
      </c>
      <c r="CM22" s="2">
        <f t="shared" si="36"/>
        <v>92.4</v>
      </c>
      <c r="CN22" s="1">
        <f t="shared" si="37"/>
        <v>-10.4</v>
      </c>
      <c r="CO22" s="1">
        <f t="shared" si="38"/>
        <v>-10.4</v>
      </c>
      <c r="CP22" s="3" t="s">
        <v>162</v>
      </c>
      <c r="CQ22" s="1">
        <f t="shared" si="39"/>
        <v>0.7</v>
      </c>
      <c r="CR22" s="1">
        <f t="shared" si="40"/>
        <v>0.5</v>
      </c>
      <c r="CS22" s="1">
        <f t="shared" si="41"/>
        <v>1.1000000000000001</v>
      </c>
      <c r="CT22" s="1">
        <f t="shared" si="42"/>
        <v>1.6</v>
      </c>
      <c r="CU22" s="2">
        <f t="shared" si="43"/>
        <v>83</v>
      </c>
      <c r="CV22" s="14">
        <f t="shared" si="44"/>
        <v>739.00000000000034</v>
      </c>
      <c r="CW22" s="1">
        <f>ROUND(PPTest!K22,1)</f>
        <v>0</v>
      </c>
      <c r="CX22" s="3">
        <f t="shared" si="25"/>
        <v>0.14000000000000001</v>
      </c>
      <c r="CY22" s="3">
        <f t="shared" si="45"/>
        <v>2.82</v>
      </c>
      <c r="CZ22" s="19">
        <f t="shared" si="46"/>
        <v>0.28299999999999997</v>
      </c>
      <c r="DA22" s="19">
        <f t="shared" si="46"/>
        <v>5.8000000000000003E-2</v>
      </c>
      <c r="DB22" s="16">
        <f t="shared" si="47"/>
        <v>13.11</v>
      </c>
    </row>
    <row r="23" spans="1:106" x14ac:dyDescent="0.2">
      <c r="A23" s="15">
        <f t="shared" si="48"/>
        <v>45675</v>
      </c>
      <c r="B23" s="1">
        <v>18</v>
      </c>
      <c r="C23" s="18">
        <v>3.9140000000000001</v>
      </c>
      <c r="D23" s="18">
        <v>2.5670000000000002</v>
      </c>
      <c r="E23" s="18">
        <v>-11.82</v>
      </c>
      <c r="F23" s="18">
        <v>87.1</v>
      </c>
      <c r="G23" s="18">
        <v>-11.62</v>
      </c>
      <c r="H23" s="18"/>
      <c r="I23" s="18">
        <v>0.76300000000000001</v>
      </c>
      <c r="J23" s="18">
        <v>0.55200000000000005</v>
      </c>
      <c r="K23" s="18">
        <v>1.1180000000000001</v>
      </c>
      <c r="L23" s="18">
        <v>1.6910000000000001</v>
      </c>
      <c r="M23" s="18">
        <v>5.8000000000000003E-2</v>
      </c>
      <c r="N23" s="18">
        <v>0</v>
      </c>
      <c r="O23" s="18">
        <v>2.5139999999999998</v>
      </c>
      <c r="P23" s="18">
        <v>-9.42</v>
      </c>
      <c r="Q23" s="18">
        <v>92.4</v>
      </c>
      <c r="R23" s="18">
        <v>-7.8579999999999997</v>
      </c>
      <c r="S23" s="18"/>
      <c r="T23" s="18">
        <v>0.85399999999999998</v>
      </c>
      <c r="U23" s="18">
        <v>0.66100000000000003</v>
      </c>
      <c r="V23" s="18">
        <v>1.1890000000000001</v>
      </c>
      <c r="W23" s="18">
        <v>1.764</v>
      </c>
      <c r="X23" s="18">
        <v>2.66</v>
      </c>
      <c r="Y23" s="18">
        <v>-15.25</v>
      </c>
      <c r="Z23" s="18">
        <v>79.099999999999994</v>
      </c>
      <c r="AA23" s="18">
        <v>-15.27</v>
      </c>
      <c r="AB23" s="18"/>
      <c r="AC23" s="18">
        <v>0.67700000000000005</v>
      </c>
      <c r="AD23" s="18">
        <v>0.47199999999999998</v>
      </c>
      <c r="AE23" s="18">
        <v>1.0409999999999999</v>
      </c>
      <c r="AF23" s="18">
        <v>1.62</v>
      </c>
      <c r="AG23" s="18">
        <v>241</v>
      </c>
      <c r="AH23" s="18">
        <v>272</v>
      </c>
      <c r="AI23" s="18">
        <v>448</v>
      </c>
      <c r="AJ23" s="18">
        <v>187</v>
      </c>
      <c r="AK23" s="18">
        <v>474</v>
      </c>
      <c r="AL23" s="18">
        <v>467</v>
      </c>
      <c r="AM23" s="18">
        <v>282</v>
      </c>
      <c r="AN23" s="18">
        <v>170</v>
      </c>
      <c r="AO23" s="18">
        <v>2.5859999999999999</v>
      </c>
      <c r="AP23" s="18">
        <v>234</v>
      </c>
      <c r="AQ23" s="18">
        <v>-7.9240000000000004</v>
      </c>
      <c r="AR23" s="18">
        <v>-6.7309999999999999</v>
      </c>
      <c r="AS23" s="18">
        <v>-10.26</v>
      </c>
      <c r="AT23" s="18">
        <v>4.0000000000000001E-3</v>
      </c>
      <c r="AU23" s="18">
        <v>-3.0000000000000001E-3</v>
      </c>
      <c r="AV23" s="18">
        <v>13.22</v>
      </c>
      <c r="AW23" s="18">
        <v>2876</v>
      </c>
      <c r="AX23" s="4"/>
      <c r="AY23" s="12">
        <f t="shared" si="0"/>
        <v>726.00000000000045</v>
      </c>
      <c r="AZ23" s="12"/>
      <c r="BA23" s="16">
        <v>5.72</v>
      </c>
      <c r="BB23" s="41">
        <v>3.91</v>
      </c>
      <c r="BC23" s="41">
        <v>2.36</v>
      </c>
      <c r="BD23" s="8">
        <f t="shared" si="1"/>
        <v>0.6035805626598465</v>
      </c>
      <c r="BE23" s="8"/>
      <c r="BF23" s="2">
        <f t="shared" si="26"/>
        <v>92.4</v>
      </c>
      <c r="BG23" s="2">
        <f t="shared" si="27"/>
        <v>87.1</v>
      </c>
      <c r="BH23" s="2">
        <f t="shared" si="28"/>
        <v>79.099999999999994</v>
      </c>
      <c r="BI23" s="35">
        <f t="shared" si="2"/>
        <v>0.23599999999999999</v>
      </c>
      <c r="BJ23" s="35">
        <f t="shared" si="3"/>
        <v>6.2E-2</v>
      </c>
      <c r="BL23" s="3">
        <f t="shared" si="4"/>
        <v>2541</v>
      </c>
      <c r="BM23" s="19">
        <f t="shared" si="5"/>
        <v>9.5000000000000001E-2</v>
      </c>
      <c r="BN23" s="19">
        <f t="shared" si="6"/>
        <v>0.107</v>
      </c>
      <c r="BO23" s="19">
        <f t="shared" si="7"/>
        <v>0.17599999999999999</v>
      </c>
      <c r="BP23" s="19">
        <f t="shared" si="8"/>
        <v>7.3999999999999996E-2</v>
      </c>
      <c r="BQ23" s="19">
        <f t="shared" si="9"/>
        <v>0.187</v>
      </c>
      <c r="BR23" s="19">
        <f t="shared" si="10"/>
        <v>0.184</v>
      </c>
      <c r="BS23" s="19">
        <f t="shared" si="11"/>
        <v>0.111</v>
      </c>
      <c r="BT23" s="19">
        <f t="shared" si="12"/>
        <v>6.7000000000000004E-2</v>
      </c>
      <c r="BV23" s="16">
        <f t="shared" si="13"/>
        <v>3.91</v>
      </c>
      <c r="BW23" s="16">
        <f t="shared" si="14"/>
        <v>2.36</v>
      </c>
      <c r="BX23" s="3">
        <f t="shared" si="15"/>
        <v>-11.8</v>
      </c>
      <c r="BY23" s="3">
        <f t="shared" si="16"/>
        <v>-11.6</v>
      </c>
      <c r="BZ23" s="3" t="s">
        <v>162</v>
      </c>
      <c r="CA23" s="3">
        <f t="shared" si="17"/>
        <v>0.8</v>
      </c>
      <c r="CB23" s="3">
        <f t="shared" si="18"/>
        <v>0.6</v>
      </c>
      <c r="CC23" s="3">
        <f t="shared" si="19"/>
        <v>1.1000000000000001</v>
      </c>
      <c r="CD23" s="3">
        <f t="shared" si="20"/>
        <v>1.7</v>
      </c>
      <c r="CE23" s="22">
        <f t="shared" si="29"/>
        <v>87.1</v>
      </c>
      <c r="CF23" s="1">
        <f t="shared" si="30"/>
        <v>-9.4</v>
      </c>
      <c r="CG23" s="1">
        <f t="shared" si="31"/>
        <v>-7.9</v>
      </c>
      <c r="CH23" s="3" t="s">
        <v>162</v>
      </c>
      <c r="CI23" s="1">
        <f t="shared" si="32"/>
        <v>0.9</v>
      </c>
      <c r="CJ23" s="1">
        <f t="shared" si="33"/>
        <v>0.7</v>
      </c>
      <c r="CK23" s="1">
        <f t="shared" si="34"/>
        <v>1.2</v>
      </c>
      <c r="CL23" s="1">
        <f t="shared" si="35"/>
        <v>1.8</v>
      </c>
      <c r="CM23" s="2">
        <f t="shared" si="36"/>
        <v>92.4</v>
      </c>
      <c r="CN23" s="1">
        <f t="shared" si="37"/>
        <v>-15.3</v>
      </c>
      <c r="CO23" s="1">
        <f t="shared" si="38"/>
        <v>-15.3</v>
      </c>
      <c r="CP23" s="3" t="s">
        <v>162</v>
      </c>
      <c r="CQ23" s="1">
        <f t="shared" si="39"/>
        <v>0.7</v>
      </c>
      <c r="CR23" s="1">
        <f t="shared" si="40"/>
        <v>0.5</v>
      </c>
      <c r="CS23" s="1">
        <f t="shared" si="41"/>
        <v>1</v>
      </c>
      <c r="CT23" s="1">
        <f t="shared" si="42"/>
        <v>1.6</v>
      </c>
      <c r="CU23" s="2">
        <f t="shared" si="43"/>
        <v>79.099999999999994</v>
      </c>
      <c r="CV23" s="14">
        <f t="shared" si="44"/>
        <v>726.00000000000045</v>
      </c>
      <c r="CW23" s="1">
        <f>ROUND(PPTest!K23,1)</f>
        <v>0</v>
      </c>
      <c r="CX23" s="3">
        <f t="shared" si="25"/>
        <v>0.06</v>
      </c>
      <c r="CY23" s="3">
        <f t="shared" si="45"/>
        <v>2.66</v>
      </c>
      <c r="CZ23" s="19">
        <f t="shared" si="46"/>
        <v>0.23599999999999999</v>
      </c>
      <c r="DA23" s="19">
        <f t="shared" si="46"/>
        <v>6.2E-2</v>
      </c>
      <c r="DB23" s="16">
        <f t="shared" si="47"/>
        <v>13.22</v>
      </c>
    </row>
    <row r="24" spans="1:106" x14ac:dyDescent="0.2">
      <c r="A24" s="15">
        <f t="shared" si="48"/>
        <v>45676</v>
      </c>
      <c r="B24" s="1">
        <v>19</v>
      </c>
      <c r="C24" s="18">
        <v>4.5659999999999998</v>
      </c>
      <c r="D24" s="18">
        <v>2.738</v>
      </c>
      <c r="E24" s="18">
        <v>-13.43</v>
      </c>
      <c r="F24" s="18">
        <v>87.1</v>
      </c>
      <c r="G24" s="18">
        <v>-13.26</v>
      </c>
      <c r="H24" s="18"/>
      <c r="I24" s="18">
        <v>0.74399999999999999</v>
      </c>
      <c r="J24" s="18">
        <v>0.53400000000000003</v>
      </c>
      <c r="K24" s="18">
        <v>1.0980000000000001</v>
      </c>
      <c r="L24" s="18">
        <v>1.6719999999999999</v>
      </c>
      <c r="M24" s="18">
        <v>1.0999999999999999E-2</v>
      </c>
      <c r="N24" s="18">
        <v>0</v>
      </c>
      <c r="O24" s="18">
        <v>2.5150000000000001</v>
      </c>
      <c r="P24" s="18">
        <v>-9.34</v>
      </c>
      <c r="Q24" s="18">
        <v>91.5</v>
      </c>
      <c r="R24" s="18">
        <v>-6.875</v>
      </c>
      <c r="S24" s="18"/>
      <c r="T24" s="18">
        <v>0.85299999999999998</v>
      </c>
      <c r="U24" s="18">
        <v>0.63300000000000001</v>
      </c>
      <c r="V24" s="18">
        <v>1.196</v>
      </c>
      <c r="W24" s="18">
        <v>1.7829999999999999</v>
      </c>
      <c r="X24" s="18">
        <v>2.2599999999999998</v>
      </c>
      <c r="Y24" s="18">
        <v>-18.510000000000002</v>
      </c>
      <c r="Z24" s="18">
        <v>77.5</v>
      </c>
      <c r="AA24" s="18">
        <v>-18.93</v>
      </c>
      <c r="AB24" s="18"/>
      <c r="AC24" s="18">
        <v>0.66500000000000004</v>
      </c>
      <c r="AD24" s="18">
        <v>0.436</v>
      </c>
      <c r="AE24" s="18">
        <v>1.0189999999999999</v>
      </c>
      <c r="AF24" s="18">
        <v>1.5880000000000001</v>
      </c>
      <c r="AG24" s="18">
        <v>264</v>
      </c>
      <c r="AH24" s="18">
        <v>320</v>
      </c>
      <c r="AI24" s="18">
        <v>385</v>
      </c>
      <c r="AJ24" s="18">
        <v>149</v>
      </c>
      <c r="AK24" s="18">
        <v>309</v>
      </c>
      <c r="AL24" s="18">
        <v>435</v>
      </c>
      <c r="AM24" s="18">
        <v>174</v>
      </c>
      <c r="AN24" s="18">
        <v>267</v>
      </c>
      <c r="AO24" s="18">
        <v>2.5760000000000001</v>
      </c>
      <c r="AP24" s="18">
        <v>189</v>
      </c>
      <c r="AQ24" s="18">
        <v>-10.38</v>
      </c>
      <c r="AR24" s="18">
        <v>-9.1199999999999992</v>
      </c>
      <c r="AS24" s="18">
        <v>-12.46</v>
      </c>
      <c r="AT24" s="18">
        <v>5.0000000000000001E-3</v>
      </c>
      <c r="AU24" s="18">
        <v>-3.0000000000000001E-3</v>
      </c>
      <c r="AV24" s="18">
        <v>13.23</v>
      </c>
      <c r="AW24" s="18">
        <v>2876</v>
      </c>
      <c r="AX24" s="4"/>
      <c r="AY24" s="12">
        <f t="shared" si="0"/>
        <v>725.00000000000011</v>
      </c>
      <c r="AZ24" s="12"/>
      <c r="BA24" s="16">
        <v>5.82</v>
      </c>
      <c r="BB24" s="41">
        <v>4.57</v>
      </c>
      <c r="BC24" s="41">
        <v>2.52</v>
      </c>
      <c r="BD24" s="8">
        <f t="shared" si="1"/>
        <v>0.55142231947483589</v>
      </c>
      <c r="BE24" s="8"/>
      <c r="BF24" s="2">
        <f t="shared" si="26"/>
        <v>91.5</v>
      </c>
      <c r="BG24" s="2">
        <f t="shared" si="27"/>
        <v>87.1</v>
      </c>
      <c r="BH24" s="2">
        <f t="shared" si="28"/>
        <v>77.5</v>
      </c>
      <c r="BI24" s="35">
        <f t="shared" si="2"/>
        <v>0.23300000000000001</v>
      </c>
      <c r="BJ24" s="35">
        <f t="shared" si="3"/>
        <v>6.8000000000000005E-2</v>
      </c>
      <c r="BL24" s="3">
        <f t="shared" si="4"/>
        <v>2303</v>
      </c>
      <c r="BM24" s="19">
        <f t="shared" si="5"/>
        <v>0.115</v>
      </c>
      <c r="BN24" s="19">
        <f t="shared" si="6"/>
        <v>0.13900000000000001</v>
      </c>
      <c r="BO24" s="19">
        <f t="shared" si="7"/>
        <v>0.16700000000000001</v>
      </c>
      <c r="BP24" s="19">
        <f t="shared" si="8"/>
        <v>6.5000000000000002E-2</v>
      </c>
      <c r="BQ24" s="19">
        <f t="shared" si="9"/>
        <v>0.13400000000000001</v>
      </c>
      <c r="BR24" s="19">
        <f t="shared" si="10"/>
        <v>0.189</v>
      </c>
      <c r="BS24" s="19">
        <f t="shared" si="11"/>
        <v>7.5999999999999998E-2</v>
      </c>
      <c r="BT24" s="19">
        <f t="shared" si="12"/>
        <v>0.11600000000000001</v>
      </c>
      <c r="BV24" s="16">
        <f t="shared" si="13"/>
        <v>4.57</v>
      </c>
      <c r="BW24" s="16">
        <f t="shared" si="14"/>
        <v>2.52</v>
      </c>
      <c r="BX24" s="3">
        <f t="shared" si="15"/>
        <v>-13.4</v>
      </c>
      <c r="BY24" s="3">
        <f t="shared" si="16"/>
        <v>-13.3</v>
      </c>
      <c r="BZ24" s="3" t="s">
        <v>162</v>
      </c>
      <c r="CA24" s="3">
        <f t="shared" si="17"/>
        <v>0.7</v>
      </c>
      <c r="CB24" s="3">
        <f t="shared" si="18"/>
        <v>0.5</v>
      </c>
      <c r="CC24" s="3">
        <f t="shared" si="19"/>
        <v>1.1000000000000001</v>
      </c>
      <c r="CD24" s="3">
        <f t="shared" si="20"/>
        <v>1.7</v>
      </c>
      <c r="CE24" s="22">
        <f t="shared" si="29"/>
        <v>87.1</v>
      </c>
      <c r="CF24" s="1">
        <f t="shared" si="30"/>
        <v>-9.3000000000000007</v>
      </c>
      <c r="CG24" s="1">
        <f t="shared" si="31"/>
        <v>-6.9</v>
      </c>
      <c r="CH24" s="3" t="s">
        <v>162</v>
      </c>
      <c r="CI24" s="1">
        <f t="shared" si="32"/>
        <v>0.9</v>
      </c>
      <c r="CJ24" s="1">
        <f t="shared" si="33"/>
        <v>0.6</v>
      </c>
      <c r="CK24" s="1">
        <f t="shared" si="34"/>
        <v>1.2</v>
      </c>
      <c r="CL24" s="1">
        <f t="shared" si="35"/>
        <v>1.8</v>
      </c>
      <c r="CM24" s="2">
        <f t="shared" si="36"/>
        <v>91.5</v>
      </c>
      <c r="CN24" s="1">
        <f t="shared" si="37"/>
        <v>-18.5</v>
      </c>
      <c r="CO24" s="1">
        <f t="shared" si="38"/>
        <v>-18.899999999999999</v>
      </c>
      <c r="CP24" s="3" t="s">
        <v>162</v>
      </c>
      <c r="CQ24" s="1">
        <f t="shared" si="39"/>
        <v>0.7</v>
      </c>
      <c r="CR24" s="1">
        <f t="shared" si="40"/>
        <v>0.4</v>
      </c>
      <c r="CS24" s="1">
        <f t="shared" si="41"/>
        <v>1</v>
      </c>
      <c r="CT24" s="1">
        <f t="shared" si="42"/>
        <v>1.6</v>
      </c>
      <c r="CU24" s="2">
        <f t="shared" si="43"/>
        <v>77.5</v>
      </c>
      <c r="CV24" s="14">
        <f t="shared" si="44"/>
        <v>725.00000000000011</v>
      </c>
      <c r="CW24" s="1">
        <f>ROUND(PPTest!K24,1)</f>
        <v>0</v>
      </c>
      <c r="CX24" s="3">
        <f t="shared" si="25"/>
        <v>0.01</v>
      </c>
      <c r="CY24" s="3">
        <f t="shared" si="45"/>
        <v>2.2599999999999998</v>
      </c>
      <c r="CZ24" s="19">
        <f t="shared" si="46"/>
        <v>0.23300000000000001</v>
      </c>
      <c r="DA24" s="19">
        <f t="shared" si="46"/>
        <v>6.8000000000000005E-2</v>
      </c>
      <c r="DB24" s="16">
        <f t="shared" si="47"/>
        <v>13.23</v>
      </c>
    </row>
    <row r="25" spans="1:106" x14ac:dyDescent="0.2">
      <c r="A25" s="15">
        <f t="shared" si="48"/>
        <v>45677</v>
      </c>
      <c r="B25" s="1">
        <v>20</v>
      </c>
      <c r="C25" s="18">
        <v>4.7709999999999999</v>
      </c>
      <c r="D25" s="18">
        <v>3.121</v>
      </c>
      <c r="E25" s="18">
        <v>-12.72</v>
      </c>
      <c r="F25" s="18">
        <v>86.9</v>
      </c>
      <c r="G25" s="18">
        <v>-12.43</v>
      </c>
      <c r="H25" s="18"/>
      <c r="I25" s="18">
        <v>0.747</v>
      </c>
      <c r="J25" s="18">
        <v>0.52600000000000002</v>
      </c>
      <c r="K25" s="18">
        <v>1.0940000000000001</v>
      </c>
      <c r="L25" s="18">
        <v>1.67</v>
      </c>
      <c r="M25" s="18">
        <v>1E-3</v>
      </c>
      <c r="N25" s="18">
        <v>0</v>
      </c>
      <c r="O25" s="18">
        <v>2.5169999999999999</v>
      </c>
      <c r="P25" s="18">
        <v>-8.74</v>
      </c>
      <c r="Q25" s="18">
        <v>92.5</v>
      </c>
      <c r="R25" s="18">
        <v>-7.3250000000000002</v>
      </c>
      <c r="S25" s="18"/>
      <c r="T25" s="18">
        <v>0.84599999999999997</v>
      </c>
      <c r="U25" s="18">
        <v>0.64</v>
      </c>
      <c r="V25" s="18">
        <v>1.1819999999999999</v>
      </c>
      <c r="W25" s="18">
        <v>1.754</v>
      </c>
      <c r="X25" s="18">
        <v>0.98</v>
      </c>
      <c r="Y25" s="18">
        <v>-15.12</v>
      </c>
      <c r="Z25" s="18">
        <v>76.260000000000005</v>
      </c>
      <c r="AA25" s="18">
        <v>-15.22</v>
      </c>
      <c r="AB25" s="18"/>
      <c r="AC25" s="18">
        <v>0.66500000000000004</v>
      </c>
      <c r="AD25" s="18">
        <v>0.435</v>
      </c>
      <c r="AE25" s="18">
        <v>1.0229999999999999</v>
      </c>
      <c r="AF25" s="18">
        <v>1.589</v>
      </c>
      <c r="AG25" s="18">
        <v>276</v>
      </c>
      <c r="AH25" s="18">
        <v>497</v>
      </c>
      <c r="AI25" s="18">
        <v>680</v>
      </c>
      <c r="AJ25" s="18">
        <v>264</v>
      </c>
      <c r="AK25" s="18">
        <v>350</v>
      </c>
      <c r="AL25" s="18">
        <v>318</v>
      </c>
      <c r="AM25" s="18">
        <v>174</v>
      </c>
      <c r="AN25" s="18">
        <v>194</v>
      </c>
      <c r="AO25" s="18">
        <v>2.585</v>
      </c>
      <c r="AP25" s="18">
        <v>203</v>
      </c>
      <c r="AQ25" s="18">
        <v>-9.48</v>
      </c>
      <c r="AR25" s="18">
        <v>-8.08</v>
      </c>
      <c r="AS25" s="18">
        <v>-10.23</v>
      </c>
      <c r="AT25" s="18">
        <v>5.0000000000000001E-3</v>
      </c>
      <c r="AU25" s="18">
        <v>-4.0000000000000001E-3</v>
      </c>
      <c r="AV25" s="18">
        <v>13.26</v>
      </c>
      <c r="AW25" s="18">
        <v>2876</v>
      </c>
      <c r="AX25" s="4"/>
      <c r="AY25" s="12">
        <f t="shared" si="0"/>
        <v>723.00000000000034</v>
      </c>
      <c r="AZ25" s="12"/>
      <c r="BA25" s="16">
        <v>5.92</v>
      </c>
      <c r="BB25" s="41">
        <v>4.7699999999999996</v>
      </c>
      <c r="BC25" s="41">
        <v>2.87</v>
      </c>
      <c r="BD25" s="8">
        <f t="shared" si="1"/>
        <v>0.60167714884696022</v>
      </c>
      <c r="BE25" s="8"/>
      <c r="BF25" s="2">
        <f t="shared" si="26"/>
        <v>92.5</v>
      </c>
      <c r="BG25" s="2">
        <f t="shared" si="27"/>
        <v>86.9</v>
      </c>
      <c r="BH25" s="2">
        <f t="shared" si="28"/>
        <v>76.3</v>
      </c>
      <c r="BI25" s="35">
        <f t="shared" si="2"/>
        <v>0.24099999999999999</v>
      </c>
      <c r="BJ25" s="35">
        <f t="shared" si="3"/>
        <v>7.4999999999999997E-2</v>
      </c>
      <c r="BL25" s="3">
        <f t="shared" si="4"/>
        <v>2753</v>
      </c>
      <c r="BM25" s="19">
        <f t="shared" si="5"/>
        <v>0.1</v>
      </c>
      <c r="BN25" s="19">
        <f t="shared" si="6"/>
        <v>0.18099999999999999</v>
      </c>
      <c r="BO25" s="19">
        <f t="shared" si="7"/>
        <v>0.247</v>
      </c>
      <c r="BP25" s="19">
        <f t="shared" si="8"/>
        <v>9.6000000000000002E-2</v>
      </c>
      <c r="BQ25" s="19">
        <f t="shared" si="9"/>
        <v>0.127</v>
      </c>
      <c r="BR25" s="19">
        <f t="shared" si="10"/>
        <v>0.11600000000000001</v>
      </c>
      <c r="BS25" s="19">
        <f t="shared" si="11"/>
        <v>6.3E-2</v>
      </c>
      <c r="BT25" s="19">
        <f t="shared" si="12"/>
        <v>7.0000000000000007E-2</v>
      </c>
      <c r="BV25" s="16">
        <f t="shared" si="13"/>
        <v>4.7699999999999996</v>
      </c>
      <c r="BW25" s="16">
        <f t="shared" si="14"/>
        <v>2.87</v>
      </c>
      <c r="BX25" s="3">
        <f t="shared" si="15"/>
        <v>-12.7</v>
      </c>
      <c r="BY25" s="3">
        <f t="shared" si="16"/>
        <v>-12.4</v>
      </c>
      <c r="BZ25" s="3" t="s">
        <v>162</v>
      </c>
      <c r="CA25" s="3">
        <f t="shared" si="17"/>
        <v>0.7</v>
      </c>
      <c r="CB25" s="3">
        <f t="shared" si="18"/>
        <v>0.5</v>
      </c>
      <c r="CC25" s="3">
        <f t="shared" si="19"/>
        <v>1.1000000000000001</v>
      </c>
      <c r="CD25" s="3">
        <f t="shared" si="20"/>
        <v>1.7</v>
      </c>
      <c r="CE25" s="22">
        <f t="shared" si="29"/>
        <v>86.9</v>
      </c>
      <c r="CF25" s="1">
        <f t="shared" si="30"/>
        <v>-8.6999999999999993</v>
      </c>
      <c r="CG25" s="1">
        <f t="shared" si="31"/>
        <v>-7.3</v>
      </c>
      <c r="CH25" s="3" t="s">
        <v>162</v>
      </c>
      <c r="CI25" s="1">
        <f t="shared" si="32"/>
        <v>0.8</v>
      </c>
      <c r="CJ25" s="1">
        <f t="shared" si="33"/>
        <v>0.6</v>
      </c>
      <c r="CK25" s="1">
        <f t="shared" si="34"/>
        <v>1.2</v>
      </c>
      <c r="CL25" s="1">
        <f t="shared" si="35"/>
        <v>1.8</v>
      </c>
      <c r="CM25" s="2">
        <f t="shared" si="36"/>
        <v>92.5</v>
      </c>
      <c r="CN25" s="1">
        <f t="shared" si="37"/>
        <v>-15.1</v>
      </c>
      <c r="CO25" s="1">
        <f t="shared" si="38"/>
        <v>-15.2</v>
      </c>
      <c r="CP25" s="3" t="s">
        <v>162</v>
      </c>
      <c r="CQ25" s="1">
        <f t="shared" si="39"/>
        <v>0.7</v>
      </c>
      <c r="CR25" s="1">
        <f t="shared" si="40"/>
        <v>0.4</v>
      </c>
      <c r="CS25" s="1">
        <f t="shared" si="41"/>
        <v>1</v>
      </c>
      <c r="CT25" s="1">
        <f t="shared" si="42"/>
        <v>1.6</v>
      </c>
      <c r="CU25" s="2">
        <f t="shared" si="43"/>
        <v>76.3</v>
      </c>
      <c r="CV25" s="14">
        <f t="shared" si="44"/>
        <v>723.00000000000034</v>
      </c>
      <c r="CW25" s="1">
        <f>ROUND(PPTest!K25,1)</f>
        <v>0</v>
      </c>
      <c r="CX25" s="3">
        <f t="shared" si="25"/>
        <v>0</v>
      </c>
      <c r="CY25" s="3">
        <f t="shared" si="45"/>
        <v>0.98</v>
      </c>
      <c r="CZ25" s="19">
        <f t="shared" si="46"/>
        <v>0.24099999999999999</v>
      </c>
      <c r="DA25" s="19">
        <f t="shared" si="46"/>
        <v>7.4999999999999997E-2</v>
      </c>
      <c r="DB25" s="16">
        <f t="shared" si="47"/>
        <v>13.26</v>
      </c>
    </row>
    <row r="26" spans="1:106" x14ac:dyDescent="0.2">
      <c r="A26" s="15">
        <f t="shared" si="48"/>
        <v>45678</v>
      </c>
      <c r="B26" s="1">
        <v>21</v>
      </c>
      <c r="C26" s="18">
        <v>0.69699999999999995</v>
      </c>
      <c r="D26" s="18">
        <v>1.008</v>
      </c>
      <c r="E26" s="18">
        <v>-11.3</v>
      </c>
      <c r="F26" s="18">
        <v>89.7</v>
      </c>
      <c r="G26" s="18">
        <v>-11.14</v>
      </c>
      <c r="H26" s="18"/>
      <c r="I26" s="18">
        <v>0.746</v>
      </c>
      <c r="J26" s="18">
        <v>0.50600000000000001</v>
      </c>
      <c r="K26" s="18">
        <v>1.0840000000000001</v>
      </c>
      <c r="L26" s="18">
        <v>1.66</v>
      </c>
      <c r="M26" s="18">
        <v>1E-3</v>
      </c>
      <c r="N26" s="18">
        <v>0</v>
      </c>
      <c r="O26" s="52">
        <v>2.52</v>
      </c>
      <c r="P26" s="18">
        <v>-8.33</v>
      </c>
      <c r="Q26" s="18">
        <v>92.2</v>
      </c>
      <c r="R26" s="18">
        <v>-7.899</v>
      </c>
      <c r="S26" s="18"/>
      <c r="T26" s="18">
        <v>0.83199999999999996</v>
      </c>
      <c r="U26" s="18">
        <v>0.59399999999999997</v>
      </c>
      <c r="V26" s="18">
        <v>1.161</v>
      </c>
      <c r="W26" s="18">
        <v>1.7350000000000001</v>
      </c>
      <c r="X26" s="18">
        <v>0.82</v>
      </c>
      <c r="Y26" s="18">
        <v>-16.48</v>
      </c>
      <c r="Z26" s="18">
        <v>86.3</v>
      </c>
      <c r="AA26" s="18">
        <v>-17.41</v>
      </c>
      <c r="AB26" s="18"/>
      <c r="AC26" s="18">
        <v>0.65900000000000003</v>
      </c>
      <c r="AD26" s="18">
        <v>0.40400000000000003</v>
      </c>
      <c r="AE26" s="18">
        <v>0.99</v>
      </c>
      <c r="AF26" s="18">
        <v>1.583</v>
      </c>
      <c r="AG26" s="18">
        <v>209</v>
      </c>
      <c r="AH26" s="18">
        <v>289</v>
      </c>
      <c r="AI26" s="18">
        <v>253</v>
      </c>
      <c r="AJ26" s="18">
        <v>140</v>
      </c>
      <c r="AK26" s="18">
        <v>458</v>
      </c>
      <c r="AL26" s="18">
        <v>615</v>
      </c>
      <c r="AM26" s="18">
        <v>390</v>
      </c>
      <c r="AN26" s="18">
        <v>313</v>
      </c>
      <c r="AO26" s="18">
        <v>0</v>
      </c>
      <c r="AP26" s="18">
        <v>0</v>
      </c>
      <c r="AQ26" s="18">
        <v>-8.98</v>
      </c>
      <c r="AR26" s="18">
        <v>-7.5940000000000003</v>
      </c>
      <c r="AS26" s="18">
        <v>-10.65</v>
      </c>
      <c r="AT26" s="18">
        <v>4.0000000000000001E-3</v>
      </c>
      <c r="AU26" s="18">
        <v>-3.0000000000000001E-3</v>
      </c>
      <c r="AV26" s="18">
        <v>13.16</v>
      </c>
      <c r="AW26" s="18">
        <v>2876</v>
      </c>
      <c r="AX26" s="4"/>
      <c r="AY26" s="12">
        <f t="shared" si="0"/>
        <v>720.00000000000023</v>
      </c>
      <c r="AZ26" s="12"/>
      <c r="BA26" s="16">
        <v>6.02</v>
      </c>
      <c r="BB26" s="41">
        <v>1.01</v>
      </c>
      <c r="BC26" s="41">
        <v>0.93</v>
      </c>
      <c r="BD26" s="8">
        <f t="shared" si="1"/>
        <v>0.92079207920792083</v>
      </c>
      <c r="BE26" s="8"/>
      <c r="BF26" s="2">
        <f t="shared" si="26"/>
        <v>92.2</v>
      </c>
      <c r="BG26" s="2">
        <f t="shared" si="27"/>
        <v>89.7</v>
      </c>
      <c r="BH26" s="2">
        <f t="shared" si="28"/>
        <v>86.3</v>
      </c>
      <c r="BI26" s="35">
        <f t="shared" si="2"/>
        <v>0.28100000000000003</v>
      </c>
      <c r="BJ26" s="35">
        <f t="shared" si="3"/>
        <v>4.4999999999999998E-2</v>
      </c>
      <c r="BL26" s="3">
        <f t="shared" si="4"/>
        <v>2667</v>
      </c>
      <c r="BM26" s="19">
        <f t="shared" si="5"/>
        <v>7.8E-2</v>
      </c>
      <c r="BN26" s="19">
        <f t="shared" si="6"/>
        <v>0.108</v>
      </c>
      <c r="BO26" s="19">
        <f t="shared" si="7"/>
        <v>9.5000000000000001E-2</v>
      </c>
      <c r="BP26" s="19">
        <f t="shared" si="8"/>
        <v>5.1999999999999998E-2</v>
      </c>
      <c r="BQ26" s="19">
        <f t="shared" si="9"/>
        <v>0.17199999999999999</v>
      </c>
      <c r="BR26" s="19">
        <f t="shared" si="10"/>
        <v>0.23100000000000001</v>
      </c>
      <c r="BS26" s="19">
        <f t="shared" si="11"/>
        <v>0.14599999999999999</v>
      </c>
      <c r="BT26" s="19">
        <f t="shared" si="12"/>
        <v>0.11700000000000001</v>
      </c>
      <c r="BV26" s="16">
        <f t="shared" si="13"/>
        <v>1.01</v>
      </c>
      <c r="BW26" s="16">
        <f t="shared" si="14"/>
        <v>0.93</v>
      </c>
      <c r="BX26" s="3">
        <f t="shared" si="15"/>
        <v>-11.3</v>
      </c>
      <c r="BY26" s="3">
        <f t="shared" si="16"/>
        <v>-11.1</v>
      </c>
      <c r="BZ26" s="3" t="s">
        <v>162</v>
      </c>
      <c r="CA26" s="3">
        <f t="shared" si="17"/>
        <v>0.7</v>
      </c>
      <c r="CB26" s="3">
        <f t="shared" si="18"/>
        <v>0.5</v>
      </c>
      <c r="CC26" s="3">
        <f t="shared" si="19"/>
        <v>1.1000000000000001</v>
      </c>
      <c r="CD26" s="3">
        <f t="shared" si="20"/>
        <v>1.7</v>
      </c>
      <c r="CE26" s="22">
        <f t="shared" si="29"/>
        <v>89.7</v>
      </c>
      <c r="CF26" s="1">
        <f t="shared" si="30"/>
        <v>-8.3000000000000007</v>
      </c>
      <c r="CG26" s="1">
        <f t="shared" si="31"/>
        <v>-7.9</v>
      </c>
      <c r="CH26" s="3" t="s">
        <v>162</v>
      </c>
      <c r="CI26" s="1">
        <f t="shared" si="32"/>
        <v>0.8</v>
      </c>
      <c r="CJ26" s="1">
        <f t="shared" si="33"/>
        <v>0.6</v>
      </c>
      <c r="CK26" s="1">
        <f t="shared" si="34"/>
        <v>1.2</v>
      </c>
      <c r="CL26" s="1">
        <f t="shared" si="35"/>
        <v>1.7</v>
      </c>
      <c r="CM26" s="2">
        <f t="shared" si="36"/>
        <v>92.2</v>
      </c>
      <c r="CN26" s="1">
        <f t="shared" si="37"/>
        <v>-16.5</v>
      </c>
      <c r="CO26" s="1">
        <f t="shared" si="38"/>
        <v>-17.399999999999999</v>
      </c>
      <c r="CP26" s="3" t="s">
        <v>162</v>
      </c>
      <c r="CQ26" s="1">
        <f t="shared" si="39"/>
        <v>0.7</v>
      </c>
      <c r="CR26" s="1">
        <f t="shared" si="40"/>
        <v>0.4</v>
      </c>
      <c r="CS26" s="1">
        <f t="shared" si="41"/>
        <v>1</v>
      </c>
      <c r="CT26" s="1">
        <f t="shared" si="42"/>
        <v>1.6</v>
      </c>
      <c r="CU26" s="2">
        <f t="shared" si="43"/>
        <v>86.3</v>
      </c>
      <c r="CV26" s="14">
        <f t="shared" si="44"/>
        <v>720.00000000000023</v>
      </c>
      <c r="CW26" s="1">
        <f>ROUND(PPTest!K26,1)</f>
        <v>0</v>
      </c>
      <c r="CX26" s="3">
        <f t="shared" si="25"/>
        <v>0</v>
      </c>
      <c r="CY26" s="3">
        <f t="shared" si="45"/>
        <v>0.82</v>
      </c>
      <c r="CZ26" s="19">
        <f t="shared" si="46"/>
        <v>0.28100000000000003</v>
      </c>
      <c r="DA26" s="19">
        <f t="shared" si="46"/>
        <v>4.4999999999999998E-2</v>
      </c>
      <c r="DB26" s="16">
        <f t="shared" si="47"/>
        <v>13.16</v>
      </c>
    </row>
    <row r="27" spans="1:106" x14ac:dyDescent="0.2">
      <c r="A27" s="15">
        <f t="shared" si="48"/>
        <v>45679</v>
      </c>
      <c r="B27" s="1">
        <v>22</v>
      </c>
      <c r="C27" s="18">
        <v>5.2389999999999999</v>
      </c>
      <c r="D27" s="18">
        <v>3.5960000000000001</v>
      </c>
      <c r="E27" s="18">
        <v>-13.64</v>
      </c>
      <c r="F27" s="18">
        <v>84.7</v>
      </c>
      <c r="G27" s="18">
        <v>-14</v>
      </c>
      <c r="H27" s="18"/>
      <c r="I27" s="18">
        <v>0.72</v>
      </c>
      <c r="J27" s="18">
        <v>0.46600000000000003</v>
      </c>
      <c r="K27" s="18">
        <v>1.069</v>
      </c>
      <c r="L27" s="18">
        <v>1.6559999999999999</v>
      </c>
      <c r="M27" s="18">
        <v>1E-3</v>
      </c>
      <c r="N27" s="18">
        <v>0</v>
      </c>
      <c r="O27" s="18">
        <v>2.5049999999999999</v>
      </c>
      <c r="P27" s="18">
        <v>-4.6459999999999999</v>
      </c>
      <c r="Q27" s="18">
        <v>90.6</v>
      </c>
      <c r="R27" s="18">
        <v>-1.4690000000000001</v>
      </c>
      <c r="S27" s="18"/>
      <c r="T27" s="18">
        <v>0.83399999999999996</v>
      </c>
      <c r="U27" s="18">
        <v>0.55400000000000005</v>
      </c>
      <c r="V27" s="18">
        <v>1.177</v>
      </c>
      <c r="W27" s="18">
        <v>1.7609999999999999</v>
      </c>
      <c r="X27" s="18">
        <v>0.68700000000000006</v>
      </c>
      <c r="Y27" s="18">
        <v>-21.23</v>
      </c>
      <c r="Z27" s="18">
        <v>73.36</v>
      </c>
      <c r="AA27" s="18">
        <v>-21.88</v>
      </c>
      <c r="AB27" s="18"/>
      <c r="AC27" s="18">
        <v>0.621</v>
      </c>
      <c r="AD27" s="18">
        <v>0.375</v>
      </c>
      <c r="AE27" s="18">
        <v>0.98699999999999999</v>
      </c>
      <c r="AF27" s="18">
        <v>1.5740000000000001</v>
      </c>
      <c r="AG27" s="18">
        <v>36</v>
      </c>
      <c r="AH27" s="18">
        <v>220</v>
      </c>
      <c r="AI27" s="18">
        <v>160</v>
      </c>
      <c r="AJ27" s="18">
        <v>29</v>
      </c>
      <c r="AK27" s="18">
        <v>240</v>
      </c>
      <c r="AL27" s="18">
        <v>189</v>
      </c>
      <c r="AM27" s="18">
        <v>34</v>
      </c>
      <c r="AN27" s="18">
        <v>5</v>
      </c>
      <c r="AO27" s="18">
        <v>2.569</v>
      </c>
      <c r="AP27" s="18">
        <v>226</v>
      </c>
      <c r="AQ27" s="18">
        <v>-11.91</v>
      </c>
      <c r="AR27" s="18">
        <v>-9.14</v>
      </c>
      <c r="AS27" s="18">
        <v>-15.62</v>
      </c>
      <c r="AT27" s="18">
        <v>5.0000000000000001E-3</v>
      </c>
      <c r="AU27" s="18">
        <v>-4.0000000000000001E-3</v>
      </c>
      <c r="AV27" s="18">
        <v>13.24</v>
      </c>
      <c r="AW27" s="18">
        <v>2876</v>
      </c>
      <c r="AX27" s="4"/>
      <c r="AY27" s="12">
        <f t="shared" si="0"/>
        <v>735.00000000000034</v>
      </c>
      <c r="AZ27" s="12"/>
      <c r="BA27" s="16">
        <v>6.13</v>
      </c>
      <c r="BB27" s="41">
        <v>5.24</v>
      </c>
      <c r="BC27" s="41">
        <v>3.31</v>
      </c>
      <c r="BD27" s="8">
        <f t="shared" si="1"/>
        <v>0.63167938931297707</v>
      </c>
      <c r="BE27" s="8"/>
      <c r="BF27" s="2">
        <f t="shared" si="26"/>
        <v>90.6</v>
      </c>
      <c r="BG27" s="2">
        <f t="shared" si="27"/>
        <v>84.7</v>
      </c>
      <c r="BH27" s="2">
        <f t="shared" si="28"/>
        <v>73.400000000000006</v>
      </c>
      <c r="BI27" s="35">
        <f t="shared" si="2"/>
        <v>0.317</v>
      </c>
      <c r="BJ27" s="35">
        <f t="shared" si="3"/>
        <v>0.115</v>
      </c>
      <c r="BL27" s="3">
        <f t="shared" si="4"/>
        <v>913</v>
      </c>
      <c r="BM27" s="19">
        <f t="shared" si="5"/>
        <v>3.9E-2</v>
      </c>
      <c r="BN27" s="19">
        <f t="shared" si="6"/>
        <v>0.24099999999999999</v>
      </c>
      <c r="BO27" s="19">
        <f t="shared" si="7"/>
        <v>0.17499999999999999</v>
      </c>
      <c r="BP27" s="19">
        <f t="shared" si="8"/>
        <v>3.2000000000000001E-2</v>
      </c>
      <c r="BQ27" s="19">
        <f t="shared" si="9"/>
        <v>0.26300000000000001</v>
      </c>
      <c r="BR27" s="19">
        <f t="shared" si="10"/>
        <v>0.20699999999999999</v>
      </c>
      <c r="BS27" s="19">
        <f t="shared" si="11"/>
        <v>3.6999999999999998E-2</v>
      </c>
      <c r="BT27" s="19">
        <f t="shared" si="12"/>
        <v>5.0000000000000001E-3</v>
      </c>
      <c r="BV27" s="16">
        <f t="shared" si="13"/>
        <v>5.24</v>
      </c>
      <c r="BW27" s="16">
        <f t="shared" si="14"/>
        <v>3.31</v>
      </c>
      <c r="BX27" s="3">
        <f t="shared" si="15"/>
        <v>-13.6</v>
      </c>
      <c r="BY27" s="3">
        <f t="shared" si="16"/>
        <v>-14</v>
      </c>
      <c r="BZ27" s="3" t="s">
        <v>162</v>
      </c>
      <c r="CA27" s="3">
        <f t="shared" si="17"/>
        <v>0.7</v>
      </c>
      <c r="CB27" s="3">
        <f t="shared" si="18"/>
        <v>0.5</v>
      </c>
      <c r="CC27" s="3">
        <f t="shared" si="19"/>
        <v>1.1000000000000001</v>
      </c>
      <c r="CD27" s="3">
        <f t="shared" si="20"/>
        <v>1.7</v>
      </c>
      <c r="CE27" s="22">
        <f t="shared" si="29"/>
        <v>84.7</v>
      </c>
      <c r="CF27" s="1">
        <f t="shared" si="30"/>
        <v>-4.5999999999999996</v>
      </c>
      <c r="CG27" s="1">
        <f t="shared" si="31"/>
        <v>-1.5</v>
      </c>
      <c r="CH27" s="3" t="s">
        <v>162</v>
      </c>
      <c r="CI27" s="1">
        <f t="shared" si="32"/>
        <v>0.8</v>
      </c>
      <c r="CJ27" s="1">
        <f t="shared" si="33"/>
        <v>0.6</v>
      </c>
      <c r="CK27" s="1">
        <f t="shared" si="34"/>
        <v>1.2</v>
      </c>
      <c r="CL27" s="1">
        <f t="shared" si="35"/>
        <v>1.8</v>
      </c>
      <c r="CM27" s="2">
        <f t="shared" si="36"/>
        <v>90.6</v>
      </c>
      <c r="CN27" s="1">
        <f t="shared" si="37"/>
        <v>-21.2</v>
      </c>
      <c r="CO27" s="1">
        <f t="shared" si="38"/>
        <v>-21.9</v>
      </c>
      <c r="CP27" s="3" t="s">
        <v>162</v>
      </c>
      <c r="CQ27" s="1">
        <f t="shared" si="39"/>
        <v>0.6</v>
      </c>
      <c r="CR27" s="1">
        <f t="shared" si="40"/>
        <v>0.4</v>
      </c>
      <c r="CS27" s="1">
        <f t="shared" si="41"/>
        <v>1</v>
      </c>
      <c r="CT27" s="1">
        <f t="shared" si="42"/>
        <v>1.6</v>
      </c>
      <c r="CU27" s="2">
        <f t="shared" si="43"/>
        <v>73.400000000000006</v>
      </c>
      <c r="CV27" s="14">
        <f t="shared" si="44"/>
        <v>735.00000000000034</v>
      </c>
      <c r="CW27" s="1">
        <f>ROUND(PPTest!K27,1)</f>
        <v>2</v>
      </c>
      <c r="CX27" s="3">
        <f t="shared" si="25"/>
        <v>0</v>
      </c>
      <c r="CY27" s="3">
        <f t="shared" si="45"/>
        <v>0.69</v>
      </c>
      <c r="CZ27" s="19">
        <f t="shared" si="46"/>
        <v>0.317</v>
      </c>
      <c r="DA27" s="19">
        <f t="shared" si="46"/>
        <v>0.115</v>
      </c>
      <c r="DB27" s="16">
        <f t="shared" si="47"/>
        <v>13.24</v>
      </c>
    </row>
    <row r="28" spans="1:106" x14ac:dyDescent="0.2">
      <c r="A28" s="15">
        <f t="shared" si="48"/>
        <v>45680</v>
      </c>
      <c r="B28" s="1">
        <v>23</v>
      </c>
      <c r="C28" s="18">
        <v>0.66800000000000004</v>
      </c>
      <c r="D28" s="18">
        <v>1.1399999999999999</v>
      </c>
      <c r="E28" s="18">
        <v>-8.7200000000000006</v>
      </c>
      <c r="F28" s="18">
        <v>91</v>
      </c>
      <c r="G28" s="18">
        <v>-8.4499999999999993</v>
      </c>
      <c r="H28" s="18"/>
      <c r="I28" s="18">
        <v>0.74</v>
      </c>
      <c r="J28" s="18">
        <v>0.45900000000000002</v>
      </c>
      <c r="K28" s="18">
        <v>1.054</v>
      </c>
      <c r="L28" s="18">
        <v>1.645</v>
      </c>
      <c r="M28" s="18">
        <v>4.0000000000000001E-3</v>
      </c>
      <c r="N28" s="18">
        <v>0</v>
      </c>
      <c r="O28" s="18">
        <v>2.4630000000000001</v>
      </c>
      <c r="P28" s="18">
        <v>-6.0209999999999999</v>
      </c>
      <c r="Q28" s="18">
        <v>94.5</v>
      </c>
      <c r="R28" s="18">
        <v>-5.1529999999999996</v>
      </c>
      <c r="S28" s="18"/>
      <c r="T28" s="18">
        <v>0.82699999999999996</v>
      </c>
      <c r="U28" s="18">
        <v>0.54100000000000004</v>
      </c>
      <c r="V28" s="18">
        <v>1.135</v>
      </c>
      <c r="W28" s="18">
        <v>1.72</v>
      </c>
      <c r="X28" s="18">
        <v>0.84699999999999998</v>
      </c>
      <c r="Y28" s="18">
        <v>-13.83</v>
      </c>
      <c r="Z28" s="18">
        <v>87.6</v>
      </c>
      <c r="AA28" s="18">
        <v>-14.3</v>
      </c>
      <c r="AB28" s="18"/>
      <c r="AC28" s="18">
        <v>0.65500000000000003</v>
      </c>
      <c r="AD28" s="18">
        <v>0.373</v>
      </c>
      <c r="AE28" s="18">
        <v>0.96499999999999997</v>
      </c>
      <c r="AF28" s="18">
        <v>1.573</v>
      </c>
      <c r="AG28" s="18">
        <v>231</v>
      </c>
      <c r="AH28" s="18">
        <v>69</v>
      </c>
      <c r="AI28" s="18">
        <v>134</v>
      </c>
      <c r="AJ28" s="18">
        <v>202</v>
      </c>
      <c r="AK28" s="18">
        <v>449</v>
      </c>
      <c r="AL28" s="18">
        <v>664</v>
      </c>
      <c r="AM28" s="18">
        <v>396</v>
      </c>
      <c r="AN28" s="18">
        <v>178</v>
      </c>
      <c r="AO28" s="18">
        <v>2.508</v>
      </c>
      <c r="AP28" s="18">
        <v>218</v>
      </c>
      <c r="AQ28" s="18">
        <v>-7.9489999999999998</v>
      </c>
      <c r="AR28" s="18">
        <v>-6.4660000000000002</v>
      </c>
      <c r="AS28" s="18">
        <v>-9.98</v>
      </c>
      <c r="AT28" s="18">
        <v>5.0000000000000001E-3</v>
      </c>
      <c r="AU28" s="18">
        <v>-3.0000000000000001E-3</v>
      </c>
      <c r="AV28" s="18">
        <v>13.13</v>
      </c>
      <c r="AW28" s="18">
        <v>2876</v>
      </c>
      <c r="AX28" s="4"/>
      <c r="AY28" s="12">
        <f t="shared" si="0"/>
        <v>777.00000000000011</v>
      </c>
      <c r="AZ28" s="12"/>
      <c r="BA28" s="16">
        <v>6.25</v>
      </c>
      <c r="BB28" s="41">
        <v>1.1399999999999999</v>
      </c>
      <c r="BC28" s="41">
        <v>1.05</v>
      </c>
      <c r="BD28" s="8">
        <f t="shared" si="1"/>
        <v>0.92105263157894746</v>
      </c>
      <c r="BE28" s="8"/>
      <c r="BF28" s="2">
        <f t="shared" si="26"/>
        <v>94.5</v>
      </c>
      <c r="BG28" s="2">
        <f t="shared" si="27"/>
        <v>91</v>
      </c>
      <c r="BH28" s="2">
        <f t="shared" si="28"/>
        <v>87.6</v>
      </c>
      <c r="BI28" s="35">
        <f t="shared" si="2"/>
        <v>0.34100000000000003</v>
      </c>
      <c r="BJ28" s="35">
        <f t="shared" si="3"/>
        <v>4.8000000000000001E-2</v>
      </c>
      <c r="BL28" s="3">
        <f t="shared" si="4"/>
        <v>2323</v>
      </c>
      <c r="BM28" s="19">
        <f t="shared" si="5"/>
        <v>9.9000000000000005E-2</v>
      </c>
      <c r="BN28" s="19">
        <f t="shared" si="6"/>
        <v>0.03</v>
      </c>
      <c r="BO28" s="19">
        <f t="shared" si="7"/>
        <v>5.8000000000000003E-2</v>
      </c>
      <c r="BP28" s="19">
        <f t="shared" si="8"/>
        <v>8.6999999999999994E-2</v>
      </c>
      <c r="BQ28" s="19">
        <f t="shared" si="9"/>
        <v>0.193</v>
      </c>
      <c r="BR28" s="19">
        <f t="shared" si="10"/>
        <v>0.28599999999999998</v>
      </c>
      <c r="BS28" s="19">
        <f t="shared" si="11"/>
        <v>0.17</v>
      </c>
      <c r="BT28" s="19">
        <f t="shared" si="12"/>
        <v>7.6999999999999999E-2</v>
      </c>
      <c r="BV28" s="16">
        <f t="shared" si="13"/>
        <v>1.1399999999999999</v>
      </c>
      <c r="BW28" s="16">
        <f t="shared" si="14"/>
        <v>1.05</v>
      </c>
      <c r="BX28" s="3">
        <f t="shared" si="15"/>
        <v>-8.6999999999999993</v>
      </c>
      <c r="BY28" s="3">
        <f t="shared" si="16"/>
        <v>-8.5</v>
      </c>
      <c r="BZ28" s="3" t="s">
        <v>162</v>
      </c>
      <c r="CA28" s="3">
        <f t="shared" si="17"/>
        <v>0.7</v>
      </c>
      <c r="CB28" s="3">
        <f t="shared" si="18"/>
        <v>0.5</v>
      </c>
      <c r="CC28" s="3">
        <f t="shared" si="19"/>
        <v>1.1000000000000001</v>
      </c>
      <c r="CD28" s="3">
        <f t="shared" si="20"/>
        <v>1.6</v>
      </c>
      <c r="CE28" s="22">
        <f t="shared" si="29"/>
        <v>91</v>
      </c>
      <c r="CF28" s="1">
        <f t="shared" si="30"/>
        <v>-6</v>
      </c>
      <c r="CG28" s="1">
        <f t="shared" si="31"/>
        <v>-5.2</v>
      </c>
      <c r="CH28" s="3" t="s">
        <v>162</v>
      </c>
      <c r="CI28" s="1">
        <f t="shared" si="32"/>
        <v>0.8</v>
      </c>
      <c r="CJ28" s="1">
        <f t="shared" si="33"/>
        <v>0.5</v>
      </c>
      <c r="CK28" s="1">
        <f t="shared" si="34"/>
        <v>1.1000000000000001</v>
      </c>
      <c r="CL28" s="1">
        <f t="shared" si="35"/>
        <v>1.7</v>
      </c>
      <c r="CM28" s="2">
        <f t="shared" si="36"/>
        <v>94.5</v>
      </c>
      <c r="CN28" s="1">
        <f t="shared" si="37"/>
        <v>-13.8</v>
      </c>
      <c r="CO28" s="1">
        <f t="shared" si="38"/>
        <v>-14.3</v>
      </c>
      <c r="CP28" s="3" t="s">
        <v>162</v>
      </c>
      <c r="CQ28" s="1">
        <f t="shared" si="39"/>
        <v>0.7</v>
      </c>
      <c r="CR28" s="1">
        <f t="shared" si="40"/>
        <v>0.4</v>
      </c>
      <c r="CS28" s="1">
        <f t="shared" si="41"/>
        <v>1</v>
      </c>
      <c r="CT28" s="1">
        <f t="shared" si="42"/>
        <v>1.6</v>
      </c>
      <c r="CU28" s="2">
        <f t="shared" si="43"/>
        <v>87.6</v>
      </c>
      <c r="CV28" s="14">
        <f t="shared" si="44"/>
        <v>777.00000000000011</v>
      </c>
      <c r="CW28" s="1">
        <f>ROUND(PPTest!K28,1)</f>
        <v>5.5</v>
      </c>
      <c r="CX28" s="3">
        <f t="shared" si="25"/>
        <v>0</v>
      </c>
      <c r="CY28" s="3">
        <f t="shared" si="45"/>
        <v>0.85</v>
      </c>
      <c r="CZ28" s="19">
        <f t="shared" si="46"/>
        <v>0.34100000000000003</v>
      </c>
      <c r="DA28" s="19">
        <f t="shared" si="46"/>
        <v>4.8000000000000001E-2</v>
      </c>
      <c r="DB28" s="16">
        <f t="shared" si="47"/>
        <v>13.13</v>
      </c>
    </row>
    <row r="29" spans="1:106" x14ac:dyDescent="0.2">
      <c r="A29" s="15">
        <f t="shared" si="48"/>
        <v>45681</v>
      </c>
      <c r="B29" s="1">
        <v>24</v>
      </c>
      <c r="C29" s="18">
        <v>0.98399999999999999</v>
      </c>
      <c r="D29" s="18">
        <v>2.1659999999999999</v>
      </c>
      <c r="E29" s="18">
        <v>-10.27</v>
      </c>
      <c r="F29" s="18">
        <v>88.8</v>
      </c>
      <c r="G29" s="18">
        <v>-10.19</v>
      </c>
      <c r="H29" s="18"/>
      <c r="I29" s="18">
        <v>0.75700000000000001</v>
      </c>
      <c r="J29" s="18">
        <v>0.45100000000000001</v>
      </c>
      <c r="K29" s="18">
        <v>1.0569999999999999</v>
      </c>
      <c r="L29" s="18">
        <v>1.655</v>
      </c>
      <c r="M29" s="18">
        <v>5.0000000000000001E-3</v>
      </c>
      <c r="N29" s="18">
        <v>0</v>
      </c>
      <c r="O29" s="18">
        <v>2.4729999999999999</v>
      </c>
      <c r="P29" s="18">
        <v>-7.2450000000000001</v>
      </c>
      <c r="Q29" s="18">
        <v>93.5</v>
      </c>
      <c r="R29" s="18">
        <v>-5.976</v>
      </c>
      <c r="S29" s="18"/>
      <c r="T29" s="18">
        <v>0.84199999999999997</v>
      </c>
      <c r="U29" s="18">
        <v>0.53100000000000003</v>
      </c>
      <c r="V29" s="18">
        <v>1.1279999999999999</v>
      </c>
      <c r="W29" s="18">
        <v>1.734</v>
      </c>
      <c r="X29" s="18">
        <v>1.1399999999999999</v>
      </c>
      <c r="Y29" s="18">
        <v>-20.09</v>
      </c>
      <c r="Z29" s="18">
        <v>82.7</v>
      </c>
      <c r="AA29" s="18">
        <v>-20.62</v>
      </c>
      <c r="AB29" s="18"/>
      <c r="AC29" s="18">
        <v>0.67600000000000005</v>
      </c>
      <c r="AD29" s="18">
        <v>0.36599999999999999</v>
      </c>
      <c r="AE29" s="18">
        <v>0.98</v>
      </c>
      <c r="AF29" s="18">
        <v>1.579</v>
      </c>
      <c r="AG29" s="18">
        <v>189</v>
      </c>
      <c r="AH29" s="18">
        <v>137</v>
      </c>
      <c r="AI29" s="18">
        <v>217</v>
      </c>
      <c r="AJ29" s="18">
        <v>243</v>
      </c>
      <c r="AK29" s="18">
        <v>588</v>
      </c>
      <c r="AL29" s="18">
        <v>525</v>
      </c>
      <c r="AM29" s="18">
        <v>270</v>
      </c>
      <c r="AN29" s="18">
        <v>215</v>
      </c>
      <c r="AO29" s="18">
        <v>2.569</v>
      </c>
      <c r="AP29" s="18">
        <v>206</v>
      </c>
      <c r="AQ29" s="18">
        <v>-5.6120000000000001</v>
      </c>
      <c r="AR29" s="18">
        <v>-4.9390000000000001</v>
      </c>
      <c r="AS29" s="18">
        <v>-6.4660000000000002</v>
      </c>
      <c r="AT29" s="18">
        <v>5.0000000000000001E-3</v>
      </c>
      <c r="AU29" s="18">
        <v>-3.0000000000000001E-3</v>
      </c>
      <c r="AV29" s="18">
        <v>13.15</v>
      </c>
      <c r="AW29" s="18">
        <v>2876</v>
      </c>
      <c r="AX29" s="4"/>
      <c r="AY29" s="12">
        <f t="shared" si="0"/>
        <v>767.00000000000034</v>
      </c>
      <c r="AZ29" s="12"/>
      <c r="BA29" s="16">
        <v>6.36</v>
      </c>
      <c r="BB29" s="41">
        <v>2.17</v>
      </c>
      <c r="BC29" s="41">
        <v>1.99</v>
      </c>
      <c r="BD29" s="8">
        <f t="shared" si="1"/>
        <v>0.91705069124423966</v>
      </c>
      <c r="BE29" s="8"/>
      <c r="BF29" s="2">
        <f t="shared" si="26"/>
        <v>93.5</v>
      </c>
      <c r="BG29" s="2">
        <f t="shared" si="27"/>
        <v>88.8</v>
      </c>
      <c r="BH29" s="2">
        <f t="shared" si="28"/>
        <v>82.7</v>
      </c>
      <c r="BI29" s="35">
        <f t="shared" si="2"/>
        <v>0.29299999999999998</v>
      </c>
      <c r="BJ29" s="35">
        <f t="shared" si="3"/>
        <v>6.0999999999999999E-2</v>
      </c>
      <c r="BL29" s="3">
        <f t="shared" si="4"/>
        <v>2384</v>
      </c>
      <c r="BM29" s="19">
        <f t="shared" si="5"/>
        <v>7.9000000000000001E-2</v>
      </c>
      <c r="BN29" s="19">
        <f t="shared" si="6"/>
        <v>5.7000000000000002E-2</v>
      </c>
      <c r="BO29" s="19">
        <f t="shared" si="7"/>
        <v>9.0999999999999998E-2</v>
      </c>
      <c r="BP29" s="19">
        <f t="shared" si="8"/>
        <v>0.10199999999999999</v>
      </c>
      <c r="BQ29" s="19">
        <f t="shared" si="9"/>
        <v>0.247</v>
      </c>
      <c r="BR29" s="19">
        <f t="shared" si="10"/>
        <v>0.22</v>
      </c>
      <c r="BS29" s="19">
        <f t="shared" si="11"/>
        <v>0.113</v>
      </c>
      <c r="BT29" s="19">
        <f t="shared" si="12"/>
        <v>0.09</v>
      </c>
      <c r="BV29" s="16">
        <f t="shared" si="13"/>
        <v>2.17</v>
      </c>
      <c r="BW29" s="16">
        <f t="shared" si="14"/>
        <v>1.99</v>
      </c>
      <c r="BX29" s="3">
        <f t="shared" si="15"/>
        <v>-10.3</v>
      </c>
      <c r="BY29" s="3">
        <f t="shared" si="16"/>
        <v>-10.199999999999999</v>
      </c>
      <c r="BZ29" s="3" t="s">
        <v>162</v>
      </c>
      <c r="CA29" s="3">
        <f t="shared" si="17"/>
        <v>0.8</v>
      </c>
      <c r="CB29" s="3">
        <f t="shared" si="18"/>
        <v>0.5</v>
      </c>
      <c r="CC29" s="3">
        <f t="shared" si="19"/>
        <v>1.1000000000000001</v>
      </c>
      <c r="CD29" s="3">
        <f t="shared" si="20"/>
        <v>1.7</v>
      </c>
      <c r="CE29" s="22">
        <f t="shared" si="29"/>
        <v>88.8</v>
      </c>
      <c r="CF29" s="1">
        <f t="shared" si="30"/>
        <v>-7.2</v>
      </c>
      <c r="CG29" s="1">
        <f t="shared" si="31"/>
        <v>-6</v>
      </c>
      <c r="CH29" s="3" t="s">
        <v>162</v>
      </c>
      <c r="CI29" s="1">
        <f t="shared" si="32"/>
        <v>0.8</v>
      </c>
      <c r="CJ29" s="1">
        <f t="shared" si="33"/>
        <v>0.5</v>
      </c>
      <c r="CK29" s="1">
        <f t="shared" si="34"/>
        <v>1.1000000000000001</v>
      </c>
      <c r="CL29" s="1">
        <f t="shared" si="35"/>
        <v>1.7</v>
      </c>
      <c r="CM29" s="2">
        <f t="shared" si="36"/>
        <v>93.5</v>
      </c>
      <c r="CN29" s="1">
        <f t="shared" si="37"/>
        <v>-20.100000000000001</v>
      </c>
      <c r="CO29" s="1">
        <f t="shared" si="38"/>
        <v>-20.6</v>
      </c>
      <c r="CP29" s="3" t="s">
        <v>162</v>
      </c>
      <c r="CQ29" s="1">
        <f t="shared" si="39"/>
        <v>0.7</v>
      </c>
      <c r="CR29" s="1">
        <f t="shared" si="40"/>
        <v>0.4</v>
      </c>
      <c r="CS29" s="1">
        <f t="shared" si="41"/>
        <v>1</v>
      </c>
      <c r="CT29" s="1">
        <f t="shared" si="42"/>
        <v>1.6</v>
      </c>
      <c r="CU29" s="2">
        <f t="shared" si="43"/>
        <v>82.7</v>
      </c>
      <c r="CV29" s="14">
        <f t="shared" si="44"/>
        <v>767.00000000000034</v>
      </c>
      <c r="CW29" s="1">
        <f>ROUND(PPTest!K29,1)</f>
        <v>0</v>
      </c>
      <c r="CX29" s="3">
        <f t="shared" si="25"/>
        <v>0.01</v>
      </c>
      <c r="CY29" s="3">
        <f t="shared" si="45"/>
        <v>1.1399999999999999</v>
      </c>
      <c r="CZ29" s="19">
        <f t="shared" si="46"/>
        <v>0.29299999999999998</v>
      </c>
      <c r="DA29" s="19">
        <f t="shared" si="46"/>
        <v>6.0999999999999999E-2</v>
      </c>
      <c r="DB29" s="16">
        <f t="shared" si="47"/>
        <v>13.15</v>
      </c>
    </row>
    <row r="30" spans="1:106" x14ac:dyDescent="0.2">
      <c r="A30" s="15">
        <f t="shared" si="48"/>
        <v>45682</v>
      </c>
      <c r="B30" s="1">
        <v>25</v>
      </c>
      <c r="C30" s="18">
        <v>2.0139999999999998</v>
      </c>
      <c r="D30" s="18">
        <v>2.9249999999999998</v>
      </c>
      <c r="E30" s="18">
        <v>-14.47</v>
      </c>
      <c r="F30" s="18">
        <v>84.7</v>
      </c>
      <c r="G30" s="18">
        <v>-14.21</v>
      </c>
      <c r="H30" s="18"/>
      <c r="I30" s="18">
        <v>0.76500000000000001</v>
      </c>
      <c r="J30" s="18">
        <v>0.443</v>
      </c>
      <c r="K30" s="18">
        <v>1.048</v>
      </c>
      <c r="L30" s="18">
        <v>1.6579999999999999</v>
      </c>
      <c r="M30" s="18">
        <v>0</v>
      </c>
      <c r="N30" s="18">
        <v>0</v>
      </c>
      <c r="O30" s="18">
        <v>2.4780000000000002</v>
      </c>
      <c r="P30" s="18">
        <v>-6.7759999999999998</v>
      </c>
      <c r="Q30" s="18">
        <v>91.7</v>
      </c>
      <c r="R30" s="18">
        <v>-3.3959999999999999</v>
      </c>
      <c r="S30" s="18"/>
      <c r="T30" s="18">
        <v>0.86099999999999999</v>
      </c>
      <c r="U30" s="18">
        <v>0.54500000000000004</v>
      </c>
      <c r="V30" s="18">
        <v>1.151</v>
      </c>
      <c r="W30" s="18">
        <v>1.746</v>
      </c>
      <c r="X30" s="18">
        <v>0.5</v>
      </c>
      <c r="Y30" s="18">
        <v>-20.57</v>
      </c>
      <c r="Z30" s="18">
        <v>73.92</v>
      </c>
      <c r="AA30" s="18">
        <v>-20.75</v>
      </c>
      <c r="AB30" s="18"/>
      <c r="AC30" s="18">
        <v>0.68500000000000005</v>
      </c>
      <c r="AD30" s="18">
        <v>0.35499999999999998</v>
      </c>
      <c r="AE30" s="18">
        <v>0.97199999999999998</v>
      </c>
      <c r="AF30" s="18">
        <v>1.5740000000000001</v>
      </c>
      <c r="AG30" s="18">
        <v>220</v>
      </c>
      <c r="AH30" s="18">
        <v>235</v>
      </c>
      <c r="AI30" s="18">
        <v>253</v>
      </c>
      <c r="AJ30" s="18">
        <v>153</v>
      </c>
      <c r="AK30" s="18">
        <v>133</v>
      </c>
      <c r="AL30" s="18">
        <v>99</v>
      </c>
      <c r="AM30" s="18">
        <v>71</v>
      </c>
      <c r="AN30" s="18">
        <v>156</v>
      </c>
      <c r="AO30" s="18">
        <v>2.552</v>
      </c>
      <c r="AP30" s="18">
        <v>199</v>
      </c>
      <c r="AQ30" s="18">
        <v>-5.2</v>
      </c>
      <c r="AR30" s="18">
        <v>-4.6139999999999999</v>
      </c>
      <c r="AS30" s="18">
        <v>-5.766</v>
      </c>
      <c r="AT30" s="18">
        <v>6.0000000000000001E-3</v>
      </c>
      <c r="AU30" s="18">
        <v>-3.0000000000000001E-3</v>
      </c>
      <c r="AV30" s="18">
        <v>13.22</v>
      </c>
      <c r="AW30" s="18">
        <v>2876</v>
      </c>
      <c r="AX30" s="4"/>
      <c r="AY30" s="12">
        <f t="shared" si="0"/>
        <v>762</v>
      </c>
      <c r="AZ30" s="12"/>
      <c r="BA30" s="16">
        <v>6.48</v>
      </c>
      <c r="BB30" s="41">
        <v>2.92</v>
      </c>
      <c r="BC30" s="41">
        <v>2.69</v>
      </c>
      <c r="BD30" s="8">
        <f t="shared" si="1"/>
        <v>0.92123287671232879</v>
      </c>
      <c r="BE30" s="8"/>
      <c r="BF30" s="2">
        <f t="shared" si="26"/>
        <v>91.7</v>
      </c>
      <c r="BG30" s="2">
        <f t="shared" si="27"/>
        <v>84.7</v>
      </c>
      <c r="BH30" s="2">
        <f t="shared" si="28"/>
        <v>73.900000000000006</v>
      </c>
      <c r="BI30" s="35">
        <f t="shared" si="2"/>
        <v>0.27200000000000002</v>
      </c>
      <c r="BJ30" s="35">
        <f t="shared" si="3"/>
        <v>9.6000000000000002E-2</v>
      </c>
      <c r="BL30" s="3">
        <f t="shared" si="4"/>
        <v>1320</v>
      </c>
      <c r="BM30" s="19">
        <f t="shared" si="5"/>
        <v>0.16700000000000001</v>
      </c>
      <c r="BN30" s="19">
        <f t="shared" si="6"/>
        <v>0.17799999999999999</v>
      </c>
      <c r="BO30" s="19">
        <f t="shared" si="7"/>
        <v>0.192</v>
      </c>
      <c r="BP30" s="19">
        <f t="shared" si="8"/>
        <v>0.11600000000000001</v>
      </c>
      <c r="BQ30" s="19">
        <f t="shared" si="9"/>
        <v>0.10100000000000001</v>
      </c>
      <c r="BR30" s="19">
        <f t="shared" si="10"/>
        <v>7.4999999999999997E-2</v>
      </c>
      <c r="BS30" s="19">
        <f t="shared" si="11"/>
        <v>5.3999999999999999E-2</v>
      </c>
      <c r="BT30" s="19">
        <f t="shared" si="12"/>
        <v>0.11799999999999999</v>
      </c>
      <c r="BV30" s="16">
        <f t="shared" si="13"/>
        <v>2.92</v>
      </c>
      <c r="BW30" s="16">
        <f t="shared" si="14"/>
        <v>2.69</v>
      </c>
      <c r="BX30" s="3">
        <f t="shared" si="15"/>
        <v>-14.5</v>
      </c>
      <c r="BY30" s="3">
        <f t="shared" si="16"/>
        <v>-14.2</v>
      </c>
      <c r="BZ30" s="3" t="s">
        <v>162</v>
      </c>
      <c r="CA30" s="3">
        <f t="shared" si="17"/>
        <v>0.8</v>
      </c>
      <c r="CB30" s="3">
        <f t="shared" si="18"/>
        <v>0.4</v>
      </c>
      <c r="CC30" s="3">
        <f t="shared" si="19"/>
        <v>1</v>
      </c>
      <c r="CD30" s="3">
        <f t="shared" si="20"/>
        <v>1.7</v>
      </c>
      <c r="CE30" s="22">
        <f t="shared" si="29"/>
        <v>84.7</v>
      </c>
      <c r="CF30" s="1">
        <f t="shared" si="30"/>
        <v>-6.8</v>
      </c>
      <c r="CG30" s="1">
        <f t="shared" si="31"/>
        <v>-3.4</v>
      </c>
      <c r="CH30" s="3" t="s">
        <v>162</v>
      </c>
      <c r="CI30" s="1">
        <f t="shared" si="32"/>
        <v>0.9</v>
      </c>
      <c r="CJ30" s="1">
        <f t="shared" si="33"/>
        <v>0.5</v>
      </c>
      <c r="CK30" s="1">
        <f t="shared" si="34"/>
        <v>1.2</v>
      </c>
      <c r="CL30" s="1">
        <f t="shared" si="35"/>
        <v>1.7</v>
      </c>
      <c r="CM30" s="2">
        <f t="shared" si="36"/>
        <v>91.7</v>
      </c>
      <c r="CN30" s="1">
        <f t="shared" si="37"/>
        <v>-20.6</v>
      </c>
      <c r="CO30" s="1">
        <f t="shared" si="38"/>
        <v>-20.8</v>
      </c>
      <c r="CP30" s="3" t="s">
        <v>162</v>
      </c>
      <c r="CQ30" s="1">
        <f t="shared" si="39"/>
        <v>0.7</v>
      </c>
      <c r="CR30" s="1">
        <f t="shared" si="40"/>
        <v>0.4</v>
      </c>
      <c r="CS30" s="1">
        <f t="shared" si="41"/>
        <v>1</v>
      </c>
      <c r="CT30" s="1">
        <f t="shared" si="42"/>
        <v>1.6</v>
      </c>
      <c r="CU30" s="2">
        <f t="shared" si="43"/>
        <v>73.900000000000006</v>
      </c>
      <c r="CV30" s="14">
        <f t="shared" si="44"/>
        <v>762</v>
      </c>
      <c r="CW30" s="1">
        <f>ROUND(PPTest!K30,1)</f>
        <v>0</v>
      </c>
      <c r="CX30" s="3">
        <f t="shared" si="25"/>
        <v>0</v>
      </c>
      <c r="CY30" s="3">
        <f t="shared" si="45"/>
        <v>0.5</v>
      </c>
      <c r="CZ30" s="19">
        <f t="shared" si="46"/>
        <v>0.27200000000000002</v>
      </c>
      <c r="DA30" s="19">
        <f t="shared" si="46"/>
        <v>9.6000000000000002E-2</v>
      </c>
      <c r="DB30" s="16">
        <f t="shared" si="47"/>
        <v>13.22</v>
      </c>
    </row>
    <row r="31" spans="1:106" x14ac:dyDescent="0.2">
      <c r="A31" s="15">
        <f t="shared" si="48"/>
        <v>45683</v>
      </c>
      <c r="B31" s="1">
        <v>26</v>
      </c>
      <c r="C31" s="18">
        <v>5.0270000000000001</v>
      </c>
      <c r="D31" s="18">
        <v>3.556</v>
      </c>
      <c r="E31" s="18">
        <v>-12.53</v>
      </c>
      <c r="F31" s="18">
        <v>85.5</v>
      </c>
      <c r="G31" s="18">
        <v>-12.5</v>
      </c>
      <c r="H31" s="18"/>
      <c r="I31" s="18">
        <v>0.76200000000000001</v>
      </c>
      <c r="J31" s="18">
        <v>0.43</v>
      </c>
      <c r="K31" s="18">
        <v>1.0369999999999999</v>
      </c>
      <c r="L31" s="18">
        <v>1.6539999999999999</v>
      </c>
      <c r="M31" s="18">
        <v>1.2999999999999999E-2</v>
      </c>
      <c r="N31" s="18">
        <v>0</v>
      </c>
      <c r="O31" s="18">
        <v>2.496</v>
      </c>
      <c r="P31" s="18">
        <v>-4.7370000000000001</v>
      </c>
      <c r="Q31" s="18">
        <v>89.8</v>
      </c>
      <c r="R31" s="18">
        <v>-1.746</v>
      </c>
      <c r="S31" s="18"/>
      <c r="T31" s="18">
        <v>0.84599999999999997</v>
      </c>
      <c r="U31" s="18">
        <v>0.52700000000000002</v>
      </c>
      <c r="V31" s="18">
        <v>1.117</v>
      </c>
      <c r="W31" s="18">
        <v>1.738</v>
      </c>
      <c r="X31" s="18">
        <v>1.9139999999999999</v>
      </c>
      <c r="Y31" s="18">
        <v>-18.05</v>
      </c>
      <c r="Z31" s="18">
        <v>71.069999999999993</v>
      </c>
      <c r="AA31" s="18">
        <v>-18.53</v>
      </c>
      <c r="AB31" s="18"/>
      <c r="AC31" s="18">
        <v>0.66700000000000004</v>
      </c>
      <c r="AD31" s="18">
        <v>0.33900000000000002</v>
      </c>
      <c r="AE31" s="18">
        <v>0.95899999999999996</v>
      </c>
      <c r="AF31" s="18">
        <v>1.575</v>
      </c>
      <c r="AG31" s="18">
        <v>237</v>
      </c>
      <c r="AH31" s="18">
        <v>697</v>
      </c>
      <c r="AI31" s="18">
        <v>241</v>
      </c>
      <c r="AJ31" s="18">
        <v>145</v>
      </c>
      <c r="AK31" s="18">
        <v>405</v>
      </c>
      <c r="AL31" s="18">
        <v>260</v>
      </c>
      <c r="AM31" s="18">
        <v>43</v>
      </c>
      <c r="AN31" s="18">
        <v>66</v>
      </c>
      <c r="AO31" s="18">
        <v>2.581</v>
      </c>
      <c r="AP31" s="18">
        <v>241</v>
      </c>
      <c r="AQ31" s="18">
        <v>-5.6040000000000001</v>
      </c>
      <c r="AR31" s="18">
        <v>-4.548</v>
      </c>
      <c r="AS31" s="18">
        <v>-6.907</v>
      </c>
      <c r="AT31" s="18">
        <v>5.0000000000000001E-3</v>
      </c>
      <c r="AU31" s="18">
        <v>-3.0000000000000001E-3</v>
      </c>
      <c r="AV31" s="18">
        <v>13.22</v>
      </c>
      <c r="AW31" s="18">
        <v>2876</v>
      </c>
      <c r="AX31" s="4"/>
      <c r="AY31" s="12">
        <f t="shared" si="0"/>
        <v>744.00000000000023</v>
      </c>
      <c r="AZ31" s="12"/>
      <c r="BA31" s="16">
        <v>6.61</v>
      </c>
      <c r="BB31" s="41">
        <v>5.03</v>
      </c>
      <c r="BC31" s="41">
        <v>3.27</v>
      </c>
      <c r="BD31" s="8">
        <f t="shared" si="1"/>
        <v>0.6500994035785288</v>
      </c>
      <c r="BE31" s="8"/>
      <c r="BF31" s="2">
        <f t="shared" si="26"/>
        <v>89.8</v>
      </c>
      <c r="BG31" s="2">
        <f t="shared" si="27"/>
        <v>85.5</v>
      </c>
      <c r="BH31" s="2">
        <f t="shared" si="28"/>
        <v>71.099999999999994</v>
      </c>
      <c r="BI31" s="35">
        <f t="shared" si="2"/>
        <v>0.30499999999999999</v>
      </c>
      <c r="BJ31" s="35">
        <f t="shared" si="3"/>
        <v>0.124</v>
      </c>
      <c r="BL31" s="3">
        <f t="shared" si="4"/>
        <v>2094</v>
      </c>
      <c r="BM31" s="19">
        <f t="shared" si="5"/>
        <v>0.113</v>
      </c>
      <c r="BN31" s="19">
        <f t="shared" si="6"/>
        <v>0.33300000000000002</v>
      </c>
      <c r="BO31" s="19">
        <f t="shared" si="7"/>
        <v>0.115</v>
      </c>
      <c r="BP31" s="19">
        <f t="shared" si="8"/>
        <v>6.9000000000000006E-2</v>
      </c>
      <c r="BQ31" s="19">
        <f t="shared" si="9"/>
        <v>0.193</v>
      </c>
      <c r="BR31" s="19">
        <f t="shared" si="10"/>
        <v>0.124</v>
      </c>
      <c r="BS31" s="19">
        <f t="shared" si="11"/>
        <v>2.1000000000000001E-2</v>
      </c>
      <c r="BT31" s="19">
        <f t="shared" si="12"/>
        <v>3.2000000000000001E-2</v>
      </c>
      <c r="BV31" s="16">
        <f t="shared" si="13"/>
        <v>5.03</v>
      </c>
      <c r="BW31" s="16">
        <f t="shared" si="14"/>
        <v>3.27</v>
      </c>
      <c r="BX31" s="3">
        <f t="shared" si="15"/>
        <v>-12.5</v>
      </c>
      <c r="BY31" s="3">
        <f t="shared" si="16"/>
        <v>-12.5</v>
      </c>
      <c r="BZ31" s="3" t="s">
        <v>162</v>
      </c>
      <c r="CA31" s="3">
        <f t="shared" si="17"/>
        <v>0.8</v>
      </c>
      <c r="CB31" s="3">
        <f t="shared" si="18"/>
        <v>0.4</v>
      </c>
      <c r="CC31" s="3">
        <f t="shared" si="19"/>
        <v>1</v>
      </c>
      <c r="CD31" s="3">
        <f t="shared" si="20"/>
        <v>1.7</v>
      </c>
      <c r="CE31" s="22">
        <f t="shared" si="29"/>
        <v>85.5</v>
      </c>
      <c r="CF31" s="1">
        <f t="shared" si="30"/>
        <v>-4.7</v>
      </c>
      <c r="CG31" s="1">
        <f t="shared" si="31"/>
        <v>-1.7</v>
      </c>
      <c r="CH31" s="3" t="s">
        <v>162</v>
      </c>
      <c r="CI31" s="1">
        <f t="shared" si="32"/>
        <v>0.8</v>
      </c>
      <c r="CJ31" s="1">
        <f t="shared" si="33"/>
        <v>0.5</v>
      </c>
      <c r="CK31" s="1">
        <f t="shared" si="34"/>
        <v>1.1000000000000001</v>
      </c>
      <c r="CL31" s="1">
        <f t="shared" si="35"/>
        <v>1.7</v>
      </c>
      <c r="CM31" s="2">
        <f t="shared" si="36"/>
        <v>89.8</v>
      </c>
      <c r="CN31" s="1">
        <f t="shared" si="37"/>
        <v>-18.100000000000001</v>
      </c>
      <c r="CO31" s="1">
        <f t="shared" si="38"/>
        <v>-18.5</v>
      </c>
      <c r="CP31" s="3" t="s">
        <v>162</v>
      </c>
      <c r="CQ31" s="1">
        <f t="shared" si="39"/>
        <v>0.7</v>
      </c>
      <c r="CR31" s="1">
        <f t="shared" si="40"/>
        <v>0.3</v>
      </c>
      <c r="CS31" s="1">
        <f t="shared" si="41"/>
        <v>1</v>
      </c>
      <c r="CT31" s="1">
        <f t="shared" si="42"/>
        <v>1.6</v>
      </c>
      <c r="CU31" s="2">
        <f t="shared" si="43"/>
        <v>71.099999999999994</v>
      </c>
      <c r="CV31" s="14">
        <f t="shared" si="44"/>
        <v>744.00000000000023</v>
      </c>
      <c r="CW31" s="1">
        <f>ROUND(PPTest!K31,1)</f>
        <v>0</v>
      </c>
      <c r="CX31" s="3">
        <f t="shared" si="25"/>
        <v>0.01</v>
      </c>
      <c r="CY31" s="3">
        <f t="shared" si="45"/>
        <v>1.91</v>
      </c>
      <c r="CZ31" s="19">
        <f t="shared" si="46"/>
        <v>0.30499999999999999</v>
      </c>
      <c r="DA31" s="19">
        <f t="shared" si="46"/>
        <v>0.124</v>
      </c>
      <c r="DB31" s="16">
        <f t="shared" si="47"/>
        <v>13.22</v>
      </c>
    </row>
    <row r="32" spans="1:106" x14ac:dyDescent="0.2">
      <c r="A32" s="15">
        <f t="shared" si="48"/>
        <v>45684</v>
      </c>
      <c r="B32" s="1">
        <v>27</v>
      </c>
      <c r="C32" s="18">
        <v>8.57</v>
      </c>
      <c r="D32" s="18">
        <v>4.1310000000000002</v>
      </c>
      <c r="E32" s="18">
        <v>-12.56</v>
      </c>
      <c r="F32" s="18">
        <v>82.7</v>
      </c>
      <c r="G32" s="18">
        <v>-13.18</v>
      </c>
      <c r="H32" s="18"/>
      <c r="I32" s="18">
        <v>0.752</v>
      </c>
      <c r="J32" s="18">
        <v>0.41299999999999998</v>
      </c>
      <c r="K32" s="18">
        <v>1.0249999999999999</v>
      </c>
      <c r="L32" s="18">
        <v>1.649</v>
      </c>
      <c r="M32" s="18">
        <v>0</v>
      </c>
      <c r="N32" s="18">
        <v>0</v>
      </c>
      <c r="O32" s="18">
        <v>2.5129999999999999</v>
      </c>
      <c r="P32" s="18">
        <v>2.202</v>
      </c>
      <c r="Q32" s="18">
        <v>91.5</v>
      </c>
      <c r="R32" s="18">
        <v>5.2350000000000003</v>
      </c>
      <c r="S32" s="18"/>
      <c r="T32" s="18">
        <v>0.84499999999999997</v>
      </c>
      <c r="U32" s="18">
        <v>0.51400000000000001</v>
      </c>
      <c r="V32" s="18">
        <v>1.117</v>
      </c>
      <c r="W32" s="18">
        <v>1.7270000000000001</v>
      </c>
      <c r="X32" s="18">
        <v>0.52700000000000002</v>
      </c>
      <c r="Y32" s="18">
        <v>-20.09</v>
      </c>
      <c r="Z32" s="18">
        <v>53.75</v>
      </c>
      <c r="AA32" s="18">
        <v>-20.91</v>
      </c>
      <c r="AB32" s="18"/>
      <c r="AC32" s="18">
        <v>0.66900000000000004</v>
      </c>
      <c r="AD32" s="18">
        <v>0.32700000000000001</v>
      </c>
      <c r="AE32" s="18">
        <v>0.94299999999999995</v>
      </c>
      <c r="AF32" s="18">
        <v>1.5620000000000001</v>
      </c>
      <c r="AG32" s="18">
        <v>68</v>
      </c>
      <c r="AH32" s="18">
        <v>583</v>
      </c>
      <c r="AI32" s="18">
        <v>261</v>
      </c>
      <c r="AJ32" s="18">
        <v>162</v>
      </c>
      <c r="AK32" s="18">
        <v>224</v>
      </c>
      <c r="AL32" s="18">
        <v>117</v>
      </c>
      <c r="AM32" s="18">
        <v>12</v>
      </c>
      <c r="AN32" s="18">
        <v>0</v>
      </c>
      <c r="AO32" s="18">
        <v>2.59</v>
      </c>
      <c r="AP32" s="18">
        <v>233</v>
      </c>
      <c r="AQ32" s="18">
        <v>-6.6950000000000003</v>
      </c>
      <c r="AR32" s="18">
        <v>-4.9619999999999997</v>
      </c>
      <c r="AS32" s="18">
        <v>-7.9729999999999999</v>
      </c>
      <c r="AT32" s="18">
        <v>5.0000000000000001E-3</v>
      </c>
      <c r="AU32" s="18">
        <v>-3.0000000000000001E-3</v>
      </c>
      <c r="AV32" s="18">
        <v>13.21</v>
      </c>
      <c r="AW32" s="18">
        <v>2876</v>
      </c>
      <c r="AX32" s="4"/>
      <c r="AY32" s="12">
        <f t="shared" si="0"/>
        <v>727.00000000000034</v>
      </c>
      <c r="AZ32" s="12"/>
      <c r="BA32" s="16">
        <v>6.74</v>
      </c>
      <c r="BB32" s="41">
        <v>4.08</v>
      </c>
      <c r="BC32" s="41">
        <v>3.27</v>
      </c>
      <c r="BD32" s="8">
        <f t="shared" si="1"/>
        <v>0.80147058823529416</v>
      </c>
      <c r="BE32" s="8"/>
      <c r="BF32" s="2">
        <f t="shared" si="26"/>
        <v>91.5</v>
      </c>
      <c r="BG32" s="2">
        <f t="shared" si="27"/>
        <v>82.7</v>
      </c>
      <c r="BH32" s="2">
        <f t="shared" si="28"/>
        <v>53.8</v>
      </c>
      <c r="BI32" s="35">
        <f t="shared" si="2"/>
        <v>0.38500000000000001</v>
      </c>
      <c r="BJ32" s="35">
        <f t="shared" si="3"/>
        <v>0.33100000000000002</v>
      </c>
      <c r="BL32" s="3">
        <f t="shared" si="4"/>
        <v>1427</v>
      </c>
      <c r="BM32" s="19">
        <f t="shared" si="5"/>
        <v>4.8000000000000001E-2</v>
      </c>
      <c r="BN32" s="19">
        <f t="shared" si="6"/>
        <v>0.40899999999999997</v>
      </c>
      <c r="BO32" s="19">
        <f t="shared" si="7"/>
        <v>0.183</v>
      </c>
      <c r="BP32" s="19">
        <f t="shared" si="8"/>
        <v>0.114</v>
      </c>
      <c r="BQ32" s="19">
        <f t="shared" si="9"/>
        <v>0.157</v>
      </c>
      <c r="BR32" s="19">
        <f t="shared" si="10"/>
        <v>8.2000000000000003E-2</v>
      </c>
      <c r="BS32" s="19">
        <f t="shared" si="11"/>
        <v>8.0000000000000002E-3</v>
      </c>
      <c r="BT32" s="19">
        <f t="shared" si="12"/>
        <v>0</v>
      </c>
      <c r="BV32" s="16">
        <f t="shared" si="13"/>
        <v>4.08</v>
      </c>
      <c r="BW32" s="16">
        <f t="shared" si="14"/>
        <v>3.27</v>
      </c>
      <c r="BX32" s="3">
        <f t="shared" si="15"/>
        <v>-12.6</v>
      </c>
      <c r="BY32" s="3">
        <f t="shared" si="16"/>
        <v>-13.2</v>
      </c>
      <c r="BZ32" s="3" t="s">
        <v>162</v>
      </c>
      <c r="CA32" s="3">
        <f t="shared" si="17"/>
        <v>0.8</v>
      </c>
      <c r="CB32" s="3">
        <f t="shared" si="18"/>
        <v>0.4</v>
      </c>
      <c r="CC32" s="3">
        <f t="shared" si="19"/>
        <v>1</v>
      </c>
      <c r="CD32" s="3">
        <f t="shared" si="20"/>
        <v>1.6</v>
      </c>
      <c r="CE32" s="22">
        <f t="shared" si="29"/>
        <v>82.7</v>
      </c>
      <c r="CF32" s="1">
        <f t="shared" si="30"/>
        <v>2.2000000000000002</v>
      </c>
      <c r="CG32" s="1">
        <f t="shared" si="31"/>
        <v>5.2</v>
      </c>
      <c r="CH32" s="3" t="s">
        <v>162</v>
      </c>
      <c r="CI32" s="1">
        <f t="shared" si="32"/>
        <v>0.8</v>
      </c>
      <c r="CJ32" s="1">
        <f t="shared" si="33"/>
        <v>0.5</v>
      </c>
      <c r="CK32" s="1">
        <f t="shared" si="34"/>
        <v>1.1000000000000001</v>
      </c>
      <c r="CL32" s="1">
        <f t="shared" si="35"/>
        <v>1.7</v>
      </c>
      <c r="CM32" s="2">
        <f t="shared" si="36"/>
        <v>91.5</v>
      </c>
      <c r="CN32" s="1">
        <f t="shared" si="37"/>
        <v>-20.100000000000001</v>
      </c>
      <c r="CO32" s="1">
        <f t="shared" si="38"/>
        <v>-20.9</v>
      </c>
      <c r="CP32" s="3" t="s">
        <v>162</v>
      </c>
      <c r="CQ32" s="1">
        <f t="shared" si="39"/>
        <v>0.7</v>
      </c>
      <c r="CR32" s="1">
        <f t="shared" si="40"/>
        <v>0.3</v>
      </c>
      <c r="CS32" s="1">
        <f t="shared" si="41"/>
        <v>0.9</v>
      </c>
      <c r="CT32" s="1">
        <f t="shared" si="42"/>
        <v>1.6</v>
      </c>
      <c r="CU32" s="2">
        <f t="shared" si="43"/>
        <v>53.8</v>
      </c>
      <c r="CV32" s="14">
        <f t="shared" si="44"/>
        <v>727.00000000000034</v>
      </c>
      <c r="CW32" s="1">
        <f>ROUND(PPTest!K32,1)</f>
        <v>0</v>
      </c>
      <c r="CX32" s="3">
        <f t="shared" si="25"/>
        <v>0</v>
      </c>
      <c r="CY32" s="3">
        <f t="shared" si="45"/>
        <v>0.53</v>
      </c>
      <c r="CZ32" s="19">
        <f t="shared" si="46"/>
        <v>0.38500000000000001</v>
      </c>
      <c r="DA32" s="19">
        <f t="shared" si="46"/>
        <v>0.33100000000000002</v>
      </c>
      <c r="DB32" s="16">
        <f t="shared" si="47"/>
        <v>13.21</v>
      </c>
    </row>
    <row r="33" spans="1:106" x14ac:dyDescent="0.2">
      <c r="A33" s="15">
        <f t="shared" si="48"/>
        <v>45685</v>
      </c>
      <c r="B33" s="1">
        <v>28</v>
      </c>
      <c r="C33" s="18">
        <v>6.9669999999999996</v>
      </c>
      <c r="D33" s="18">
        <v>5.5030000000000001</v>
      </c>
      <c r="E33" s="18">
        <v>-9.3699999999999992</v>
      </c>
      <c r="F33" s="18">
        <v>85.2</v>
      </c>
      <c r="G33" s="18">
        <v>-10.1</v>
      </c>
      <c r="H33" s="18"/>
      <c r="I33" s="18">
        <v>0.74099999999999999</v>
      </c>
      <c r="J33" s="18">
        <v>0.39500000000000002</v>
      </c>
      <c r="K33" s="18">
        <v>1.0109999999999999</v>
      </c>
      <c r="L33" s="18">
        <v>1.64</v>
      </c>
      <c r="M33" s="18">
        <v>0</v>
      </c>
      <c r="N33" s="18">
        <v>0</v>
      </c>
      <c r="O33" s="18">
        <v>2.5059999999999998</v>
      </c>
      <c r="P33" s="18">
        <v>3.2890000000000001</v>
      </c>
      <c r="Q33" s="18">
        <v>93.2</v>
      </c>
      <c r="R33" s="18">
        <v>7.2880000000000003</v>
      </c>
      <c r="S33" s="18"/>
      <c r="T33" s="18">
        <v>0.85199999999999998</v>
      </c>
      <c r="U33" s="18">
        <v>0.496</v>
      </c>
      <c r="V33" s="18">
        <v>1.089</v>
      </c>
      <c r="W33" s="18">
        <v>1.7210000000000001</v>
      </c>
      <c r="X33" s="18">
        <v>0</v>
      </c>
      <c r="Y33" s="18">
        <v>-16.55</v>
      </c>
      <c r="Z33" s="18">
        <v>51.17</v>
      </c>
      <c r="AA33" s="18">
        <v>-17.559999999999999</v>
      </c>
      <c r="AB33" s="18"/>
      <c r="AC33" s="18">
        <v>0.629</v>
      </c>
      <c r="AD33" s="18">
        <v>0.30499999999999999</v>
      </c>
      <c r="AE33" s="18">
        <v>0.93100000000000005</v>
      </c>
      <c r="AF33" s="18">
        <v>1.5680000000000001</v>
      </c>
      <c r="AG33" s="18">
        <v>178</v>
      </c>
      <c r="AH33" s="18">
        <v>927</v>
      </c>
      <c r="AI33" s="18">
        <v>454</v>
      </c>
      <c r="AJ33" s="18">
        <v>92</v>
      </c>
      <c r="AK33" s="18">
        <v>140</v>
      </c>
      <c r="AL33" s="18">
        <v>59</v>
      </c>
      <c r="AM33" s="18">
        <v>5</v>
      </c>
      <c r="AN33" s="18">
        <v>5</v>
      </c>
      <c r="AO33" s="18">
        <v>2.5649999999999999</v>
      </c>
      <c r="AP33" s="18">
        <v>211</v>
      </c>
      <c r="AQ33" s="18">
        <v>-6.8259999999999996</v>
      </c>
      <c r="AR33" s="18">
        <v>-5.1559999999999997</v>
      </c>
      <c r="AS33" s="18">
        <v>-8.11</v>
      </c>
      <c r="AT33" s="18">
        <v>6.0000000000000001E-3</v>
      </c>
      <c r="AU33" s="18">
        <v>-3.0000000000000001E-3</v>
      </c>
      <c r="AV33" s="18">
        <v>13.21</v>
      </c>
      <c r="AW33" s="18">
        <v>2876</v>
      </c>
      <c r="AX33" s="4"/>
      <c r="AY33" s="12">
        <f t="shared" si="0"/>
        <v>734.00000000000045</v>
      </c>
      <c r="AZ33" s="12"/>
      <c r="BA33" s="16">
        <v>6.87</v>
      </c>
      <c r="BB33" s="41">
        <v>4.75</v>
      </c>
      <c r="BC33" s="41">
        <v>3.8</v>
      </c>
      <c r="BD33" s="8">
        <f t="shared" si="1"/>
        <v>0.79999999999999993</v>
      </c>
      <c r="BE33" s="8"/>
      <c r="BF33" s="2">
        <f t="shared" si="26"/>
        <v>93.2</v>
      </c>
      <c r="BG33" s="2">
        <f t="shared" si="27"/>
        <v>85.2</v>
      </c>
      <c r="BH33" s="2">
        <f t="shared" si="28"/>
        <v>51.2</v>
      </c>
      <c r="BI33" s="35">
        <f t="shared" si="2"/>
        <v>0.39600000000000002</v>
      </c>
      <c r="BJ33" s="35">
        <f t="shared" si="3"/>
        <v>0.377</v>
      </c>
      <c r="BL33" s="3">
        <f t="shared" si="4"/>
        <v>1860</v>
      </c>
      <c r="BM33" s="19">
        <f t="shared" si="5"/>
        <v>9.6000000000000002E-2</v>
      </c>
      <c r="BN33" s="19">
        <f t="shared" si="6"/>
        <v>0.498</v>
      </c>
      <c r="BO33" s="19">
        <f t="shared" si="7"/>
        <v>0.24399999999999999</v>
      </c>
      <c r="BP33" s="19">
        <f t="shared" si="8"/>
        <v>4.9000000000000002E-2</v>
      </c>
      <c r="BQ33" s="19">
        <f t="shared" si="9"/>
        <v>7.4999999999999997E-2</v>
      </c>
      <c r="BR33" s="19">
        <f t="shared" si="10"/>
        <v>3.2000000000000001E-2</v>
      </c>
      <c r="BS33" s="19">
        <f t="shared" si="11"/>
        <v>3.0000000000000001E-3</v>
      </c>
      <c r="BT33" s="19">
        <f t="shared" si="12"/>
        <v>3.0000000000000001E-3</v>
      </c>
      <c r="BV33" s="16">
        <f t="shared" si="13"/>
        <v>4.75</v>
      </c>
      <c r="BW33" s="16">
        <f t="shared" si="14"/>
        <v>3.8</v>
      </c>
      <c r="BX33" s="3">
        <f t="shared" si="15"/>
        <v>-9.4</v>
      </c>
      <c r="BY33" s="3">
        <f t="shared" si="16"/>
        <v>-10.1</v>
      </c>
      <c r="BZ33" s="3" t="s">
        <v>162</v>
      </c>
      <c r="CA33" s="3">
        <f t="shared" si="17"/>
        <v>0.7</v>
      </c>
      <c r="CB33" s="3">
        <f t="shared" si="18"/>
        <v>0.4</v>
      </c>
      <c r="CC33" s="3">
        <f t="shared" si="19"/>
        <v>1</v>
      </c>
      <c r="CD33" s="3">
        <f t="shared" si="20"/>
        <v>1.6</v>
      </c>
      <c r="CE33" s="22">
        <f t="shared" si="29"/>
        <v>85.2</v>
      </c>
      <c r="CF33" s="1">
        <f t="shared" si="30"/>
        <v>3.3</v>
      </c>
      <c r="CG33" s="1">
        <f t="shared" si="31"/>
        <v>7.3</v>
      </c>
      <c r="CH33" s="3" t="s">
        <v>162</v>
      </c>
      <c r="CI33" s="1">
        <f t="shared" si="32"/>
        <v>0.9</v>
      </c>
      <c r="CJ33" s="1">
        <f t="shared" si="33"/>
        <v>0.5</v>
      </c>
      <c r="CK33" s="1">
        <f t="shared" si="34"/>
        <v>1.1000000000000001</v>
      </c>
      <c r="CL33" s="1">
        <f t="shared" si="35"/>
        <v>1.7</v>
      </c>
      <c r="CM33" s="2">
        <f t="shared" si="36"/>
        <v>93.2</v>
      </c>
      <c r="CN33" s="1">
        <f t="shared" si="37"/>
        <v>-16.600000000000001</v>
      </c>
      <c r="CO33" s="1">
        <f t="shared" si="38"/>
        <v>-17.600000000000001</v>
      </c>
      <c r="CP33" s="3" t="s">
        <v>162</v>
      </c>
      <c r="CQ33" s="1">
        <f t="shared" si="39"/>
        <v>0.6</v>
      </c>
      <c r="CR33" s="1">
        <f t="shared" si="40"/>
        <v>0.3</v>
      </c>
      <c r="CS33" s="1">
        <f t="shared" si="41"/>
        <v>0.9</v>
      </c>
      <c r="CT33" s="1">
        <f t="shared" si="42"/>
        <v>1.6</v>
      </c>
      <c r="CU33" s="2">
        <f t="shared" si="43"/>
        <v>51.2</v>
      </c>
      <c r="CV33" s="14">
        <f t="shared" si="44"/>
        <v>734.00000000000045</v>
      </c>
      <c r="CW33" s="1">
        <f>ROUND(PPTest!K33,1)</f>
        <v>0.9</v>
      </c>
      <c r="CX33" s="3">
        <f t="shared" si="25"/>
        <v>0</v>
      </c>
      <c r="CY33" s="3">
        <f t="shared" si="45"/>
        <v>0</v>
      </c>
      <c r="CZ33" s="19">
        <f t="shared" si="46"/>
        <v>0.39600000000000002</v>
      </c>
      <c r="DA33" s="19">
        <f t="shared" si="46"/>
        <v>0.377</v>
      </c>
      <c r="DB33" s="16">
        <f t="shared" si="47"/>
        <v>13.21</v>
      </c>
    </row>
    <row r="34" spans="1:106" x14ac:dyDescent="0.2">
      <c r="A34" s="15">
        <f t="shared" si="48"/>
        <v>45686</v>
      </c>
      <c r="B34" s="1">
        <v>29</v>
      </c>
      <c r="C34" s="18">
        <v>6.5259999999999998</v>
      </c>
      <c r="D34" s="18">
        <v>3.3759999999999999</v>
      </c>
      <c r="E34" s="18">
        <v>-8.85</v>
      </c>
      <c r="F34" s="18">
        <v>82</v>
      </c>
      <c r="G34" s="18">
        <v>-9.4600000000000009</v>
      </c>
      <c r="H34" s="18"/>
      <c r="I34" s="18">
        <v>0.73699999999999999</v>
      </c>
      <c r="J34" s="18">
        <v>0.378</v>
      </c>
      <c r="K34" s="18">
        <v>0.996</v>
      </c>
      <c r="L34" s="18">
        <v>1.631</v>
      </c>
      <c r="M34" s="18">
        <v>2E-3</v>
      </c>
      <c r="N34" s="18">
        <v>0</v>
      </c>
      <c r="O34" s="18">
        <v>2.5099999999999998</v>
      </c>
      <c r="P34" s="18">
        <v>1.794</v>
      </c>
      <c r="Q34" s="18">
        <v>92.6</v>
      </c>
      <c r="R34" s="18">
        <v>6.4669999999999996</v>
      </c>
      <c r="S34" s="18"/>
      <c r="T34" s="18">
        <v>0.83799999999999997</v>
      </c>
      <c r="U34" s="18">
        <v>0.47499999999999998</v>
      </c>
      <c r="V34" s="18">
        <v>1.077</v>
      </c>
      <c r="W34" s="18">
        <v>1.7190000000000001</v>
      </c>
      <c r="X34" s="18">
        <v>1.1399999999999999</v>
      </c>
      <c r="Y34" s="18">
        <v>-15.87</v>
      </c>
      <c r="Z34" s="18">
        <v>47.3</v>
      </c>
      <c r="AA34" s="18">
        <v>-16.77</v>
      </c>
      <c r="AB34" s="18"/>
      <c r="AC34" s="18">
        <v>0.64300000000000002</v>
      </c>
      <c r="AD34" s="18">
        <v>0.29699999999999999</v>
      </c>
      <c r="AE34" s="18">
        <v>0.91600000000000004</v>
      </c>
      <c r="AF34" s="18">
        <v>1.546</v>
      </c>
      <c r="AG34" s="18">
        <v>349</v>
      </c>
      <c r="AH34" s="18">
        <v>471</v>
      </c>
      <c r="AI34" s="18">
        <v>352</v>
      </c>
      <c r="AJ34" s="18">
        <v>279</v>
      </c>
      <c r="AK34" s="18">
        <v>206</v>
      </c>
      <c r="AL34" s="18">
        <v>96</v>
      </c>
      <c r="AM34" s="18">
        <v>41</v>
      </c>
      <c r="AN34" s="18">
        <v>103</v>
      </c>
      <c r="AO34" s="18">
        <v>2.544</v>
      </c>
      <c r="AP34" s="18">
        <v>208</v>
      </c>
      <c r="AQ34" s="18">
        <v>-7.38</v>
      </c>
      <c r="AR34" s="18">
        <v>-5.0250000000000004</v>
      </c>
      <c r="AS34" s="18">
        <v>-9.4600000000000009</v>
      </c>
      <c r="AT34" s="18">
        <v>6.0000000000000001E-3</v>
      </c>
      <c r="AU34" s="18">
        <v>-4.0000000000000001E-3</v>
      </c>
      <c r="AV34" s="18">
        <v>13.2</v>
      </c>
      <c r="AW34" s="18">
        <v>2876</v>
      </c>
      <c r="AX34" s="4"/>
      <c r="AY34" s="12">
        <f t="shared" si="0"/>
        <v>730.00000000000045</v>
      </c>
      <c r="AZ34" s="12"/>
      <c r="BA34" s="16">
        <v>7</v>
      </c>
      <c r="BB34" s="41">
        <v>6.33</v>
      </c>
      <c r="BC34" s="41">
        <v>5.0599999999999996</v>
      </c>
      <c r="BD34" s="8">
        <f t="shared" si="1"/>
        <v>0.79936808846761442</v>
      </c>
      <c r="BE34" s="8"/>
      <c r="BF34" s="2">
        <f t="shared" si="26"/>
        <v>92.6</v>
      </c>
      <c r="BG34" s="2">
        <f t="shared" si="27"/>
        <v>82</v>
      </c>
      <c r="BH34" s="2">
        <f t="shared" si="28"/>
        <v>47.3</v>
      </c>
      <c r="BI34" s="35">
        <f t="shared" si="2"/>
        <v>0.32900000000000001</v>
      </c>
      <c r="BJ34" s="35">
        <f t="shared" si="3"/>
        <v>0.36699999999999999</v>
      </c>
      <c r="BL34" s="3">
        <f t="shared" si="4"/>
        <v>1897</v>
      </c>
      <c r="BM34" s="19">
        <f t="shared" si="5"/>
        <v>0.184</v>
      </c>
      <c r="BN34" s="19">
        <f t="shared" si="6"/>
        <v>0.248</v>
      </c>
      <c r="BO34" s="19">
        <f t="shared" si="7"/>
        <v>0.186</v>
      </c>
      <c r="BP34" s="19">
        <f t="shared" si="8"/>
        <v>0.14699999999999999</v>
      </c>
      <c r="BQ34" s="19">
        <f t="shared" si="9"/>
        <v>0.109</v>
      </c>
      <c r="BR34" s="19">
        <f t="shared" si="10"/>
        <v>5.0999999999999997E-2</v>
      </c>
      <c r="BS34" s="19">
        <f t="shared" si="11"/>
        <v>2.1999999999999999E-2</v>
      </c>
      <c r="BT34" s="19">
        <f t="shared" si="12"/>
        <v>5.3999999999999999E-2</v>
      </c>
      <c r="BV34" s="16">
        <f t="shared" si="13"/>
        <v>6.33</v>
      </c>
      <c r="BW34" s="16">
        <f t="shared" si="14"/>
        <v>5.0599999999999996</v>
      </c>
      <c r="BX34" s="3">
        <f t="shared" si="15"/>
        <v>-8.9</v>
      </c>
      <c r="BY34" s="3">
        <f t="shared" si="16"/>
        <v>-9.5</v>
      </c>
      <c r="BZ34" s="3" t="s">
        <v>162</v>
      </c>
      <c r="CA34" s="3">
        <f t="shared" si="17"/>
        <v>0.7</v>
      </c>
      <c r="CB34" s="3">
        <f t="shared" si="18"/>
        <v>0.4</v>
      </c>
      <c r="CC34" s="3">
        <f t="shared" si="19"/>
        <v>1</v>
      </c>
      <c r="CD34" s="3">
        <f t="shared" si="20"/>
        <v>1.6</v>
      </c>
      <c r="CE34" s="22">
        <f t="shared" si="29"/>
        <v>82</v>
      </c>
      <c r="CF34" s="1">
        <f t="shared" si="30"/>
        <v>1.8</v>
      </c>
      <c r="CG34" s="1">
        <f t="shared" si="31"/>
        <v>6.5</v>
      </c>
      <c r="CH34" s="3" t="s">
        <v>162</v>
      </c>
      <c r="CI34" s="1">
        <f t="shared" si="32"/>
        <v>0.8</v>
      </c>
      <c r="CJ34" s="1">
        <f t="shared" si="33"/>
        <v>0.5</v>
      </c>
      <c r="CK34" s="1">
        <f t="shared" si="34"/>
        <v>1.1000000000000001</v>
      </c>
      <c r="CL34" s="1">
        <f t="shared" si="35"/>
        <v>1.7</v>
      </c>
      <c r="CM34" s="2">
        <f t="shared" si="36"/>
        <v>92.6</v>
      </c>
      <c r="CN34" s="1">
        <f t="shared" si="37"/>
        <v>-15.9</v>
      </c>
      <c r="CO34" s="1">
        <f t="shared" si="38"/>
        <v>-16.8</v>
      </c>
      <c r="CP34" s="3" t="s">
        <v>162</v>
      </c>
      <c r="CQ34" s="1">
        <f t="shared" si="39"/>
        <v>0.6</v>
      </c>
      <c r="CR34" s="1">
        <f t="shared" si="40"/>
        <v>0.3</v>
      </c>
      <c r="CS34" s="1">
        <f t="shared" si="41"/>
        <v>0.9</v>
      </c>
      <c r="CT34" s="1">
        <f t="shared" si="42"/>
        <v>1.5</v>
      </c>
      <c r="CU34" s="2">
        <f t="shared" si="43"/>
        <v>47.3</v>
      </c>
      <c r="CV34" s="14">
        <f t="shared" si="44"/>
        <v>730.00000000000045</v>
      </c>
      <c r="CW34" s="1">
        <f>ROUND(PPTest!K34,1)</f>
        <v>0</v>
      </c>
      <c r="CX34" s="3">
        <f t="shared" si="25"/>
        <v>0</v>
      </c>
      <c r="CY34" s="3">
        <f t="shared" si="45"/>
        <v>1.1399999999999999</v>
      </c>
      <c r="CZ34" s="19">
        <f t="shared" si="46"/>
        <v>0.32900000000000001</v>
      </c>
      <c r="DA34" s="19">
        <f t="shared" si="46"/>
        <v>0.36699999999999999</v>
      </c>
      <c r="DB34" s="16">
        <f t="shared" si="47"/>
        <v>13.2</v>
      </c>
    </row>
    <row r="35" spans="1:106" x14ac:dyDescent="0.2">
      <c r="A35" s="15">
        <f t="shared" si="48"/>
        <v>45687</v>
      </c>
      <c r="B35" s="1">
        <v>30</v>
      </c>
      <c r="C35" s="18">
        <v>2.1190000000000002</v>
      </c>
      <c r="D35" s="18">
        <v>1.4710000000000001</v>
      </c>
      <c r="E35" s="18">
        <v>-3.8319999999999999</v>
      </c>
      <c r="F35" s="18">
        <v>82.2</v>
      </c>
      <c r="G35" s="18">
        <v>-3.8690000000000002</v>
      </c>
      <c r="H35" s="18"/>
      <c r="I35" s="18">
        <v>0.73099999999999998</v>
      </c>
      <c r="J35" s="18">
        <v>0.34899999999999998</v>
      </c>
      <c r="K35" s="18">
        <v>0.98</v>
      </c>
      <c r="L35" s="18">
        <v>1.621</v>
      </c>
      <c r="M35" s="18">
        <v>1.7999999999999999E-2</v>
      </c>
      <c r="N35" s="18">
        <v>0</v>
      </c>
      <c r="O35" s="18">
        <v>2.39</v>
      </c>
      <c r="P35" s="18">
        <v>-1.2030000000000001</v>
      </c>
      <c r="Q35" s="18">
        <v>94.6</v>
      </c>
      <c r="R35" s="18">
        <v>-0.183</v>
      </c>
      <c r="S35" s="18"/>
      <c r="T35" s="18">
        <v>0.82499999999999996</v>
      </c>
      <c r="U35" s="18">
        <v>0.45500000000000002</v>
      </c>
      <c r="V35" s="18">
        <v>1.079</v>
      </c>
      <c r="W35" s="18">
        <v>1.7150000000000001</v>
      </c>
      <c r="X35" s="18">
        <v>2.2069999999999999</v>
      </c>
      <c r="Y35" s="18">
        <v>-7.7880000000000003</v>
      </c>
      <c r="Z35" s="18">
        <v>54.83</v>
      </c>
      <c r="AA35" s="18">
        <v>-8.31</v>
      </c>
      <c r="AB35" s="18"/>
      <c r="AC35" s="18">
        <v>0.65200000000000002</v>
      </c>
      <c r="AD35" s="18">
        <v>0.26100000000000001</v>
      </c>
      <c r="AE35" s="18">
        <v>0.89500000000000002</v>
      </c>
      <c r="AF35" s="18">
        <v>1.552</v>
      </c>
      <c r="AG35" s="18">
        <v>357</v>
      </c>
      <c r="AH35" s="18">
        <v>372</v>
      </c>
      <c r="AI35" s="18">
        <v>366</v>
      </c>
      <c r="AJ35" s="18">
        <v>271</v>
      </c>
      <c r="AK35" s="18">
        <v>396</v>
      </c>
      <c r="AL35" s="18">
        <v>386</v>
      </c>
      <c r="AM35" s="18">
        <v>334</v>
      </c>
      <c r="AN35" s="18">
        <v>394</v>
      </c>
      <c r="AO35" s="18">
        <v>2.4060000000000001</v>
      </c>
      <c r="AP35" s="18">
        <v>218</v>
      </c>
      <c r="AQ35" s="18">
        <v>-4.9260000000000002</v>
      </c>
      <c r="AR35" s="18">
        <v>-4.0309999999999997</v>
      </c>
      <c r="AS35" s="18">
        <v>-6.3129999999999997</v>
      </c>
      <c r="AT35" s="18">
        <v>5.0000000000000001E-3</v>
      </c>
      <c r="AU35" s="18">
        <v>-3.0000000000000001E-3</v>
      </c>
      <c r="AV35" s="18">
        <v>13.15</v>
      </c>
      <c r="AW35" s="18">
        <v>2876</v>
      </c>
      <c r="AX35" s="4"/>
      <c r="AY35" s="12">
        <f t="shared" si="0"/>
        <v>850.00000000000011</v>
      </c>
      <c r="AZ35" s="12"/>
      <c r="BA35" s="16">
        <v>7.14</v>
      </c>
      <c r="BB35" s="41">
        <v>3.88</v>
      </c>
      <c r="BC35" s="41">
        <v>3.11</v>
      </c>
      <c r="BD35" s="8">
        <f t="shared" si="1"/>
        <v>0.80154639175257736</v>
      </c>
      <c r="BE35" s="8"/>
      <c r="BF35" s="2">
        <f t="shared" si="26"/>
        <v>94.6</v>
      </c>
      <c r="BG35" s="2">
        <f t="shared" si="27"/>
        <v>82.2</v>
      </c>
      <c r="BH35" s="2">
        <f t="shared" si="28"/>
        <v>54.8</v>
      </c>
      <c r="BI35" s="35">
        <f t="shared" si="2"/>
        <v>0.30599999999999999</v>
      </c>
      <c r="BJ35" s="35">
        <f t="shared" si="3"/>
        <v>0.252</v>
      </c>
      <c r="BL35" s="3">
        <f t="shared" si="4"/>
        <v>2876</v>
      </c>
      <c r="BM35" s="19">
        <f t="shared" si="5"/>
        <v>0.124</v>
      </c>
      <c r="BN35" s="19">
        <f t="shared" si="6"/>
        <v>0.129</v>
      </c>
      <c r="BO35" s="19">
        <f t="shared" si="7"/>
        <v>0.127</v>
      </c>
      <c r="BP35" s="19">
        <f t="shared" si="8"/>
        <v>9.4E-2</v>
      </c>
      <c r="BQ35" s="19">
        <f t="shared" si="9"/>
        <v>0.13800000000000001</v>
      </c>
      <c r="BR35" s="19">
        <f t="shared" si="10"/>
        <v>0.13400000000000001</v>
      </c>
      <c r="BS35" s="19">
        <f t="shared" si="11"/>
        <v>0.11600000000000001</v>
      </c>
      <c r="BT35" s="19">
        <f t="shared" si="12"/>
        <v>0.13700000000000001</v>
      </c>
      <c r="BV35" s="16">
        <f t="shared" si="13"/>
        <v>3.88</v>
      </c>
      <c r="BW35" s="16">
        <f t="shared" si="14"/>
        <v>3.11</v>
      </c>
      <c r="BX35" s="3">
        <f t="shared" si="15"/>
        <v>-3.8</v>
      </c>
      <c r="BY35" s="3">
        <f t="shared" si="16"/>
        <v>-3.9</v>
      </c>
      <c r="BZ35" s="3" t="s">
        <v>162</v>
      </c>
      <c r="CA35" s="3">
        <f t="shared" si="17"/>
        <v>0.7</v>
      </c>
      <c r="CB35" s="3">
        <f t="shared" si="18"/>
        <v>0.3</v>
      </c>
      <c r="CC35" s="3">
        <f t="shared" si="19"/>
        <v>1</v>
      </c>
      <c r="CD35" s="3">
        <f t="shared" si="20"/>
        <v>1.6</v>
      </c>
      <c r="CE35" s="22">
        <f t="shared" si="29"/>
        <v>82.2</v>
      </c>
      <c r="CF35" s="1">
        <f t="shared" si="30"/>
        <v>-1.2</v>
      </c>
      <c r="CG35" s="1">
        <f t="shared" si="31"/>
        <v>-0.2</v>
      </c>
      <c r="CH35" s="3" t="s">
        <v>162</v>
      </c>
      <c r="CI35" s="1">
        <f t="shared" si="32"/>
        <v>0.8</v>
      </c>
      <c r="CJ35" s="1">
        <f t="shared" si="33"/>
        <v>0.5</v>
      </c>
      <c r="CK35" s="1">
        <f t="shared" si="34"/>
        <v>1.1000000000000001</v>
      </c>
      <c r="CL35" s="1">
        <f t="shared" si="35"/>
        <v>1.7</v>
      </c>
      <c r="CM35" s="2">
        <f t="shared" si="36"/>
        <v>94.6</v>
      </c>
      <c r="CN35" s="1">
        <f t="shared" si="37"/>
        <v>-7.8</v>
      </c>
      <c r="CO35" s="1">
        <f t="shared" si="38"/>
        <v>-8.3000000000000007</v>
      </c>
      <c r="CP35" s="3" t="s">
        <v>162</v>
      </c>
      <c r="CQ35" s="1">
        <f t="shared" si="39"/>
        <v>0.7</v>
      </c>
      <c r="CR35" s="1">
        <f t="shared" si="40"/>
        <v>0.3</v>
      </c>
      <c r="CS35" s="1">
        <f t="shared" si="41"/>
        <v>0.9</v>
      </c>
      <c r="CT35" s="1">
        <f t="shared" si="42"/>
        <v>1.6</v>
      </c>
      <c r="CU35" s="2">
        <f t="shared" si="43"/>
        <v>54.8</v>
      </c>
      <c r="CV35" s="14">
        <f t="shared" si="44"/>
        <v>850.00000000000011</v>
      </c>
      <c r="CW35" s="1">
        <f>ROUND(PPTest!K35,1)</f>
        <v>15.6</v>
      </c>
      <c r="CX35" s="3">
        <f t="shared" si="25"/>
        <v>0.02</v>
      </c>
      <c r="CY35" s="3">
        <f t="shared" si="45"/>
        <v>2.21</v>
      </c>
      <c r="CZ35" s="19">
        <f t="shared" si="46"/>
        <v>0.30599999999999999</v>
      </c>
      <c r="DA35" s="19">
        <f t="shared" si="46"/>
        <v>0.252</v>
      </c>
      <c r="DB35" s="16">
        <f t="shared" si="47"/>
        <v>13.15</v>
      </c>
    </row>
    <row r="36" spans="1:106" x14ac:dyDescent="0.2">
      <c r="A36" s="15">
        <f t="shared" si="48"/>
        <v>45688</v>
      </c>
      <c r="B36" s="1">
        <v>31</v>
      </c>
      <c r="C36" s="18">
        <v>0.433</v>
      </c>
      <c r="D36" s="18">
        <v>1.4610000000000001</v>
      </c>
      <c r="E36" s="18">
        <v>-3.1059999999999999</v>
      </c>
      <c r="F36" s="18">
        <v>91.7</v>
      </c>
      <c r="G36" s="18">
        <v>-2.774</v>
      </c>
      <c r="H36" s="18"/>
      <c r="I36" s="18">
        <v>0.72499999999999998</v>
      </c>
      <c r="J36" s="18">
        <v>0.32200000000000001</v>
      </c>
      <c r="K36" s="18">
        <v>0.96399999999999997</v>
      </c>
      <c r="L36" s="18">
        <v>1.6140000000000001</v>
      </c>
      <c r="M36" s="18">
        <v>4.4999999999999998E-2</v>
      </c>
      <c r="N36" s="18">
        <v>0</v>
      </c>
      <c r="O36" s="18">
        <v>2.2080000000000002</v>
      </c>
      <c r="P36" s="18">
        <v>-0.93700000000000006</v>
      </c>
      <c r="Q36" s="18">
        <v>94.5</v>
      </c>
      <c r="R36" s="18">
        <v>-9.4E-2</v>
      </c>
      <c r="S36" s="18"/>
      <c r="T36" s="18">
        <v>0.81200000000000006</v>
      </c>
      <c r="U36" s="18">
        <v>0.42099999999999999</v>
      </c>
      <c r="V36" s="18">
        <v>1.0529999999999999</v>
      </c>
      <c r="W36" s="18">
        <v>1.696</v>
      </c>
      <c r="X36" s="18">
        <v>2.8740000000000001</v>
      </c>
      <c r="Y36" s="18">
        <v>-4.4020000000000001</v>
      </c>
      <c r="Z36" s="18">
        <v>83.6</v>
      </c>
      <c r="AA36" s="18">
        <v>-4.0309999999999997</v>
      </c>
      <c r="AB36" s="18"/>
      <c r="AC36" s="18">
        <v>0.64400000000000002</v>
      </c>
      <c r="AD36" s="18">
        <v>0.252</v>
      </c>
      <c r="AE36" s="18">
        <v>0.88500000000000001</v>
      </c>
      <c r="AF36" s="18">
        <v>1.534</v>
      </c>
      <c r="AG36" s="18">
        <v>454</v>
      </c>
      <c r="AH36" s="18">
        <v>104</v>
      </c>
      <c r="AI36" s="18">
        <v>124</v>
      </c>
      <c r="AJ36" s="18">
        <v>127</v>
      </c>
      <c r="AK36" s="18">
        <v>433</v>
      </c>
      <c r="AL36" s="18">
        <v>596</v>
      </c>
      <c r="AM36" s="18">
        <v>571</v>
      </c>
      <c r="AN36" s="18">
        <v>455</v>
      </c>
      <c r="AO36" s="18">
        <v>2.218</v>
      </c>
      <c r="AP36" s="18">
        <v>213</v>
      </c>
      <c r="AQ36" s="18">
        <v>-3.6720000000000002</v>
      </c>
      <c r="AR36" s="18">
        <v>-3.278</v>
      </c>
      <c r="AS36" s="18">
        <v>-4.0309999999999997</v>
      </c>
      <c r="AT36" s="18">
        <v>5.0000000000000001E-3</v>
      </c>
      <c r="AU36" s="18">
        <v>-3.0000000000000001E-3</v>
      </c>
      <c r="AV36" s="18">
        <v>13.09</v>
      </c>
      <c r="AW36" s="18">
        <v>2876</v>
      </c>
      <c r="AX36" s="4"/>
      <c r="AY36" s="12">
        <f t="shared" si="0"/>
        <v>1032</v>
      </c>
      <c r="AZ36" s="12"/>
      <c r="BA36" s="16">
        <v>7.28</v>
      </c>
      <c r="BB36" s="41">
        <v>1.46</v>
      </c>
      <c r="BC36" s="41">
        <v>1.34</v>
      </c>
      <c r="BD36" s="8">
        <f t="shared" si="1"/>
        <v>0.91780821917808231</v>
      </c>
      <c r="BE36" s="8"/>
      <c r="BF36" s="2">
        <f t="shared" si="26"/>
        <v>94.5</v>
      </c>
      <c r="BG36" s="2">
        <f t="shared" si="27"/>
        <v>91.7</v>
      </c>
      <c r="BH36" s="2">
        <f t="shared" si="28"/>
        <v>83.6</v>
      </c>
      <c r="BI36" s="35">
        <f t="shared" si="2"/>
        <v>0.47699999999999998</v>
      </c>
      <c r="BJ36" s="35">
        <f t="shared" si="3"/>
        <v>9.4E-2</v>
      </c>
      <c r="BL36" s="3">
        <f t="shared" si="4"/>
        <v>2864</v>
      </c>
      <c r="BM36" s="19">
        <f t="shared" si="5"/>
        <v>0.159</v>
      </c>
      <c r="BN36" s="19">
        <f t="shared" si="6"/>
        <v>3.5999999999999997E-2</v>
      </c>
      <c r="BO36" s="19">
        <f t="shared" si="7"/>
        <v>4.2999999999999997E-2</v>
      </c>
      <c r="BP36" s="19">
        <f t="shared" si="8"/>
        <v>4.3999999999999997E-2</v>
      </c>
      <c r="BQ36" s="19">
        <f t="shared" si="9"/>
        <v>0.151</v>
      </c>
      <c r="BR36" s="19">
        <f t="shared" si="10"/>
        <v>0.20799999999999999</v>
      </c>
      <c r="BS36" s="19">
        <f t="shared" si="11"/>
        <v>0.19900000000000001</v>
      </c>
      <c r="BT36" s="19">
        <f t="shared" si="12"/>
        <v>0.159</v>
      </c>
      <c r="BV36" s="16">
        <f t="shared" si="13"/>
        <v>1.46</v>
      </c>
      <c r="BW36" s="16">
        <f t="shared" si="14"/>
        <v>1.34</v>
      </c>
      <c r="BX36" s="3">
        <f t="shared" si="15"/>
        <v>-3.1</v>
      </c>
      <c r="BY36" s="3">
        <f t="shared" si="16"/>
        <v>-2.8</v>
      </c>
      <c r="BZ36" s="3" t="s">
        <v>162</v>
      </c>
      <c r="CA36" s="3">
        <f t="shared" si="17"/>
        <v>0.7</v>
      </c>
      <c r="CB36" s="3">
        <f t="shared" si="18"/>
        <v>0.3</v>
      </c>
      <c r="CC36" s="3">
        <f t="shared" si="19"/>
        <v>1</v>
      </c>
      <c r="CD36" s="3">
        <f t="shared" si="20"/>
        <v>1.6</v>
      </c>
      <c r="CE36" s="22">
        <f t="shared" si="29"/>
        <v>91.7</v>
      </c>
      <c r="CF36" s="1">
        <f t="shared" si="30"/>
        <v>-0.9</v>
      </c>
      <c r="CG36" s="1">
        <f t="shared" si="31"/>
        <v>-0.1</v>
      </c>
      <c r="CH36" s="3" t="s">
        <v>162</v>
      </c>
      <c r="CI36" s="1">
        <f t="shared" si="32"/>
        <v>0.8</v>
      </c>
      <c r="CJ36" s="1">
        <f t="shared" si="33"/>
        <v>0.4</v>
      </c>
      <c r="CK36" s="1">
        <f t="shared" si="34"/>
        <v>1.1000000000000001</v>
      </c>
      <c r="CL36" s="1">
        <f t="shared" si="35"/>
        <v>1.7</v>
      </c>
      <c r="CM36" s="2">
        <f t="shared" si="36"/>
        <v>94.5</v>
      </c>
      <c r="CN36" s="1">
        <f t="shared" si="37"/>
        <v>-4.4000000000000004</v>
      </c>
      <c r="CO36" s="1">
        <f t="shared" si="38"/>
        <v>-4</v>
      </c>
      <c r="CP36" s="3" t="s">
        <v>162</v>
      </c>
      <c r="CQ36" s="1">
        <f t="shared" si="39"/>
        <v>0.6</v>
      </c>
      <c r="CR36" s="1">
        <f t="shared" si="40"/>
        <v>0.3</v>
      </c>
      <c r="CS36" s="1">
        <f t="shared" si="41"/>
        <v>0.9</v>
      </c>
      <c r="CT36" s="1">
        <f t="shared" si="42"/>
        <v>1.5</v>
      </c>
      <c r="CU36" s="2">
        <f t="shared" si="43"/>
        <v>83.6</v>
      </c>
      <c r="CV36" s="14">
        <f t="shared" si="44"/>
        <v>1032</v>
      </c>
      <c r="CW36" s="1">
        <f>ROUND(PPTest!K36,1)</f>
        <v>23.7</v>
      </c>
      <c r="CX36" s="3">
        <f t="shared" si="25"/>
        <v>0.05</v>
      </c>
      <c r="CY36" s="3">
        <f t="shared" si="45"/>
        <v>2.87</v>
      </c>
      <c r="CZ36" s="19">
        <f t="shared" si="46"/>
        <v>0.47699999999999998</v>
      </c>
      <c r="DA36" s="19">
        <f t="shared" si="46"/>
        <v>9.4E-2</v>
      </c>
      <c r="DB36" s="16">
        <f t="shared" si="47"/>
        <v>13.09</v>
      </c>
    </row>
    <row r="37" spans="1:106" x14ac:dyDescent="0.2">
      <c r="A37" s="15">
        <f t="shared" si="48"/>
        <v>45689</v>
      </c>
      <c r="B37" s="1">
        <v>32</v>
      </c>
      <c r="C37" s="18">
        <v>5.9080000000000004</v>
      </c>
      <c r="D37" s="18">
        <v>3.8340000000000001</v>
      </c>
      <c r="E37" s="18">
        <v>-7.78</v>
      </c>
      <c r="F37" s="18">
        <v>81.900000000000006</v>
      </c>
      <c r="G37" s="18">
        <v>-7.4550000000000001</v>
      </c>
      <c r="H37" s="18"/>
      <c r="I37" s="18">
        <v>0.73</v>
      </c>
      <c r="J37" s="18">
        <v>0.317</v>
      </c>
      <c r="K37" s="18">
        <v>0.95699999999999996</v>
      </c>
      <c r="L37" s="18">
        <v>1.6120000000000001</v>
      </c>
      <c r="M37" s="18">
        <v>0.67100000000000004</v>
      </c>
      <c r="N37" s="18">
        <v>0</v>
      </c>
      <c r="O37" s="18">
        <v>2.2149999999999999</v>
      </c>
      <c r="P37" s="18">
        <v>-2.5</v>
      </c>
      <c r="Q37" s="18">
        <v>92.9</v>
      </c>
      <c r="R37" s="18">
        <v>-1.546</v>
      </c>
      <c r="S37" s="18"/>
      <c r="T37" s="18">
        <v>0.82099999999999995</v>
      </c>
      <c r="U37" s="18">
        <v>0.40600000000000003</v>
      </c>
      <c r="V37" s="18">
        <v>1.042</v>
      </c>
      <c r="W37" s="18">
        <v>1.706</v>
      </c>
      <c r="X37" s="18">
        <v>6.26</v>
      </c>
      <c r="Y37" s="18">
        <v>-10.039999999999999</v>
      </c>
      <c r="Z37" s="18">
        <v>60.12</v>
      </c>
      <c r="AA37" s="18">
        <v>-10.07</v>
      </c>
      <c r="AB37" s="18"/>
      <c r="AC37" s="18">
        <v>0.65700000000000003</v>
      </c>
      <c r="AD37" s="18">
        <v>0.246</v>
      </c>
      <c r="AE37" s="18">
        <v>0.88700000000000001</v>
      </c>
      <c r="AF37" s="18">
        <v>1.542</v>
      </c>
      <c r="AG37" s="18">
        <v>112</v>
      </c>
      <c r="AH37" s="18">
        <v>92</v>
      </c>
      <c r="AI37" s="18">
        <v>109</v>
      </c>
      <c r="AJ37" s="18">
        <v>183</v>
      </c>
      <c r="AK37" s="18">
        <v>768</v>
      </c>
      <c r="AL37" s="18">
        <v>880</v>
      </c>
      <c r="AM37" s="18">
        <v>528</v>
      </c>
      <c r="AN37" s="18">
        <v>204</v>
      </c>
      <c r="AO37" s="18">
        <v>2.2549999999999999</v>
      </c>
      <c r="AP37" s="18">
        <v>198</v>
      </c>
      <c r="AQ37" s="18">
        <v>-2.9249999999999998</v>
      </c>
      <c r="AR37" s="18">
        <v>-2.7410000000000001</v>
      </c>
      <c r="AS37" s="18">
        <v>-3.278</v>
      </c>
      <c r="AT37" s="18">
        <v>5.0000000000000001E-3</v>
      </c>
      <c r="AU37" s="18">
        <v>-4.0000000000000001E-3</v>
      </c>
      <c r="AV37" s="18">
        <v>13.18</v>
      </c>
      <c r="AW37" s="18">
        <v>2876</v>
      </c>
      <c r="AX37" s="4"/>
      <c r="AY37" s="12">
        <f t="shared" si="0"/>
        <v>1025.0000000000005</v>
      </c>
      <c r="AZ37" s="12"/>
      <c r="BA37" s="16">
        <v>7.43</v>
      </c>
      <c r="BB37" s="41">
        <v>5.91</v>
      </c>
      <c r="BC37" s="41">
        <v>3.53</v>
      </c>
      <c r="BD37" s="8">
        <f t="shared" si="1"/>
        <v>0.59729272419627744</v>
      </c>
      <c r="BE37" s="8"/>
      <c r="BF37" s="2">
        <f t="shared" si="26"/>
        <v>92.9</v>
      </c>
      <c r="BG37" s="2">
        <f t="shared" si="27"/>
        <v>81.900000000000006</v>
      </c>
      <c r="BH37" s="2">
        <f t="shared" si="28"/>
        <v>60.1</v>
      </c>
      <c r="BI37" s="35">
        <f t="shared" si="2"/>
        <v>0.30499999999999999</v>
      </c>
      <c r="BJ37" s="35">
        <f t="shared" si="3"/>
        <v>0.20200000000000001</v>
      </c>
      <c r="BL37" s="3">
        <f t="shared" si="4"/>
        <v>2876</v>
      </c>
      <c r="BM37" s="19">
        <f t="shared" si="5"/>
        <v>3.9E-2</v>
      </c>
      <c r="BN37" s="19">
        <f t="shared" si="6"/>
        <v>3.2000000000000001E-2</v>
      </c>
      <c r="BO37" s="19">
        <f t="shared" si="7"/>
        <v>3.7999999999999999E-2</v>
      </c>
      <c r="BP37" s="19">
        <f t="shared" si="8"/>
        <v>6.4000000000000001E-2</v>
      </c>
      <c r="BQ37" s="19">
        <f t="shared" si="9"/>
        <v>0.26700000000000002</v>
      </c>
      <c r="BR37" s="19">
        <f t="shared" si="10"/>
        <v>0.30599999999999999</v>
      </c>
      <c r="BS37" s="19">
        <f t="shared" si="11"/>
        <v>0.184</v>
      </c>
      <c r="BT37" s="19">
        <f t="shared" si="12"/>
        <v>7.0999999999999994E-2</v>
      </c>
      <c r="BV37" s="16">
        <f t="shared" si="13"/>
        <v>5.91</v>
      </c>
      <c r="BW37" s="16">
        <f t="shared" si="14"/>
        <v>3.53</v>
      </c>
      <c r="BX37" s="3">
        <f t="shared" si="15"/>
        <v>-7.8</v>
      </c>
      <c r="BY37" s="3">
        <f t="shared" si="16"/>
        <v>-7.5</v>
      </c>
      <c r="BZ37" s="3" t="s">
        <v>162</v>
      </c>
      <c r="CA37" s="3">
        <f t="shared" si="17"/>
        <v>0.7</v>
      </c>
      <c r="CB37" s="3">
        <f t="shared" si="18"/>
        <v>0.3</v>
      </c>
      <c r="CC37" s="3">
        <f t="shared" si="19"/>
        <v>1</v>
      </c>
      <c r="CD37" s="3">
        <f t="shared" si="20"/>
        <v>1.6</v>
      </c>
      <c r="CE37" s="22">
        <f t="shared" si="29"/>
        <v>81.900000000000006</v>
      </c>
      <c r="CF37" s="1">
        <f t="shared" si="30"/>
        <v>-2.5</v>
      </c>
      <c r="CG37" s="1">
        <f t="shared" si="31"/>
        <v>-1.5</v>
      </c>
      <c r="CH37" s="3" t="s">
        <v>162</v>
      </c>
      <c r="CI37" s="1">
        <f t="shared" si="32"/>
        <v>0.8</v>
      </c>
      <c r="CJ37" s="1">
        <f t="shared" si="33"/>
        <v>0.4</v>
      </c>
      <c r="CK37" s="1">
        <f t="shared" si="34"/>
        <v>1</v>
      </c>
      <c r="CL37" s="1">
        <f t="shared" si="35"/>
        <v>1.7</v>
      </c>
      <c r="CM37" s="2">
        <f t="shared" si="36"/>
        <v>92.9</v>
      </c>
      <c r="CN37" s="1">
        <f t="shared" si="37"/>
        <v>-10</v>
      </c>
      <c r="CO37" s="1">
        <f t="shared" si="38"/>
        <v>-10.1</v>
      </c>
      <c r="CP37" s="3" t="s">
        <v>162</v>
      </c>
      <c r="CQ37" s="1">
        <f t="shared" si="39"/>
        <v>0.7</v>
      </c>
      <c r="CR37" s="1">
        <f t="shared" si="40"/>
        <v>0.2</v>
      </c>
      <c r="CS37" s="1">
        <f t="shared" si="41"/>
        <v>0.9</v>
      </c>
      <c r="CT37" s="1">
        <f t="shared" si="42"/>
        <v>1.5</v>
      </c>
      <c r="CU37" s="2">
        <f t="shared" si="43"/>
        <v>60.1</v>
      </c>
      <c r="CV37" s="14">
        <f t="shared" si="44"/>
        <v>1025.0000000000005</v>
      </c>
      <c r="CW37" s="1">
        <f>ROUND(PPTest!K37,1)</f>
        <v>0</v>
      </c>
      <c r="CX37" s="3">
        <f t="shared" si="25"/>
        <v>0.67</v>
      </c>
      <c r="CY37" s="3">
        <f t="shared" si="45"/>
        <v>6.26</v>
      </c>
      <c r="CZ37" s="19">
        <f t="shared" si="46"/>
        <v>0.30499999999999999</v>
      </c>
      <c r="DA37" s="19">
        <f t="shared" si="46"/>
        <v>0.20200000000000001</v>
      </c>
      <c r="DB37" s="16">
        <f t="shared" si="47"/>
        <v>13.18</v>
      </c>
    </row>
    <row r="38" spans="1:106" x14ac:dyDescent="0.2">
      <c r="A38" s="15">
        <f t="shared" si="48"/>
        <v>45690</v>
      </c>
      <c r="B38" s="1">
        <v>33</v>
      </c>
      <c r="C38" s="18">
        <v>3.129</v>
      </c>
      <c r="D38" s="18">
        <v>4.6349999999999998</v>
      </c>
      <c r="E38" s="18">
        <v>-12.74</v>
      </c>
      <c r="F38" s="18">
        <v>82.7</v>
      </c>
      <c r="G38" s="18">
        <v>-12.62</v>
      </c>
      <c r="H38" s="18"/>
      <c r="I38" s="18">
        <v>0.73699999999999999</v>
      </c>
      <c r="J38" s="18">
        <v>0.32100000000000001</v>
      </c>
      <c r="K38" s="18">
        <v>0.95699999999999996</v>
      </c>
      <c r="L38" s="18">
        <v>1.613</v>
      </c>
      <c r="M38" s="18">
        <v>0.124</v>
      </c>
      <c r="N38" s="18">
        <v>0</v>
      </c>
      <c r="O38" s="18">
        <v>2.2490000000000001</v>
      </c>
      <c r="P38" s="18">
        <v>-7.1870000000000003</v>
      </c>
      <c r="Q38" s="18">
        <v>92</v>
      </c>
      <c r="R38" s="18">
        <v>-2.9390000000000001</v>
      </c>
      <c r="S38" s="18"/>
      <c r="T38" s="18">
        <v>0.82399999999999995</v>
      </c>
      <c r="U38" s="18">
        <v>0.41099999999999998</v>
      </c>
      <c r="V38" s="18">
        <v>1.046</v>
      </c>
      <c r="W38" s="18">
        <v>1.7090000000000001</v>
      </c>
      <c r="X38" s="18">
        <v>2.6339999999999999</v>
      </c>
      <c r="Y38" s="18">
        <v>-20.03</v>
      </c>
      <c r="Z38" s="18">
        <v>63.38</v>
      </c>
      <c r="AA38" s="18">
        <v>-20.37</v>
      </c>
      <c r="AB38" s="18"/>
      <c r="AC38" s="18">
        <v>0.66400000000000003</v>
      </c>
      <c r="AD38" s="18">
        <v>0.23899999999999999</v>
      </c>
      <c r="AE38" s="18">
        <v>0.88</v>
      </c>
      <c r="AF38" s="18">
        <v>1.5369999999999999</v>
      </c>
      <c r="AG38" s="18">
        <v>180</v>
      </c>
      <c r="AH38" s="18">
        <v>898</v>
      </c>
      <c r="AI38" s="18">
        <v>485</v>
      </c>
      <c r="AJ38" s="18">
        <v>126</v>
      </c>
      <c r="AK38" s="18">
        <v>308</v>
      </c>
      <c r="AL38" s="18">
        <v>375</v>
      </c>
      <c r="AM38" s="18">
        <v>138</v>
      </c>
      <c r="AN38" s="18">
        <v>65</v>
      </c>
      <c r="AO38" s="18">
        <v>2.3090000000000002</v>
      </c>
      <c r="AP38" s="18">
        <v>226</v>
      </c>
      <c r="AQ38" s="18">
        <v>-2.6869999999999998</v>
      </c>
      <c r="AR38" s="18">
        <v>-2.4830000000000001</v>
      </c>
      <c r="AS38" s="18">
        <v>-2.827</v>
      </c>
      <c r="AT38" s="18">
        <v>5.0000000000000001E-3</v>
      </c>
      <c r="AU38" s="18">
        <v>-3.0000000000000001E-3</v>
      </c>
      <c r="AV38" s="18">
        <v>13.18</v>
      </c>
      <c r="AW38" s="18">
        <v>2876</v>
      </c>
      <c r="AX38" s="4"/>
      <c r="AY38" s="12">
        <f t="shared" si="0"/>
        <v>991.00000000000011</v>
      </c>
      <c r="AZ38" s="12"/>
      <c r="BA38" s="16">
        <v>7.59</v>
      </c>
      <c r="BB38" s="41">
        <v>4.71</v>
      </c>
      <c r="BC38" s="41">
        <v>4.26</v>
      </c>
      <c r="BD38" s="8">
        <f t="shared" si="1"/>
        <v>0.90445859872611456</v>
      </c>
      <c r="BE38" s="8"/>
      <c r="BF38" s="2">
        <f t="shared" si="26"/>
        <v>92</v>
      </c>
      <c r="BG38" s="2">
        <f t="shared" si="27"/>
        <v>82.7</v>
      </c>
      <c r="BH38" s="2">
        <f t="shared" si="28"/>
        <v>63.4</v>
      </c>
      <c r="BI38" s="35">
        <f t="shared" si="2"/>
        <v>0.22600000000000001</v>
      </c>
      <c r="BJ38" s="35">
        <f t="shared" si="3"/>
        <v>0.13</v>
      </c>
      <c r="BL38" s="3">
        <f t="shared" si="4"/>
        <v>2575</v>
      </c>
      <c r="BM38" s="19">
        <f t="shared" si="5"/>
        <v>7.0000000000000007E-2</v>
      </c>
      <c r="BN38" s="19">
        <f t="shared" si="6"/>
        <v>0.34899999999999998</v>
      </c>
      <c r="BO38" s="19">
        <f t="shared" si="7"/>
        <v>0.188</v>
      </c>
      <c r="BP38" s="19">
        <f t="shared" si="8"/>
        <v>4.9000000000000002E-2</v>
      </c>
      <c r="BQ38" s="19">
        <f t="shared" si="9"/>
        <v>0.12</v>
      </c>
      <c r="BR38" s="19">
        <f t="shared" si="10"/>
        <v>0.14599999999999999</v>
      </c>
      <c r="BS38" s="19">
        <f t="shared" si="11"/>
        <v>5.3999999999999999E-2</v>
      </c>
      <c r="BT38" s="19">
        <f t="shared" si="12"/>
        <v>2.5000000000000001E-2</v>
      </c>
      <c r="BV38" s="16">
        <f t="shared" si="13"/>
        <v>4.71</v>
      </c>
      <c r="BW38" s="16">
        <f t="shared" si="14"/>
        <v>4.26</v>
      </c>
      <c r="BX38" s="3">
        <f t="shared" si="15"/>
        <v>-12.7</v>
      </c>
      <c r="BY38" s="3">
        <f t="shared" ref="BY38:BY72" si="49">ROUND(G38,1)</f>
        <v>-12.6</v>
      </c>
      <c r="BZ38" s="3" t="s">
        <v>162</v>
      </c>
      <c r="CA38" s="3">
        <f t="shared" si="17"/>
        <v>0.7</v>
      </c>
      <c r="CB38" s="3">
        <f t="shared" si="18"/>
        <v>0.3</v>
      </c>
      <c r="CC38" s="3">
        <f t="shared" si="19"/>
        <v>1</v>
      </c>
      <c r="CD38" s="3">
        <f t="shared" si="20"/>
        <v>1.6</v>
      </c>
      <c r="CE38" s="22">
        <f t="shared" si="29"/>
        <v>82.7</v>
      </c>
      <c r="CF38" s="1">
        <f t="shared" si="30"/>
        <v>-7.2</v>
      </c>
      <c r="CG38" s="1">
        <f t="shared" si="31"/>
        <v>-2.9</v>
      </c>
      <c r="CH38" s="3" t="s">
        <v>162</v>
      </c>
      <c r="CI38" s="1">
        <f t="shared" si="32"/>
        <v>0.8</v>
      </c>
      <c r="CJ38" s="1">
        <f t="shared" si="33"/>
        <v>0.4</v>
      </c>
      <c r="CK38" s="1">
        <f t="shared" si="34"/>
        <v>1</v>
      </c>
      <c r="CL38" s="1">
        <f t="shared" si="35"/>
        <v>1.7</v>
      </c>
      <c r="CM38" s="2">
        <f t="shared" si="36"/>
        <v>92</v>
      </c>
      <c r="CN38" s="1">
        <f t="shared" si="37"/>
        <v>-20</v>
      </c>
      <c r="CO38" s="1">
        <f t="shared" si="38"/>
        <v>-20.399999999999999</v>
      </c>
      <c r="CP38" s="3" t="s">
        <v>162</v>
      </c>
      <c r="CQ38" s="1">
        <f t="shared" si="39"/>
        <v>0.7</v>
      </c>
      <c r="CR38" s="1">
        <f t="shared" si="40"/>
        <v>0.2</v>
      </c>
      <c r="CS38" s="1">
        <f t="shared" si="41"/>
        <v>0.9</v>
      </c>
      <c r="CT38" s="1">
        <f t="shared" si="42"/>
        <v>1.5</v>
      </c>
      <c r="CU38" s="2">
        <f t="shared" si="43"/>
        <v>63.4</v>
      </c>
      <c r="CV38" s="14">
        <f t="shared" si="44"/>
        <v>991.00000000000011</v>
      </c>
      <c r="CW38" s="1">
        <f>ROUND(PPTest!K38,1)</f>
        <v>0</v>
      </c>
      <c r="CX38" s="3">
        <f t="shared" si="25"/>
        <v>0.12</v>
      </c>
      <c r="CY38" s="3">
        <f t="shared" si="45"/>
        <v>2.63</v>
      </c>
      <c r="CZ38" s="19">
        <f t="shared" si="46"/>
        <v>0.22600000000000001</v>
      </c>
      <c r="DA38" s="19">
        <f t="shared" si="46"/>
        <v>0.13</v>
      </c>
      <c r="DB38" s="16">
        <f t="shared" si="47"/>
        <v>13.18</v>
      </c>
    </row>
    <row r="39" spans="1:106" x14ac:dyDescent="0.2">
      <c r="A39" s="15">
        <f t="shared" si="48"/>
        <v>45691</v>
      </c>
      <c r="B39" s="1">
        <v>34</v>
      </c>
      <c r="C39" s="18">
        <v>1.2909999999999999</v>
      </c>
      <c r="D39" s="18">
        <v>3.427</v>
      </c>
      <c r="E39" s="18">
        <v>-15.34</v>
      </c>
      <c r="F39" s="18">
        <v>83.6</v>
      </c>
      <c r="G39" s="18">
        <v>-15</v>
      </c>
      <c r="H39" s="18"/>
      <c r="I39" s="18">
        <v>0.73299999999999998</v>
      </c>
      <c r="J39" s="18">
        <v>0.32400000000000001</v>
      </c>
      <c r="K39" s="18">
        <v>0.94899999999999995</v>
      </c>
      <c r="L39" s="18">
        <v>1.6040000000000001</v>
      </c>
      <c r="M39" s="18">
        <v>3.6999999999999998E-2</v>
      </c>
      <c r="N39" s="18">
        <v>0</v>
      </c>
      <c r="O39" s="18">
        <v>2.2610000000000001</v>
      </c>
      <c r="P39" s="18">
        <v>-10.38</v>
      </c>
      <c r="Q39" s="18">
        <v>89.2</v>
      </c>
      <c r="R39" s="18">
        <v>-7.8659999999999997</v>
      </c>
      <c r="S39" s="18"/>
      <c r="T39" s="18">
        <v>0.83099999999999996</v>
      </c>
      <c r="U39" s="18">
        <v>0.41699999999999998</v>
      </c>
      <c r="V39" s="18">
        <v>1.0349999999999999</v>
      </c>
      <c r="W39" s="18">
        <v>1.7130000000000001</v>
      </c>
      <c r="X39" s="18">
        <v>2.34</v>
      </c>
      <c r="Y39" s="18">
        <v>-18.600000000000001</v>
      </c>
      <c r="Z39" s="18">
        <v>70.72</v>
      </c>
      <c r="AA39" s="18">
        <v>-18.25</v>
      </c>
      <c r="AB39" s="18"/>
      <c r="AC39" s="18">
        <v>0.65200000000000002</v>
      </c>
      <c r="AD39" s="18">
        <v>0.24199999999999999</v>
      </c>
      <c r="AE39" s="18">
        <v>0.86699999999999999</v>
      </c>
      <c r="AF39" s="18">
        <v>1.5309999999999999</v>
      </c>
      <c r="AG39" s="18">
        <v>265</v>
      </c>
      <c r="AH39" s="18">
        <v>672</v>
      </c>
      <c r="AI39" s="18">
        <v>437</v>
      </c>
      <c r="AJ39" s="18">
        <v>116</v>
      </c>
      <c r="AK39" s="18">
        <v>235</v>
      </c>
      <c r="AL39" s="18">
        <v>498</v>
      </c>
      <c r="AM39" s="18">
        <v>140</v>
      </c>
      <c r="AN39" s="18">
        <v>93</v>
      </c>
      <c r="AO39" s="18">
        <v>2.3359999999999999</v>
      </c>
      <c r="AP39" s="18">
        <v>195</v>
      </c>
      <c r="AQ39" s="18">
        <v>-2.6659999999999999</v>
      </c>
      <c r="AR39" s="18">
        <v>-2.5489999999999999</v>
      </c>
      <c r="AS39" s="18">
        <v>-2.7839999999999998</v>
      </c>
      <c r="AT39" s="18">
        <v>5.0000000000000001E-3</v>
      </c>
      <c r="AU39" s="18">
        <v>-3.0000000000000001E-3</v>
      </c>
      <c r="AV39" s="18">
        <v>13.14</v>
      </c>
      <c r="AW39" s="18">
        <v>2876</v>
      </c>
      <c r="AX39" s="4"/>
      <c r="AY39" s="12">
        <f t="shared" si="0"/>
        <v>979.00000000000011</v>
      </c>
      <c r="AZ39" s="12"/>
      <c r="BA39" s="16">
        <v>7.74</v>
      </c>
      <c r="BB39" s="41">
        <v>3.43</v>
      </c>
      <c r="BC39" s="41">
        <v>3.15</v>
      </c>
      <c r="BD39" s="8">
        <f t="shared" si="1"/>
        <v>0.91836734693877542</v>
      </c>
      <c r="BE39" s="8"/>
      <c r="BF39" s="2">
        <f t="shared" si="26"/>
        <v>89.2</v>
      </c>
      <c r="BG39" s="2">
        <f t="shared" si="27"/>
        <v>83.6</v>
      </c>
      <c r="BH39" s="2">
        <f t="shared" si="28"/>
        <v>70.7</v>
      </c>
      <c r="BI39" s="35">
        <f t="shared" si="2"/>
        <v>0.19600000000000001</v>
      </c>
      <c r="BJ39" s="35">
        <f t="shared" si="3"/>
        <v>8.1000000000000003E-2</v>
      </c>
      <c r="BL39" s="3">
        <f t="shared" si="4"/>
        <v>2456</v>
      </c>
      <c r="BM39" s="19">
        <f t="shared" si="5"/>
        <v>0.108</v>
      </c>
      <c r="BN39" s="19">
        <f t="shared" si="6"/>
        <v>0.27400000000000002</v>
      </c>
      <c r="BO39" s="19">
        <f t="shared" si="7"/>
        <v>0.17799999999999999</v>
      </c>
      <c r="BP39" s="19">
        <f t="shared" si="8"/>
        <v>4.7E-2</v>
      </c>
      <c r="BQ39" s="19">
        <f t="shared" si="9"/>
        <v>9.6000000000000002E-2</v>
      </c>
      <c r="BR39" s="19">
        <f t="shared" si="10"/>
        <v>0.20300000000000001</v>
      </c>
      <c r="BS39" s="19">
        <f t="shared" si="11"/>
        <v>5.7000000000000002E-2</v>
      </c>
      <c r="BT39" s="19">
        <f t="shared" si="12"/>
        <v>3.7999999999999999E-2</v>
      </c>
      <c r="BV39" s="16">
        <f t="shared" si="13"/>
        <v>3.43</v>
      </c>
      <c r="BW39" s="16">
        <f t="shared" si="14"/>
        <v>3.15</v>
      </c>
      <c r="BX39" s="3">
        <f t="shared" si="15"/>
        <v>-15.3</v>
      </c>
      <c r="BY39" s="3">
        <f t="shared" si="49"/>
        <v>-15</v>
      </c>
      <c r="BZ39" s="3" t="s">
        <v>162</v>
      </c>
      <c r="CA39" s="3">
        <f t="shared" si="17"/>
        <v>0.7</v>
      </c>
      <c r="CB39" s="3">
        <f t="shared" si="18"/>
        <v>0.3</v>
      </c>
      <c r="CC39" s="3">
        <f t="shared" si="19"/>
        <v>0.9</v>
      </c>
      <c r="CD39" s="3">
        <f t="shared" si="20"/>
        <v>1.6</v>
      </c>
      <c r="CE39" s="22">
        <f t="shared" si="29"/>
        <v>83.6</v>
      </c>
      <c r="CF39" s="1">
        <f t="shared" si="30"/>
        <v>-10.4</v>
      </c>
      <c r="CG39" s="1">
        <f t="shared" si="31"/>
        <v>-7.9</v>
      </c>
      <c r="CH39" s="3" t="s">
        <v>162</v>
      </c>
      <c r="CI39" s="1">
        <f t="shared" si="32"/>
        <v>0.8</v>
      </c>
      <c r="CJ39" s="1">
        <f t="shared" si="33"/>
        <v>0.4</v>
      </c>
      <c r="CK39" s="1">
        <f t="shared" si="34"/>
        <v>1</v>
      </c>
      <c r="CL39" s="1">
        <f t="shared" si="35"/>
        <v>1.7</v>
      </c>
      <c r="CM39" s="2">
        <f t="shared" si="36"/>
        <v>89.2</v>
      </c>
      <c r="CN39" s="1">
        <f t="shared" si="37"/>
        <v>-18.600000000000001</v>
      </c>
      <c r="CO39" s="1">
        <f t="shared" si="38"/>
        <v>-18.3</v>
      </c>
      <c r="CP39" s="3" t="s">
        <v>162</v>
      </c>
      <c r="CQ39" s="1">
        <f t="shared" si="39"/>
        <v>0.7</v>
      </c>
      <c r="CR39" s="1">
        <f t="shared" si="40"/>
        <v>0.2</v>
      </c>
      <c r="CS39" s="1">
        <f t="shared" si="41"/>
        <v>0.9</v>
      </c>
      <c r="CT39" s="1">
        <f t="shared" si="42"/>
        <v>1.5</v>
      </c>
      <c r="CU39" s="2">
        <f t="shared" si="43"/>
        <v>70.7</v>
      </c>
      <c r="CV39" s="14">
        <f t="shared" si="44"/>
        <v>979.00000000000011</v>
      </c>
      <c r="CW39" s="1">
        <f>ROUND(PPTest!K39,1)</f>
        <v>0</v>
      </c>
      <c r="CX39" s="3">
        <f t="shared" si="25"/>
        <v>0.04</v>
      </c>
      <c r="CY39" s="3">
        <f t="shared" si="45"/>
        <v>2.34</v>
      </c>
      <c r="CZ39" s="19">
        <f t="shared" si="46"/>
        <v>0.19600000000000001</v>
      </c>
      <c r="DA39" s="19">
        <f t="shared" si="46"/>
        <v>8.1000000000000003E-2</v>
      </c>
      <c r="DB39" s="16">
        <f t="shared" si="47"/>
        <v>13.14</v>
      </c>
    </row>
    <row r="40" spans="1:106" x14ac:dyDescent="0.2">
      <c r="A40" s="15">
        <f t="shared" si="48"/>
        <v>45692</v>
      </c>
      <c r="B40" s="1">
        <v>35</v>
      </c>
      <c r="C40" s="18">
        <v>2.871</v>
      </c>
      <c r="D40" s="18">
        <v>4.6859999999999999</v>
      </c>
      <c r="E40" s="18">
        <v>-21.12</v>
      </c>
      <c r="F40" s="18">
        <v>80.900000000000006</v>
      </c>
      <c r="G40" s="18">
        <v>-21.03</v>
      </c>
      <c r="H40" s="18"/>
      <c r="I40" s="18">
        <v>0.73699999999999999</v>
      </c>
      <c r="J40" s="18">
        <v>0.33500000000000002</v>
      </c>
      <c r="K40" s="18">
        <v>0.95299999999999996</v>
      </c>
      <c r="L40" s="18">
        <v>1.605</v>
      </c>
      <c r="M40" s="18">
        <v>2.7E-2</v>
      </c>
      <c r="N40" s="18">
        <v>0</v>
      </c>
      <c r="O40" s="18">
        <v>2.29</v>
      </c>
      <c r="P40" s="18">
        <v>-15.61</v>
      </c>
      <c r="Q40" s="18">
        <v>86.4</v>
      </c>
      <c r="R40" s="18">
        <v>-14.36</v>
      </c>
      <c r="S40" s="18"/>
      <c r="T40" s="18">
        <v>0.83</v>
      </c>
      <c r="U40" s="18">
        <v>0.43</v>
      </c>
      <c r="V40" s="18">
        <v>1.0529999999999999</v>
      </c>
      <c r="W40" s="18">
        <v>1.696</v>
      </c>
      <c r="X40" s="18">
        <v>2.1269999999999998</v>
      </c>
      <c r="Y40" s="18">
        <v>-28.79</v>
      </c>
      <c r="Z40" s="18">
        <v>74.319999999999993</v>
      </c>
      <c r="AA40" s="18">
        <v>-29.37</v>
      </c>
      <c r="AB40" s="18"/>
      <c r="AC40" s="18">
        <v>0.63100000000000001</v>
      </c>
      <c r="AD40" s="18">
        <v>0.251</v>
      </c>
      <c r="AE40" s="18">
        <v>0.872</v>
      </c>
      <c r="AF40" s="18">
        <v>1.5149999999999999</v>
      </c>
      <c r="AG40" s="18">
        <v>210</v>
      </c>
      <c r="AH40" s="18">
        <v>877</v>
      </c>
      <c r="AI40" s="18">
        <v>325</v>
      </c>
      <c r="AJ40" s="18">
        <v>153</v>
      </c>
      <c r="AK40" s="18">
        <v>575</v>
      </c>
      <c r="AL40" s="18">
        <v>504</v>
      </c>
      <c r="AM40" s="18">
        <v>124</v>
      </c>
      <c r="AN40" s="18">
        <v>67</v>
      </c>
      <c r="AO40" s="18">
        <v>2.42</v>
      </c>
      <c r="AP40" s="18">
        <v>211</v>
      </c>
      <c r="AQ40" s="18">
        <v>-2.5939999999999999</v>
      </c>
      <c r="AR40" s="18">
        <v>-2.42</v>
      </c>
      <c r="AS40" s="18">
        <v>-2.698</v>
      </c>
      <c r="AT40" s="18">
        <v>5.0000000000000001E-3</v>
      </c>
      <c r="AU40" s="18">
        <v>-4.0000000000000001E-3</v>
      </c>
      <c r="AV40" s="18">
        <v>13.18</v>
      </c>
      <c r="AW40" s="18">
        <v>2876</v>
      </c>
      <c r="AX40" s="4"/>
      <c r="AY40" s="12">
        <f t="shared" si="0"/>
        <v>950.00000000000023</v>
      </c>
      <c r="AZ40" s="12"/>
      <c r="BA40" s="16">
        <v>7.9</v>
      </c>
      <c r="BB40" s="41">
        <v>4.68</v>
      </c>
      <c r="BC40" s="41">
        <v>4.3099999999999996</v>
      </c>
      <c r="BD40" s="8">
        <f t="shared" si="1"/>
        <v>0.92094017094017089</v>
      </c>
      <c r="BE40" s="8"/>
      <c r="BF40" s="2">
        <f t="shared" si="26"/>
        <v>86.4</v>
      </c>
      <c r="BG40" s="2">
        <f t="shared" si="27"/>
        <v>80.900000000000006</v>
      </c>
      <c r="BH40" s="2">
        <f t="shared" si="28"/>
        <v>74.3</v>
      </c>
      <c r="BI40" s="35">
        <f t="shared" si="2"/>
        <v>0.13400000000000001</v>
      </c>
      <c r="BJ40" s="35">
        <f t="shared" si="3"/>
        <v>4.5999999999999999E-2</v>
      </c>
      <c r="BL40" s="3">
        <f t="shared" si="4"/>
        <v>2835</v>
      </c>
      <c r="BM40" s="19">
        <f t="shared" si="5"/>
        <v>7.3999999999999996E-2</v>
      </c>
      <c r="BN40" s="19">
        <f t="shared" si="6"/>
        <v>0.309</v>
      </c>
      <c r="BO40" s="19">
        <f t="shared" si="7"/>
        <v>0.115</v>
      </c>
      <c r="BP40" s="19">
        <f t="shared" si="8"/>
        <v>5.3999999999999999E-2</v>
      </c>
      <c r="BQ40" s="19">
        <f t="shared" si="9"/>
        <v>0.20300000000000001</v>
      </c>
      <c r="BR40" s="19">
        <f t="shared" si="10"/>
        <v>0.17799999999999999</v>
      </c>
      <c r="BS40" s="19">
        <f t="shared" si="11"/>
        <v>4.3999999999999997E-2</v>
      </c>
      <c r="BT40" s="19">
        <f t="shared" si="12"/>
        <v>2.4E-2</v>
      </c>
      <c r="BV40" s="16">
        <f t="shared" si="13"/>
        <v>4.68</v>
      </c>
      <c r="BW40" s="16">
        <f t="shared" si="14"/>
        <v>4.3099999999999996</v>
      </c>
      <c r="BX40" s="3">
        <f t="shared" si="15"/>
        <v>-21.1</v>
      </c>
      <c r="BY40" s="3">
        <f t="shared" si="49"/>
        <v>-21</v>
      </c>
      <c r="BZ40" s="3" t="s">
        <v>162</v>
      </c>
      <c r="CA40" s="3">
        <f t="shared" si="17"/>
        <v>0.7</v>
      </c>
      <c r="CB40" s="3">
        <f t="shared" si="18"/>
        <v>0.3</v>
      </c>
      <c r="CC40" s="3">
        <f t="shared" si="19"/>
        <v>1</v>
      </c>
      <c r="CD40" s="3">
        <f t="shared" si="20"/>
        <v>1.6</v>
      </c>
      <c r="CE40" s="22">
        <f t="shared" si="29"/>
        <v>80.900000000000006</v>
      </c>
      <c r="CF40" s="1">
        <f t="shared" si="30"/>
        <v>-15.6</v>
      </c>
      <c r="CG40" s="1">
        <f t="shared" si="31"/>
        <v>-14.4</v>
      </c>
      <c r="CH40" s="3" t="s">
        <v>162</v>
      </c>
      <c r="CI40" s="1">
        <f t="shared" si="32"/>
        <v>0.8</v>
      </c>
      <c r="CJ40" s="1">
        <f t="shared" si="33"/>
        <v>0.4</v>
      </c>
      <c r="CK40" s="1">
        <f t="shared" si="34"/>
        <v>1.1000000000000001</v>
      </c>
      <c r="CL40" s="1">
        <f t="shared" si="35"/>
        <v>1.7</v>
      </c>
      <c r="CM40" s="2">
        <f t="shared" si="36"/>
        <v>86.4</v>
      </c>
      <c r="CN40" s="1">
        <f t="shared" si="37"/>
        <v>-28.8</v>
      </c>
      <c r="CO40" s="1">
        <f t="shared" si="38"/>
        <v>-29.4</v>
      </c>
      <c r="CP40" s="3" t="s">
        <v>162</v>
      </c>
      <c r="CQ40" s="1">
        <f t="shared" si="39"/>
        <v>0.6</v>
      </c>
      <c r="CR40" s="1">
        <f t="shared" si="40"/>
        <v>0.3</v>
      </c>
      <c r="CS40" s="1">
        <f t="shared" si="41"/>
        <v>0.9</v>
      </c>
      <c r="CT40" s="1">
        <f t="shared" si="42"/>
        <v>1.5</v>
      </c>
      <c r="CU40" s="2">
        <f t="shared" si="43"/>
        <v>74.3</v>
      </c>
      <c r="CV40" s="14">
        <f t="shared" si="44"/>
        <v>950.00000000000023</v>
      </c>
      <c r="CW40" s="1">
        <f>ROUND(PPTest!K40,1)</f>
        <v>0</v>
      </c>
      <c r="CX40" s="3">
        <f t="shared" si="25"/>
        <v>0.03</v>
      </c>
      <c r="CY40" s="3">
        <f t="shared" si="45"/>
        <v>2.13</v>
      </c>
      <c r="CZ40" s="19">
        <f t="shared" si="46"/>
        <v>0.13400000000000001</v>
      </c>
      <c r="DA40" s="19">
        <f t="shared" si="46"/>
        <v>4.5999999999999999E-2</v>
      </c>
      <c r="DB40" s="16">
        <f t="shared" si="47"/>
        <v>13.18</v>
      </c>
    </row>
    <row r="41" spans="1:106" x14ac:dyDescent="0.2">
      <c r="A41" s="15">
        <f t="shared" si="48"/>
        <v>45693</v>
      </c>
      <c r="B41" s="1">
        <v>36</v>
      </c>
      <c r="C41" s="18">
        <v>2.4990000000000001</v>
      </c>
      <c r="D41" s="18">
        <v>4.4340000000000002</v>
      </c>
      <c r="E41" s="18">
        <v>-22.31</v>
      </c>
      <c r="F41" s="18">
        <v>80.2</v>
      </c>
      <c r="G41" s="18">
        <v>-21.89</v>
      </c>
      <c r="H41" s="18"/>
      <c r="I41" s="18">
        <v>0.71899999999999997</v>
      </c>
      <c r="J41" s="18">
        <v>0.32600000000000001</v>
      </c>
      <c r="K41" s="18">
        <v>0.93600000000000005</v>
      </c>
      <c r="L41" s="18">
        <v>1.5860000000000001</v>
      </c>
      <c r="M41" s="18">
        <v>0</v>
      </c>
      <c r="N41" s="18">
        <v>0</v>
      </c>
      <c r="O41" s="18">
        <v>2.3010000000000002</v>
      </c>
      <c r="P41" s="18">
        <v>-17.920000000000002</v>
      </c>
      <c r="Q41" s="18">
        <v>82.8</v>
      </c>
      <c r="R41" s="18">
        <v>-15.15</v>
      </c>
      <c r="S41" s="18"/>
      <c r="T41" s="18">
        <v>0.80500000000000005</v>
      </c>
      <c r="U41" s="18">
        <v>0.42199999999999999</v>
      </c>
      <c r="V41" s="18">
        <v>1.02</v>
      </c>
      <c r="W41" s="18">
        <v>1.673</v>
      </c>
      <c r="X41" s="18">
        <v>0</v>
      </c>
      <c r="Y41" s="18">
        <v>-29.61</v>
      </c>
      <c r="Z41" s="18">
        <v>73.64</v>
      </c>
      <c r="AA41" s="18">
        <v>-30.22</v>
      </c>
      <c r="AB41" s="18"/>
      <c r="AC41" s="18">
        <v>0.63700000000000001</v>
      </c>
      <c r="AD41" s="18">
        <v>0.253</v>
      </c>
      <c r="AE41" s="18">
        <v>0.85399999999999998</v>
      </c>
      <c r="AF41" s="18">
        <v>1.506</v>
      </c>
      <c r="AG41" s="18">
        <v>243</v>
      </c>
      <c r="AH41" s="18">
        <v>799</v>
      </c>
      <c r="AI41" s="18">
        <v>394</v>
      </c>
      <c r="AJ41" s="18">
        <v>87</v>
      </c>
      <c r="AK41" s="18">
        <v>472</v>
      </c>
      <c r="AL41" s="18">
        <v>520</v>
      </c>
      <c r="AM41" s="18">
        <v>248</v>
      </c>
      <c r="AN41" s="18">
        <v>99</v>
      </c>
      <c r="AO41" s="18">
        <v>2.3929999999999998</v>
      </c>
      <c r="AP41" s="18">
        <v>198</v>
      </c>
      <c r="AQ41" s="18">
        <v>-2.8809999999999998</v>
      </c>
      <c r="AR41" s="18">
        <v>-2.6549999999999998</v>
      </c>
      <c r="AS41" s="18">
        <v>-3.17</v>
      </c>
      <c r="AT41" s="18">
        <v>5.0000000000000001E-3</v>
      </c>
      <c r="AU41" s="18">
        <v>-3.0000000000000001E-3</v>
      </c>
      <c r="AV41" s="18">
        <v>13.18</v>
      </c>
      <c r="AW41" s="18">
        <v>2876</v>
      </c>
      <c r="AX41" s="4"/>
      <c r="AY41" s="12">
        <f t="shared" si="0"/>
        <v>939</v>
      </c>
      <c r="AZ41" s="12"/>
      <c r="BA41" s="16">
        <v>8.06</v>
      </c>
      <c r="BB41" s="41">
        <v>4.43</v>
      </c>
      <c r="BC41" s="41">
        <v>4.08</v>
      </c>
      <c r="BD41" s="8">
        <f t="shared" si="1"/>
        <v>0.92099322799097072</v>
      </c>
      <c r="BE41" s="8"/>
      <c r="BF41" s="2">
        <f t="shared" si="26"/>
        <v>82.8</v>
      </c>
      <c r="BG41" s="2">
        <f t="shared" si="27"/>
        <v>80.2</v>
      </c>
      <c r="BH41" s="2">
        <f t="shared" si="28"/>
        <v>73.599999999999994</v>
      </c>
      <c r="BI41" s="35">
        <f t="shared" si="2"/>
        <v>0.11</v>
      </c>
      <c r="BJ41" s="35">
        <f t="shared" si="3"/>
        <v>3.9E-2</v>
      </c>
      <c r="BL41" s="3">
        <f t="shared" si="4"/>
        <v>2862</v>
      </c>
      <c r="BM41" s="19">
        <f t="shared" si="5"/>
        <v>8.5000000000000006E-2</v>
      </c>
      <c r="BN41" s="19">
        <f t="shared" si="6"/>
        <v>0.27900000000000003</v>
      </c>
      <c r="BO41" s="19">
        <f t="shared" si="7"/>
        <v>0.13800000000000001</v>
      </c>
      <c r="BP41" s="19">
        <f t="shared" si="8"/>
        <v>0.03</v>
      </c>
      <c r="BQ41" s="19">
        <f t="shared" si="9"/>
        <v>0.16500000000000001</v>
      </c>
      <c r="BR41" s="19">
        <f t="shared" si="10"/>
        <v>0.182</v>
      </c>
      <c r="BS41" s="19">
        <f t="shared" si="11"/>
        <v>8.6999999999999994E-2</v>
      </c>
      <c r="BT41" s="19">
        <f t="shared" si="12"/>
        <v>3.5000000000000003E-2</v>
      </c>
      <c r="BV41" s="16">
        <f t="shared" si="13"/>
        <v>4.43</v>
      </c>
      <c r="BW41" s="16">
        <f t="shared" si="14"/>
        <v>4.08</v>
      </c>
      <c r="BX41" s="3">
        <f t="shared" si="15"/>
        <v>-22.3</v>
      </c>
      <c r="BY41" s="3">
        <f t="shared" si="49"/>
        <v>-21.9</v>
      </c>
      <c r="BZ41" s="3" t="s">
        <v>162</v>
      </c>
      <c r="CA41" s="3">
        <f t="shared" si="17"/>
        <v>0.7</v>
      </c>
      <c r="CB41" s="3">
        <f t="shared" si="18"/>
        <v>0.3</v>
      </c>
      <c r="CC41" s="3">
        <f t="shared" si="19"/>
        <v>0.9</v>
      </c>
      <c r="CD41" s="3">
        <f t="shared" si="20"/>
        <v>1.6</v>
      </c>
      <c r="CE41" s="22">
        <f t="shared" si="29"/>
        <v>80.2</v>
      </c>
      <c r="CF41" s="1">
        <f t="shared" si="30"/>
        <v>-17.899999999999999</v>
      </c>
      <c r="CG41" s="1">
        <f t="shared" si="31"/>
        <v>-15.2</v>
      </c>
      <c r="CH41" s="3" t="s">
        <v>162</v>
      </c>
      <c r="CI41" s="1">
        <f t="shared" si="32"/>
        <v>0.8</v>
      </c>
      <c r="CJ41" s="1">
        <f t="shared" si="33"/>
        <v>0.4</v>
      </c>
      <c r="CK41" s="1">
        <f t="shared" si="34"/>
        <v>1</v>
      </c>
      <c r="CL41" s="1">
        <f t="shared" si="35"/>
        <v>1.7</v>
      </c>
      <c r="CM41" s="2">
        <f t="shared" si="36"/>
        <v>82.8</v>
      </c>
      <c r="CN41" s="1">
        <f t="shared" si="37"/>
        <v>-29.6</v>
      </c>
      <c r="CO41" s="1">
        <f t="shared" si="38"/>
        <v>-30.2</v>
      </c>
      <c r="CP41" s="3" t="s">
        <v>162</v>
      </c>
      <c r="CQ41" s="1">
        <f t="shared" si="39"/>
        <v>0.6</v>
      </c>
      <c r="CR41" s="1">
        <f t="shared" si="40"/>
        <v>0.3</v>
      </c>
      <c r="CS41" s="1">
        <f t="shared" si="41"/>
        <v>0.9</v>
      </c>
      <c r="CT41" s="1">
        <f t="shared" si="42"/>
        <v>1.5</v>
      </c>
      <c r="CU41" s="2">
        <f t="shared" si="43"/>
        <v>73.599999999999994</v>
      </c>
      <c r="CV41" s="14">
        <f t="shared" si="44"/>
        <v>939</v>
      </c>
      <c r="CW41" s="1">
        <f>ROUND(PPTest!K41,1)</f>
        <v>0</v>
      </c>
      <c r="CX41" s="3">
        <f t="shared" si="25"/>
        <v>0</v>
      </c>
      <c r="CY41" s="3">
        <f t="shared" si="45"/>
        <v>0</v>
      </c>
      <c r="CZ41" s="19">
        <f t="shared" si="46"/>
        <v>0.11</v>
      </c>
      <c r="DA41" s="19">
        <f t="shared" si="46"/>
        <v>3.9E-2</v>
      </c>
      <c r="DB41" s="16">
        <f t="shared" si="47"/>
        <v>13.18</v>
      </c>
    </row>
    <row r="42" spans="1:106" x14ac:dyDescent="0.2">
      <c r="A42" s="15">
        <f t="shared" si="48"/>
        <v>45694</v>
      </c>
      <c r="B42" s="1">
        <v>37</v>
      </c>
      <c r="C42" s="18">
        <v>4.0439999999999996</v>
      </c>
      <c r="D42" s="18">
        <v>4.7359999999999998</v>
      </c>
      <c r="E42" s="18">
        <v>-19.75</v>
      </c>
      <c r="F42" s="18">
        <v>78.290000000000006</v>
      </c>
      <c r="G42" s="18">
        <v>-19.73</v>
      </c>
      <c r="H42" s="18"/>
      <c r="I42" s="18">
        <v>0.72099999999999997</v>
      </c>
      <c r="J42" s="18">
        <v>0.33300000000000002</v>
      </c>
      <c r="K42" s="18">
        <v>0.94</v>
      </c>
      <c r="L42" s="18">
        <v>1.5860000000000001</v>
      </c>
      <c r="M42" s="18">
        <v>0</v>
      </c>
      <c r="N42" s="18">
        <v>0</v>
      </c>
      <c r="O42" s="18">
        <v>2.323</v>
      </c>
      <c r="P42" s="18">
        <v>-9.5</v>
      </c>
      <c r="Q42" s="18">
        <v>85.4</v>
      </c>
      <c r="R42" s="18">
        <v>-6.2089999999999996</v>
      </c>
      <c r="S42" s="18"/>
      <c r="T42" s="18">
        <v>0.80300000000000005</v>
      </c>
      <c r="U42" s="18">
        <v>0.42399999999999999</v>
      </c>
      <c r="V42" s="18">
        <v>1.022</v>
      </c>
      <c r="W42" s="18">
        <v>1.665</v>
      </c>
      <c r="X42" s="18">
        <v>0.52700000000000002</v>
      </c>
      <c r="Y42" s="18">
        <v>-27.43</v>
      </c>
      <c r="Z42" s="18">
        <v>68.209999999999994</v>
      </c>
      <c r="AA42" s="18">
        <v>-27.9</v>
      </c>
      <c r="AB42" s="18"/>
      <c r="AC42" s="18">
        <v>0.64500000000000002</v>
      </c>
      <c r="AD42" s="18">
        <v>0.251</v>
      </c>
      <c r="AE42" s="18">
        <v>0.85799999999999998</v>
      </c>
      <c r="AF42" s="18">
        <v>1.5109999999999999</v>
      </c>
      <c r="AG42" s="18">
        <v>200</v>
      </c>
      <c r="AH42" s="18">
        <v>1316</v>
      </c>
      <c r="AI42" s="18">
        <v>647</v>
      </c>
      <c r="AJ42" s="18">
        <v>79</v>
      </c>
      <c r="AK42" s="18">
        <v>233</v>
      </c>
      <c r="AL42" s="18">
        <v>146</v>
      </c>
      <c r="AM42" s="18">
        <v>13</v>
      </c>
      <c r="AN42" s="18">
        <v>19</v>
      </c>
      <c r="AO42" s="18">
        <v>2.4359999999999999</v>
      </c>
      <c r="AP42" s="18">
        <v>206</v>
      </c>
      <c r="AQ42" s="18">
        <v>-3.3239999999999998</v>
      </c>
      <c r="AR42" s="18">
        <v>-3.17</v>
      </c>
      <c r="AS42" s="18">
        <v>-3.5790000000000002</v>
      </c>
      <c r="AT42" s="18">
        <v>6.0000000000000001E-3</v>
      </c>
      <c r="AU42" s="18">
        <v>-3.0000000000000001E-3</v>
      </c>
      <c r="AV42" s="18">
        <v>13.17</v>
      </c>
      <c r="AW42" s="18">
        <v>2876</v>
      </c>
      <c r="AX42" s="4"/>
      <c r="AY42" s="12">
        <f t="shared" si="0"/>
        <v>917.00000000000023</v>
      </c>
      <c r="AZ42" s="12"/>
      <c r="BA42" s="16">
        <v>8.23</v>
      </c>
      <c r="BB42" s="41">
        <v>4.8899999999999997</v>
      </c>
      <c r="BC42" s="41">
        <v>4.3600000000000003</v>
      </c>
      <c r="BD42" s="8">
        <f t="shared" si="1"/>
        <v>0.89161554192229053</v>
      </c>
      <c r="BE42" s="8"/>
      <c r="BF42" s="2">
        <f t="shared" si="26"/>
        <v>85.4</v>
      </c>
      <c r="BG42" s="2">
        <f t="shared" si="27"/>
        <v>78.3</v>
      </c>
      <c r="BH42" s="2">
        <f t="shared" si="28"/>
        <v>68.2</v>
      </c>
      <c r="BI42" s="35">
        <f t="shared" si="2"/>
        <v>0.20300000000000001</v>
      </c>
      <c r="BJ42" s="35">
        <f t="shared" si="3"/>
        <v>9.5000000000000001E-2</v>
      </c>
      <c r="BL42" s="3">
        <f t="shared" si="4"/>
        <v>2653</v>
      </c>
      <c r="BM42" s="19">
        <f t="shared" si="5"/>
        <v>7.4999999999999997E-2</v>
      </c>
      <c r="BN42" s="19">
        <f t="shared" si="6"/>
        <v>0.496</v>
      </c>
      <c r="BO42" s="19">
        <f t="shared" si="7"/>
        <v>0.24399999999999999</v>
      </c>
      <c r="BP42" s="19">
        <f t="shared" si="8"/>
        <v>0.03</v>
      </c>
      <c r="BQ42" s="19">
        <f t="shared" si="9"/>
        <v>8.7999999999999995E-2</v>
      </c>
      <c r="BR42" s="19">
        <f t="shared" si="10"/>
        <v>5.5E-2</v>
      </c>
      <c r="BS42" s="19">
        <f t="shared" si="11"/>
        <v>5.0000000000000001E-3</v>
      </c>
      <c r="BT42" s="19">
        <f t="shared" si="12"/>
        <v>7.0000000000000001E-3</v>
      </c>
      <c r="BV42" s="16">
        <f t="shared" si="13"/>
        <v>4.8899999999999997</v>
      </c>
      <c r="BW42" s="16">
        <f t="shared" si="14"/>
        <v>4.3600000000000003</v>
      </c>
      <c r="BX42" s="3">
        <f t="shared" si="15"/>
        <v>-19.8</v>
      </c>
      <c r="BY42" s="3">
        <f t="shared" si="49"/>
        <v>-19.7</v>
      </c>
      <c r="BZ42" s="3" t="s">
        <v>162</v>
      </c>
      <c r="CA42" s="3">
        <f t="shared" si="17"/>
        <v>0.7</v>
      </c>
      <c r="CB42" s="3">
        <f t="shared" si="18"/>
        <v>0.3</v>
      </c>
      <c r="CC42" s="3">
        <f t="shared" si="19"/>
        <v>0.9</v>
      </c>
      <c r="CD42" s="3">
        <f t="shared" si="20"/>
        <v>1.6</v>
      </c>
      <c r="CE42" s="22">
        <f t="shared" si="29"/>
        <v>78.3</v>
      </c>
      <c r="CF42" s="1">
        <f t="shared" si="30"/>
        <v>-9.5</v>
      </c>
      <c r="CG42" s="1">
        <f t="shared" si="31"/>
        <v>-6.2</v>
      </c>
      <c r="CH42" s="3" t="s">
        <v>162</v>
      </c>
      <c r="CI42" s="1">
        <f t="shared" si="32"/>
        <v>0.8</v>
      </c>
      <c r="CJ42" s="1">
        <f t="shared" si="33"/>
        <v>0.4</v>
      </c>
      <c r="CK42" s="1">
        <f t="shared" si="34"/>
        <v>1</v>
      </c>
      <c r="CL42" s="1">
        <f t="shared" si="35"/>
        <v>1.7</v>
      </c>
      <c r="CM42" s="2">
        <f t="shared" si="36"/>
        <v>85.4</v>
      </c>
      <c r="CN42" s="1">
        <f t="shared" si="37"/>
        <v>-27.4</v>
      </c>
      <c r="CO42" s="1">
        <f t="shared" si="38"/>
        <v>-27.9</v>
      </c>
      <c r="CP42" s="3" t="s">
        <v>162</v>
      </c>
      <c r="CQ42" s="1">
        <f t="shared" si="39"/>
        <v>0.6</v>
      </c>
      <c r="CR42" s="1">
        <f t="shared" si="40"/>
        <v>0.3</v>
      </c>
      <c r="CS42" s="1">
        <f t="shared" si="41"/>
        <v>0.9</v>
      </c>
      <c r="CT42" s="1">
        <f t="shared" si="42"/>
        <v>1.5</v>
      </c>
      <c r="CU42" s="2">
        <f t="shared" si="43"/>
        <v>68.2</v>
      </c>
      <c r="CV42" s="14">
        <f t="shared" si="44"/>
        <v>917.00000000000023</v>
      </c>
      <c r="CW42" s="1">
        <f>ROUND(PPTest!K42,1)</f>
        <v>0</v>
      </c>
      <c r="CX42" s="3">
        <f t="shared" si="25"/>
        <v>0</v>
      </c>
      <c r="CY42" s="3">
        <f t="shared" si="45"/>
        <v>0.53</v>
      </c>
      <c r="CZ42" s="19">
        <f t="shared" si="46"/>
        <v>0.20300000000000001</v>
      </c>
      <c r="DA42" s="19">
        <f t="shared" si="46"/>
        <v>9.5000000000000001E-2</v>
      </c>
      <c r="DB42" s="16">
        <f t="shared" si="47"/>
        <v>13.17</v>
      </c>
    </row>
    <row r="43" spans="1:106" x14ac:dyDescent="0.2">
      <c r="A43" s="15">
        <f t="shared" si="48"/>
        <v>45695</v>
      </c>
      <c r="B43" s="1">
        <v>38</v>
      </c>
      <c r="C43" s="18">
        <v>6.22</v>
      </c>
      <c r="D43" s="18">
        <v>5.0289999999999999</v>
      </c>
      <c r="E43" s="18">
        <v>-19.260000000000002</v>
      </c>
      <c r="F43" s="18">
        <v>76.69</v>
      </c>
      <c r="G43" s="18">
        <v>-19.309999999999999</v>
      </c>
      <c r="H43" s="18"/>
      <c r="I43" s="18">
        <v>0.71</v>
      </c>
      <c r="J43" s="18">
        <v>0.32100000000000001</v>
      </c>
      <c r="K43" s="18">
        <v>0.92600000000000005</v>
      </c>
      <c r="L43" s="18">
        <v>1.573</v>
      </c>
      <c r="M43" s="18">
        <v>8.9999999999999993E-3</v>
      </c>
      <c r="N43" s="18">
        <v>0</v>
      </c>
      <c r="O43" s="18">
        <v>2.3250000000000002</v>
      </c>
      <c r="P43" s="18">
        <v>-8.48</v>
      </c>
      <c r="Q43" s="18">
        <v>84.8</v>
      </c>
      <c r="R43" s="18">
        <v>-5.35</v>
      </c>
      <c r="S43" s="18"/>
      <c r="T43" s="18">
        <v>0.79600000000000004</v>
      </c>
      <c r="U43" s="18">
        <v>0.40500000000000003</v>
      </c>
      <c r="V43" s="18">
        <v>1.0089999999999999</v>
      </c>
      <c r="W43" s="18">
        <v>1.6519999999999999</v>
      </c>
      <c r="X43" s="18">
        <v>1.9670000000000001</v>
      </c>
      <c r="Y43" s="18">
        <v>-27.36</v>
      </c>
      <c r="Z43" s="18">
        <v>60.12</v>
      </c>
      <c r="AA43" s="18">
        <v>-27.78</v>
      </c>
      <c r="AB43" s="18"/>
      <c r="AC43" s="18">
        <v>0.624</v>
      </c>
      <c r="AD43" s="18">
        <v>0.23499999999999999</v>
      </c>
      <c r="AE43" s="18">
        <v>0.84599999999999997</v>
      </c>
      <c r="AF43" s="18">
        <v>1.4890000000000001</v>
      </c>
      <c r="AG43" s="18">
        <v>116</v>
      </c>
      <c r="AH43" s="18">
        <v>1096</v>
      </c>
      <c r="AI43" s="18">
        <v>339</v>
      </c>
      <c r="AJ43" s="18">
        <v>85</v>
      </c>
      <c r="AK43" s="18">
        <v>312</v>
      </c>
      <c r="AL43" s="18">
        <v>247</v>
      </c>
      <c r="AM43" s="18">
        <v>50</v>
      </c>
      <c r="AN43" s="18">
        <v>17</v>
      </c>
      <c r="AO43" s="18">
        <v>2.4049999999999998</v>
      </c>
      <c r="AP43" s="18">
        <v>208</v>
      </c>
      <c r="AQ43" s="18">
        <v>-3.86</v>
      </c>
      <c r="AR43" s="18">
        <v>-3.556</v>
      </c>
      <c r="AS43" s="18">
        <v>-4.2910000000000004</v>
      </c>
      <c r="AT43" s="18">
        <v>5.0000000000000001E-3</v>
      </c>
      <c r="AU43" s="18">
        <v>-5.0000000000000001E-3</v>
      </c>
      <c r="AV43" s="18">
        <v>13.16</v>
      </c>
      <c r="AW43" s="18">
        <v>2876</v>
      </c>
      <c r="AX43" s="4"/>
      <c r="AY43" s="12">
        <f t="shared" si="0"/>
        <v>915</v>
      </c>
      <c r="AZ43" s="12"/>
      <c r="BA43" s="16">
        <v>8.4</v>
      </c>
      <c r="BB43" s="41">
        <v>6.28</v>
      </c>
      <c r="BC43" s="41">
        <v>4.63</v>
      </c>
      <c r="BD43" s="8">
        <f t="shared" si="1"/>
        <v>0.73726114649681529</v>
      </c>
      <c r="BE43" s="8"/>
      <c r="BF43" s="2">
        <f t="shared" si="26"/>
        <v>84.8</v>
      </c>
      <c r="BG43" s="2">
        <f t="shared" si="27"/>
        <v>76.7</v>
      </c>
      <c r="BH43" s="2">
        <f t="shared" si="28"/>
        <v>60.1</v>
      </c>
      <c r="BI43" s="35">
        <f t="shared" si="2"/>
        <v>0.193</v>
      </c>
      <c r="BJ43" s="35">
        <f t="shared" si="3"/>
        <v>0.128</v>
      </c>
      <c r="BL43" s="3">
        <f t="shared" si="4"/>
        <v>2262</v>
      </c>
      <c r="BM43" s="19">
        <f t="shared" si="5"/>
        <v>5.0999999999999997E-2</v>
      </c>
      <c r="BN43" s="19">
        <f t="shared" si="6"/>
        <v>0.48499999999999999</v>
      </c>
      <c r="BO43" s="19">
        <f t="shared" si="7"/>
        <v>0.15</v>
      </c>
      <c r="BP43" s="19">
        <f t="shared" si="8"/>
        <v>3.7999999999999999E-2</v>
      </c>
      <c r="BQ43" s="19">
        <f t="shared" si="9"/>
        <v>0.13800000000000001</v>
      </c>
      <c r="BR43" s="19">
        <f t="shared" si="10"/>
        <v>0.109</v>
      </c>
      <c r="BS43" s="19">
        <f t="shared" si="11"/>
        <v>2.1999999999999999E-2</v>
      </c>
      <c r="BT43" s="19">
        <f t="shared" si="12"/>
        <v>8.0000000000000002E-3</v>
      </c>
      <c r="BV43" s="16">
        <f t="shared" si="13"/>
        <v>6.28</v>
      </c>
      <c r="BW43" s="16">
        <f t="shared" si="14"/>
        <v>4.63</v>
      </c>
      <c r="BX43" s="3">
        <f t="shared" si="15"/>
        <v>-19.3</v>
      </c>
      <c r="BY43" s="3">
        <f t="shared" si="49"/>
        <v>-19.3</v>
      </c>
      <c r="BZ43" s="3" t="s">
        <v>162</v>
      </c>
      <c r="CA43" s="3">
        <f t="shared" si="17"/>
        <v>0.7</v>
      </c>
      <c r="CB43" s="3">
        <f t="shared" si="18"/>
        <v>0.3</v>
      </c>
      <c r="CC43" s="3">
        <f t="shared" si="19"/>
        <v>0.9</v>
      </c>
      <c r="CD43" s="3">
        <f t="shared" si="20"/>
        <v>1.6</v>
      </c>
      <c r="CE43" s="22">
        <f t="shared" si="29"/>
        <v>76.7</v>
      </c>
      <c r="CF43" s="1">
        <f t="shared" si="30"/>
        <v>-8.5</v>
      </c>
      <c r="CG43" s="1">
        <f t="shared" si="31"/>
        <v>-5.4</v>
      </c>
      <c r="CH43" s="3" t="s">
        <v>162</v>
      </c>
      <c r="CI43" s="1">
        <f t="shared" si="32"/>
        <v>0.8</v>
      </c>
      <c r="CJ43" s="1">
        <f t="shared" si="33"/>
        <v>0.4</v>
      </c>
      <c r="CK43" s="1">
        <f t="shared" si="34"/>
        <v>1</v>
      </c>
      <c r="CL43" s="1">
        <f t="shared" si="35"/>
        <v>1.7</v>
      </c>
      <c r="CM43" s="2">
        <f t="shared" si="36"/>
        <v>84.8</v>
      </c>
      <c r="CN43" s="1">
        <f t="shared" si="37"/>
        <v>-27.4</v>
      </c>
      <c r="CO43" s="1">
        <f t="shared" si="38"/>
        <v>-27.8</v>
      </c>
      <c r="CP43" s="3" t="s">
        <v>162</v>
      </c>
      <c r="CQ43" s="1">
        <f t="shared" si="39"/>
        <v>0.6</v>
      </c>
      <c r="CR43" s="1">
        <f t="shared" si="40"/>
        <v>0.2</v>
      </c>
      <c r="CS43" s="1">
        <f t="shared" si="41"/>
        <v>0.8</v>
      </c>
      <c r="CT43" s="1">
        <f t="shared" si="42"/>
        <v>1.5</v>
      </c>
      <c r="CU43" s="2">
        <f t="shared" si="43"/>
        <v>60.1</v>
      </c>
      <c r="CV43" s="14">
        <f t="shared" si="44"/>
        <v>915</v>
      </c>
      <c r="CW43" s="1">
        <f>ROUND(PPTest!K43,1)</f>
        <v>0</v>
      </c>
      <c r="CX43" s="3">
        <f t="shared" si="25"/>
        <v>0.01</v>
      </c>
      <c r="CY43" s="3">
        <f t="shared" si="45"/>
        <v>1.97</v>
      </c>
      <c r="CZ43" s="19">
        <f t="shared" si="46"/>
        <v>0.193</v>
      </c>
      <c r="DA43" s="19">
        <f t="shared" si="46"/>
        <v>0.128</v>
      </c>
      <c r="DB43" s="16">
        <f t="shared" si="47"/>
        <v>13.16</v>
      </c>
    </row>
    <row r="44" spans="1:106" x14ac:dyDescent="0.2">
      <c r="A44" s="15">
        <f t="shared" si="48"/>
        <v>45696</v>
      </c>
      <c r="B44" s="1">
        <v>39</v>
      </c>
      <c r="C44" s="18">
        <v>1.601</v>
      </c>
      <c r="D44" s="18">
        <v>3.7309999999999999</v>
      </c>
      <c r="E44" s="18">
        <v>-15.44</v>
      </c>
      <c r="F44" s="18">
        <v>84.3</v>
      </c>
      <c r="G44" s="18">
        <v>-15.16</v>
      </c>
      <c r="H44" s="18"/>
      <c r="I44" s="18">
        <v>0.70599999999999996</v>
      </c>
      <c r="J44" s="18">
        <v>0.307</v>
      </c>
      <c r="K44" s="18">
        <v>0.91800000000000004</v>
      </c>
      <c r="L44" s="18">
        <v>1.5649999999999999</v>
      </c>
      <c r="M44" s="18">
        <v>2.1000000000000001E-2</v>
      </c>
      <c r="N44" s="18">
        <v>0</v>
      </c>
      <c r="O44" s="18">
        <v>2.3010000000000002</v>
      </c>
      <c r="P44" s="18">
        <v>-10.65</v>
      </c>
      <c r="Q44" s="18">
        <v>88.4</v>
      </c>
      <c r="R44" s="18">
        <v>-7.7560000000000002</v>
      </c>
      <c r="S44" s="18"/>
      <c r="T44" s="18">
        <v>0.78800000000000003</v>
      </c>
      <c r="U44" s="18">
        <v>0.38700000000000001</v>
      </c>
      <c r="V44" s="18">
        <v>0.99199999999999999</v>
      </c>
      <c r="W44" s="18">
        <v>1.647</v>
      </c>
      <c r="X44" s="18">
        <v>2.74</v>
      </c>
      <c r="Y44" s="18">
        <v>-22.88</v>
      </c>
      <c r="Z44" s="18">
        <v>76.569999999999993</v>
      </c>
      <c r="AA44" s="18">
        <v>-23.15</v>
      </c>
      <c r="AB44" s="18"/>
      <c r="AC44" s="18">
        <v>0.628</v>
      </c>
      <c r="AD44" s="18">
        <v>0.23</v>
      </c>
      <c r="AE44" s="18">
        <v>0.83899999999999997</v>
      </c>
      <c r="AF44" s="18">
        <v>1.4890000000000001</v>
      </c>
      <c r="AG44" s="18">
        <v>331</v>
      </c>
      <c r="AH44" s="18">
        <v>640</v>
      </c>
      <c r="AI44" s="18">
        <v>227</v>
      </c>
      <c r="AJ44" s="18">
        <v>66</v>
      </c>
      <c r="AK44" s="18">
        <v>336</v>
      </c>
      <c r="AL44" s="18">
        <v>481</v>
      </c>
      <c r="AM44" s="18">
        <v>267</v>
      </c>
      <c r="AN44" s="18">
        <v>133</v>
      </c>
      <c r="AO44" s="18">
        <v>2.399</v>
      </c>
      <c r="AP44" s="18">
        <v>237</v>
      </c>
      <c r="AQ44" s="18">
        <v>-4.3959999999999999</v>
      </c>
      <c r="AR44" s="18">
        <v>-4.2450000000000001</v>
      </c>
      <c r="AS44" s="18">
        <v>-4.593</v>
      </c>
      <c r="AT44" s="18">
        <v>5.0000000000000001E-3</v>
      </c>
      <c r="AU44" s="18">
        <v>-4.0000000000000001E-3</v>
      </c>
      <c r="AV44" s="18">
        <v>13.08</v>
      </c>
      <c r="AW44" s="18">
        <v>2876</v>
      </c>
      <c r="AX44" s="4"/>
      <c r="AY44" s="12">
        <f t="shared" si="0"/>
        <v>939</v>
      </c>
      <c r="AZ44" s="12"/>
      <c r="BA44" s="16">
        <v>8.57</v>
      </c>
      <c r="BB44" s="41">
        <v>3.73</v>
      </c>
      <c r="BC44" s="41">
        <v>3.43</v>
      </c>
      <c r="BD44" s="8">
        <f t="shared" si="1"/>
        <v>0.91957104557640756</v>
      </c>
      <c r="BE44" s="8"/>
      <c r="BF44" s="2">
        <f t="shared" si="26"/>
        <v>88.4</v>
      </c>
      <c r="BG44" s="2">
        <f t="shared" si="27"/>
        <v>84.3</v>
      </c>
      <c r="BH44" s="2">
        <f t="shared" si="28"/>
        <v>76.599999999999994</v>
      </c>
      <c r="BI44" s="35">
        <f t="shared" si="2"/>
        <v>0.20799999999999999</v>
      </c>
      <c r="BJ44" s="35">
        <f t="shared" si="3"/>
        <v>6.4000000000000001E-2</v>
      </c>
      <c r="BL44" s="3">
        <f t="shared" si="4"/>
        <v>2481</v>
      </c>
      <c r="BM44" s="19">
        <f t="shared" si="5"/>
        <v>0.13300000000000001</v>
      </c>
      <c r="BN44" s="19">
        <f t="shared" si="6"/>
        <v>0.25800000000000001</v>
      </c>
      <c r="BO44" s="19">
        <f t="shared" si="7"/>
        <v>9.0999999999999998E-2</v>
      </c>
      <c r="BP44" s="19">
        <f t="shared" si="8"/>
        <v>2.7E-2</v>
      </c>
      <c r="BQ44" s="19">
        <f t="shared" si="9"/>
        <v>0.13500000000000001</v>
      </c>
      <c r="BR44" s="19">
        <f t="shared" si="10"/>
        <v>0.19400000000000001</v>
      </c>
      <c r="BS44" s="19">
        <f t="shared" si="11"/>
        <v>0.108</v>
      </c>
      <c r="BT44" s="19">
        <f t="shared" si="12"/>
        <v>5.3999999999999999E-2</v>
      </c>
      <c r="BV44" s="16">
        <f t="shared" si="13"/>
        <v>3.73</v>
      </c>
      <c r="BW44" s="16">
        <f t="shared" si="14"/>
        <v>3.43</v>
      </c>
      <c r="BX44" s="3">
        <f t="shared" si="15"/>
        <v>-15.4</v>
      </c>
      <c r="BY44" s="3">
        <f t="shared" si="49"/>
        <v>-15.2</v>
      </c>
      <c r="BZ44" s="3" t="s">
        <v>162</v>
      </c>
      <c r="CA44" s="3">
        <f t="shared" si="17"/>
        <v>0.7</v>
      </c>
      <c r="CB44" s="3">
        <f t="shared" si="18"/>
        <v>0.3</v>
      </c>
      <c r="CC44" s="3">
        <f t="shared" si="19"/>
        <v>0.9</v>
      </c>
      <c r="CD44" s="3">
        <f t="shared" si="20"/>
        <v>1.6</v>
      </c>
      <c r="CE44" s="22">
        <f t="shared" si="29"/>
        <v>84.3</v>
      </c>
      <c r="CF44" s="1">
        <f t="shared" si="30"/>
        <v>-10.7</v>
      </c>
      <c r="CG44" s="1">
        <f t="shared" si="31"/>
        <v>-7.8</v>
      </c>
      <c r="CH44" s="3" t="s">
        <v>162</v>
      </c>
      <c r="CI44" s="1">
        <f t="shared" si="32"/>
        <v>0.8</v>
      </c>
      <c r="CJ44" s="1">
        <f t="shared" si="33"/>
        <v>0.4</v>
      </c>
      <c r="CK44" s="1">
        <f t="shared" si="34"/>
        <v>1</v>
      </c>
      <c r="CL44" s="1">
        <f t="shared" si="35"/>
        <v>1.6</v>
      </c>
      <c r="CM44" s="2">
        <f t="shared" si="36"/>
        <v>88.4</v>
      </c>
      <c r="CN44" s="1">
        <f t="shared" si="37"/>
        <v>-22.9</v>
      </c>
      <c r="CO44" s="1">
        <f t="shared" si="38"/>
        <v>-23.2</v>
      </c>
      <c r="CP44" s="3" t="s">
        <v>162</v>
      </c>
      <c r="CQ44" s="1">
        <f t="shared" si="39"/>
        <v>0.6</v>
      </c>
      <c r="CR44" s="1">
        <f t="shared" si="40"/>
        <v>0.2</v>
      </c>
      <c r="CS44" s="1">
        <f t="shared" si="41"/>
        <v>0.8</v>
      </c>
      <c r="CT44" s="1">
        <f t="shared" si="42"/>
        <v>1.5</v>
      </c>
      <c r="CU44" s="2">
        <f t="shared" si="43"/>
        <v>76.599999999999994</v>
      </c>
      <c r="CV44" s="14">
        <f t="shared" si="44"/>
        <v>939</v>
      </c>
      <c r="CW44" s="1">
        <f>ROUND(PPTest!K44,1)</f>
        <v>3.1</v>
      </c>
      <c r="CX44" s="3">
        <f t="shared" si="25"/>
        <v>0.02</v>
      </c>
      <c r="CY44" s="3">
        <f t="shared" si="45"/>
        <v>2.74</v>
      </c>
      <c r="CZ44" s="19">
        <f t="shared" si="46"/>
        <v>0.20799999999999999</v>
      </c>
      <c r="DA44" s="19">
        <f t="shared" si="46"/>
        <v>6.4000000000000001E-2</v>
      </c>
      <c r="DB44" s="16">
        <f t="shared" si="47"/>
        <v>13.08</v>
      </c>
    </row>
    <row r="45" spans="1:106" x14ac:dyDescent="0.2">
      <c r="A45" s="15">
        <f t="shared" si="48"/>
        <v>45697</v>
      </c>
      <c r="B45" s="1">
        <v>40</v>
      </c>
      <c r="C45" s="18">
        <v>1.204</v>
      </c>
      <c r="D45" s="18">
        <v>2.964</v>
      </c>
      <c r="E45" s="18">
        <v>-17.010000000000002</v>
      </c>
      <c r="F45" s="18">
        <v>81.7</v>
      </c>
      <c r="G45" s="18">
        <v>-16.649999999999999</v>
      </c>
      <c r="H45" s="18"/>
      <c r="I45" s="18">
        <v>0.69299999999999995</v>
      </c>
      <c r="J45" s="18">
        <v>0.28199999999999997</v>
      </c>
      <c r="K45" s="18">
        <v>0.89900000000000002</v>
      </c>
      <c r="L45" s="18">
        <v>1.5509999999999999</v>
      </c>
      <c r="M45" s="18">
        <v>0</v>
      </c>
      <c r="N45" s="18">
        <v>0</v>
      </c>
      <c r="O45" s="18">
        <v>2.3180000000000001</v>
      </c>
      <c r="P45" s="18">
        <v>-14.25</v>
      </c>
      <c r="Q45" s="18">
        <v>88.7</v>
      </c>
      <c r="R45" s="18">
        <v>-12.72</v>
      </c>
      <c r="S45" s="18"/>
      <c r="T45" s="18">
        <v>0.76300000000000001</v>
      </c>
      <c r="U45" s="18">
        <v>0.36</v>
      </c>
      <c r="V45" s="18">
        <v>0.98099999999999998</v>
      </c>
      <c r="W45" s="18">
        <v>1.625</v>
      </c>
      <c r="X45" s="18">
        <v>0</v>
      </c>
      <c r="Y45" s="18">
        <v>-21.79</v>
      </c>
      <c r="Z45" s="18">
        <v>70.52</v>
      </c>
      <c r="AA45" s="18">
        <v>-21.17</v>
      </c>
      <c r="AB45" s="18"/>
      <c r="AC45" s="18">
        <v>0.61599999999999999</v>
      </c>
      <c r="AD45" s="18">
        <v>0.21099999999999999</v>
      </c>
      <c r="AE45" s="18">
        <v>0.83199999999999996</v>
      </c>
      <c r="AF45" s="18">
        <v>1.4870000000000001</v>
      </c>
      <c r="AG45" s="18">
        <v>216</v>
      </c>
      <c r="AH45" s="18">
        <v>657</v>
      </c>
      <c r="AI45" s="18">
        <v>323</v>
      </c>
      <c r="AJ45" s="18">
        <v>229</v>
      </c>
      <c r="AK45" s="18">
        <v>402</v>
      </c>
      <c r="AL45" s="18">
        <v>448</v>
      </c>
      <c r="AM45" s="18">
        <v>287</v>
      </c>
      <c r="AN45" s="18">
        <v>208</v>
      </c>
      <c r="AO45" s="18">
        <v>2.4049999999999998</v>
      </c>
      <c r="AP45" s="18">
        <v>200</v>
      </c>
      <c r="AQ45" s="18">
        <v>-4.133</v>
      </c>
      <c r="AR45" s="18">
        <v>-3.988</v>
      </c>
      <c r="AS45" s="18">
        <v>-4.2450000000000001</v>
      </c>
      <c r="AT45" s="18">
        <v>4.0000000000000001E-3</v>
      </c>
      <c r="AU45" s="18">
        <v>-3.0000000000000001E-3</v>
      </c>
      <c r="AV45" s="18">
        <v>13.04</v>
      </c>
      <c r="AW45" s="18">
        <v>2876</v>
      </c>
      <c r="AX45" s="4"/>
      <c r="AY45" s="12">
        <f t="shared" si="0"/>
        <v>922.00000000000011</v>
      </c>
      <c r="AZ45" s="12"/>
      <c r="BA45" s="16">
        <v>8.75</v>
      </c>
      <c r="BB45" s="41">
        <v>2.96</v>
      </c>
      <c r="BC45" s="41">
        <v>2.73</v>
      </c>
      <c r="BD45" s="8">
        <f t="shared" si="1"/>
        <v>0.92229729729729726</v>
      </c>
      <c r="BE45" s="8"/>
      <c r="BF45" s="2">
        <f t="shared" si="26"/>
        <v>88.7</v>
      </c>
      <c r="BG45" s="2">
        <f t="shared" si="27"/>
        <v>81.7</v>
      </c>
      <c r="BH45" s="2">
        <f t="shared" si="28"/>
        <v>70.5</v>
      </c>
      <c r="BI45" s="35">
        <f t="shared" si="2"/>
        <v>0.14299999999999999</v>
      </c>
      <c r="BJ45" s="35">
        <f t="shared" si="3"/>
        <v>0.06</v>
      </c>
      <c r="BL45" s="3">
        <f t="shared" si="4"/>
        <v>2770</v>
      </c>
      <c r="BM45" s="19">
        <f t="shared" si="5"/>
        <v>7.8E-2</v>
      </c>
      <c r="BN45" s="19">
        <f t="shared" si="6"/>
        <v>0.23699999999999999</v>
      </c>
      <c r="BO45" s="19">
        <f t="shared" si="7"/>
        <v>0.11700000000000001</v>
      </c>
      <c r="BP45" s="19">
        <f t="shared" si="8"/>
        <v>8.3000000000000004E-2</v>
      </c>
      <c r="BQ45" s="19">
        <f t="shared" si="9"/>
        <v>0.14499999999999999</v>
      </c>
      <c r="BR45" s="19">
        <f t="shared" si="10"/>
        <v>0.16200000000000001</v>
      </c>
      <c r="BS45" s="19">
        <f t="shared" si="11"/>
        <v>0.104</v>
      </c>
      <c r="BT45" s="19">
        <f t="shared" si="12"/>
        <v>7.4999999999999997E-2</v>
      </c>
      <c r="BV45" s="16">
        <f t="shared" si="13"/>
        <v>2.96</v>
      </c>
      <c r="BW45" s="16">
        <f t="shared" si="14"/>
        <v>2.73</v>
      </c>
      <c r="BX45" s="3">
        <f t="shared" si="15"/>
        <v>-17</v>
      </c>
      <c r="BY45" s="3">
        <f t="shared" si="49"/>
        <v>-16.7</v>
      </c>
      <c r="BZ45" s="3" t="s">
        <v>162</v>
      </c>
      <c r="CA45" s="3">
        <f t="shared" si="17"/>
        <v>0.7</v>
      </c>
      <c r="CB45" s="3">
        <f t="shared" si="18"/>
        <v>0.3</v>
      </c>
      <c r="CC45" s="3">
        <f t="shared" si="19"/>
        <v>0.9</v>
      </c>
      <c r="CD45" s="3">
        <f t="shared" si="20"/>
        <v>1.6</v>
      </c>
      <c r="CE45" s="22">
        <f t="shared" si="29"/>
        <v>81.7</v>
      </c>
      <c r="CF45" s="1">
        <f t="shared" si="30"/>
        <v>-14.3</v>
      </c>
      <c r="CG45" s="1">
        <f t="shared" si="31"/>
        <v>-12.7</v>
      </c>
      <c r="CH45" s="3" t="s">
        <v>162</v>
      </c>
      <c r="CI45" s="1">
        <f t="shared" si="32"/>
        <v>0.8</v>
      </c>
      <c r="CJ45" s="1">
        <f t="shared" si="33"/>
        <v>0.4</v>
      </c>
      <c r="CK45" s="1">
        <f t="shared" si="34"/>
        <v>1</v>
      </c>
      <c r="CL45" s="1">
        <f t="shared" si="35"/>
        <v>1.6</v>
      </c>
      <c r="CM45" s="2">
        <f t="shared" si="36"/>
        <v>88.7</v>
      </c>
      <c r="CN45" s="1">
        <f t="shared" si="37"/>
        <v>-21.8</v>
      </c>
      <c r="CO45" s="1">
        <f t="shared" si="38"/>
        <v>-21.2</v>
      </c>
      <c r="CP45" s="3" t="s">
        <v>162</v>
      </c>
      <c r="CQ45" s="1">
        <f t="shared" si="39"/>
        <v>0.6</v>
      </c>
      <c r="CR45" s="1">
        <f t="shared" si="40"/>
        <v>0.2</v>
      </c>
      <c r="CS45" s="1">
        <f t="shared" si="41"/>
        <v>0.8</v>
      </c>
      <c r="CT45" s="1">
        <f t="shared" si="42"/>
        <v>1.5</v>
      </c>
      <c r="CU45" s="2">
        <f t="shared" si="43"/>
        <v>70.5</v>
      </c>
      <c r="CV45" s="14">
        <f t="shared" si="44"/>
        <v>922.00000000000011</v>
      </c>
      <c r="CW45" s="1">
        <f>ROUND(PPTest!K45,1)</f>
        <v>0</v>
      </c>
      <c r="CX45" s="3">
        <f t="shared" si="25"/>
        <v>0</v>
      </c>
      <c r="CY45" s="3">
        <f t="shared" si="45"/>
        <v>0</v>
      </c>
      <c r="CZ45" s="19">
        <f t="shared" si="46"/>
        <v>0.14299999999999999</v>
      </c>
      <c r="DA45" s="19">
        <f t="shared" si="46"/>
        <v>0.06</v>
      </c>
      <c r="DB45" s="16">
        <f t="shared" si="47"/>
        <v>13.04</v>
      </c>
    </row>
    <row r="46" spans="1:106" x14ac:dyDescent="0.2">
      <c r="A46" s="15">
        <f t="shared" si="48"/>
        <v>45698</v>
      </c>
      <c r="B46" s="1">
        <v>41</v>
      </c>
      <c r="C46" s="18">
        <v>4.3159999999999998</v>
      </c>
      <c r="D46" s="18">
        <v>5.6980000000000004</v>
      </c>
      <c r="E46" s="18">
        <v>-22.75</v>
      </c>
      <c r="F46" s="18">
        <v>72.17</v>
      </c>
      <c r="G46" s="18">
        <v>-22.9</v>
      </c>
      <c r="H46" s="18"/>
      <c r="I46" s="18">
        <v>0.68899999999999995</v>
      </c>
      <c r="J46" s="18">
        <v>0.26800000000000002</v>
      </c>
      <c r="K46" s="18">
        <v>0.89</v>
      </c>
      <c r="L46" s="18">
        <v>1.546</v>
      </c>
      <c r="M46" s="18">
        <v>0</v>
      </c>
      <c r="N46" s="18">
        <v>0</v>
      </c>
      <c r="O46" s="18">
        <v>2.3239999999999998</v>
      </c>
      <c r="P46" s="18">
        <v>-11.94</v>
      </c>
      <c r="Q46" s="18">
        <v>83.9</v>
      </c>
      <c r="R46" s="18">
        <v>-7.7469999999999999</v>
      </c>
      <c r="S46" s="18"/>
      <c r="T46" s="18">
        <v>0.76700000000000002</v>
      </c>
      <c r="U46" s="18">
        <v>0.35</v>
      </c>
      <c r="V46" s="18">
        <v>0.97099999999999997</v>
      </c>
      <c r="W46" s="18">
        <v>1.629</v>
      </c>
      <c r="X46" s="18">
        <v>0.5</v>
      </c>
      <c r="Y46" s="18">
        <v>-30.62</v>
      </c>
      <c r="Z46" s="18">
        <v>35.46</v>
      </c>
      <c r="AA46" s="18">
        <v>-31.08</v>
      </c>
      <c r="AB46" s="18"/>
      <c r="AC46" s="18">
        <v>0.59799999999999998</v>
      </c>
      <c r="AD46" s="18">
        <v>0.2</v>
      </c>
      <c r="AE46" s="18">
        <v>0.81599999999999995</v>
      </c>
      <c r="AF46" s="18">
        <v>1.46</v>
      </c>
      <c r="AG46" s="18">
        <v>107</v>
      </c>
      <c r="AH46" s="18">
        <v>1407</v>
      </c>
      <c r="AI46" s="18">
        <v>601</v>
      </c>
      <c r="AJ46" s="18">
        <v>130</v>
      </c>
      <c r="AK46" s="18">
        <v>255</v>
      </c>
      <c r="AL46" s="18">
        <v>191</v>
      </c>
      <c r="AM46" s="18">
        <v>66</v>
      </c>
      <c r="AN46" s="18">
        <v>40</v>
      </c>
      <c r="AO46" s="18">
        <v>2.4620000000000002</v>
      </c>
      <c r="AP46" s="18">
        <v>201</v>
      </c>
      <c r="AQ46" s="18">
        <v>-3.9430000000000001</v>
      </c>
      <c r="AR46" s="18">
        <v>-3.794</v>
      </c>
      <c r="AS46" s="18">
        <v>-4.117</v>
      </c>
      <c r="AT46" s="18">
        <v>5.0000000000000001E-3</v>
      </c>
      <c r="AU46" s="18">
        <v>-3.0000000000000001E-3</v>
      </c>
      <c r="AV46" s="18">
        <v>13.13</v>
      </c>
      <c r="AW46" s="18">
        <v>2876</v>
      </c>
      <c r="AX46" s="4"/>
      <c r="AY46" s="12">
        <f t="shared" si="0"/>
        <v>916.00000000000034</v>
      </c>
      <c r="AZ46" s="12"/>
      <c r="BA46" s="16">
        <v>8.93</v>
      </c>
      <c r="BB46" s="41">
        <v>5.74</v>
      </c>
      <c r="BC46" s="41">
        <v>5.24</v>
      </c>
      <c r="BD46" s="8">
        <f t="shared" si="1"/>
        <v>0.91289198606271782</v>
      </c>
      <c r="BE46" s="8"/>
      <c r="BF46" s="2">
        <f t="shared" si="26"/>
        <v>83.9</v>
      </c>
      <c r="BG46" s="2">
        <f t="shared" si="27"/>
        <v>72.2</v>
      </c>
      <c r="BH46" s="2">
        <f t="shared" si="28"/>
        <v>35.5</v>
      </c>
      <c r="BI46" s="35">
        <f t="shared" si="2"/>
        <v>8.6999999999999994E-2</v>
      </c>
      <c r="BJ46" s="35">
        <f t="shared" si="3"/>
        <v>0.158</v>
      </c>
      <c r="BL46" s="3">
        <f t="shared" si="4"/>
        <v>2797</v>
      </c>
      <c r="BM46" s="19">
        <f t="shared" si="5"/>
        <v>3.7999999999999999E-2</v>
      </c>
      <c r="BN46" s="19">
        <f t="shared" si="6"/>
        <v>0.503</v>
      </c>
      <c r="BO46" s="19">
        <f t="shared" si="7"/>
        <v>0.215</v>
      </c>
      <c r="BP46" s="19">
        <f t="shared" si="8"/>
        <v>4.5999999999999999E-2</v>
      </c>
      <c r="BQ46" s="19">
        <f t="shared" si="9"/>
        <v>9.0999999999999998E-2</v>
      </c>
      <c r="BR46" s="19">
        <f t="shared" si="10"/>
        <v>6.8000000000000005E-2</v>
      </c>
      <c r="BS46" s="19">
        <f t="shared" si="11"/>
        <v>2.4E-2</v>
      </c>
      <c r="BT46" s="19">
        <f t="shared" si="12"/>
        <v>1.4E-2</v>
      </c>
      <c r="BV46" s="16">
        <f t="shared" si="13"/>
        <v>5.74</v>
      </c>
      <c r="BW46" s="16">
        <f t="shared" si="14"/>
        <v>5.24</v>
      </c>
      <c r="BX46" s="3">
        <f t="shared" si="15"/>
        <v>-22.8</v>
      </c>
      <c r="BY46" s="3">
        <f t="shared" si="49"/>
        <v>-22.9</v>
      </c>
      <c r="BZ46" s="3" t="s">
        <v>162</v>
      </c>
      <c r="CA46" s="3">
        <f t="shared" si="17"/>
        <v>0.7</v>
      </c>
      <c r="CB46" s="3">
        <f t="shared" si="18"/>
        <v>0.3</v>
      </c>
      <c r="CC46" s="3">
        <f t="shared" si="19"/>
        <v>0.9</v>
      </c>
      <c r="CD46" s="3">
        <f t="shared" si="20"/>
        <v>1.5</v>
      </c>
      <c r="CE46" s="22">
        <f t="shared" si="29"/>
        <v>72.2</v>
      </c>
      <c r="CF46" s="1">
        <f t="shared" si="30"/>
        <v>-11.9</v>
      </c>
      <c r="CG46" s="1">
        <f t="shared" si="31"/>
        <v>-7.7</v>
      </c>
      <c r="CH46" s="3" t="s">
        <v>162</v>
      </c>
      <c r="CI46" s="1">
        <f t="shared" si="32"/>
        <v>0.8</v>
      </c>
      <c r="CJ46" s="1">
        <f t="shared" si="33"/>
        <v>0.4</v>
      </c>
      <c r="CK46" s="1">
        <f t="shared" si="34"/>
        <v>1</v>
      </c>
      <c r="CL46" s="1">
        <f t="shared" si="35"/>
        <v>1.6</v>
      </c>
      <c r="CM46" s="2">
        <f t="shared" si="36"/>
        <v>83.9</v>
      </c>
      <c r="CN46" s="1">
        <f t="shared" si="37"/>
        <v>-30.6</v>
      </c>
      <c r="CO46" s="1">
        <f t="shared" si="38"/>
        <v>-31.1</v>
      </c>
      <c r="CP46" s="3" t="s">
        <v>162</v>
      </c>
      <c r="CQ46" s="1">
        <f t="shared" si="39"/>
        <v>0.6</v>
      </c>
      <c r="CR46" s="1">
        <f t="shared" si="40"/>
        <v>0.2</v>
      </c>
      <c r="CS46" s="1">
        <f t="shared" si="41"/>
        <v>0.8</v>
      </c>
      <c r="CT46" s="1">
        <f t="shared" si="42"/>
        <v>1.5</v>
      </c>
      <c r="CU46" s="2">
        <f t="shared" si="43"/>
        <v>35.5</v>
      </c>
      <c r="CV46" s="14">
        <f t="shared" si="44"/>
        <v>916.00000000000034</v>
      </c>
      <c r="CW46" s="1">
        <f>ROUND(PPTest!K46,1)</f>
        <v>0</v>
      </c>
      <c r="CX46" s="3">
        <f t="shared" si="25"/>
        <v>0</v>
      </c>
      <c r="CY46" s="3">
        <f t="shared" si="45"/>
        <v>0.5</v>
      </c>
      <c r="CZ46" s="19">
        <f t="shared" si="46"/>
        <v>8.6999999999999994E-2</v>
      </c>
      <c r="DA46" s="19">
        <f t="shared" si="46"/>
        <v>0.158</v>
      </c>
      <c r="DB46" s="16">
        <f t="shared" si="47"/>
        <v>13.13</v>
      </c>
    </row>
    <row r="47" spans="1:106" x14ac:dyDescent="0.2">
      <c r="A47" s="15">
        <f t="shared" si="48"/>
        <v>45699</v>
      </c>
      <c r="B47" s="1">
        <v>42</v>
      </c>
      <c r="C47" s="18">
        <v>4.3470000000000004</v>
      </c>
      <c r="D47" s="18">
        <v>6.1239999999999997</v>
      </c>
      <c r="E47" s="18">
        <v>-22.12</v>
      </c>
      <c r="F47" s="18">
        <v>77.63</v>
      </c>
      <c r="G47" s="18">
        <v>-21.83</v>
      </c>
      <c r="H47" s="18"/>
      <c r="I47" s="18">
        <v>0.69899999999999995</v>
      </c>
      <c r="J47" s="18">
        <v>0.26100000000000001</v>
      </c>
      <c r="K47" s="18">
        <v>0.88500000000000001</v>
      </c>
      <c r="L47" s="18">
        <v>1.548</v>
      </c>
      <c r="M47" s="18">
        <v>3.0000000000000001E-3</v>
      </c>
      <c r="N47" s="18">
        <v>0</v>
      </c>
      <c r="O47" s="18">
        <v>2.3340000000000001</v>
      </c>
      <c r="P47" s="18">
        <v>-14.05</v>
      </c>
      <c r="Q47" s="18">
        <v>86.9</v>
      </c>
      <c r="R47" s="18">
        <v>-9.99</v>
      </c>
      <c r="S47" s="18"/>
      <c r="T47" s="18">
        <v>0.89700000000000002</v>
      </c>
      <c r="U47" s="18">
        <v>0.34300000000000003</v>
      </c>
      <c r="V47" s="18">
        <v>0.96599999999999997</v>
      </c>
      <c r="W47" s="18">
        <v>1.63</v>
      </c>
      <c r="X47" s="18">
        <v>1.3</v>
      </c>
      <c r="Y47" s="18">
        <v>-30.29</v>
      </c>
      <c r="Z47" s="18">
        <v>69.97</v>
      </c>
      <c r="AA47" s="18">
        <v>-30.5</v>
      </c>
      <c r="AB47" s="18"/>
      <c r="AC47" s="18">
        <v>0.61599999999999999</v>
      </c>
      <c r="AD47" s="18">
        <v>0.17799999999999999</v>
      </c>
      <c r="AE47" s="18">
        <v>0.80400000000000005</v>
      </c>
      <c r="AF47" s="18">
        <v>1.4670000000000001</v>
      </c>
      <c r="AG47" s="18">
        <v>304</v>
      </c>
      <c r="AH47" s="18">
        <v>1178</v>
      </c>
      <c r="AI47" s="18">
        <v>265</v>
      </c>
      <c r="AJ47" s="18">
        <v>81</v>
      </c>
      <c r="AK47" s="18">
        <v>330</v>
      </c>
      <c r="AL47" s="18">
        <v>395</v>
      </c>
      <c r="AM47" s="18">
        <v>163</v>
      </c>
      <c r="AN47" s="18">
        <v>73</v>
      </c>
      <c r="AO47" s="18">
        <v>2.4660000000000002</v>
      </c>
      <c r="AP47" s="18">
        <v>211</v>
      </c>
      <c r="AQ47" s="18">
        <v>-4.3040000000000003</v>
      </c>
      <c r="AR47" s="18">
        <v>-4.117</v>
      </c>
      <c r="AS47" s="18">
        <v>-4.4619999999999997</v>
      </c>
      <c r="AT47" s="18">
        <v>5.0000000000000001E-3</v>
      </c>
      <c r="AU47" s="18">
        <v>-3.0000000000000001E-3</v>
      </c>
      <c r="AV47" s="18">
        <v>13.13</v>
      </c>
      <c r="AW47" s="18">
        <v>2876</v>
      </c>
      <c r="AX47" s="4"/>
      <c r="AY47" s="12">
        <f t="shared" si="0"/>
        <v>906.00000000000011</v>
      </c>
      <c r="AZ47" s="12"/>
      <c r="BA47" s="16">
        <v>9.1199999999999992</v>
      </c>
      <c r="BB47" s="41">
        <v>6.14</v>
      </c>
      <c r="BC47" s="41">
        <v>5.63</v>
      </c>
      <c r="BD47" s="8">
        <f t="shared" si="1"/>
        <v>0.91693811074918574</v>
      </c>
      <c r="BE47" s="8"/>
      <c r="BF47" s="2">
        <f t="shared" si="26"/>
        <v>86.9</v>
      </c>
      <c r="BG47" s="2">
        <f t="shared" si="27"/>
        <v>77.599999999999994</v>
      </c>
      <c r="BH47" s="2">
        <f t="shared" si="28"/>
        <v>70</v>
      </c>
      <c r="BI47" s="35">
        <f t="shared" si="2"/>
        <v>0.14399999999999999</v>
      </c>
      <c r="BJ47" s="35">
        <f t="shared" si="3"/>
        <v>6.2E-2</v>
      </c>
      <c r="BL47" s="3">
        <f t="shared" si="4"/>
        <v>2789</v>
      </c>
      <c r="BM47" s="19">
        <f t="shared" si="5"/>
        <v>0.109</v>
      </c>
      <c r="BN47" s="19">
        <f t="shared" si="6"/>
        <v>0.42199999999999999</v>
      </c>
      <c r="BO47" s="19">
        <f t="shared" si="7"/>
        <v>9.5000000000000001E-2</v>
      </c>
      <c r="BP47" s="19">
        <f t="shared" si="8"/>
        <v>2.9000000000000001E-2</v>
      </c>
      <c r="BQ47" s="19">
        <f t="shared" si="9"/>
        <v>0.11799999999999999</v>
      </c>
      <c r="BR47" s="19">
        <f t="shared" si="10"/>
        <v>0.14199999999999999</v>
      </c>
      <c r="BS47" s="19">
        <f t="shared" si="11"/>
        <v>5.8000000000000003E-2</v>
      </c>
      <c r="BT47" s="19">
        <f t="shared" si="12"/>
        <v>2.5999999999999999E-2</v>
      </c>
      <c r="BV47" s="16">
        <f t="shared" si="13"/>
        <v>6.14</v>
      </c>
      <c r="BW47" s="16">
        <f t="shared" si="14"/>
        <v>5.63</v>
      </c>
      <c r="BX47" s="3">
        <f t="shared" si="15"/>
        <v>-22.1</v>
      </c>
      <c r="BY47" s="3">
        <f t="shared" si="49"/>
        <v>-21.8</v>
      </c>
      <c r="BZ47" s="3" t="s">
        <v>162</v>
      </c>
      <c r="CA47" s="3">
        <f t="shared" si="17"/>
        <v>0.7</v>
      </c>
      <c r="CB47" s="3">
        <f t="shared" si="18"/>
        <v>0.3</v>
      </c>
      <c r="CC47" s="3">
        <f t="shared" si="19"/>
        <v>0.9</v>
      </c>
      <c r="CD47" s="3">
        <f t="shared" si="20"/>
        <v>1.5</v>
      </c>
      <c r="CE47" s="22">
        <f t="shared" si="29"/>
        <v>77.599999999999994</v>
      </c>
      <c r="CF47" s="1">
        <f t="shared" si="30"/>
        <v>-14.1</v>
      </c>
      <c r="CG47" s="1">
        <f t="shared" si="31"/>
        <v>-10</v>
      </c>
      <c r="CH47" s="3" t="s">
        <v>162</v>
      </c>
      <c r="CI47" s="1">
        <f t="shared" si="32"/>
        <v>0.9</v>
      </c>
      <c r="CJ47" s="1">
        <f t="shared" si="33"/>
        <v>0.3</v>
      </c>
      <c r="CK47" s="1">
        <f t="shared" si="34"/>
        <v>1</v>
      </c>
      <c r="CL47" s="1">
        <f t="shared" si="35"/>
        <v>1.6</v>
      </c>
      <c r="CM47" s="2">
        <f t="shared" si="36"/>
        <v>86.9</v>
      </c>
      <c r="CN47" s="1">
        <f t="shared" si="37"/>
        <v>-30.3</v>
      </c>
      <c r="CO47" s="1">
        <f t="shared" si="38"/>
        <v>-30.5</v>
      </c>
      <c r="CP47" s="3" t="s">
        <v>162</v>
      </c>
      <c r="CQ47" s="1">
        <f t="shared" si="39"/>
        <v>0.6</v>
      </c>
      <c r="CR47" s="1">
        <f t="shared" si="40"/>
        <v>0.2</v>
      </c>
      <c r="CS47" s="1">
        <f t="shared" si="41"/>
        <v>0.8</v>
      </c>
      <c r="CT47" s="1">
        <f t="shared" si="42"/>
        <v>1.5</v>
      </c>
      <c r="CU47" s="2">
        <f t="shared" si="43"/>
        <v>70</v>
      </c>
      <c r="CV47" s="14">
        <f t="shared" si="44"/>
        <v>906.00000000000011</v>
      </c>
      <c r="CW47" s="1">
        <f>ROUND(PPTest!K47,1)</f>
        <v>0</v>
      </c>
      <c r="CX47" s="3">
        <f t="shared" si="25"/>
        <v>0</v>
      </c>
      <c r="CY47" s="3">
        <f t="shared" si="45"/>
        <v>1.3</v>
      </c>
      <c r="CZ47" s="19">
        <f t="shared" si="46"/>
        <v>0.14399999999999999</v>
      </c>
      <c r="DA47" s="19">
        <f t="shared" si="46"/>
        <v>6.2E-2</v>
      </c>
      <c r="DB47" s="16">
        <f t="shared" si="47"/>
        <v>13.13</v>
      </c>
    </row>
    <row r="48" spans="1:106" x14ac:dyDescent="0.2">
      <c r="A48" s="15">
        <f t="shared" si="48"/>
        <v>45700</v>
      </c>
      <c r="B48" s="1">
        <v>43</v>
      </c>
      <c r="C48" s="18">
        <v>4.2309999999999999</v>
      </c>
      <c r="D48" s="18">
        <v>5.12</v>
      </c>
      <c r="E48" s="18">
        <v>-20.46</v>
      </c>
      <c r="F48" s="18">
        <v>76.349999999999994</v>
      </c>
      <c r="G48" s="18">
        <v>-20.49</v>
      </c>
      <c r="H48" s="18"/>
      <c r="I48" s="18">
        <v>0.68899999999999995</v>
      </c>
      <c r="J48" s="18">
        <v>0.252</v>
      </c>
      <c r="K48" s="18">
        <v>0.879</v>
      </c>
      <c r="L48" s="18">
        <v>1.546</v>
      </c>
      <c r="M48" s="18">
        <v>0</v>
      </c>
      <c r="N48" s="18">
        <v>0</v>
      </c>
      <c r="O48" s="18">
        <v>2.3460000000000001</v>
      </c>
      <c r="P48" s="18">
        <v>-10.039999999999999</v>
      </c>
      <c r="Q48" s="18">
        <v>85.2</v>
      </c>
      <c r="R48" s="18">
        <v>-5.8849999999999998</v>
      </c>
      <c r="S48" s="18"/>
      <c r="T48" s="18">
        <v>0.77600000000000002</v>
      </c>
      <c r="U48" s="18">
        <v>0.33800000000000002</v>
      </c>
      <c r="V48" s="18">
        <v>0.96799999999999997</v>
      </c>
      <c r="W48" s="18">
        <v>1.635</v>
      </c>
      <c r="X48" s="18">
        <v>0.68700000000000006</v>
      </c>
      <c r="Y48" s="18">
        <v>-30.22</v>
      </c>
      <c r="Z48" s="18">
        <v>60.88</v>
      </c>
      <c r="AA48" s="18">
        <v>-30.67</v>
      </c>
      <c r="AB48" s="18"/>
      <c r="AC48" s="18">
        <v>0.59599999999999997</v>
      </c>
      <c r="AD48" s="18">
        <v>0.17</v>
      </c>
      <c r="AE48" s="18">
        <v>0.79200000000000004</v>
      </c>
      <c r="AF48" s="18">
        <v>1.4690000000000001</v>
      </c>
      <c r="AG48" s="18">
        <v>194</v>
      </c>
      <c r="AH48" s="18">
        <v>1481</v>
      </c>
      <c r="AI48" s="18">
        <v>470</v>
      </c>
      <c r="AJ48" s="18">
        <v>107</v>
      </c>
      <c r="AK48" s="18">
        <v>292</v>
      </c>
      <c r="AL48" s="18">
        <v>261</v>
      </c>
      <c r="AM48" s="18">
        <v>35</v>
      </c>
      <c r="AN48" s="18">
        <v>18</v>
      </c>
      <c r="AO48" s="18">
        <v>2.4420000000000002</v>
      </c>
      <c r="AP48" s="18">
        <v>200</v>
      </c>
      <c r="AQ48" s="18">
        <v>-4.7510000000000003</v>
      </c>
      <c r="AR48" s="18">
        <v>-4.4619999999999997</v>
      </c>
      <c r="AS48" s="18">
        <v>-5.133</v>
      </c>
      <c r="AT48" s="18">
        <v>5.0000000000000001E-3</v>
      </c>
      <c r="AU48" s="18">
        <v>-4.0000000000000001E-3</v>
      </c>
      <c r="AV48" s="18">
        <v>13.14</v>
      </c>
      <c r="AW48" s="18">
        <v>2876</v>
      </c>
      <c r="AX48" s="4"/>
      <c r="AY48" s="12">
        <f t="shared" si="0"/>
        <v>894.00000000000011</v>
      </c>
      <c r="AZ48" s="12"/>
      <c r="BA48" s="16">
        <v>9.31</v>
      </c>
      <c r="BB48" s="41">
        <v>5.2</v>
      </c>
      <c r="BC48" s="41">
        <v>4.71</v>
      </c>
      <c r="BD48" s="8">
        <f t="shared" si="1"/>
        <v>0.90576923076923077</v>
      </c>
      <c r="BE48" s="8"/>
      <c r="BF48" s="2">
        <f t="shared" si="26"/>
        <v>85.2</v>
      </c>
      <c r="BG48" s="2">
        <f t="shared" si="27"/>
        <v>76.400000000000006</v>
      </c>
      <c r="BH48" s="2">
        <f t="shared" si="28"/>
        <v>60.9</v>
      </c>
      <c r="BI48" s="35">
        <f t="shared" si="2"/>
        <v>0.17299999999999999</v>
      </c>
      <c r="BJ48" s="35">
        <f t="shared" si="3"/>
        <v>0.111</v>
      </c>
      <c r="BL48" s="3">
        <f t="shared" si="4"/>
        <v>2858</v>
      </c>
      <c r="BM48" s="19">
        <f t="shared" si="5"/>
        <v>6.8000000000000005E-2</v>
      </c>
      <c r="BN48" s="19">
        <f t="shared" si="6"/>
        <v>0.51800000000000002</v>
      </c>
      <c r="BO48" s="19">
        <f t="shared" si="7"/>
        <v>0.16400000000000001</v>
      </c>
      <c r="BP48" s="19">
        <f t="shared" si="8"/>
        <v>3.6999999999999998E-2</v>
      </c>
      <c r="BQ48" s="19">
        <f t="shared" si="9"/>
        <v>0.10199999999999999</v>
      </c>
      <c r="BR48" s="19">
        <f t="shared" si="10"/>
        <v>9.0999999999999998E-2</v>
      </c>
      <c r="BS48" s="19">
        <f t="shared" si="11"/>
        <v>1.2E-2</v>
      </c>
      <c r="BT48" s="19">
        <f t="shared" si="12"/>
        <v>6.0000000000000001E-3</v>
      </c>
      <c r="BV48" s="16">
        <f t="shared" si="13"/>
        <v>5.2</v>
      </c>
      <c r="BW48" s="16">
        <f t="shared" si="14"/>
        <v>4.71</v>
      </c>
      <c r="BX48" s="3">
        <f t="shared" si="15"/>
        <v>-20.5</v>
      </c>
      <c r="BY48" s="3">
        <f t="shared" si="49"/>
        <v>-20.5</v>
      </c>
      <c r="BZ48" s="3" t="s">
        <v>162</v>
      </c>
      <c r="CA48" s="3">
        <f t="shared" si="17"/>
        <v>0.7</v>
      </c>
      <c r="CB48" s="3">
        <f t="shared" si="18"/>
        <v>0.3</v>
      </c>
      <c r="CC48" s="3">
        <f t="shared" si="19"/>
        <v>0.9</v>
      </c>
      <c r="CD48" s="3">
        <f t="shared" si="20"/>
        <v>1.5</v>
      </c>
      <c r="CE48" s="22">
        <f t="shared" si="29"/>
        <v>76.400000000000006</v>
      </c>
      <c r="CF48" s="1">
        <f t="shared" si="30"/>
        <v>-10</v>
      </c>
      <c r="CG48" s="1">
        <f t="shared" si="31"/>
        <v>-5.9</v>
      </c>
      <c r="CH48" s="3" t="s">
        <v>162</v>
      </c>
      <c r="CI48" s="1">
        <f t="shared" si="32"/>
        <v>0.8</v>
      </c>
      <c r="CJ48" s="1">
        <f t="shared" si="33"/>
        <v>0.3</v>
      </c>
      <c r="CK48" s="1">
        <f t="shared" si="34"/>
        <v>1</v>
      </c>
      <c r="CL48" s="1">
        <f t="shared" si="35"/>
        <v>1.6</v>
      </c>
      <c r="CM48" s="2">
        <f t="shared" si="36"/>
        <v>85.2</v>
      </c>
      <c r="CN48" s="1">
        <f t="shared" si="37"/>
        <v>-30.2</v>
      </c>
      <c r="CO48" s="1">
        <f t="shared" si="38"/>
        <v>-30.7</v>
      </c>
      <c r="CP48" s="3" t="s">
        <v>162</v>
      </c>
      <c r="CQ48" s="1">
        <f t="shared" si="39"/>
        <v>0.6</v>
      </c>
      <c r="CR48" s="1">
        <f t="shared" si="40"/>
        <v>0.2</v>
      </c>
      <c r="CS48" s="1">
        <f t="shared" si="41"/>
        <v>0.8</v>
      </c>
      <c r="CT48" s="1">
        <f t="shared" si="42"/>
        <v>1.5</v>
      </c>
      <c r="CU48" s="2">
        <f t="shared" si="43"/>
        <v>60.9</v>
      </c>
      <c r="CV48" s="14">
        <f t="shared" si="44"/>
        <v>894.00000000000011</v>
      </c>
      <c r="CW48" s="1">
        <f>ROUND(PPTest!K48,1)</f>
        <v>0</v>
      </c>
      <c r="CX48" s="3">
        <f t="shared" si="25"/>
        <v>0</v>
      </c>
      <c r="CY48" s="3">
        <f t="shared" si="45"/>
        <v>0.69</v>
      </c>
      <c r="CZ48" s="19">
        <f t="shared" si="46"/>
        <v>0.17299999999999999</v>
      </c>
      <c r="DA48" s="19">
        <f t="shared" si="46"/>
        <v>0.111</v>
      </c>
      <c r="DB48" s="16">
        <f t="shared" si="47"/>
        <v>13.14</v>
      </c>
    </row>
    <row r="49" spans="1:106" x14ac:dyDescent="0.2">
      <c r="A49" s="15">
        <f t="shared" si="48"/>
        <v>45701</v>
      </c>
      <c r="B49" s="1">
        <v>44</v>
      </c>
      <c r="C49" s="18">
        <v>5.9130000000000003</v>
      </c>
      <c r="D49" s="18">
        <v>5.4320000000000004</v>
      </c>
      <c r="E49" s="18">
        <v>-16.440000000000001</v>
      </c>
      <c r="F49" s="18">
        <v>73.91</v>
      </c>
      <c r="G49" s="18">
        <v>-16.52</v>
      </c>
      <c r="H49" s="18"/>
      <c r="I49" s="18">
        <v>0.67100000000000004</v>
      </c>
      <c r="J49" s="18">
        <v>0.22900000000000001</v>
      </c>
      <c r="K49" s="18">
        <v>0.85599999999999998</v>
      </c>
      <c r="L49" s="18">
        <v>1.528</v>
      </c>
      <c r="M49" s="18">
        <v>1.9E-2</v>
      </c>
      <c r="N49" s="18">
        <v>0</v>
      </c>
      <c r="O49" s="18">
        <v>2.3420000000000001</v>
      </c>
      <c r="P49" s="18">
        <v>-5.2809999999999997</v>
      </c>
      <c r="Q49" s="18">
        <v>87.1</v>
      </c>
      <c r="R49" s="18">
        <v>-2.012</v>
      </c>
      <c r="S49" s="18"/>
      <c r="T49" s="18">
        <v>0.76800000000000002</v>
      </c>
      <c r="U49" s="18">
        <v>0.34300000000000003</v>
      </c>
      <c r="V49" s="18">
        <v>0.94399999999999995</v>
      </c>
      <c r="W49" s="18">
        <v>1.63</v>
      </c>
      <c r="X49" s="18">
        <v>2.794</v>
      </c>
      <c r="Y49" s="18">
        <v>-24.98</v>
      </c>
      <c r="Z49" s="18">
        <v>41.1</v>
      </c>
      <c r="AA49" s="18">
        <v>-25.9</v>
      </c>
      <c r="AB49" s="18"/>
      <c r="AC49" s="18">
        <v>0.58799999999999997</v>
      </c>
      <c r="AD49" s="18">
        <v>0.14799999999999999</v>
      </c>
      <c r="AE49" s="18">
        <v>0.77200000000000002</v>
      </c>
      <c r="AF49" s="18">
        <v>1.4379999999999999</v>
      </c>
      <c r="AG49" s="18">
        <v>481</v>
      </c>
      <c r="AH49" s="18">
        <v>840</v>
      </c>
      <c r="AI49" s="18">
        <v>499</v>
      </c>
      <c r="AJ49" s="18">
        <v>55</v>
      </c>
      <c r="AK49" s="18">
        <v>8</v>
      </c>
      <c r="AL49" s="18">
        <v>4</v>
      </c>
      <c r="AM49" s="18">
        <v>10</v>
      </c>
      <c r="AN49" s="18">
        <v>87</v>
      </c>
      <c r="AO49" s="18">
        <v>2.423</v>
      </c>
      <c r="AP49" s="18">
        <v>324</v>
      </c>
      <c r="AQ49" s="18">
        <v>-5.2160000000000002</v>
      </c>
      <c r="AR49" s="18">
        <v>-5.07</v>
      </c>
      <c r="AS49" s="18">
        <v>-5.4379999999999997</v>
      </c>
      <c r="AT49" s="18">
        <v>5.0000000000000001E-3</v>
      </c>
      <c r="AU49" s="18">
        <v>-3.0000000000000001E-3</v>
      </c>
      <c r="AV49" s="18">
        <v>13.14</v>
      </c>
      <c r="AW49" s="18">
        <v>2876</v>
      </c>
      <c r="AX49" s="4"/>
      <c r="AY49" s="12">
        <f t="shared" si="0"/>
        <v>898.00000000000011</v>
      </c>
      <c r="AZ49" s="12"/>
      <c r="BA49" s="16">
        <v>9.5</v>
      </c>
      <c r="BB49" s="41">
        <v>6</v>
      </c>
      <c r="BC49" s="41">
        <v>5</v>
      </c>
      <c r="BD49" s="8">
        <f t="shared" si="1"/>
        <v>0.83333333333333337</v>
      </c>
      <c r="BE49" s="8"/>
      <c r="BF49" s="2">
        <f t="shared" si="26"/>
        <v>87.1</v>
      </c>
      <c r="BG49" s="2">
        <f t="shared" si="27"/>
        <v>73.900000000000006</v>
      </c>
      <c r="BH49" s="2">
        <f t="shared" si="28"/>
        <v>41.1</v>
      </c>
      <c r="BI49" s="35">
        <f t="shared" si="2"/>
        <v>0.16900000000000001</v>
      </c>
      <c r="BJ49" s="35">
        <f t="shared" si="3"/>
        <v>0.24199999999999999</v>
      </c>
      <c r="BL49" s="3">
        <f t="shared" si="4"/>
        <v>1984</v>
      </c>
      <c r="BM49" s="19">
        <f t="shared" si="5"/>
        <v>0.24199999999999999</v>
      </c>
      <c r="BN49" s="19">
        <f t="shared" si="6"/>
        <v>0.42299999999999999</v>
      </c>
      <c r="BO49" s="19">
        <f t="shared" si="7"/>
        <v>0.252</v>
      </c>
      <c r="BP49" s="19">
        <f t="shared" si="8"/>
        <v>2.8000000000000001E-2</v>
      </c>
      <c r="BQ49" s="19">
        <f t="shared" si="9"/>
        <v>4.0000000000000001E-3</v>
      </c>
      <c r="BR49" s="19">
        <f t="shared" si="10"/>
        <v>2E-3</v>
      </c>
      <c r="BS49" s="19">
        <f t="shared" si="11"/>
        <v>5.0000000000000001E-3</v>
      </c>
      <c r="BT49" s="19">
        <f t="shared" si="12"/>
        <v>4.3999999999999997E-2</v>
      </c>
      <c r="BV49" s="16">
        <f t="shared" si="13"/>
        <v>6</v>
      </c>
      <c r="BW49" s="16">
        <f t="shared" si="14"/>
        <v>5</v>
      </c>
      <c r="BX49" s="3">
        <f t="shared" si="15"/>
        <v>-16.399999999999999</v>
      </c>
      <c r="BY49" s="3">
        <f t="shared" si="49"/>
        <v>-16.5</v>
      </c>
      <c r="BZ49" s="3" t="s">
        <v>162</v>
      </c>
      <c r="CA49" s="3">
        <f t="shared" si="17"/>
        <v>0.7</v>
      </c>
      <c r="CB49" s="3">
        <f t="shared" si="18"/>
        <v>0.2</v>
      </c>
      <c r="CC49" s="3">
        <f t="shared" si="19"/>
        <v>0.9</v>
      </c>
      <c r="CD49" s="3">
        <f t="shared" si="20"/>
        <v>1.5</v>
      </c>
      <c r="CE49" s="22">
        <f t="shared" si="29"/>
        <v>73.900000000000006</v>
      </c>
      <c r="CF49" s="1">
        <f t="shared" si="30"/>
        <v>-5.3</v>
      </c>
      <c r="CG49" s="1">
        <f t="shared" si="31"/>
        <v>-2</v>
      </c>
      <c r="CH49" s="3" t="s">
        <v>162</v>
      </c>
      <c r="CI49" s="1">
        <f t="shared" si="32"/>
        <v>0.8</v>
      </c>
      <c r="CJ49" s="1">
        <f t="shared" si="33"/>
        <v>0.3</v>
      </c>
      <c r="CK49" s="1">
        <f t="shared" si="34"/>
        <v>0.9</v>
      </c>
      <c r="CL49" s="1">
        <f t="shared" si="35"/>
        <v>1.6</v>
      </c>
      <c r="CM49" s="2">
        <f t="shared" si="36"/>
        <v>87.1</v>
      </c>
      <c r="CN49" s="1">
        <f t="shared" si="37"/>
        <v>-25</v>
      </c>
      <c r="CO49" s="1">
        <f t="shared" si="38"/>
        <v>-25.9</v>
      </c>
      <c r="CP49" s="3" t="s">
        <v>162</v>
      </c>
      <c r="CQ49" s="1">
        <f t="shared" si="39"/>
        <v>0.6</v>
      </c>
      <c r="CR49" s="1">
        <f t="shared" si="40"/>
        <v>0.1</v>
      </c>
      <c r="CS49" s="1">
        <f t="shared" si="41"/>
        <v>0.8</v>
      </c>
      <c r="CT49" s="1">
        <f t="shared" si="42"/>
        <v>1.4</v>
      </c>
      <c r="CU49" s="2">
        <f t="shared" si="43"/>
        <v>41.1</v>
      </c>
      <c r="CV49" s="14">
        <f t="shared" si="44"/>
        <v>898.00000000000011</v>
      </c>
      <c r="CW49" s="1">
        <f>ROUND(PPTest!K49,1)</f>
        <v>0.5</v>
      </c>
      <c r="CX49" s="3">
        <f t="shared" si="25"/>
        <v>0.02</v>
      </c>
      <c r="CY49" s="3">
        <f t="shared" si="45"/>
        <v>2.79</v>
      </c>
      <c r="CZ49" s="19">
        <f t="shared" si="46"/>
        <v>0.16900000000000001</v>
      </c>
      <c r="DA49" s="19">
        <f t="shared" si="46"/>
        <v>0.24199999999999999</v>
      </c>
      <c r="DB49" s="16">
        <f t="shared" si="47"/>
        <v>13.14</v>
      </c>
    </row>
    <row r="50" spans="1:106" x14ac:dyDescent="0.2">
      <c r="A50" s="15">
        <f t="shared" si="48"/>
        <v>45702</v>
      </c>
      <c r="B50" s="1">
        <v>45</v>
      </c>
      <c r="C50" s="18">
        <v>3.383</v>
      </c>
      <c r="D50" s="18">
        <v>4</v>
      </c>
      <c r="E50" s="18">
        <v>-11.51</v>
      </c>
      <c r="F50" s="18">
        <v>83.1</v>
      </c>
      <c r="G50" s="18">
        <v>-11.22</v>
      </c>
      <c r="H50" s="18"/>
      <c r="I50" s="18">
        <v>0.66</v>
      </c>
      <c r="J50" s="18">
        <v>0.20599999999999999</v>
      </c>
      <c r="K50" s="18">
        <v>0.84399999999999997</v>
      </c>
      <c r="L50" s="18">
        <v>1.518</v>
      </c>
      <c r="M50" s="18">
        <v>1E-3</v>
      </c>
      <c r="N50" s="18">
        <v>0</v>
      </c>
      <c r="O50" s="18">
        <v>2.3279999999999998</v>
      </c>
      <c r="P50" s="18">
        <v>-7.109</v>
      </c>
      <c r="Q50" s="18">
        <v>90.6</v>
      </c>
      <c r="R50" s="18">
        <v>-6.0220000000000002</v>
      </c>
      <c r="S50" s="18"/>
      <c r="T50" s="18">
        <v>0.76800000000000002</v>
      </c>
      <c r="U50" s="18">
        <v>0.28899999999999998</v>
      </c>
      <c r="V50" s="18">
        <v>0.93</v>
      </c>
      <c r="W50" s="18">
        <v>1.5980000000000001</v>
      </c>
      <c r="X50" s="18">
        <v>0.52700000000000002</v>
      </c>
      <c r="Y50" s="18">
        <v>-18.32</v>
      </c>
      <c r="Z50" s="18">
        <v>58.65</v>
      </c>
      <c r="AA50" s="18">
        <v>-18.29</v>
      </c>
      <c r="AB50" s="18"/>
      <c r="AC50" s="18">
        <v>0.57699999999999996</v>
      </c>
      <c r="AD50" s="18">
        <v>0.128</v>
      </c>
      <c r="AE50" s="18">
        <v>0.75700000000000001</v>
      </c>
      <c r="AF50" s="18">
        <v>1.4390000000000001</v>
      </c>
      <c r="AG50" s="18">
        <v>154</v>
      </c>
      <c r="AH50" s="18">
        <v>830</v>
      </c>
      <c r="AI50" s="18">
        <v>151</v>
      </c>
      <c r="AJ50" s="18">
        <v>36</v>
      </c>
      <c r="AK50" s="18">
        <v>378</v>
      </c>
      <c r="AL50" s="18">
        <v>798</v>
      </c>
      <c r="AM50" s="18">
        <v>431</v>
      </c>
      <c r="AN50" s="18">
        <v>99</v>
      </c>
      <c r="AO50" s="18">
        <v>2.3780000000000001</v>
      </c>
      <c r="AP50" s="18">
        <v>223</v>
      </c>
      <c r="AQ50" s="18">
        <v>-5.3650000000000002</v>
      </c>
      <c r="AR50" s="18">
        <v>-5.07</v>
      </c>
      <c r="AS50" s="18">
        <v>-5.657</v>
      </c>
      <c r="AT50" s="18">
        <v>5.0000000000000001E-3</v>
      </c>
      <c r="AU50" s="18">
        <v>-4.0000000000000001E-3</v>
      </c>
      <c r="AV50" s="18">
        <v>13.14</v>
      </c>
      <c r="AW50" s="18">
        <v>2876</v>
      </c>
      <c r="AX50" s="4"/>
      <c r="AY50" s="12">
        <f t="shared" si="0"/>
        <v>912.00000000000034</v>
      </c>
      <c r="AZ50" s="12"/>
      <c r="BA50" s="16">
        <v>9.69</v>
      </c>
      <c r="BB50" s="41">
        <v>3.93</v>
      </c>
      <c r="BC50" s="41">
        <v>3.68</v>
      </c>
      <c r="BD50" s="8">
        <f t="shared" si="1"/>
        <v>0.93638676844783719</v>
      </c>
      <c r="BE50" s="8"/>
      <c r="BF50" s="2">
        <f t="shared" si="26"/>
        <v>90.6</v>
      </c>
      <c r="BG50" s="2">
        <f t="shared" si="27"/>
        <v>83.1</v>
      </c>
      <c r="BH50" s="2">
        <f t="shared" si="28"/>
        <v>58.7</v>
      </c>
      <c r="BI50" s="35">
        <f t="shared" si="2"/>
        <v>0.21</v>
      </c>
      <c r="BJ50" s="35">
        <f t="shared" si="3"/>
        <v>0.14799999999999999</v>
      </c>
      <c r="BL50" s="3">
        <f t="shared" si="4"/>
        <v>2877</v>
      </c>
      <c r="BM50" s="19">
        <f t="shared" si="5"/>
        <v>5.3999999999999999E-2</v>
      </c>
      <c r="BN50" s="19">
        <f t="shared" si="6"/>
        <v>0.28799999999999998</v>
      </c>
      <c r="BO50" s="19">
        <f t="shared" si="7"/>
        <v>5.1999999999999998E-2</v>
      </c>
      <c r="BP50" s="19">
        <f t="shared" si="8"/>
        <v>1.2999999999999999E-2</v>
      </c>
      <c r="BQ50" s="19">
        <f t="shared" si="9"/>
        <v>0.13100000000000001</v>
      </c>
      <c r="BR50" s="19">
        <f t="shared" si="10"/>
        <v>0.27700000000000002</v>
      </c>
      <c r="BS50" s="19">
        <f t="shared" si="11"/>
        <v>0.15</v>
      </c>
      <c r="BT50" s="19">
        <f t="shared" si="12"/>
        <v>3.4000000000000002E-2</v>
      </c>
      <c r="BV50" s="16">
        <f t="shared" si="13"/>
        <v>3.93</v>
      </c>
      <c r="BW50" s="16">
        <f t="shared" si="14"/>
        <v>3.68</v>
      </c>
      <c r="BX50" s="3">
        <f t="shared" si="15"/>
        <v>-11.5</v>
      </c>
      <c r="BY50" s="3">
        <f t="shared" si="49"/>
        <v>-11.2</v>
      </c>
      <c r="BZ50" s="3" t="s">
        <v>162</v>
      </c>
      <c r="CA50" s="3">
        <f t="shared" si="17"/>
        <v>0.7</v>
      </c>
      <c r="CB50" s="3">
        <f t="shared" si="18"/>
        <v>0.2</v>
      </c>
      <c r="CC50" s="3">
        <f t="shared" si="19"/>
        <v>0.8</v>
      </c>
      <c r="CD50" s="3">
        <f t="shared" si="20"/>
        <v>1.5</v>
      </c>
      <c r="CE50" s="22">
        <f t="shared" si="29"/>
        <v>83.1</v>
      </c>
      <c r="CF50" s="1">
        <f t="shared" si="30"/>
        <v>-7.1</v>
      </c>
      <c r="CG50" s="1">
        <f t="shared" si="31"/>
        <v>-6</v>
      </c>
      <c r="CH50" s="3" t="s">
        <v>162</v>
      </c>
      <c r="CI50" s="1">
        <f t="shared" si="32"/>
        <v>0.8</v>
      </c>
      <c r="CJ50" s="1">
        <f t="shared" si="33"/>
        <v>0.3</v>
      </c>
      <c r="CK50" s="1">
        <f t="shared" si="34"/>
        <v>0.9</v>
      </c>
      <c r="CL50" s="1">
        <f t="shared" si="35"/>
        <v>1.6</v>
      </c>
      <c r="CM50" s="2">
        <f t="shared" si="36"/>
        <v>90.6</v>
      </c>
      <c r="CN50" s="1">
        <f t="shared" si="37"/>
        <v>-18.3</v>
      </c>
      <c r="CO50" s="1">
        <f t="shared" si="38"/>
        <v>-18.3</v>
      </c>
      <c r="CP50" s="3" t="s">
        <v>162</v>
      </c>
      <c r="CQ50" s="1">
        <f t="shared" si="39"/>
        <v>0.6</v>
      </c>
      <c r="CR50" s="1">
        <f t="shared" si="40"/>
        <v>0.1</v>
      </c>
      <c r="CS50" s="1">
        <f t="shared" si="41"/>
        <v>0.8</v>
      </c>
      <c r="CT50" s="1">
        <f t="shared" si="42"/>
        <v>1.4</v>
      </c>
      <c r="CU50" s="2">
        <f t="shared" si="43"/>
        <v>58.7</v>
      </c>
      <c r="CV50" s="14">
        <f t="shared" si="44"/>
        <v>912.00000000000034</v>
      </c>
      <c r="CW50" s="1">
        <f>ROUND(PPTest!K50,1)</f>
        <v>1.8</v>
      </c>
      <c r="CX50" s="3">
        <f t="shared" si="25"/>
        <v>0</v>
      </c>
      <c r="CY50" s="3">
        <f t="shared" si="45"/>
        <v>0.53</v>
      </c>
      <c r="CZ50" s="19">
        <f t="shared" si="46"/>
        <v>0.21</v>
      </c>
      <c r="DA50" s="19">
        <f t="shared" si="46"/>
        <v>0.14799999999999999</v>
      </c>
      <c r="DB50" s="16">
        <f t="shared" si="47"/>
        <v>13.14</v>
      </c>
    </row>
    <row r="51" spans="1:106" x14ac:dyDescent="0.2">
      <c r="A51" s="15">
        <f t="shared" si="48"/>
        <v>45703</v>
      </c>
      <c r="B51" s="1">
        <v>46</v>
      </c>
      <c r="C51" s="18">
        <v>7.1059999999999999</v>
      </c>
      <c r="D51" s="18">
        <v>5.4610000000000003</v>
      </c>
      <c r="E51" s="18">
        <v>-12.09</v>
      </c>
      <c r="F51" s="18">
        <v>81.400000000000006</v>
      </c>
      <c r="G51" s="18">
        <v>-12.17</v>
      </c>
      <c r="H51" s="18"/>
      <c r="I51" s="18">
        <v>0.65500000000000003</v>
      </c>
      <c r="J51" s="18">
        <v>0.19</v>
      </c>
      <c r="K51" s="18">
        <v>0.83599999999999997</v>
      </c>
      <c r="L51" s="18">
        <v>1.516</v>
      </c>
      <c r="M51" s="18">
        <v>4.0000000000000001E-3</v>
      </c>
      <c r="N51" s="18">
        <v>0</v>
      </c>
      <c r="O51" s="18">
        <v>2.33</v>
      </c>
      <c r="P51" s="18">
        <v>-5.2809999999999997</v>
      </c>
      <c r="Q51" s="18">
        <v>90.1</v>
      </c>
      <c r="R51" s="18">
        <v>-2.1309999999999998</v>
      </c>
      <c r="S51" s="18"/>
      <c r="T51" s="18">
        <v>0.73799999999999999</v>
      </c>
      <c r="U51" s="18">
        <v>0.27500000000000002</v>
      </c>
      <c r="V51" s="18">
        <v>0.91500000000000004</v>
      </c>
      <c r="W51" s="18">
        <v>1.6040000000000001</v>
      </c>
      <c r="X51" s="18">
        <v>1.5669999999999999</v>
      </c>
      <c r="Y51" s="18">
        <v>-22.13</v>
      </c>
      <c r="Z51" s="18">
        <v>64.819999999999993</v>
      </c>
      <c r="AA51" s="18">
        <v>-22.61</v>
      </c>
      <c r="AB51" s="18"/>
      <c r="AC51" s="18">
        <v>0.57299999999999995</v>
      </c>
      <c r="AD51" s="18">
        <v>0.113</v>
      </c>
      <c r="AE51" s="18">
        <v>0.749</v>
      </c>
      <c r="AF51" s="18">
        <v>1.4319999999999999</v>
      </c>
      <c r="AG51" s="18">
        <v>218</v>
      </c>
      <c r="AH51" s="18">
        <v>1250</v>
      </c>
      <c r="AI51" s="18">
        <v>462</v>
      </c>
      <c r="AJ51" s="18">
        <v>83</v>
      </c>
      <c r="AK51" s="18">
        <v>266</v>
      </c>
      <c r="AL51" s="18">
        <v>314</v>
      </c>
      <c r="AM51" s="18">
        <v>141</v>
      </c>
      <c r="AN51" s="18">
        <v>138</v>
      </c>
      <c r="AO51" s="18">
        <v>2.3660000000000001</v>
      </c>
      <c r="AP51" s="18">
        <v>216</v>
      </c>
      <c r="AQ51" s="18">
        <v>-4.702</v>
      </c>
      <c r="AR51" s="18">
        <v>-4.3970000000000002</v>
      </c>
      <c r="AS51" s="18">
        <v>-5.1559999999999997</v>
      </c>
      <c r="AT51" s="18">
        <v>5.0000000000000001E-3</v>
      </c>
      <c r="AU51" s="18">
        <v>-4.0000000000000001E-3</v>
      </c>
      <c r="AV51" s="18">
        <v>13.13</v>
      </c>
      <c r="AW51" s="18">
        <v>2876</v>
      </c>
      <c r="AX51" s="4"/>
      <c r="AY51" s="12">
        <f t="shared" si="0"/>
        <v>910.00000000000011</v>
      </c>
      <c r="AZ51" s="12"/>
      <c r="BA51" s="16">
        <v>9.89</v>
      </c>
      <c r="BB51" s="41">
        <v>7.22</v>
      </c>
      <c r="BC51" s="41">
        <v>5.0199999999999996</v>
      </c>
      <c r="BD51" s="8">
        <f t="shared" si="1"/>
        <v>0.69529085872576168</v>
      </c>
      <c r="BE51" s="8"/>
      <c r="BF51" s="2">
        <f t="shared" si="26"/>
        <v>90.1</v>
      </c>
      <c r="BG51" s="2">
        <f t="shared" si="27"/>
        <v>81.400000000000006</v>
      </c>
      <c r="BH51" s="2">
        <f t="shared" si="28"/>
        <v>64.8</v>
      </c>
      <c r="BI51" s="35">
        <f t="shared" si="2"/>
        <v>0.26700000000000002</v>
      </c>
      <c r="BJ51" s="35">
        <f t="shared" si="3"/>
        <v>0.14499999999999999</v>
      </c>
      <c r="BL51" s="3">
        <f t="shared" si="4"/>
        <v>2872</v>
      </c>
      <c r="BM51" s="19">
        <f t="shared" si="5"/>
        <v>7.5999999999999998E-2</v>
      </c>
      <c r="BN51" s="19">
        <f t="shared" si="6"/>
        <v>0.435</v>
      </c>
      <c r="BO51" s="19">
        <f t="shared" si="7"/>
        <v>0.161</v>
      </c>
      <c r="BP51" s="19">
        <f t="shared" si="8"/>
        <v>2.9000000000000001E-2</v>
      </c>
      <c r="BQ51" s="19">
        <f t="shared" si="9"/>
        <v>9.2999999999999999E-2</v>
      </c>
      <c r="BR51" s="19">
        <f t="shared" si="10"/>
        <v>0.109</v>
      </c>
      <c r="BS51" s="19">
        <f t="shared" si="11"/>
        <v>4.9000000000000002E-2</v>
      </c>
      <c r="BT51" s="19">
        <f t="shared" si="12"/>
        <v>4.8000000000000001E-2</v>
      </c>
      <c r="BV51" s="16">
        <f t="shared" si="13"/>
        <v>7.22</v>
      </c>
      <c r="BW51" s="16">
        <f t="shared" si="14"/>
        <v>5.0199999999999996</v>
      </c>
      <c r="BX51" s="3">
        <f t="shared" si="15"/>
        <v>-12.1</v>
      </c>
      <c r="BY51" s="3">
        <f t="shared" si="49"/>
        <v>-12.2</v>
      </c>
      <c r="BZ51" s="3" t="s">
        <v>162</v>
      </c>
      <c r="CA51" s="3">
        <f t="shared" si="17"/>
        <v>0.7</v>
      </c>
      <c r="CB51" s="3">
        <f t="shared" si="18"/>
        <v>0.2</v>
      </c>
      <c r="CC51" s="3">
        <f t="shared" si="19"/>
        <v>0.8</v>
      </c>
      <c r="CD51" s="3">
        <f t="shared" si="20"/>
        <v>1.5</v>
      </c>
      <c r="CE51" s="22">
        <f t="shared" si="29"/>
        <v>81.400000000000006</v>
      </c>
      <c r="CF51" s="1">
        <f t="shared" si="30"/>
        <v>-5.3</v>
      </c>
      <c r="CG51" s="1">
        <f t="shared" si="31"/>
        <v>-2.1</v>
      </c>
      <c r="CH51" s="3" t="s">
        <v>162</v>
      </c>
      <c r="CI51" s="1">
        <f t="shared" si="32"/>
        <v>0.7</v>
      </c>
      <c r="CJ51" s="1">
        <f t="shared" si="33"/>
        <v>0.3</v>
      </c>
      <c r="CK51" s="1">
        <f t="shared" si="34"/>
        <v>0.9</v>
      </c>
      <c r="CL51" s="1">
        <f t="shared" si="35"/>
        <v>1.6</v>
      </c>
      <c r="CM51" s="2">
        <f t="shared" si="36"/>
        <v>90.1</v>
      </c>
      <c r="CN51" s="1">
        <f t="shared" si="37"/>
        <v>-22.1</v>
      </c>
      <c r="CO51" s="1">
        <f t="shared" si="38"/>
        <v>-22.6</v>
      </c>
      <c r="CP51" s="3" t="s">
        <v>162</v>
      </c>
      <c r="CQ51" s="1">
        <f t="shared" si="39"/>
        <v>0.6</v>
      </c>
      <c r="CR51" s="1">
        <f t="shared" si="40"/>
        <v>0.1</v>
      </c>
      <c r="CS51" s="1">
        <f t="shared" si="41"/>
        <v>0.7</v>
      </c>
      <c r="CT51" s="1">
        <f t="shared" si="42"/>
        <v>1.4</v>
      </c>
      <c r="CU51" s="2">
        <f t="shared" si="43"/>
        <v>64.8</v>
      </c>
      <c r="CV51" s="14">
        <f t="shared" si="44"/>
        <v>910.00000000000011</v>
      </c>
      <c r="CW51" s="1">
        <f>ROUND(PPTest!K51,1)</f>
        <v>0</v>
      </c>
      <c r="CX51" s="3">
        <f t="shared" si="25"/>
        <v>0</v>
      </c>
      <c r="CY51" s="3">
        <f t="shared" si="45"/>
        <v>1.57</v>
      </c>
      <c r="CZ51" s="19">
        <f t="shared" si="46"/>
        <v>0.26700000000000002</v>
      </c>
      <c r="DA51" s="19">
        <f t="shared" si="46"/>
        <v>0.14499999999999999</v>
      </c>
      <c r="DB51" s="16">
        <f t="shared" si="47"/>
        <v>13.13</v>
      </c>
    </row>
    <row r="52" spans="1:106" x14ac:dyDescent="0.2">
      <c r="A52" s="15">
        <f t="shared" si="48"/>
        <v>45704</v>
      </c>
      <c r="B52" s="1">
        <v>47</v>
      </c>
      <c r="C52" s="18">
        <v>1.212</v>
      </c>
      <c r="D52" s="18">
        <v>2.625</v>
      </c>
      <c r="E52" s="18">
        <v>-7.0960000000000001</v>
      </c>
      <c r="F52" s="18">
        <v>85.9</v>
      </c>
      <c r="G52" s="18">
        <v>-6.7729999999999997</v>
      </c>
      <c r="H52" s="18"/>
      <c r="I52" s="18">
        <v>0.64800000000000002</v>
      </c>
      <c r="J52" s="18">
        <v>0.16400000000000001</v>
      </c>
      <c r="K52" s="18">
        <v>0.81499999999999995</v>
      </c>
      <c r="L52" s="18">
        <v>1.4990000000000001</v>
      </c>
      <c r="M52" s="18">
        <v>5.0000000000000001E-3</v>
      </c>
      <c r="N52" s="18">
        <v>0</v>
      </c>
      <c r="O52" s="18">
        <v>2.2200000000000002</v>
      </c>
      <c r="P52" s="18">
        <v>-4.67</v>
      </c>
      <c r="Q52" s="18">
        <v>92.2</v>
      </c>
      <c r="R52" s="18">
        <v>-3.2959999999999998</v>
      </c>
      <c r="S52" s="18"/>
      <c r="T52" s="18">
        <v>0.71899999999999997</v>
      </c>
      <c r="U52" s="18">
        <v>0.24399999999999999</v>
      </c>
      <c r="V52" s="18">
        <v>0.89100000000000001</v>
      </c>
      <c r="W52" s="18">
        <v>1.5780000000000001</v>
      </c>
      <c r="X52" s="18">
        <v>1.78</v>
      </c>
      <c r="Y52" s="18">
        <v>-8.82</v>
      </c>
      <c r="Z52" s="18">
        <v>72.5</v>
      </c>
      <c r="AA52" s="18">
        <v>-8.52</v>
      </c>
      <c r="AB52" s="18"/>
      <c r="AC52" s="18">
        <v>0.57499999999999996</v>
      </c>
      <c r="AD52" s="18">
        <v>7.9000000000000001E-2</v>
      </c>
      <c r="AE52" s="18">
        <v>0.73599999999999999</v>
      </c>
      <c r="AF52" s="18">
        <v>1.4139999999999999</v>
      </c>
      <c r="AG52" s="18">
        <v>578</v>
      </c>
      <c r="AH52" s="18">
        <v>1022</v>
      </c>
      <c r="AI52" s="18">
        <v>527</v>
      </c>
      <c r="AJ52" s="18">
        <v>111</v>
      </c>
      <c r="AK52" s="18">
        <v>212</v>
      </c>
      <c r="AL52" s="18">
        <v>169</v>
      </c>
      <c r="AM52" s="18">
        <v>73</v>
      </c>
      <c r="AN52" s="18">
        <v>180</v>
      </c>
      <c r="AO52" s="18">
        <v>2.2559999999999998</v>
      </c>
      <c r="AP52" s="18">
        <v>195</v>
      </c>
      <c r="AQ52" s="18">
        <v>-4.5430000000000001</v>
      </c>
      <c r="AR52" s="18">
        <v>-4.3109999999999999</v>
      </c>
      <c r="AS52" s="18">
        <v>-4.7450000000000001</v>
      </c>
      <c r="AT52" s="18">
        <v>5.0000000000000001E-3</v>
      </c>
      <c r="AU52" s="18">
        <v>-4.0000000000000001E-3</v>
      </c>
      <c r="AV52" s="18">
        <v>13.05</v>
      </c>
      <c r="AW52" s="18">
        <v>2876</v>
      </c>
      <c r="AX52" s="4"/>
      <c r="AY52" s="12">
        <f t="shared" si="0"/>
        <v>1020</v>
      </c>
      <c r="AZ52" s="12"/>
      <c r="BA52" s="16">
        <v>10.09</v>
      </c>
      <c r="BB52" s="41">
        <v>2.62</v>
      </c>
      <c r="BC52" s="41">
        <v>2.41</v>
      </c>
      <c r="BD52" s="8">
        <f t="shared" si="1"/>
        <v>0.91984732824427484</v>
      </c>
      <c r="BE52" s="8"/>
      <c r="BF52" s="2">
        <f t="shared" si="26"/>
        <v>92.2</v>
      </c>
      <c r="BG52" s="2">
        <f t="shared" si="27"/>
        <v>85.9</v>
      </c>
      <c r="BH52" s="2">
        <f t="shared" si="28"/>
        <v>72.5</v>
      </c>
      <c r="BI52" s="35">
        <f t="shared" si="2"/>
        <v>0.313</v>
      </c>
      <c r="BJ52" s="35">
        <f t="shared" si="3"/>
        <v>0.11899999999999999</v>
      </c>
      <c r="BL52" s="3">
        <f t="shared" si="4"/>
        <v>2872</v>
      </c>
      <c r="BM52" s="19">
        <f t="shared" si="5"/>
        <v>0.20100000000000001</v>
      </c>
      <c r="BN52" s="19">
        <f t="shared" si="6"/>
        <v>0.35599999999999998</v>
      </c>
      <c r="BO52" s="19">
        <f t="shared" si="7"/>
        <v>0.183</v>
      </c>
      <c r="BP52" s="19">
        <f t="shared" si="8"/>
        <v>3.9E-2</v>
      </c>
      <c r="BQ52" s="19">
        <f t="shared" si="9"/>
        <v>7.3999999999999996E-2</v>
      </c>
      <c r="BR52" s="19">
        <f t="shared" si="10"/>
        <v>5.8999999999999997E-2</v>
      </c>
      <c r="BS52" s="19">
        <f t="shared" si="11"/>
        <v>2.5000000000000001E-2</v>
      </c>
      <c r="BT52" s="19">
        <f t="shared" si="12"/>
        <v>6.3E-2</v>
      </c>
      <c r="BV52" s="16">
        <f t="shared" si="13"/>
        <v>2.62</v>
      </c>
      <c r="BW52" s="16">
        <f t="shared" si="14"/>
        <v>2.41</v>
      </c>
      <c r="BX52" s="3">
        <f t="shared" si="15"/>
        <v>-7.1</v>
      </c>
      <c r="BY52" s="3">
        <f t="shared" si="49"/>
        <v>-6.8</v>
      </c>
      <c r="BZ52" s="3" t="s">
        <v>162</v>
      </c>
      <c r="CA52" s="3">
        <f t="shared" si="17"/>
        <v>0.6</v>
      </c>
      <c r="CB52" s="3">
        <f t="shared" si="18"/>
        <v>0.2</v>
      </c>
      <c r="CC52" s="3">
        <f t="shared" si="19"/>
        <v>0.8</v>
      </c>
      <c r="CD52" s="3">
        <f t="shared" si="20"/>
        <v>1.5</v>
      </c>
      <c r="CE52" s="22">
        <f t="shared" si="29"/>
        <v>85.9</v>
      </c>
      <c r="CF52" s="1">
        <f t="shared" si="30"/>
        <v>-4.7</v>
      </c>
      <c r="CG52" s="1">
        <f t="shared" si="31"/>
        <v>-3.3</v>
      </c>
      <c r="CH52" s="3" t="s">
        <v>162</v>
      </c>
      <c r="CI52" s="1">
        <f t="shared" si="32"/>
        <v>0.7</v>
      </c>
      <c r="CJ52" s="1">
        <f t="shared" si="33"/>
        <v>0.2</v>
      </c>
      <c r="CK52" s="1">
        <f t="shared" si="34"/>
        <v>0.9</v>
      </c>
      <c r="CL52" s="1">
        <f t="shared" si="35"/>
        <v>1.6</v>
      </c>
      <c r="CM52" s="2">
        <f t="shared" si="36"/>
        <v>92.2</v>
      </c>
      <c r="CN52" s="1">
        <f t="shared" si="37"/>
        <v>-8.8000000000000007</v>
      </c>
      <c r="CO52" s="1">
        <f t="shared" si="38"/>
        <v>-8.5</v>
      </c>
      <c r="CP52" s="3" t="s">
        <v>162</v>
      </c>
      <c r="CQ52" s="1">
        <f t="shared" si="39"/>
        <v>0.6</v>
      </c>
      <c r="CR52" s="1">
        <f t="shared" si="40"/>
        <v>0.1</v>
      </c>
      <c r="CS52" s="1">
        <f t="shared" si="41"/>
        <v>0.7</v>
      </c>
      <c r="CT52" s="1">
        <f t="shared" si="42"/>
        <v>1.4</v>
      </c>
      <c r="CU52" s="2">
        <f t="shared" si="43"/>
        <v>72.5</v>
      </c>
      <c r="CV52" s="14">
        <f t="shared" si="44"/>
        <v>1020</v>
      </c>
      <c r="CW52" s="1">
        <f>ROUND(PPTest!K52,1)</f>
        <v>14.3</v>
      </c>
      <c r="CX52" s="3">
        <f t="shared" si="25"/>
        <v>0.01</v>
      </c>
      <c r="CY52" s="3">
        <f t="shared" si="45"/>
        <v>1.78</v>
      </c>
      <c r="CZ52" s="19">
        <f t="shared" si="46"/>
        <v>0.313</v>
      </c>
      <c r="DA52" s="19">
        <f t="shared" si="46"/>
        <v>0.11899999999999999</v>
      </c>
      <c r="DB52" s="16">
        <f t="shared" si="47"/>
        <v>13.05</v>
      </c>
    </row>
    <row r="53" spans="1:106" x14ac:dyDescent="0.2">
      <c r="A53" s="15">
        <f t="shared" si="48"/>
        <v>45705</v>
      </c>
      <c r="B53" s="1">
        <v>48</v>
      </c>
      <c r="C53" s="18">
        <v>0.998</v>
      </c>
      <c r="D53" s="18">
        <v>3.577</v>
      </c>
      <c r="E53" s="18">
        <v>-7.6449999999999996</v>
      </c>
      <c r="F53" s="18">
        <v>88</v>
      </c>
      <c r="G53" s="18">
        <v>-7.3019999999999996</v>
      </c>
      <c r="H53" s="18"/>
      <c r="I53" s="18">
        <v>0.65600000000000003</v>
      </c>
      <c r="J53" s="18">
        <v>0.14899999999999999</v>
      </c>
      <c r="K53" s="18">
        <v>0.80600000000000005</v>
      </c>
      <c r="L53" s="18">
        <v>1.494</v>
      </c>
      <c r="M53" s="18">
        <v>1E-3</v>
      </c>
      <c r="N53" s="18">
        <v>0</v>
      </c>
      <c r="O53" s="18">
        <v>2.2610000000000001</v>
      </c>
      <c r="P53" s="18">
        <v>-4.5380000000000003</v>
      </c>
      <c r="Q53" s="18">
        <v>94.2</v>
      </c>
      <c r="R53" s="18">
        <v>-3.1819999999999999</v>
      </c>
      <c r="S53" s="18"/>
      <c r="T53" s="18">
        <v>0.73699999999999999</v>
      </c>
      <c r="U53" s="18">
        <v>0.23100000000000001</v>
      </c>
      <c r="V53" s="18">
        <v>0.89700000000000002</v>
      </c>
      <c r="W53" s="18">
        <v>1.5760000000000001</v>
      </c>
      <c r="X53" s="18">
        <v>0.5</v>
      </c>
      <c r="Y53" s="18">
        <v>-9.9700000000000006</v>
      </c>
      <c r="Z53" s="18">
        <v>67.8</v>
      </c>
      <c r="AA53" s="18">
        <v>-9.69</v>
      </c>
      <c r="AB53" s="18"/>
      <c r="AC53" s="18">
        <v>0.57999999999999996</v>
      </c>
      <c r="AD53" s="18">
        <v>7.3999999999999996E-2</v>
      </c>
      <c r="AE53" s="18">
        <v>0.73199999999999998</v>
      </c>
      <c r="AF53" s="18">
        <v>1.4179999999999999</v>
      </c>
      <c r="AG53" s="18">
        <v>232</v>
      </c>
      <c r="AH53" s="18">
        <v>635</v>
      </c>
      <c r="AI53" s="18">
        <v>302</v>
      </c>
      <c r="AJ53" s="18">
        <v>69</v>
      </c>
      <c r="AK53" s="18">
        <v>488</v>
      </c>
      <c r="AL53" s="18">
        <v>727</v>
      </c>
      <c r="AM53" s="18">
        <v>309</v>
      </c>
      <c r="AN53" s="18">
        <v>116</v>
      </c>
      <c r="AO53" s="18">
        <v>2.2959999999999998</v>
      </c>
      <c r="AP53" s="18">
        <v>208</v>
      </c>
      <c r="AQ53" s="18">
        <v>-3.972</v>
      </c>
      <c r="AR53" s="18">
        <v>-3.6419999999999999</v>
      </c>
      <c r="AS53" s="18">
        <v>-4.3109999999999999</v>
      </c>
      <c r="AT53" s="18">
        <v>5.0000000000000001E-3</v>
      </c>
      <c r="AU53" s="18">
        <v>-3.0000000000000001E-3</v>
      </c>
      <c r="AV53" s="18">
        <v>13.1</v>
      </c>
      <c r="AW53" s="18">
        <v>2876</v>
      </c>
      <c r="AX53" s="4"/>
      <c r="AY53" s="12">
        <f t="shared" si="0"/>
        <v>979.00000000000011</v>
      </c>
      <c r="AZ53" s="12"/>
      <c r="BA53" s="16">
        <v>10.3</v>
      </c>
      <c r="BB53" s="41">
        <v>3.57</v>
      </c>
      <c r="BC53" s="41">
        <v>3.29</v>
      </c>
      <c r="BD53" s="8">
        <f t="shared" si="1"/>
        <v>0.92156862745098045</v>
      </c>
      <c r="BE53" s="8"/>
      <c r="BF53" s="2">
        <f t="shared" si="26"/>
        <v>94.2</v>
      </c>
      <c r="BG53" s="2">
        <f t="shared" si="27"/>
        <v>88</v>
      </c>
      <c r="BH53" s="2">
        <f t="shared" si="28"/>
        <v>67.8</v>
      </c>
      <c r="BI53" s="35">
        <f t="shared" si="2"/>
        <v>0.29599999999999999</v>
      </c>
      <c r="BJ53" s="35">
        <f t="shared" si="3"/>
        <v>0.14099999999999999</v>
      </c>
      <c r="BL53" s="3">
        <f t="shared" si="4"/>
        <v>2878</v>
      </c>
      <c r="BM53" s="19">
        <f t="shared" si="5"/>
        <v>8.1000000000000003E-2</v>
      </c>
      <c r="BN53" s="19">
        <f t="shared" si="6"/>
        <v>0.221</v>
      </c>
      <c r="BO53" s="19">
        <f t="shared" si="7"/>
        <v>0.105</v>
      </c>
      <c r="BP53" s="19">
        <f t="shared" si="8"/>
        <v>2.4E-2</v>
      </c>
      <c r="BQ53" s="19">
        <f t="shared" si="9"/>
        <v>0.17</v>
      </c>
      <c r="BR53" s="19">
        <f t="shared" si="10"/>
        <v>0.253</v>
      </c>
      <c r="BS53" s="19">
        <f t="shared" si="11"/>
        <v>0.107</v>
      </c>
      <c r="BT53" s="19">
        <f t="shared" si="12"/>
        <v>0.04</v>
      </c>
      <c r="BV53" s="16">
        <f t="shared" si="13"/>
        <v>3.57</v>
      </c>
      <c r="BW53" s="16">
        <f t="shared" si="14"/>
        <v>3.29</v>
      </c>
      <c r="BX53" s="3">
        <f t="shared" si="15"/>
        <v>-7.6</v>
      </c>
      <c r="BY53" s="3">
        <f t="shared" si="49"/>
        <v>-7.3</v>
      </c>
      <c r="BZ53" s="3" t="s">
        <v>162</v>
      </c>
      <c r="CA53" s="3">
        <f t="shared" si="17"/>
        <v>0.7</v>
      </c>
      <c r="CB53" s="3">
        <f t="shared" si="18"/>
        <v>0.1</v>
      </c>
      <c r="CC53" s="3">
        <f t="shared" si="19"/>
        <v>0.8</v>
      </c>
      <c r="CD53" s="3">
        <f t="shared" si="20"/>
        <v>1.5</v>
      </c>
      <c r="CE53" s="22">
        <f t="shared" si="29"/>
        <v>88</v>
      </c>
      <c r="CF53" s="1">
        <f t="shared" si="30"/>
        <v>-4.5</v>
      </c>
      <c r="CG53" s="1">
        <f t="shared" si="31"/>
        <v>-3.2</v>
      </c>
      <c r="CH53" s="3" t="s">
        <v>162</v>
      </c>
      <c r="CI53" s="1">
        <f t="shared" si="32"/>
        <v>0.7</v>
      </c>
      <c r="CJ53" s="1">
        <f t="shared" si="33"/>
        <v>0.2</v>
      </c>
      <c r="CK53" s="1">
        <f t="shared" si="34"/>
        <v>0.9</v>
      </c>
      <c r="CL53" s="1">
        <f t="shared" si="35"/>
        <v>1.6</v>
      </c>
      <c r="CM53" s="2">
        <f t="shared" si="36"/>
        <v>94.2</v>
      </c>
      <c r="CN53" s="1">
        <f t="shared" si="37"/>
        <v>-10</v>
      </c>
      <c r="CO53" s="1">
        <f t="shared" si="38"/>
        <v>-9.6999999999999993</v>
      </c>
      <c r="CP53" s="3" t="s">
        <v>162</v>
      </c>
      <c r="CQ53" s="1">
        <f t="shared" si="39"/>
        <v>0.6</v>
      </c>
      <c r="CR53" s="1">
        <f t="shared" si="40"/>
        <v>0.1</v>
      </c>
      <c r="CS53" s="1">
        <f t="shared" si="41"/>
        <v>0.7</v>
      </c>
      <c r="CT53" s="1">
        <f t="shared" si="42"/>
        <v>1.4</v>
      </c>
      <c r="CU53" s="2">
        <f t="shared" si="43"/>
        <v>67.8</v>
      </c>
      <c r="CV53" s="14">
        <f t="shared" si="44"/>
        <v>979.00000000000011</v>
      </c>
      <c r="CW53" s="1">
        <f>ROUND(PPTest!K53,1)</f>
        <v>0</v>
      </c>
      <c r="CX53" s="3">
        <f t="shared" si="25"/>
        <v>0</v>
      </c>
      <c r="CY53" s="3">
        <f t="shared" si="45"/>
        <v>0.5</v>
      </c>
      <c r="CZ53" s="19">
        <f t="shared" si="46"/>
        <v>0.29599999999999999</v>
      </c>
      <c r="DA53" s="19">
        <f t="shared" si="46"/>
        <v>0.14099999999999999</v>
      </c>
      <c r="DB53" s="16">
        <f t="shared" si="47"/>
        <v>13.1</v>
      </c>
    </row>
    <row r="54" spans="1:106" x14ac:dyDescent="0.2">
      <c r="A54" s="15">
        <f t="shared" si="48"/>
        <v>45706</v>
      </c>
      <c r="B54" s="1">
        <v>49</v>
      </c>
      <c r="C54" s="18">
        <v>3.431</v>
      </c>
      <c r="D54" s="18">
        <v>6.7119999999999997</v>
      </c>
      <c r="E54" s="18">
        <v>-7.8179999999999996</v>
      </c>
      <c r="F54" s="18">
        <v>81.400000000000006</v>
      </c>
      <c r="G54" s="18">
        <v>-7.7770000000000001</v>
      </c>
      <c r="H54" s="18"/>
      <c r="I54" s="18">
        <v>0.66200000000000003</v>
      </c>
      <c r="J54" s="18">
        <v>0.14299999999999999</v>
      </c>
      <c r="K54" s="18">
        <v>0.80100000000000005</v>
      </c>
      <c r="L54" s="18">
        <v>1.4910000000000001</v>
      </c>
      <c r="M54" s="18">
        <v>1.2E-2</v>
      </c>
      <c r="N54" s="18">
        <v>1.524</v>
      </c>
      <c r="O54" s="18">
        <v>2.2810000000000001</v>
      </c>
      <c r="P54" s="18">
        <v>-1.821</v>
      </c>
      <c r="Q54" s="18">
        <v>92.8</v>
      </c>
      <c r="R54" s="18">
        <v>3.181</v>
      </c>
      <c r="S54" s="18"/>
      <c r="T54" s="18">
        <v>0.73899999999999999</v>
      </c>
      <c r="U54" s="18">
        <v>0.23599999999999999</v>
      </c>
      <c r="V54" s="18">
        <v>0.88100000000000001</v>
      </c>
      <c r="W54" s="18">
        <v>1.5720000000000001</v>
      </c>
      <c r="X54" s="18">
        <v>2.6869999999999998</v>
      </c>
      <c r="Y54" s="18">
        <v>-16.22</v>
      </c>
      <c r="Z54" s="18">
        <v>53.74</v>
      </c>
      <c r="AA54" s="18">
        <v>-16.940000000000001</v>
      </c>
      <c r="AB54" s="18"/>
      <c r="AC54" s="18">
        <v>0.54400000000000004</v>
      </c>
      <c r="AD54" s="18">
        <v>6.2E-2</v>
      </c>
      <c r="AE54" s="18">
        <v>0.71799999999999997</v>
      </c>
      <c r="AF54" s="18">
        <v>1.4159999999999999</v>
      </c>
      <c r="AG54" s="18">
        <v>284</v>
      </c>
      <c r="AH54" s="18">
        <v>733</v>
      </c>
      <c r="AI54" s="18">
        <v>768</v>
      </c>
      <c r="AJ54" s="18">
        <v>209</v>
      </c>
      <c r="AK54" s="18">
        <v>274</v>
      </c>
      <c r="AL54" s="18">
        <v>245</v>
      </c>
      <c r="AM54" s="18">
        <v>212</v>
      </c>
      <c r="AN54" s="18">
        <v>145</v>
      </c>
      <c r="AO54" s="18">
        <v>2.3029999999999999</v>
      </c>
      <c r="AP54" s="18">
        <v>200</v>
      </c>
      <c r="AQ54" s="18">
        <v>-3.278</v>
      </c>
      <c r="AR54" s="18">
        <v>-2.9119999999999999</v>
      </c>
      <c r="AS54" s="18">
        <v>-3.6419999999999999</v>
      </c>
      <c r="AT54" s="18">
        <v>5.0000000000000001E-3</v>
      </c>
      <c r="AU54" s="18">
        <v>-3.0000000000000001E-3</v>
      </c>
      <c r="AV54" s="18">
        <v>13.14</v>
      </c>
      <c r="AW54" s="18">
        <v>2876</v>
      </c>
      <c r="AX54" s="4"/>
      <c r="AY54" s="12">
        <f t="shared" si="0"/>
        <v>959.00000000000011</v>
      </c>
      <c r="AZ54" s="12"/>
      <c r="BA54" s="16">
        <v>10.5</v>
      </c>
      <c r="BB54" s="41">
        <v>6.82</v>
      </c>
      <c r="BC54" s="41">
        <v>6.17</v>
      </c>
      <c r="BD54" s="8">
        <f t="shared" si="1"/>
        <v>0.90469208211143692</v>
      </c>
      <c r="BE54" s="8"/>
      <c r="BF54" s="2">
        <f t="shared" si="26"/>
        <v>92.8</v>
      </c>
      <c r="BG54" s="2">
        <f t="shared" si="27"/>
        <v>81.400000000000006</v>
      </c>
      <c r="BH54" s="2">
        <f t="shared" si="28"/>
        <v>53.7</v>
      </c>
      <c r="BI54" s="35">
        <f t="shared" si="2"/>
        <v>0.28699999999999998</v>
      </c>
      <c r="BJ54" s="35">
        <f t="shared" si="3"/>
        <v>0.247</v>
      </c>
      <c r="BL54" s="3">
        <f t="shared" si="4"/>
        <v>2870</v>
      </c>
      <c r="BM54" s="19">
        <f t="shared" si="5"/>
        <v>9.9000000000000005E-2</v>
      </c>
      <c r="BN54" s="19">
        <f t="shared" si="6"/>
        <v>0.255</v>
      </c>
      <c r="BO54" s="19">
        <f t="shared" si="7"/>
        <v>0.26800000000000002</v>
      </c>
      <c r="BP54" s="19">
        <f t="shared" si="8"/>
        <v>7.2999999999999995E-2</v>
      </c>
      <c r="BQ54" s="19">
        <f t="shared" si="9"/>
        <v>9.5000000000000001E-2</v>
      </c>
      <c r="BR54" s="19">
        <f t="shared" si="10"/>
        <v>8.5000000000000006E-2</v>
      </c>
      <c r="BS54" s="19">
        <f t="shared" si="11"/>
        <v>7.3999999999999996E-2</v>
      </c>
      <c r="BT54" s="19">
        <f t="shared" si="12"/>
        <v>5.0999999999999997E-2</v>
      </c>
      <c r="BV54" s="16">
        <f t="shared" si="13"/>
        <v>6.82</v>
      </c>
      <c r="BW54" s="16">
        <f t="shared" si="14"/>
        <v>6.17</v>
      </c>
      <c r="BX54" s="3">
        <f t="shared" si="15"/>
        <v>-7.8</v>
      </c>
      <c r="BY54" s="3">
        <f t="shared" si="49"/>
        <v>-7.8</v>
      </c>
      <c r="BZ54" s="3" t="s">
        <v>162</v>
      </c>
      <c r="CA54" s="3">
        <f t="shared" si="17"/>
        <v>0.7</v>
      </c>
      <c r="CB54" s="3">
        <f t="shared" si="18"/>
        <v>0.1</v>
      </c>
      <c r="CC54" s="3">
        <f t="shared" si="19"/>
        <v>0.8</v>
      </c>
      <c r="CD54" s="3">
        <f t="shared" si="20"/>
        <v>1.5</v>
      </c>
      <c r="CE54" s="22">
        <f t="shared" si="29"/>
        <v>81.400000000000006</v>
      </c>
      <c r="CF54" s="1">
        <f t="shared" si="30"/>
        <v>-1.8</v>
      </c>
      <c r="CG54" s="1">
        <f t="shared" si="31"/>
        <v>3.2</v>
      </c>
      <c r="CH54" s="3" t="s">
        <v>162</v>
      </c>
      <c r="CI54" s="1">
        <f t="shared" si="32"/>
        <v>0.7</v>
      </c>
      <c r="CJ54" s="1">
        <f t="shared" si="33"/>
        <v>0.2</v>
      </c>
      <c r="CK54" s="1">
        <f t="shared" si="34"/>
        <v>0.9</v>
      </c>
      <c r="CL54" s="1">
        <f t="shared" si="35"/>
        <v>1.6</v>
      </c>
      <c r="CM54" s="2">
        <f t="shared" si="36"/>
        <v>92.8</v>
      </c>
      <c r="CN54" s="1">
        <f t="shared" si="37"/>
        <v>-16.2</v>
      </c>
      <c r="CO54" s="1">
        <f t="shared" si="38"/>
        <v>-16.899999999999999</v>
      </c>
      <c r="CP54" s="3" t="s">
        <v>162</v>
      </c>
      <c r="CQ54" s="1">
        <f t="shared" si="39"/>
        <v>0.5</v>
      </c>
      <c r="CR54" s="1">
        <f t="shared" si="40"/>
        <v>0.1</v>
      </c>
      <c r="CS54" s="1">
        <f t="shared" si="41"/>
        <v>0.7</v>
      </c>
      <c r="CT54" s="1">
        <f t="shared" si="42"/>
        <v>1.4</v>
      </c>
      <c r="CU54" s="2">
        <f t="shared" si="43"/>
        <v>53.7</v>
      </c>
      <c r="CV54" s="14">
        <f t="shared" si="44"/>
        <v>959.00000000000011</v>
      </c>
      <c r="CW54" s="1">
        <f>ROUND(PPTest!K54,1)</f>
        <v>0</v>
      </c>
      <c r="CX54" s="3">
        <f t="shared" si="25"/>
        <v>0.01</v>
      </c>
      <c r="CY54" s="3">
        <f t="shared" si="45"/>
        <v>2.69</v>
      </c>
      <c r="CZ54" s="19">
        <f t="shared" si="46"/>
        <v>0.28699999999999998</v>
      </c>
      <c r="DA54" s="19">
        <f t="shared" si="46"/>
        <v>0.247</v>
      </c>
      <c r="DB54" s="16">
        <f t="shared" si="47"/>
        <v>13.14</v>
      </c>
    </row>
    <row r="55" spans="1:106" x14ac:dyDescent="0.2">
      <c r="A55" s="15">
        <f t="shared" si="48"/>
        <v>45707</v>
      </c>
      <c r="B55" s="1">
        <v>50</v>
      </c>
      <c r="C55" s="18">
        <v>1.9790000000000001</v>
      </c>
      <c r="D55" s="18">
        <v>2.7919999999999998</v>
      </c>
      <c r="E55" s="18">
        <v>-3.722</v>
      </c>
      <c r="F55" s="18">
        <v>83.6</v>
      </c>
      <c r="G55" s="18">
        <v>-3.4289999999999998</v>
      </c>
      <c r="H55" s="18"/>
      <c r="I55" s="18">
        <v>0.66600000000000004</v>
      </c>
      <c r="J55" s="18">
        <v>0.13400000000000001</v>
      </c>
      <c r="K55" s="18">
        <v>0.78600000000000003</v>
      </c>
      <c r="L55" s="18">
        <v>1.476</v>
      </c>
      <c r="M55" s="18">
        <v>8.5999999999999993E-2</v>
      </c>
      <c r="N55" s="18">
        <v>0.254</v>
      </c>
      <c r="O55" s="18">
        <v>2.2730000000000001</v>
      </c>
      <c r="P55" s="18">
        <v>-0.59799999999999998</v>
      </c>
      <c r="Q55" s="18">
        <v>95.4</v>
      </c>
      <c r="R55" s="18">
        <v>0.47099999999999997</v>
      </c>
      <c r="S55" s="18"/>
      <c r="T55" s="18">
        <v>0.753</v>
      </c>
      <c r="U55" s="18">
        <v>0.21199999999999999</v>
      </c>
      <c r="V55" s="18">
        <v>0.86899999999999999</v>
      </c>
      <c r="W55" s="18">
        <v>1.569</v>
      </c>
      <c r="X55" s="18">
        <v>4.5</v>
      </c>
      <c r="Y55" s="18">
        <v>-6.0330000000000004</v>
      </c>
      <c r="Z55" s="18">
        <v>69.84</v>
      </c>
      <c r="AA55" s="18">
        <v>-7.07</v>
      </c>
      <c r="AB55" s="18"/>
      <c r="AC55" s="18">
        <v>0.58299999999999996</v>
      </c>
      <c r="AD55" s="18">
        <v>5.2999999999999999E-2</v>
      </c>
      <c r="AE55" s="18">
        <v>0.71</v>
      </c>
      <c r="AF55" s="18">
        <v>1.391</v>
      </c>
      <c r="AG55" s="18">
        <v>360</v>
      </c>
      <c r="AH55" s="18">
        <v>485</v>
      </c>
      <c r="AI55" s="18">
        <v>504</v>
      </c>
      <c r="AJ55" s="18">
        <v>212</v>
      </c>
      <c r="AK55" s="18">
        <v>340</v>
      </c>
      <c r="AL55" s="18">
        <v>384</v>
      </c>
      <c r="AM55" s="18">
        <v>305</v>
      </c>
      <c r="AN55" s="18">
        <v>273</v>
      </c>
      <c r="AO55" s="18">
        <v>2.29</v>
      </c>
      <c r="AP55" s="18">
        <v>276</v>
      </c>
      <c r="AQ55" s="18">
        <v>-2.9660000000000002</v>
      </c>
      <c r="AR55" s="18">
        <v>-2.827</v>
      </c>
      <c r="AS55" s="18">
        <v>-3.1070000000000002</v>
      </c>
      <c r="AT55" s="18">
        <v>5.0000000000000001E-3</v>
      </c>
      <c r="AU55" s="18">
        <v>-3.0000000000000001E-3</v>
      </c>
      <c r="AV55" s="18">
        <v>13.14</v>
      </c>
      <c r="AW55" s="18">
        <v>2876</v>
      </c>
      <c r="AX55" s="4"/>
      <c r="AY55" s="12">
        <f t="shared" si="0"/>
        <v>967.00000000000011</v>
      </c>
      <c r="AZ55" s="12"/>
      <c r="BA55" s="16">
        <v>10.72</v>
      </c>
      <c r="BB55" s="41">
        <v>2.79</v>
      </c>
      <c r="BC55" s="41">
        <v>2.57</v>
      </c>
      <c r="BD55" s="8">
        <f t="shared" si="1"/>
        <v>0.92114695340501784</v>
      </c>
      <c r="BE55" s="8"/>
      <c r="BF55" s="2">
        <f t="shared" si="26"/>
        <v>95.4</v>
      </c>
      <c r="BG55" s="2">
        <f t="shared" si="27"/>
        <v>83.6</v>
      </c>
      <c r="BH55" s="2">
        <f t="shared" si="28"/>
        <v>69.8</v>
      </c>
      <c r="BI55" s="35">
        <f t="shared" si="2"/>
        <v>0.40799999999999997</v>
      </c>
      <c r="BJ55" s="35">
        <f t="shared" si="3"/>
        <v>0.17699999999999999</v>
      </c>
      <c r="BL55" s="3">
        <f t="shared" si="4"/>
        <v>2863</v>
      </c>
      <c r="BM55" s="19">
        <f t="shared" si="5"/>
        <v>0.126</v>
      </c>
      <c r="BN55" s="19">
        <f t="shared" si="6"/>
        <v>0.16900000000000001</v>
      </c>
      <c r="BO55" s="19">
        <f t="shared" si="7"/>
        <v>0.17599999999999999</v>
      </c>
      <c r="BP55" s="19">
        <f t="shared" si="8"/>
        <v>7.3999999999999996E-2</v>
      </c>
      <c r="BQ55" s="19">
        <f t="shared" si="9"/>
        <v>0.11899999999999999</v>
      </c>
      <c r="BR55" s="19">
        <f t="shared" si="10"/>
        <v>0.13400000000000001</v>
      </c>
      <c r="BS55" s="19">
        <f t="shared" si="11"/>
        <v>0.107</v>
      </c>
      <c r="BT55" s="19">
        <f t="shared" si="12"/>
        <v>9.5000000000000001E-2</v>
      </c>
      <c r="BV55" s="16">
        <f t="shared" si="13"/>
        <v>2.79</v>
      </c>
      <c r="BW55" s="16">
        <f t="shared" si="14"/>
        <v>2.57</v>
      </c>
      <c r="BX55" s="3">
        <f t="shared" si="15"/>
        <v>-3.7</v>
      </c>
      <c r="BY55" s="3">
        <f t="shared" si="49"/>
        <v>-3.4</v>
      </c>
      <c r="BZ55" s="3" t="s">
        <v>162</v>
      </c>
      <c r="CA55" s="3">
        <f t="shared" si="17"/>
        <v>0.7</v>
      </c>
      <c r="CB55" s="3">
        <f t="shared" si="18"/>
        <v>0.1</v>
      </c>
      <c r="CC55" s="3">
        <f t="shared" si="19"/>
        <v>0.8</v>
      </c>
      <c r="CD55" s="3">
        <f t="shared" si="20"/>
        <v>1.5</v>
      </c>
      <c r="CE55" s="22">
        <f t="shared" si="29"/>
        <v>83.6</v>
      </c>
      <c r="CF55" s="1">
        <f t="shared" si="30"/>
        <v>-0.6</v>
      </c>
      <c r="CG55" s="1">
        <f t="shared" si="31"/>
        <v>0.5</v>
      </c>
      <c r="CH55" s="3" t="s">
        <v>162</v>
      </c>
      <c r="CI55" s="1">
        <f t="shared" si="32"/>
        <v>0.8</v>
      </c>
      <c r="CJ55" s="1">
        <f t="shared" si="33"/>
        <v>0.2</v>
      </c>
      <c r="CK55" s="1">
        <f t="shared" si="34"/>
        <v>0.9</v>
      </c>
      <c r="CL55" s="1">
        <f t="shared" si="35"/>
        <v>1.6</v>
      </c>
      <c r="CM55" s="2">
        <f t="shared" si="36"/>
        <v>95.4</v>
      </c>
      <c r="CN55" s="1">
        <f t="shared" si="37"/>
        <v>-6</v>
      </c>
      <c r="CO55" s="1">
        <f t="shared" si="38"/>
        <v>-7.1</v>
      </c>
      <c r="CP55" s="3" t="s">
        <v>162</v>
      </c>
      <c r="CQ55" s="1">
        <f t="shared" si="39"/>
        <v>0.6</v>
      </c>
      <c r="CR55" s="1">
        <f t="shared" si="40"/>
        <v>0.1</v>
      </c>
      <c r="CS55" s="1">
        <f t="shared" si="41"/>
        <v>0.7</v>
      </c>
      <c r="CT55" s="1">
        <f t="shared" si="42"/>
        <v>1.4</v>
      </c>
      <c r="CU55" s="2">
        <f t="shared" si="43"/>
        <v>69.8</v>
      </c>
      <c r="CV55" s="14">
        <f t="shared" si="44"/>
        <v>967.00000000000011</v>
      </c>
      <c r="CW55" s="1">
        <f>ROUND(PPTest!K55,1)</f>
        <v>1</v>
      </c>
      <c r="CX55" s="3">
        <f t="shared" si="25"/>
        <v>0.09</v>
      </c>
      <c r="CY55" s="3">
        <f t="shared" si="45"/>
        <v>4.5</v>
      </c>
      <c r="CZ55" s="19">
        <f t="shared" si="46"/>
        <v>0.40799999999999997</v>
      </c>
      <c r="DA55" s="19">
        <f t="shared" si="46"/>
        <v>0.17699999999999999</v>
      </c>
      <c r="DB55" s="16">
        <f t="shared" si="47"/>
        <v>13.14</v>
      </c>
    </row>
    <row r="56" spans="1:106" x14ac:dyDescent="0.2">
      <c r="A56" s="15">
        <f t="shared" si="48"/>
        <v>45708</v>
      </c>
      <c r="B56" s="1">
        <v>51</v>
      </c>
      <c r="C56" s="18">
        <v>1.7450000000000001</v>
      </c>
      <c r="D56" s="18">
        <v>3.4790000000000001</v>
      </c>
      <c r="E56" s="18">
        <v>-2.6139999999999999</v>
      </c>
      <c r="F56" s="18">
        <v>92.4</v>
      </c>
      <c r="G56" s="18">
        <v>-2.3650000000000002</v>
      </c>
      <c r="H56" s="18"/>
      <c r="I56" s="18">
        <v>0.67400000000000004</v>
      </c>
      <c r="J56" s="18">
        <v>0.14099999999999999</v>
      </c>
      <c r="K56" s="18">
        <v>0.78800000000000003</v>
      </c>
      <c r="L56" s="18">
        <v>1.4730000000000001</v>
      </c>
      <c r="M56" s="18">
        <v>0</v>
      </c>
      <c r="N56" s="18">
        <v>2.286</v>
      </c>
      <c r="O56" s="18">
        <v>2.282</v>
      </c>
      <c r="P56" s="18">
        <v>1.371</v>
      </c>
      <c r="Q56" s="18">
        <v>95.6</v>
      </c>
      <c r="R56" s="18">
        <v>3.1349999999999998</v>
      </c>
      <c r="S56" s="18"/>
      <c r="T56" s="18">
        <v>0.76200000000000001</v>
      </c>
      <c r="U56" s="18">
        <v>0.23</v>
      </c>
      <c r="V56" s="18">
        <v>0.876</v>
      </c>
      <c r="W56" s="18">
        <v>1.5629999999999999</v>
      </c>
      <c r="X56" s="18">
        <v>0</v>
      </c>
      <c r="Y56" s="18">
        <v>-5.56</v>
      </c>
      <c r="Z56" s="18">
        <v>75.540000000000006</v>
      </c>
      <c r="AA56" s="18">
        <v>-5.8239999999999998</v>
      </c>
      <c r="AB56" s="18"/>
      <c r="AC56" s="18">
        <v>0.59799999999999998</v>
      </c>
      <c r="AD56" s="18">
        <v>5.7000000000000002E-2</v>
      </c>
      <c r="AE56" s="18">
        <v>0.70899999999999996</v>
      </c>
      <c r="AF56" s="18">
        <v>1.391</v>
      </c>
      <c r="AG56" s="18">
        <v>258</v>
      </c>
      <c r="AH56" s="18">
        <v>208</v>
      </c>
      <c r="AI56" s="18">
        <v>307</v>
      </c>
      <c r="AJ56" s="18">
        <v>335</v>
      </c>
      <c r="AK56" s="18">
        <v>595</v>
      </c>
      <c r="AL56" s="18">
        <v>593</v>
      </c>
      <c r="AM56" s="18">
        <v>400</v>
      </c>
      <c r="AN56" s="18">
        <v>182</v>
      </c>
      <c r="AO56" s="18">
        <v>2.3050000000000002</v>
      </c>
      <c r="AP56" s="18">
        <v>220</v>
      </c>
      <c r="AQ56" s="18">
        <v>-2.4780000000000002</v>
      </c>
      <c r="AR56" s="18">
        <v>-2.036</v>
      </c>
      <c r="AS56" s="18">
        <v>-2.8490000000000002</v>
      </c>
      <c r="AT56" s="18">
        <v>5.0000000000000001E-3</v>
      </c>
      <c r="AU56" s="18">
        <v>-3.0000000000000001E-3</v>
      </c>
      <c r="AV56" s="18">
        <v>13.12</v>
      </c>
      <c r="AW56" s="18">
        <v>2876</v>
      </c>
      <c r="AX56" s="4"/>
      <c r="AY56" s="12">
        <f t="shared" si="0"/>
        <v>958.00000000000023</v>
      </c>
      <c r="AZ56" s="12"/>
      <c r="BA56" s="16">
        <v>10.93</v>
      </c>
      <c r="BB56" s="41">
        <v>3.48</v>
      </c>
      <c r="BC56" s="41">
        <v>3.2</v>
      </c>
      <c r="BD56" s="8">
        <f t="shared" si="1"/>
        <v>0.91954022988505757</v>
      </c>
      <c r="BE56" s="8"/>
      <c r="BF56" s="2">
        <f t="shared" si="26"/>
        <v>95.6</v>
      </c>
      <c r="BG56" s="2">
        <f t="shared" si="27"/>
        <v>92.4</v>
      </c>
      <c r="BH56" s="2">
        <f t="shared" si="28"/>
        <v>75.5</v>
      </c>
      <c r="BI56" s="35">
        <f t="shared" si="2"/>
        <v>0.50900000000000001</v>
      </c>
      <c r="BJ56" s="35">
        <f t="shared" si="3"/>
        <v>0.16500000000000001</v>
      </c>
      <c r="BL56" s="3">
        <f t="shared" si="4"/>
        <v>2878</v>
      </c>
      <c r="BM56" s="19">
        <f t="shared" si="5"/>
        <v>0.09</v>
      </c>
      <c r="BN56" s="19">
        <f t="shared" si="6"/>
        <v>7.1999999999999995E-2</v>
      </c>
      <c r="BO56" s="19">
        <f t="shared" si="7"/>
        <v>0.107</v>
      </c>
      <c r="BP56" s="19">
        <f t="shared" si="8"/>
        <v>0.11600000000000001</v>
      </c>
      <c r="BQ56" s="19">
        <f t="shared" si="9"/>
        <v>0.20699999999999999</v>
      </c>
      <c r="BR56" s="19">
        <f t="shared" si="10"/>
        <v>0.20599999999999999</v>
      </c>
      <c r="BS56" s="19">
        <f t="shared" si="11"/>
        <v>0.13900000000000001</v>
      </c>
      <c r="BT56" s="19">
        <f t="shared" si="12"/>
        <v>6.3E-2</v>
      </c>
      <c r="BV56" s="16">
        <f t="shared" si="13"/>
        <v>3.48</v>
      </c>
      <c r="BW56" s="16">
        <f t="shared" si="14"/>
        <v>3.2</v>
      </c>
      <c r="BX56" s="3">
        <f t="shared" si="15"/>
        <v>-2.6</v>
      </c>
      <c r="BY56" s="3">
        <f t="shared" si="49"/>
        <v>-2.4</v>
      </c>
      <c r="BZ56" s="3" t="s">
        <v>162</v>
      </c>
      <c r="CA56" s="3">
        <f t="shared" si="17"/>
        <v>0.7</v>
      </c>
      <c r="CB56" s="3">
        <f t="shared" si="18"/>
        <v>0.1</v>
      </c>
      <c r="CC56" s="3">
        <f t="shared" si="19"/>
        <v>0.8</v>
      </c>
      <c r="CD56" s="3">
        <f t="shared" si="20"/>
        <v>1.5</v>
      </c>
      <c r="CE56" s="22">
        <f t="shared" si="29"/>
        <v>92.4</v>
      </c>
      <c r="CF56" s="1">
        <f t="shared" si="30"/>
        <v>1.4</v>
      </c>
      <c r="CG56" s="1">
        <f t="shared" si="31"/>
        <v>3.1</v>
      </c>
      <c r="CH56" s="3" t="s">
        <v>162</v>
      </c>
      <c r="CI56" s="1">
        <f t="shared" si="32"/>
        <v>0.8</v>
      </c>
      <c r="CJ56" s="1">
        <f t="shared" si="33"/>
        <v>0.2</v>
      </c>
      <c r="CK56" s="1">
        <f t="shared" si="34"/>
        <v>0.9</v>
      </c>
      <c r="CL56" s="1">
        <f t="shared" si="35"/>
        <v>1.6</v>
      </c>
      <c r="CM56" s="2">
        <f t="shared" si="36"/>
        <v>95.6</v>
      </c>
      <c r="CN56" s="1">
        <f t="shared" si="37"/>
        <v>-5.6</v>
      </c>
      <c r="CO56" s="1">
        <f t="shared" si="38"/>
        <v>-5.8</v>
      </c>
      <c r="CP56" s="3" t="s">
        <v>162</v>
      </c>
      <c r="CQ56" s="1">
        <f t="shared" si="39"/>
        <v>0.6</v>
      </c>
      <c r="CR56" s="1">
        <f t="shared" si="40"/>
        <v>0.1</v>
      </c>
      <c r="CS56" s="1">
        <f t="shared" si="41"/>
        <v>0.7</v>
      </c>
      <c r="CT56" s="1">
        <f t="shared" si="42"/>
        <v>1.4</v>
      </c>
      <c r="CU56" s="2">
        <f t="shared" si="43"/>
        <v>75.5</v>
      </c>
      <c r="CV56" s="14">
        <f t="shared" si="44"/>
        <v>958.00000000000023</v>
      </c>
      <c r="CW56" s="1">
        <f>ROUND(PPTest!K56,1)</f>
        <v>0</v>
      </c>
      <c r="CX56" s="3">
        <f t="shared" si="25"/>
        <v>0</v>
      </c>
      <c r="CY56" s="3">
        <f t="shared" si="45"/>
        <v>0</v>
      </c>
      <c r="CZ56" s="19">
        <f t="shared" si="46"/>
        <v>0.50900000000000001</v>
      </c>
      <c r="DA56" s="19">
        <f t="shared" si="46"/>
        <v>0.16500000000000001</v>
      </c>
      <c r="DB56" s="16">
        <f t="shared" si="47"/>
        <v>13.12</v>
      </c>
    </row>
    <row r="57" spans="1:106" x14ac:dyDescent="0.2">
      <c r="A57" s="15">
        <f t="shared" si="48"/>
        <v>45709</v>
      </c>
      <c r="B57" s="1">
        <v>52</v>
      </c>
      <c r="C57" s="18">
        <v>0.48399999999999999</v>
      </c>
      <c r="D57" s="18">
        <v>1.34</v>
      </c>
      <c r="E57" s="18">
        <v>-2.5779999999999998</v>
      </c>
      <c r="F57" s="18">
        <v>94.3</v>
      </c>
      <c r="G57" s="18">
        <v>-2.3250000000000002</v>
      </c>
      <c r="H57" s="18"/>
      <c r="I57" s="18">
        <v>0.67500000000000004</v>
      </c>
      <c r="J57" s="18">
        <v>0.14699999999999999</v>
      </c>
      <c r="K57" s="18">
        <v>0.78600000000000003</v>
      </c>
      <c r="L57" s="18">
        <v>1.464</v>
      </c>
      <c r="M57" s="18">
        <v>1E-3</v>
      </c>
      <c r="N57" s="18">
        <v>0</v>
      </c>
      <c r="O57" s="18">
        <v>2.1829999999999998</v>
      </c>
      <c r="P57" s="18">
        <v>7.9000000000000001E-2</v>
      </c>
      <c r="Q57" s="18">
        <v>95.6</v>
      </c>
      <c r="R57" s="18">
        <v>0.44400000000000001</v>
      </c>
      <c r="S57" s="18"/>
      <c r="T57" s="18">
        <v>0.747</v>
      </c>
      <c r="U57" s="18">
        <v>0.216</v>
      </c>
      <c r="V57" s="18">
        <v>0.86099999999999999</v>
      </c>
      <c r="W57" s="18">
        <v>1.536</v>
      </c>
      <c r="X57" s="18">
        <v>0.57999999999999996</v>
      </c>
      <c r="Y57" s="18">
        <v>-6.444</v>
      </c>
      <c r="Z57" s="18">
        <v>90.8</v>
      </c>
      <c r="AA57" s="18">
        <v>-6.6630000000000003</v>
      </c>
      <c r="AB57" s="18"/>
      <c r="AC57" s="18">
        <v>0.59399999999999997</v>
      </c>
      <c r="AD57" s="18">
        <v>7.5999999999999998E-2</v>
      </c>
      <c r="AE57" s="18">
        <v>0.71399999999999997</v>
      </c>
      <c r="AF57" s="18">
        <v>1.389</v>
      </c>
      <c r="AG57" s="18">
        <v>266</v>
      </c>
      <c r="AH57" s="18">
        <v>386</v>
      </c>
      <c r="AI57" s="18">
        <v>297</v>
      </c>
      <c r="AJ57" s="18">
        <v>196</v>
      </c>
      <c r="AK57" s="18">
        <v>485</v>
      </c>
      <c r="AL57" s="18">
        <v>521</v>
      </c>
      <c r="AM57" s="18">
        <v>435</v>
      </c>
      <c r="AN57" s="18">
        <v>288</v>
      </c>
      <c r="AO57" s="18">
        <v>2.1930000000000001</v>
      </c>
      <c r="AP57" s="18">
        <v>246</v>
      </c>
      <c r="AQ57" s="18">
        <v>-2.0539999999999998</v>
      </c>
      <c r="AR57" s="18">
        <v>-1.927</v>
      </c>
      <c r="AS57" s="18">
        <v>-2.1419999999999999</v>
      </c>
      <c r="AT57" s="18">
        <v>4.0000000000000001E-3</v>
      </c>
      <c r="AU57" s="18">
        <v>-4.0000000000000001E-3</v>
      </c>
      <c r="AV57" s="18">
        <v>13.03</v>
      </c>
      <c r="AW57" s="18">
        <v>2876</v>
      </c>
      <c r="AX57" s="4"/>
      <c r="AY57" s="12">
        <f t="shared" si="0"/>
        <v>1057.0000000000005</v>
      </c>
      <c r="AZ57" s="12"/>
      <c r="BA57" s="16">
        <v>11.14</v>
      </c>
      <c r="BB57" s="41">
        <v>1.34</v>
      </c>
      <c r="BC57" s="41">
        <v>1.23</v>
      </c>
      <c r="BD57" s="8">
        <f t="shared" si="1"/>
        <v>0.91791044776119401</v>
      </c>
      <c r="BE57" s="8"/>
      <c r="BF57" s="2">
        <f t="shared" si="26"/>
        <v>95.6</v>
      </c>
      <c r="BG57" s="2">
        <f t="shared" si="27"/>
        <v>94.3</v>
      </c>
      <c r="BH57" s="2">
        <f t="shared" si="28"/>
        <v>90.8</v>
      </c>
      <c r="BI57" s="35">
        <f t="shared" si="2"/>
        <v>0.55800000000000005</v>
      </c>
      <c r="BJ57" s="35">
        <f t="shared" si="3"/>
        <v>5.7000000000000002E-2</v>
      </c>
      <c r="BL57" s="3">
        <f t="shared" si="4"/>
        <v>2874</v>
      </c>
      <c r="BM57" s="19">
        <f t="shared" si="5"/>
        <v>9.2999999999999999E-2</v>
      </c>
      <c r="BN57" s="19">
        <f t="shared" si="6"/>
        <v>0.13400000000000001</v>
      </c>
      <c r="BO57" s="19">
        <f t="shared" si="7"/>
        <v>0.10299999999999999</v>
      </c>
      <c r="BP57" s="19">
        <f t="shared" si="8"/>
        <v>6.8000000000000005E-2</v>
      </c>
      <c r="BQ57" s="19">
        <f t="shared" si="9"/>
        <v>0.16900000000000001</v>
      </c>
      <c r="BR57" s="19">
        <f t="shared" si="10"/>
        <v>0.18099999999999999</v>
      </c>
      <c r="BS57" s="19">
        <f t="shared" si="11"/>
        <v>0.151</v>
      </c>
      <c r="BT57" s="19">
        <f t="shared" si="12"/>
        <v>0.1</v>
      </c>
      <c r="BV57" s="16">
        <f t="shared" si="13"/>
        <v>1.34</v>
      </c>
      <c r="BW57" s="16">
        <f t="shared" si="14"/>
        <v>1.23</v>
      </c>
      <c r="BX57" s="3">
        <f t="shared" si="15"/>
        <v>-2.6</v>
      </c>
      <c r="BY57" s="3">
        <f t="shared" si="49"/>
        <v>-2.2999999999999998</v>
      </c>
      <c r="BZ57" s="3" t="s">
        <v>162</v>
      </c>
      <c r="CA57" s="3">
        <f t="shared" si="17"/>
        <v>0.7</v>
      </c>
      <c r="CB57" s="3">
        <f t="shared" si="18"/>
        <v>0.1</v>
      </c>
      <c r="CC57" s="3">
        <f t="shared" si="19"/>
        <v>0.8</v>
      </c>
      <c r="CD57" s="3">
        <f t="shared" si="20"/>
        <v>1.5</v>
      </c>
      <c r="CE57" s="22">
        <f t="shared" si="29"/>
        <v>94.3</v>
      </c>
      <c r="CF57" s="1">
        <f t="shared" si="30"/>
        <v>0.1</v>
      </c>
      <c r="CG57" s="1">
        <f t="shared" si="31"/>
        <v>0.4</v>
      </c>
      <c r="CH57" s="3" t="s">
        <v>162</v>
      </c>
      <c r="CI57" s="1">
        <f t="shared" si="32"/>
        <v>0.7</v>
      </c>
      <c r="CJ57" s="1">
        <f t="shared" si="33"/>
        <v>0.2</v>
      </c>
      <c r="CK57" s="1">
        <f t="shared" si="34"/>
        <v>0.9</v>
      </c>
      <c r="CL57" s="1">
        <f t="shared" si="35"/>
        <v>1.5</v>
      </c>
      <c r="CM57" s="2">
        <f t="shared" si="36"/>
        <v>95.6</v>
      </c>
      <c r="CN57" s="1">
        <f t="shared" si="37"/>
        <v>-6.4</v>
      </c>
      <c r="CO57" s="1">
        <f t="shared" si="38"/>
        <v>-6.7</v>
      </c>
      <c r="CP57" s="3" t="s">
        <v>162</v>
      </c>
      <c r="CQ57" s="1">
        <f t="shared" si="39"/>
        <v>0.6</v>
      </c>
      <c r="CR57" s="1">
        <f t="shared" si="40"/>
        <v>0.1</v>
      </c>
      <c r="CS57" s="1">
        <f t="shared" si="41"/>
        <v>0.7</v>
      </c>
      <c r="CT57" s="1">
        <f t="shared" si="42"/>
        <v>1.4</v>
      </c>
      <c r="CU57" s="2">
        <f t="shared" si="43"/>
        <v>90.8</v>
      </c>
      <c r="CV57" s="14">
        <f t="shared" si="44"/>
        <v>1057.0000000000005</v>
      </c>
      <c r="CW57" s="1">
        <f>ROUND(PPTest!K57,1)</f>
        <v>12.9</v>
      </c>
      <c r="CX57" s="3">
        <f t="shared" si="25"/>
        <v>0</v>
      </c>
      <c r="CY57" s="3">
        <f t="shared" si="45"/>
        <v>0.57999999999999996</v>
      </c>
      <c r="CZ57" s="19">
        <f t="shared" si="46"/>
        <v>0.55800000000000005</v>
      </c>
      <c r="DA57" s="19">
        <f t="shared" si="46"/>
        <v>5.7000000000000002E-2</v>
      </c>
      <c r="DB57" s="16">
        <f t="shared" si="47"/>
        <v>13.03</v>
      </c>
    </row>
    <row r="58" spans="1:106" x14ac:dyDescent="0.2">
      <c r="A58" s="15">
        <f t="shared" si="48"/>
        <v>45710</v>
      </c>
      <c r="B58" s="1">
        <v>53</v>
      </c>
      <c r="C58" s="18">
        <v>2.5179999999999998</v>
      </c>
      <c r="D58" s="18">
        <v>4.141</v>
      </c>
      <c r="E58" s="18">
        <v>-0.505</v>
      </c>
      <c r="F58" s="18">
        <v>90.6</v>
      </c>
      <c r="G58" s="18">
        <v>-0.223</v>
      </c>
      <c r="H58" s="18"/>
      <c r="I58" s="18">
        <v>0.67400000000000004</v>
      </c>
      <c r="J58" s="18">
        <v>0.155</v>
      </c>
      <c r="K58" s="18">
        <v>0.78900000000000003</v>
      </c>
      <c r="L58" s="18">
        <v>1.4630000000000001</v>
      </c>
      <c r="M58" s="18">
        <v>7.9000000000000001E-2</v>
      </c>
      <c r="N58" s="18">
        <v>12.19</v>
      </c>
      <c r="O58" s="18">
        <v>2.2149999999999999</v>
      </c>
      <c r="P58" s="18">
        <v>4.5510000000000002</v>
      </c>
      <c r="Q58" s="18">
        <v>95.9</v>
      </c>
      <c r="R58" s="18">
        <v>7.0060000000000002</v>
      </c>
      <c r="S58" s="18"/>
      <c r="T58" s="18">
        <v>0.76</v>
      </c>
      <c r="U58" s="18">
        <v>0.24399999999999999</v>
      </c>
      <c r="V58" s="18">
        <v>0.86499999999999999</v>
      </c>
      <c r="W58" s="18">
        <v>1.5529999999999999</v>
      </c>
      <c r="X58" s="18">
        <v>4.0999999999999996</v>
      </c>
      <c r="Y58" s="18">
        <v>-3.3220000000000001</v>
      </c>
      <c r="Z58" s="18">
        <v>69.069999999999993</v>
      </c>
      <c r="AA58" s="18">
        <v>-3.1469999999999998</v>
      </c>
      <c r="AB58" s="18"/>
      <c r="AC58" s="18">
        <v>0.59599999999999997</v>
      </c>
      <c r="AD58" s="18">
        <v>7.9000000000000001E-2</v>
      </c>
      <c r="AE58" s="18">
        <v>0.69899999999999995</v>
      </c>
      <c r="AF58" s="18">
        <v>1.3839999999999999</v>
      </c>
      <c r="AG58" s="18">
        <v>254</v>
      </c>
      <c r="AH58" s="18">
        <v>192</v>
      </c>
      <c r="AI58" s="18">
        <v>265</v>
      </c>
      <c r="AJ58" s="18">
        <v>244</v>
      </c>
      <c r="AK58" s="18">
        <v>450</v>
      </c>
      <c r="AL58" s="18">
        <v>591</v>
      </c>
      <c r="AM58" s="18">
        <v>499</v>
      </c>
      <c r="AN58" s="18">
        <v>377</v>
      </c>
      <c r="AO58" s="18">
        <v>2.214</v>
      </c>
      <c r="AP58" s="18">
        <v>199</v>
      </c>
      <c r="AQ58" s="18">
        <v>-1.4710000000000001</v>
      </c>
      <c r="AR58" s="18">
        <v>-0.71199999999999997</v>
      </c>
      <c r="AS58" s="18">
        <v>-1.927</v>
      </c>
      <c r="AT58" s="18">
        <v>5.0000000000000001E-3</v>
      </c>
      <c r="AU58" s="18">
        <v>-4.0000000000000001E-3</v>
      </c>
      <c r="AV58" s="18">
        <v>13.08</v>
      </c>
      <c r="AW58" s="18">
        <v>2876</v>
      </c>
      <c r="AX58" s="4"/>
      <c r="AY58" s="12">
        <f t="shared" si="0"/>
        <v>1025.0000000000005</v>
      </c>
      <c r="AZ58" s="12"/>
      <c r="BA58" s="16">
        <v>11.37</v>
      </c>
      <c r="BB58" s="41">
        <v>4.38</v>
      </c>
      <c r="BC58" s="41">
        <v>3.81</v>
      </c>
      <c r="BD58" s="8">
        <f t="shared" si="1"/>
        <v>0.86986301369863017</v>
      </c>
      <c r="BE58" s="8"/>
      <c r="BF58" s="2">
        <f t="shared" si="26"/>
        <v>95.9</v>
      </c>
      <c r="BG58" s="2">
        <f t="shared" si="27"/>
        <v>90.6</v>
      </c>
      <c r="BH58" s="2">
        <f t="shared" si="28"/>
        <v>69.099999999999994</v>
      </c>
      <c r="BI58" s="35">
        <f t="shared" si="2"/>
        <v>0.58399999999999996</v>
      </c>
      <c r="BJ58" s="35">
        <f t="shared" si="3"/>
        <v>0.26100000000000001</v>
      </c>
      <c r="BL58" s="3">
        <f t="shared" si="4"/>
        <v>2872</v>
      </c>
      <c r="BM58" s="19">
        <f t="shared" si="5"/>
        <v>8.7999999999999995E-2</v>
      </c>
      <c r="BN58" s="19">
        <f t="shared" si="6"/>
        <v>6.7000000000000004E-2</v>
      </c>
      <c r="BO58" s="19">
        <f t="shared" si="7"/>
        <v>9.1999999999999998E-2</v>
      </c>
      <c r="BP58" s="19">
        <f t="shared" si="8"/>
        <v>8.5000000000000006E-2</v>
      </c>
      <c r="BQ58" s="19">
        <f t="shared" si="9"/>
        <v>0.157</v>
      </c>
      <c r="BR58" s="19">
        <f t="shared" si="10"/>
        <v>0.20599999999999999</v>
      </c>
      <c r="BS58" s="19">
        <f t="shared" si="11"/>
        <v>0.17399999999999999</v>
      </c>
      <c r="BT58" s="19">
        <f t="shared" si="12"/>
        <v>0.13100000000000001</v>
      </c>
      <c r="BV58" s="16">
        <f t="shared" si="13"/>
        <v>4.38</v>
      </c>
      <c r="BW58" s="16">
        <f t="shared" si="14"/>
        <v>3.81</v>
      </c>
      <c r="BX58" s="3">
        <f t="shared" si="15"/>
        <v>-0.5</v>
      </c>
      <c r="BY58" s="3">
        <f t="shared" si="49"/>
        <v>-0.2</v>
      </c>
      <c r="BZ58" s="3" t="s">
        <v>162</v>
      </c>
      <c r="CA58" s="3">
        <f t="shared" si="17"/>
        <v>0.7</v>
      </c>
      <c r="CB58" s="3">
        <f t="shared" si="18"/>
        <v>0.2</v>
      </c>
      <c r="CC58" s="3">
        <f t="shared" si="19"/>
        <v>0.8</v>
      </c>
      <c r="CD58" s="3">
        <f t="shared" si="20"/>
        <v>1.5</v>
      </c>
      <c r="CE58" s="22">
        <f t="shared" si="29"/>
        <v>90.6</v>
      </c>
      <c r="CF58" s="1">
        <f t="shared" si="30"/>
        <v>4.5999999999999996</v>
      </c>
      <c r="CG58" s="1">
        <f t="shared" si="31"/>
        <v>7</v>
      </c>
      <c r="CH58" s="3" t="s">
        <v>162</v>
      </c>
      <c r="CI58" s="1">
        <f t="shared" si="32"/>
        <v>0.8</v>
      </c>
      <c r="CJ58" s="1">
        <f t="shared" si="33"/>
        <v>0.2</v>
      </c>
      <c r="CK58" s="1">
        <f t="shared" si="34"/>
        <v>0.9</v>
      </c>
      <c r="CL58" s="1">
        <f t="shared" si="35"/>
        <v>1.6</v>
      </c>
      <c r="CM58" s="2">
        <f t="shared" si="36"/>
        <v>95.9</v>
      </c>
      <c r="CN58" s="1">
        <f t="shared" si="37"/>
        <v>-3.3</v>
      </c>
      <c r="CO58" s="1">
        <f t="shared" si="38"/>
        <v>-3.1</v>
      </c>
      <c r="CP58" s="3" t="s">
        <v>162</v>
      </c>
      <c r="CQ58" s="1">
        <f t="shared" si="39"/>
        <v>0.6</v>
      </c>
      <c r="CR58" s="1">
        <f t="shared" si="40"/>
        <v>0.1</v>
      </c>
      <c r="CS58" s="1">
        <f t="shared" si="41"/>
        <v>0.7</v>
      </c>
      <c r="CT58" s="1">
        <f t="shared" si="42"/>
        <v>1.4</v>
      </c>
      <c r="CU58" s="2">
        <f t="shared" si="43"/>
        <v>69.099999999999994</v>
      </c>
      <c r="CV58" s="14">
        <f t="shared" si="44"/>
        <v>1025.0000000000005</v>
      </c>
      <c r="CW58" s="1">
        <f>ROUND(PPTest!K58,1)</f>
        <v>0</v>
      </c>
      <c r="CX58" s="3">
        <f t="shared" si="25"/>
        <v>0.08</v>
      </c>
      <c r="CY58" s="3">
        <f t="shared" si="45"/>
        <v>4.0999999999999996</v>
      </c>
      <c r="CZ58" s="19">
        <f t="shared" si="46"/>
        <v>0.58399999999999996</v>
      </c>
      <c r="DA58" s="19">
        <f t="shared" si="46"/>
        <v>0.26100000000000001</v>
      </c>
      <c r="DB58" s="16">
        <f t="shared" si="47"/>
        <v>13.08</v>
      </c>
    </row>
    <row r="59" spans="1:106" x14ac:dyDescent="0.2">
      <c r="A59" s="15">
        <f t="shared" si="48"/>
        <v>45711</v>
      </c>
      <c r="B59" s="1">
        <v>54</v>
      </c>
      <c r="C59" s="18">
        <v>10.66</v>
      </c>
      <c r="D59" s="18">
        <v>6.73</v>
      </c>
      <c r="E59" s="18">
        <v>0.63500000000000001</v>
      </c>
      <c r="F59" s="18">
        <v>78.94</v>
      </c>
      <c r="G59" s="18">
        <v>1.014</v>
      </c>
      <c r="H59" s="18"/>
      <c r="I59" s="18">
        <v>0.68100000000000005</v>
      </c>
      <c r="J59" s="18">
        <v>0.17399999999999999</v>
      </c>
      <c r="K59" s="18">
        <v>0.80500000000000005</v>
      </c>
      <c r="L59" s="18">
        <v>1.472</v>
      </c>
      <c r="M59" s="18">
        <v>0.247</v>
      </c>
      <c r="N59" s="18">
        <v>13.46</v>
      </c>
      <c r="O59" s="18">
        <v>2.2090000000000001</v>
      </c>
      <c r="P59" s="18">
        <v>4.6859999999999999</v>
      </c>
      <c r="Q59" s="18">
        <v>95</v>
      </c>
      <c r="R59" s="18">
        <v>7.8639999999999999</v>
      </c>
      <c r="S59" s="18"/>
      <c r="T59" s="18">
        <v>0.753</v>
      </c>
      <c r="U59" s="18">
        <v>0.255</v>
      </c>
      <c r="V59" s="18">
        <v>0.88800000000000001</v>
      </c>
      <c r="W59" s="18">
        <v>1.5660000000000001</v>
      </c>
      <c r="X59" s="18">
        <v>5.1139999999999999</v>
      </c>
      <c r="Y59" s="18">
        <v>-1.698</v>
      </c>
      <c r="Z59" s="18">
        <v>53.99</v>
      </c>
      <c r="AA59" s="18">
        <v>-1.762</v>
      </c>
      <c r="AB59" s="18"/>
      <c r="AC59" s="18">
        <v>0.6</v>
      </c>
      <c r="AD59" s="18">
        <v>0.10100000000000001</v>
      </c>
      <c r="AE59" s="18">
        <v>0.72699999999999998</v>
      </c>
      <c r="AF59" s="18">
        <v>1.3979999999999999</v>
      </c>
      <c r="AG59" s="18">
        <v>71</v>
      </c>
      <c r="AH59" s="18">
        <v>62</v>
      </c>
      <c r="AI59" s="18">
        <v>155</v>
      </c>
      <c r="AJ59" s="18">
        <v>201</v>
      </c>
      <c r="AK59" s="18">
        <v>702</v>
      </c>
      <c r="AL59" s="18">
        <v>983</v>
      </c>
      <c r="AM59" s="18">
        <v>547</v>
      </c>
      <c r="AN59" s="18">
        <v>158</v>
      </c>
      <c r="AO59" s="18">
        <v>2.214</v>
      </c>
      <c r="AP59" s="18">
        <v>195</v>
      </c>
      <c r="AQ59" s="18">
        <v>-0.52100000000000002</v>
      </c>
      <c r="AR59" s="18">
        <v>-0.24399999999999999</v>
      </c>
      <c r="AS59" s="18">
        <v>-0.71199999999999997</v>
      </c>
      <c r="AT59" s="18">
        <v>5.0000000000000001E-3</v>
      </c>
      <c r="AU59" s="18">
        <v>-3.0000000000000001E-3</v>
      </c>
      <c r="AV59" s="18">
        <v>13.16</v>
      </c>
      <c r="AW59" s="18">
        <v>2876</v>
      </c>
      <c r="AX59" s="4"/>
      <c r="AY59" s="12">
        <f t="shared" si="0"/>
        <v>1031.0000000000002</v>
      </c>
      <c r="AZ59" s="12"/>
      <c r="BA59" s="16">
        <v>11.59</v>
      </c>
      <c r="BB59" s="41">
        <v>10.66</v>
      </c>
      <c r="BC59" s="41">
        <v>6.19</v>
      </c>
      <c r="BD59" s="8">
        <f t="shared" si="1"/>
        <v>0.58067542213883683</v>
      </c>
      <c r="BE59" s="8"/>
      <c r="BF59" s="2">
        <f t="shared" si="26"/>
        <v>95</v>
      </c>
      <c r="BG59" s="2">
        <f t="shared" si="27"/>
        <v>78.900000000000006</v>
      </c>
      <c r="BH59" s="2">
        <f t="shared" si="28"/>
        <v>54</v>
      </c>
      <c r="BI59" s="35">
        <f t="shared" si="2"/>
        <v>0.46100000000000002</v>
      </c>
      <c r="BJ59" s="35">
        <f t="shared" si="3"/>
        <v>0.39300000000000002</v>
      </c>
      <c r="BL59" s="3">
        <f t="shared" si="4"/>
        <v>2879</v>
      </c>
      <c r="BM59" s="19">
        <f t="shared" si="5"/>
        <v>2.5000000000000001E-2</v>
      </c>
      <c r="BN59" s="19">
        <f t="shared" si="6"/>
        <v>2.1999999999999999E-2</v>
      </c>
      <c r="BO59" s="19">
        <f t="shared" si="7"/>
        <v>5.3999999999999999E-2</v>
      </c>
      <c r="BP59" s="19">
        <f t="shared" si="8"/>
        <v>7.0000000000000007E-2</v>
      </c>
      <c r="BQ59" s="19">
        <f t="shared" si="9"/>
        <v>0.24399999999999999</v>
      </c>
      <c r="BR59" s="19">
        <f t="shared" si="10"/>
        <v>0.34100000000000003</v>
      </c>
      <c r="BS59" s="19">
        <f t="shared" si="11"/>
        <v>0.19</v>
      </c>
      <c r="BT59" s="19">
        <f t="shared" si="12"/>
        <v>5.5E-2</v>
      </c>
      <c r="BV59" s="16">
        <f t="shared" si="13"/>
        <v>10.66</v>
      </c>
      <c r="BW59" s="16">
        <f t="shared" si="14"/>
        <v>6.19</v>
      </c>
      <c r="BX59" s="3">
        <f t="shared" si="15"/>
        <v>0.6</v>
      </c>
      <c r="BY59" s="3">
        <f t="shared" si="49"/>
        <v>1</v>
      </c>
      <c r="BZ59" s="3" t="s">
        <v>162</v>
      </c>
      <c r="CA59" s="3">
        <f t="shared" si="17"/>
        <v>0.7</v>
      </c>
      <c r="CB59" s="3">
        <f t="shared" si="18"/>
        <v>0.2</v>
      </c>
      <c r="CC59" s="3">
        <f t="shared" si="19"/>
        <v>0.8</v>
      </c>
      <c r="CD59" s="3">
        <f t="shared" si="20"/>
        <v>1.5</v>
      </c>
      <c r="CE59" s="22">
        <f t="shared" si="29"/>
        <v>78.900000000000006</v>
      </c>
      <c r="CF59" s="1">
        <f t="shared" si="30"/>
        <v>4.7</v>
      </c>
      <c r="CG59" s="1">
        <f t="shared" si="31"/>
        <v>7.9</v>
      </c>
      <c r="CH59" s="3" t="s">
        <v>162</v>
      </c>
      <c r="CI59" s="1">
        <f t="shared" si="32"/>
        <v>0.8</v>
      </c>
      <c r="CJ59" s="1">
        <f t="shared" si="33"/>
        <v>0.3</v>
      </c>
      <c r="CK59" s="1">
        <f t="shared" si="34"/>
        <v>0.9</v>
      </c>
      <c r="CL59" s="1">
        <f t="shared" si="35"/>
        <v>1.6</v>
      </c>
      <c r="CM59" s="2">
        <f t="shared" si="36"/>
        <v>95</v>
      </c>
      <c r="CN59" s="1">
        <f t="shared" si="37"/>
        <v>-1.7</v>
      </c>
      <c r="CO59" s="1">
        <f t="shared" si="38"/>
        <v>-1.8</v>
      </c>
      <c r="CP59" s="3" t="s">
        <v>162</v>
      </c>
      <c r="CQ59" s="1">
        <f t="shared" si="39"/>
        <v>0.6</v>
      </c>
      <c r="CR59" s="1">
        <f t="shared" si="40"/>
        <v>0.1</v>
      </c>
      <c r="CS59" s="1">
        <f t="shared" si="41"/>
        <v>0.7</v>
      </c>
      <c r="CT59" s="1">
        <f t="shared" si="42"/>
        <v>1.4</v>
      </c>
      <c r="CU59" s="2">
        <f t="shared" si="43"/>
        <v>54</v>
      </c>
      <c r="CV59" s="14">
        <f t="shared" si="44"/>
        <v>1031.0000000000002</v>
      </c>
      <c r="CW59" s="1">
        <f>ROUND(PPTest!K59,1)</f>
        <v>0.8</v>
      </c>
      <c r="CX59" s="3">
        <f t="shared" si="25"/>
        <v>0.25</v>
      </c>
      <c r="CY59" s="3">
        <f t="shared" si="45"/>
        <v>5.1100000000000003</v>
      </c>
      <c r="CZ59" s="19">
        <f t="shared" si="46"/>
        <v>0.46100000000000002</v>
      </c>
      <c r="DA59" s="19">
        <f t="shared" si="46"/>
        <v>0.39300000000000002</v>
      </c>
      <c r="DB59" s="16">
        <f t="shared" si="47"/>
        <v>13.16</v>
      </c>
    </row>
    <row r="60" spans="1:106" x14ac:dyDescent="0.2">
      <c r="A60" s="15">
        <f t="shared" si="48"/>
        <v>45712</v>
      </c>
      <c r="B60" s="1">
        <v>55</v>
      </c>
      <c r="C60" s="18">
        <v>7.9429999999999996</v>
      </c>
      <c r="D60" s="18">
        <v>5.1989999999999998</v>
      </c>
      <c r="E60" s="18">
        <v>-0.90900000000000003</v>
      </c>
      <c r="F60" s="18">
        <v>77.27</v>
      </c>
      <c r="G60" s="18">
        <v>-0.51900000000000002</v>
      </c>
      <c r="H60" s="18"/>
      <c r="I60" s="18">
        <v>0.67400000000000004</v>
      </c>
      <c r="J60" s="18">
        <v>0.182</v>
      </c>
      <c r="K60" s="18">
        <v>0.8</v>
      </c>
      <c r="L60" s="18">
        <v>1.4630000000000001</v>
      </c>
      <c r="M60" s="18">
        <v>0.09</v>
      </c>
      <c r="N60" s="18">
        <v>2.032</v>
      </c>
      <c r="O60" s="18">
        <v>2.2320000000000002</v>
      </c>
      <c r="P60" s="18">
        <v>2.105</v>
      </c>
      <c r="Q60" s="18">
        <v>91</v>
      </c>
      <c r="R60" s="18">
        <v>5.8490000000000002</v>
      </c>
      <c r="S60" s="18"/>
      <c r="T60" s="18">
        <v>0.754</v>
      </c>
      <c r="U60" s="18">
        <v>0.26200000000000001</v>
      </c>
      <c r="V60" s="18">
        <v>0.871</v>
      </c>
      <c r="W60" s="18">
        <v>1.5409999999999999</v>
      </c>
      <c r="X60" s="18">
        <v>3.4870000000000001</v>
      </c>
      <c r="Y60" s="18">
        <v>-2.5129999999999999</v>
      </c>
      <c r="Z60" s="18">
        <v>56.5</v>
      </c>
      <c r="AA60" s="18">
        <v>-2.927</v>
      </c>
      <c r="AB60" s="18"/>
      <c r="AC60" s="18">
        <v>0.59</v>
      </c>
      <c r="AD60" s="18">
        <v>0.106</v>
      </c>
      <c r="AE60" s="18">
        <v>0.70499999999999996</v>
      </c>
      <c r="AF60" s="18">
        <v>1.3859999999999999</v>
      </c>
      <c r="AG60" s="18">
        <v>189</v>
      </c>
      <c r="AH60" s="18">
        <v>244</v>
      </c>
      <c r="AI60" s="18">
        <v>231</v>
      </c>
      <c r="AJ60" s="18">
        <v>221</v>
      </c>
      <c r="AK60" s="18">
        <v>576</v>
      </c>
      <c r="AL60" s="18">
        <v>743</v>
      </c>
      <c r="AM60" s="18">
        <v>438</v>
      </c>
      <c r="AN60" s="18">
        <v>219</v>
      </c>
      <c r="AO60" s="18">
        <v>2.2410000000000001</v>
      </c>
      <c r="AP60" s="18">
        <v>182</v>
      </c>
      <c r="AQ60" s="18">
        <v>-0.29499999999999998</v>
      </c>
      <c r="AR60" s="18">
        <v>-0.24399999999999999</v>
      </c>
      <c r="AS60" s="18">
        <v>-0.35</v>
      </c>
      <c r="AT60" s="18">
        <v>5.0000000000000001E-3</v>
      </c>
      <c r="AU60" s="18">
        <v>-3.0000000000000001E-3</v>
      </c>
      <c r="AV60" s="18">
        <v>13.15</v>
      </c>
      <c r="AW60" s="18">
        <v>2876</v>
      </c>
      <c r="AX60" s="4"/>
      <c r="AY60" s="12">
        <f t="shared" si="0"/>
        <v>1008</v>
      </c>
      <c r="AZ60" s="12"/>
      <c r="BA60" s="16">
        <v>11.82</v>
      </c>
      <c r="BB60" s="41">
        <v>7.94</v>
      </c>
      <c r="BC60" s="41">
        <v>4.7699999999999996</v>
      </c>
      <c r="BD60" s="8">
        <f t="shared" si="1"/>
        <v>0.60075566750629716</v>
      </c>
      <c r="BE60" s="8"/>
      <c r="BF60" s="2">
        <f t="shared" si="26"/>
        <v>91</v>
      </c>
      <c r="BG60" s="2">
        <f t="shared" si="27"/>
        <v>77.3</v>
      </c>
      <c r="BH60" s="2">
        <f t="shared" si="28"/>
        <v>56.5</v>
      </c>
      <c r="BI60" s="35">
        <f t="shared" si="2"/>
        <v>0.40200000000000002</v>
      </c>
      <c r="BJ60" s="35">
        <f t="shared" si="3"/>
        <v>0.31</v>
      </c>
      <c r="BL60" s="3">
        <f t="shared" si="4"/>
        <v>2861</v>
      </c>
      <c r="BM60" s="19">
        <f t="shared" si="5"/>
        <v>6.6000000000000003E-2</v>
      </c>
      <c r="BN60" s="19">
        <f t="shared" si="6"/>
        <v>8.5000000000000006E-2</v>
      </c>
      <c r="BO60" s="19">
        <f t="shared" si="7"/>
        <v>8.1000000000000003E-2</v>
      </c>
      <c r="BP60" s="19">
        <f t="shared" si="8"/>
        <v>7.6999999999999999E-2</v>
      </c>
      <c r="BQ60" s="19">
        <f t="shared" si="9"/>
        <v>0.20100000000000001</v>
      </c>
      <c r="BR60" s="19">
        <f t="shared" si="10"/>
        <v>0.26</v>
      </c>
      <c r="BS60" s="19">
        <f t="shared" si="11"/>
        <v>0.153</v>
      </c>
      <c r="BT60" s="19">
        <f t="shared" si="12"/>
        <v>7.6999999999999999E-2</v>
      </c>
      <c r="BV60" s="16">
        <f t="shared" si="13"/>
        <v>7.94</v>
      </c>
      <c r="BW60" s="16">
        <f t="shared" si="14"/>
        <v>4.7699999999999996</v>
      </c>
      <c r="BX60" s="3">
        <f t="shared" si="15"/>
        <v>-0.9</v>
      </c>
      <c r="BY60" s="3">
        <f t="shared" si="49"/>
        <v>-0.5</v>
      </c>
      <c r="BZ60" s="3" t="s">
        <v>162</v>
      </c>
      <c r="CA60" s="3">
        <f t="shared" si="17"/>
        <v>0.7</v>
      </c>
      <c r="CB60" s="3">
        <f t="shared" si="18"/>
        <v>0.2</v>
      </c>
      <c r="CC60" s="3">
        <f t="shared" si="19"/>
        <v>0.8</v>
      </c>
      <c r="CD60" s="3">
        <f t="shared" si="20"/>
        <v>1.5</v>
      </c>
      <c r="CE60" s="22">
        <f t="shared" si="29"/>
        <v>77.3</v>
      </c>
      <c r="CF60" s="1">
        <f t="shared" si="30"/>
        <v>2.1</v>
      </c>
      <c r="CG60" s="1">
        <f t="shared" si="31"/>
        <v>5.8</v>
      </c>
      <c r="CH60" s="3" t="s">
        <v>162</v>
      </c>
      <c r="CI60" s="1">
        <f t="shared" si="32"/>
        <v>0.8</v>
      </c>
      <c r="CJ60" s="1">
        <f t="shared" si="33"/>
        <v>0.3</v>
      </c>
      <c r="CK60" s="1">
        <f t="shared" si="34"/>
        <v>0.9</v>
      </c>
      <c r="CL60" s="1">
        <f t="shared" si="35"/>
        <v>1.5</v>
      </c>
      <c r="CM60" s="2">
        <f t="shared" si="36"/>
        <v>91</v>
      </c>
      <c r="CN60" s="1">
        <f t="shared" si="37"/>
        <v>-2.5</v>
      </c>
      <c r="CO60" s="1">
        <f t="shared" si="38"/>
        <v>-2.9</v>
      </c>
      <c r="CP60" s="3" t="s">
        <v>162</v>
      </c>
      <c r="CQ60" s="1">
        <f t="shared" si="39"/>
        <v>0.6</v>
      </c>
      <c r="CR60" s="1">
        <f t="shared" si="40"/>
        <v>0.1</v>
      </c>
      <c r="CS60" s="1">
        <f t="shared" si="41"/>
        <v>0.7</v>
      </c>
      <c r="CT60" s="1">
        <f t="shared" si="42"/>
        <v>1.4</v>
      </c>
      <c r="CU60" s="2">
        <f t="shared" si="43"/>
        <v>56.5</v>
      </c>
      <c r="CV60" s="14">
        <f t="shared" si="44"/>
        <v>1008</v>
      </c>
      <c r="CW60" s="1">
        <f>ROUND(PPTest!K60,1)</f>
        <v>0</v>
      </c>
      <c r="CX60" s="3">
        <f t="shared" si="25"/>
        <v>0.09</v>
      </c>
      <c r="CY60" s="3">
        <f t="shared" si="45"/>
        <v>3.49</v>
      </c>
      <c r="CZ60" s="19">
        <f t="shared" si="46"/>
        <v>0.40200000000000002</v>
      </c>
      <c r="DA60" s="19">
        <f t="shared" si="46"/>
        <v>0.31</v>
      </c>
      <c r="DB60" s="16">
        <f t="shared" si="47"/>
        <v>13.15</v>
      </c>
    </row>
    <row r="61" spans="1:106" x14ac:dyDescent="0.2">
      <c r="A61" s="15">
        <f t="shared" si="48"/>
        <v>45713</v>
      </c>
      <c r="B61" s="1">
        <v>56</v>
      </c>
      <c r="C61" s="18">
        <v>4.8579999999999997</v>
      </c>
      <c r="D61" s="18">
        <v>3.68</v>
      </c>
      <c r="E61" s="18">
        <v>-1.8759999999999999</v>
      </c>
      <c r="F61" s="18">
        <v>90.3</v>
      </c>
      <c r="G61" s="18">
        <v>-1.603</v>
      </c>
      <c r="H61" s="18"/>
      <c r="I61" s="18">
        <v>0.67500000000000004</v>
      </c>
      <c r="J61" s="18">
        <v>0.186</v>
      </c>
      <c r="K61" s="18">
        <v>0.80200000000000005</v>
      </c>
      <c r="L61" s="18">
        <v>1.4590000000000001</v>
      </c>
      <c r="M61" s="18">
        <v>0</v>
      </c>
      <c r="N61" s="18">
        <v>1.27</v>
      </c>
      <c r="O61" s="18">
        <v>2.2130000000000001</v>
      </c>
      <c r="P61" s="18">
        <v>0.88300000000000001</v>
      </c>
      <c r="Q61" s="18">
        <v>95.6</v>
      </c>
      <c r="R61" s="18">
        <v>2.488</v>
      </c>
      <c r="S61" s="18"/>
      <c r="T61" s="18">
        <v>0.76300000000000001</v>
      </c>
      <c r="U61" s="18">
        <v>0.26800000000000002</v>
      </c>
      <c r="V61" s="18">
        <v>0.88100000000000001</v>
      </c>
      <c r="W61" s="18">
        <v>1.536</v>
      </c>
      <c r="X61" s="18">
        <v>0.5</v>
      </c>
      <c r="Y61" s="18">
        <v>-5.6369999999999996</v>
      </c>
      <c r="Z61" s="18">
        <v>73.55</v>
      </c>
      <c r="AA61" s="18">
        <v>-5.8949999999999996</v>
      </c>
      <c r="AB61" s="18"/>
      <c r="AC61" s="18">
        <v>0.58499999999999996</v>
      </c>
      <c r="AD61" s="18">
        <v>0.107</v>
      </c>
      <c r="AE61" s="18">
        <v>0.73099999999999998</v>
      </c>
      <c r="AF61" s="18">
        <v>1.3859999999999999</v>
      </c>
      <c r="AG61" s="18">
        <v>191</v>
      </c>
      <c r="AH61" s="18">
        <v>317</v>
      </c>
      <c r="AI61" s="18">
        <v>299</v>
      </c>
      <c r="AJ61" s="18">
        <v>222</v>
      </c>
      <c r="AK61" s="18">
        <v>492</v>
      </c>
      <c r="AL61" s="18">
        <v>652</v>
      </c>
      <c r="AM61" s="18">
        <v>416</v>
      </c>
      <c r="AN61" s="18">
        <v>266</v>
      </c>
      <c r="AO61" s="18">
        <v>2.2240000000000002</v>
      </c>
      <c r="AP61" s="18">
        <v>363</v>
      </c>
      <c r="AQ61" s="18">
        <v>-0.379</v>
      </c>
      <c r="AR61" s="18">
        <v>-0.33</v>
      </c>
      <c r="AS61" s="18">
        <v>-0.45700000000000002</v>
      </c>
      <c r="AT61" s="18">
        <v>5.0000000000000001E-3</v>
      </c>
      <c r="AU61" s="18">
        <v>-3.0000000000000001E-3</v>
      </c>
      <c r="AV61" s="18">
        <v>13.15</v>
      </c>
      <c r="AW61" s="18">
        <v>2876</v>
      </c>
      <c r="AX61" s="4"/>
      <c r="AY61" s="12">
        <f t="shared" si="0"/>
        <v>1027.0000000000002</v>
      </c>
      <c r="AZ61" s="12"/>
      <c r="BA61" s="16">
        <v>12.04</v>
      </c>
      <c r="BB61" s="41">
        <v>4.92</v>
      </c>
      <c r="BC61" s="41">
        <v>3.37</v>
      </c>
      <c r="BD61" s="8">
        <f t="shared" si="1"/>
        <v>0.68495934959349591</v>
      </c>
      <c r="BE61" s="8"/>
      <c r="BF61" s="2">
        <f t="shared" si="26"/>
        <v>95.6</v>
      </c>
      <c r="BG61" s="2">
        <f t="shared" si="27"/>
        <v>90.3</v>
      </c>
      <c r="BH61" s="2">
        <f t="shared" si="28"/>
        <v>73.599999999999994</v>
      </c>
      <c r="BI61" s="35">
        <f t="shared" si="2"/>
        <v>0.47899999999999998</v>
      </c>
      <c r="BJ61" s="35">
        <f t="shared" si="3"/>
        <v>0.17199999999999999</v>
      </c>
      <c r="BL61" s="3">
        <f t="shared" si="4"/>
        <v>2855</v>
      </c>
      <c r="BM61" s="19">
        <f t="shared" si="5"/>
        <v>6.7000000000000004E-2</v>
      </c>
      <c r="BN61" s="19">
        <f t="shared" si="6"/>
        <v>0.111</v>
      </c>
      <c r="BO61" s="19">
        <f t="shared" si="7"/>
        <v>0.105</v>
      </c>
      <c r="BP61" s="19">
        <f t="shared" si="8"/>
        <v>7.8E-2</v>
      </c>
      <c r="BQ61" s="19">
        <f t="shared" si="9"/>
        <v>0.17199999999999999</v>
      </c>
      <c r="BR61" s="19">
        <f t="shared" si="10"/>
        <v>0.22800000000000001</v>
      </c>
      <c r="BS61" s="19">
        <f t="shared" si="11"/>
        <v>0.14599999999999999</v>
      </c>
      <c r="BT61" s="19">
        <f t="shared" si="12"/>
        <v>9.2999999999999999E-2</v>
      </c>
      <c r="BV61" s="16">
        <f t="shared" si="13"/>
        <v>4.92</v>
      </c>
      <c r="BW61" s="16">
        <f t="shared" si="14"/>
        <v>3.37</v>
      </c>
      <c r="BX61" s="3">
        <f t="shared" si="15"/>
        <v>-1.9</v>
      </c>
      <c r="BY61" s="3">
        <f t="shared" si="49"/>
        <v>-1.6</v>
      </c>
      <c r="BZ61" s="3" t="s">
        <v>162</v>
      </c>
      <c r="CA61" s="3">
        <f t="shared" si="17"/>
        <v>0.7</v>
      </c>
      <c r="CB61" s="3">
        <f t="shared" si="18"/>
        <v>0.2</v>
      </c>
      <c r="CC61" s="3">
        <f t="shared" si="19"/>
        <v>0.8</v>
      </c>
      <c r="CD61" s="3">
        <f t="shared" si="20"/>
        <v>1.5</v>
      </c>
      <c r="CE61" s="22">
        <f t="shared" si="29"/>
        <v>90.3</v>
      </c>
      <c r="CF61" s="1">
        <f t="shared" si="30"/>
        <v>0.9</v>
      </c>
      <c r="CG61" s="1">
        <f t="shared" si="31"/>
        <v>2.5</v>
      </c>
      <c r="CH61" s="3" t="s">
        <v>162</v>
      </c>
      <c r="CI61" s="1">
        <f t="shared" si="32"/>
        <v>0.8</v>
      </c>
      <c r="CJ61" s="1">
        <f t="shared" si="33"/>
        <v>0.3</v>
      </c>
      <c r="CK61" s="1">
        <f t="shared" si="34"/>
        <v>0.9</v>
      </c>
      <c r="CL61" s="1">
        <f t="shared" si="35"/>
        <v>1.5</v>
      </c>
      <c r="CM61" s="2">
        <f t="shared" si="36"/>
        <v>95.6</v>
      </c>
      <c r="CN61" s="1">
        <f t="shared" si="37"/>
        <v>-5.6</v>
      </c>
      <c r="CO61" s="1">
        <f t="shared" si="38"/>
        <v>-5.9</v>
      </c>
      <c r="CP61" s="3" t="s">
        <v>162</v>
      </c>
      <c r="CQ61" s="1">
        <f t="shared" si="39"/>
        <v>0.6</v>
      </c>
      <c r="CR61" s="1">
        <f t="shared" si="40"/>
        <v>0.1</v>
      </c>
      <c r="CS61" s="1">
        <f t="shared" si="41"/>
        <v>0.7</v>
      </c>
      <c r="CT61" s="1">
        <f t="shared" si="42"/>
        <v>1.4</v>
      </c>
      <c r="CU61" s="2">
        <f t="shared" si="43"/>
        <v>73.599999999999994</v>
      </c>
      <c r="CV61" s="14">
        <f t="shared" si="44"/>
        <v>1027.0000000000002</v>
      </c>
      <c r="CW61" s="1">
        <f>ROUND(PPTest!K61,1)</f>
        <v>2.5</v>
      </c>
      <c r="CX61" s="3">
        <f t="shared" si="25"/>
        <v>0</v>
      </c>
      <c r="CY61" s="3">
        <f t="shared" si="45"/>
        <v>0.5</v>
      </c>
      <c r="CZ61" s="19">
        <f t="shared" si="46"/>
        <v>0.47899999999999998</v>
      </c>
      <c r="DA61" s="19">
        <f t="shared" si="46"/>
        <v>0.17199999999999999</v>
      </c>
      <c r="DB61" s="16">
        <f t="shared" si="47"/>
        <v>13.15</v>
      </c>
    </row>
    <row r="62" spans="1:106" x14ac:dyDescent="0.2">
      <c r="A62" s="15">
        <f t="shared" si="48"/>
        <v>45714</v>
      </c>
      <c r="B62" s="1">
        <v>57</v>
      </c>
      <c r="C62" s="18">
        <v>8.3000000000000007</v>
      </c>
      <c r="D62" s="18">
        <v>5.6870000000000003</v>
      </c>
      <c r="E62" s="18">
        <v>-1.65</v>
      </c>
      <c r="F62" s="18">
        <v>81.2</v>
      </c>
      <c r="G62" s="18">
        <v>-1.4219999999999999</v>
      </c>
      <c r="H62" s="18"/>
      <c r="I62" s="18">
        <v>0.67500000000000004</v>
      </c>
      <c r="J62" s="18">
        <v>0.19700000000000001</v>
      </c>
      <c r="K62" s="18">
        <v>0.80400000000000005</v>
      </c>
      <c r="L62" s="18">
        <v>1.4570000000000001</v>
      </c>
      <c r="M62" s="18">
        <v>1.2999999999999999E-2</v>
      </c>
      <c r="N62" s="18">
        <v>0.254</v>
      </c>
      <c r="O62" s="18">
        <v>2.2469999999999999</v>
      </c>
      <c r="P62" s="18">
        <v>4.4139999999999997</v>
      </c>
      <c r="Q62" s="18">
        <v>96.3</v>
      </c>
      <c r="R62" s="18">
        <v>7.266</v>
      </c>
      <c r="S62" s="18"/>
      <c r="T62" s="18">
        <v>0.755</v>
      </c>
      <c r="U62" s="18">
        <v>0.28000000000000003</v>
      </c>
      <c r="V62" s="18">
        <v>0.88900000000000001</v>
      </c>
      <c r="W62" s="18">
        <v>1.536</v>
      </c>
      <c r="X62" s="18">
        <v>3.8340000000000001</v>
      </c>
      <c r="Y62" s="18">
        <v>-8.08</v>
      </c>
      <c r="Z62" s="18">
        <v>51.21</v>
      </c>
      <c r="AA62" s="18">
        <v>-8.42</v>
      </c>
      <c r="AB62" s="18"/>
      <c r="AC62" s="18">
        <v>0.59</v>
      </c>
      <c r="AD62" s="18">
        <v>0.11600000000000001</v>
      </c>
      <c r="AE62" s="18">
        <v>0.71199999999999997</v>
      </c>
      <c r="AF62" s="18">
        <v>1.381</v>
      </c>
      <c r="AG62" s="18">
        <v>371</v>
      </c>
      <c r="AH62" s="18">
        <v>779</v>
      </c>
      <c r="AI62" s="18">
        <v>656</v>
      </c>
      <c r="AJ62" s="18">
        <v>263</v>
      </c>
      <c r="AK62" s="18">
        <v>209</v>
      </c>
      <c r="AL62" s="18">
        <v>225</v>
      </c>
      <c r="AM62" s="18">
        <v>157</v>
      </c>
      <c r="AN62" s="18">
        <v>201</v>
      </c>
      <c r="AO62" s="18">
        <v>2.2469999999999999</v>
      </c>
      <c r="AP62" s="18">
        <v>214</v>
      </c>
      <c r="AQ62" s="18">
        <v>-0.39300000000000002</v>
      </c>
      <c r="AR62" s="18">
        <v>-0.28699999999999998</v>
      </c>
      <c r="AS62" s="18">
        <v>-0.5</v>
      </c>
      <c r="AT62" s="18">
        <v>5.0000000000000001E-3</v>
      </c>
      <c r="AU62" s="18">
        <v>-3.0000000000000001E-3</v>
      </c>
      <c r="AV62" s="18">
        <v>13.15</v>
      </c>
      <c r="AW62" s="18">
        <v>2876</v>
      </c>
      <c r="AX62" s="4"/>
      <c r="AY62" s="12">
        <f t="shared" si="0"/>
        <v>993.00000000000034</v>
      </c>
      <c r="AZ62" s="12"/>
      <c r="BA62" s="16">
        <v>12.27</v>
      </c>
      <c r="BB62" s="41">
        <v>8.3000000000000007</v>
      </c>
      <c r="BC62" s="41">
        <v>5.22</v>
      </c>
      <c r="BD62" s="8">
        <f t="shared" si="1"/>
        <v>0.62891566265060228</v>
      </c>
      <c r="BE62" s="8"/>
      <c r="BF62" s="2">
        <f t="shared" si="26"/>
        <v>96.3</v>
      </c>
      <c r="BG62" s="2">
        <f t="shared" si="27"/>
        <v>81.2</v>
      </c>
      <c r="BH62" s="2">
        <f t="shared" si="28"/>
        <v>51.2</v>
      </c>
      <c r="BI62" s="35">
        <f t="shared" si="2"/>
        <v>0.42799999999999999</v>
      </c>
      <c r="BJ62" s="35">
        <f t="shared" si="3"/>
        <v>0.40799999999999997</v>
      </c>
      <c r="BL62" s="3">
        <f t="shared" si="4"/>
        <v>2861</v>
      </c>
      <c r="BM62" s="19">
        <f t="shared" si="5"/>
        <v>0.13</v>
      </c>
      <c r="BN62" s="19">
        <f t="shared" si="6"/>
        <v>0.27200000000000002</v>
      </c>
      <c r="BO62" s="19">
        <f t="shared" si="7"/>
        <v>0.22900000000000001</v>
      </c>
      <c r="BP62" s="19">
        <f t="shared" si="8"/>
        <v>9.1999999999999998E-2</v>
      </c>
      <c r="BQ62" s="19">
        <f t="shared" si="9"/>
        <v>7.2999999999999995E-2</v>
      </c>
      <c r="BR62" s="19">
        <f t="shared" si="10"/>
        <v>7.9000000000000001E-2</v>
      </c>
      <c r="BS62" s="19">
        <f t="shared" si="11"/>
        <v>5.5E-2</v>
      </c>
      <c r="BT62" s="19">
        <f t="shared" si="12"/>
        <v>7.0000000000000007E-2</v>
      </c>
      <c r="BV62" s="16">
        <f t="shared" si="13"/>
        <v>8.3000000000000007</v>
      </c>
      <c r="BW62" s="16">
        <f t="shared" si="14"/>
        <v>5.22</v>
      </c>
      <c r="BX62" s="3">
        <f t="shared" si="15"/>
        <v>-1.7</v>
      </c>
      <c r="BY62" s="3">
        <f t="shared" si="49"/>
        <v>-1.4</v>
      </c>
      <c r="BZ62" s="3" t="s">
        <v>162</v>
      </c>
      <c r="CA62" s="3">
        <f t="shared" si="17"/>
        <v>0.7</v>
      </c>
      <c r="CB62" s="3">
        <f t="shared" si="18"/>
        <v>0.2</v>
      </c>
      <c r="CC62" s="3">
        <f t="shared" si="19"/>
        <v>0.8</v>
      </c>
      <c r="CD62" s="3">
        <f t="shared" si="20"/>
        <v>1.5</v>
      </c>
      <c r="CE62" s="22">
        <f t="shared" si="29"/>
        <v>81.2</v>
      </c>
      <c r="CF62" s="1">
        <f t="shared" si="30"/>
        <v>4.4000000000000004</v>
      </c>
      <c r="CG62" s="1">
        <f t="shared" si="31"/>
        <v>7.3</v>
      </c>
      <c r="CH62" s="3" t="s">
        <v>162</v>
      </c>
      <c r="CI62" s="1">
        <f t="shared" si="32"/>
        <v>0.8</v>
      </c>
      <c r="CJ62" s="1">
        <f t="shared" si="33"/>
        <v>0.3</v>
      </c>
      <c r="CK62" s="1">
        <f t="shared" si="34"/>
        <v>0.9</v>
      </c>
      <c r="CL62" s="1">
        <f t="shared" si="35"/>
        <v>1.5</v>
      </c>
      <c r="CM62" s="2">
        <f t="shared" si="36"/>
        <v>96.3</v>
      </c>
      <c r="CN62" s="1">
        <f t="shared" si="37"/>
        <v>-8.1</v>
      </c>
      <c r="CO62" s="1">
        <f t="shared" si="38"/>
        <v>-8.4</v>
      </c>
      <c r="CP62" s="3" t="s">
        <v>162</v>
      </c>
      <c r="CQ62" s="1">
        <f t="shared" si="39"/>
        <v>0.6</v>
      </c>
      <c r="CR62" s="1">
        <f t="shared" si="40"/>
        <v>0.1</v>
      </c>
      <c r="CS62" s="1">
        <f t="shared" si="41"/>
        <v>0.7</v>
      </c>
      <c r="CT62" s="1">
        <f t="shared" si="42"/>
        <v>1.4</v>
      </c>
      <c r="CU62" s="2">
        <f t="shared" si="43"/>
        <v>51.2</v>
      </c>
      <c r="CV62" s="14">
        <f t="shared" si="44"/>
        <v>993.00000000000034</v>
      </c>
      <c r="CW62" s="1">
        <f>ROUND(PPTest!K62,1)</f>
        <v>0</v>
      </c>
      <c r="CX62" s="3">
        <f t="shared" si="25"/>
        <v>0.01</v>
      </c>
      <c r="CY62" s="3">
        <f t="shared" si="45"/>
        <v>3.83</v>
      </c>
      <c r="CZ62" s="19">
        <f t="shared" si="46"/>
        <v>0.42799999999999999</v>
      </c>
      <c r="DA62" s="19">
        <f t="shared" si="46"/>
        <v>0.40799999999999997</v>
      </c>
      <c r="DB62" s="16">
        <f t="shared" si="47"/>
        <v>13.15</v>
      </c>
    </row>
    <row r="63" spans="1:106" x14ac:dyDescent="0.2">
      <c r="A63" s="15">
        <f t="shared" si="48"/>
        <v>45715</v>
      </c>
      <c r="B63" s="1">
        <v>58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4"/>
      <c r="AY63" s="12"/>
      <c r="AZ63" s="12"/>
      <c r="BA63" s="16">
        <v>12.51</v>
      </c>
      <c r="BB63" s="41"/>
      <c r="BC63" s="41"/>
      <c r="BD63" s="8" t="e">
        <f t="shared" ref="BD63:BD126" si="50">BC63/BB63</f>
        <v>#DIV/0!</v>
      </c>
      <c r="BE63" s="8"/>
      <c r="BF63" s="2">
        <f t="shared" si="26"/>
        <v>0</v>
      </c>
      <c r="BG63" s="2">
        <f t="shared" si="27"/>
        <v>0</v>
      </c>
      <c r="BH63" s="2">
        <f t="shared" si="28"/>
        <v>0</v>
      </c>
      <c r="BI63" s="35">
        <f t="shared" ref="BI63:BI126" si="51">ROUND((0.6105*(EXP((17.273*P63)/(P63+237.3))))*BH63/100,3)</f>
        <v>0</v>
      </c>
      <c r="BJ63" s="35" t="e">
        <f t="shared" si="3"/>
        <v>#DIV/0!</v>
      </c>
      <c r="BL63" s="3">
        <f t="shared" si="4"/>
        <v>0</v>
      </c>
      <c r="BM63" s="19" t="e">
        <f t="shared" si="5"/>
        <v>#DIV/0!</v>
      </c>
      <c r="BN63" s="19" t="e">
        <f t="shared" si="6"/>
        <v>#DIV/0!</v>
      </c>
      <c r="BO63" s="19" t="e">
        <f t="shared" si="7"/>
        <v>#DIV/0!</v>
      </c>
      <c r="BP63" s="19" t="e">
        <f t="shared" si="8"/>
        <v>#DIV/0!</v>
      </c>
      <c r="BQ63" s="19" t="e">
        <f t="shared" si="9"/>
        <v>#DIV/0!</v>
      </c>
      <c r="BR63" s="19" t="e">
        <f t="shared" si="10"/>
        <v>#DIV/0!</v>
      </c>
      <c r="BS63" s="19" t="e">
        <f t="shared" si="11"/>
        <v>#DIV/0!</v>
      </c>
      <c r="BT63" s="19" t="e">
        <f t="shared" si="12"/>
        <v>#DIV/0!</v>
      </c>
      <c r="BV63" s="16">
        <f t="shared" si="13"/>
        <v>0</v>
      </c>
      <c r="BW63" s="16">
        <f t="shared" si="14"/>
        <v>0</v>
      </c>
      <c r="BX63" s="3">
        <f t="shared" si="15"/>
        <v>0</v>
      </c>
      <c r="BY63" s="3">
        <f t="shared" si="49"/>
        <v>0</v>
      </c>
      <c r="BZ63" s="3" t="s">
        <v>162</v>
      </c>
      <c r="CA63" s="3">
        <f t="shared" si="17"/>
        <v>0</v>
      </c>
      <c r="CB63" s="3">
        <f t="shared" si="18"/>
        <v>0</v>
      </c>
      <c r="CC63" s="3">
        <f t="shared" si="19"/>
        <v>0</v>
      </c>
      <c r="CD63" s="3">
        <f t="shared" si="20"/>
        <v>0</v>
      </c>
      <c r="CE63" s="22">
        <f t="shared" si="29"/>
        <v>0</v>
      </c>
      <c r="CF63" s="1">
        <f t="shared" si="30"/>
        <v>0</v>
      </c>
      <c r="CG63" s="1">
        <f t="shared" si="31"/>
        <v>0</v>
      </c>
      <c r="CH63" s="3" t="s">
        <v>162</v>
      </c>
      <c r="CI63" s="1">
        <f t="shared" si="32"/>
        <v>0</v>
      </c>
      <c r="CJ63" s="1">
        <f t="shared" si="33"/>
        <v>0</v>
      </c>
      <c r="CK63" s="1">
        <f t="shared" si="34"/>
        <v>0</v>
      </c>
      <c r="CL63" s="1">
        <f t="shared" si="35"/>
        <v>0</v>
      </c>
      <c r="CM63" s="2">
        <f t="shared" si="36"/>
        <v>0</v>
      </c>
      <c r="CN63" s="1">
        <f t="shared" si="37"/>
        <v>0</v>
      </c>
      <c r="CO63" s="1">
        <f t="shared" si="38"/>
        <v>0</v>
      </c>
      <c r="CP63" s="3" t="s">
        <v>162</v>
      </c>
      <c r="CQ63" s="1">
        <f t="shared" si="39"/>
        <v>0</v>
      </c>
      <c r="CR63" s="1">
        <f t="shared" si="40"/>
        <v>0</v>
      </c>
      <c r="CS63" s="1">
        <f t="shared" si="41"/>
        <v>0</v>
      </c>
      <c r="CT63" s="1">
        <f t="shared" si="42"/>
        <v>0</v>
      </c>
      <c r="CU63" s="2">
        <f t="shared" si="43"/>
        <v>0</v>
      </c>
      <c r="CV63" s="14">
        <f t="shared" si="44"/>
        <v>0</v>
      </c>
      <c r="CW63" s="1">
        <f>ROUND(PPTest!K63,1)</f>
        <v>0</v>
      </c>
      <c r="CX63" s="3">
        <f t="shared" si="25"/>
        <v>0</v>
      </c>
      <c r="CY63" s="3">
        <f t="shared" si="45"/>
        <v>0</v>
      </c>
      <c r="CZ63" s="19">
        <f t="shared" si="46"/>
        <v>0</v>
      </c>
      <c r="DA63" s="19" t="e">
        <f t="shared" si="46"/>
        <v>#DIV/0!</v>
      </c>
      <c r="DB63" s="16">
        <f t="shared" si="47"/>
        <v>0</v>
      </c>
    </row>
    <row r="64" spans="1:106" x14ac:dyDescent="0.2">
      <c r="A64" s="15">
        <f t="shared" si="48"/>
        <v>45716</v>
      </c>
      <c r="B64" s="1">
        <v>59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4"/>
      <c r="AY64" s="12"/>
      <c r="AZ64" s="12"/>
      <c r="BA64" s="16">
        <v>12.75</v>
      </c>
      <c r="BB64" s="41"/>
      <c r="BC64" s="41"/>
      <c r="BD64" s="8" t="e">
        <f t="shared" si="50"/>
        <v>#DIV/0!</v>
      </c>
      <c r="BE64" s="8"/>
      <c r="BF64" s="2">
        <f t="shared" si="26"/>
        <v>0</v>
      </c>
      <c r="BG64" s="2">
        <f t="shared" si="27"/>
        <v>0</v>
      </c>
      <c r="BH64" s="2">
        <f t="shared" si="28"/>
        <v>0</v>
      </c>
      <c r="BI64" s="35">
        <f t="shared" si="51"/>
        <v>0</v>
      </c>
      <c r="BJ64" s="35" t="e">
        <f t="shared" si="3"/>
        <v>#DIV/0!</v>
      </c>
      <c r="BL64" s="3">
        <f t="shared" si="4"/>
        <v>0</v>
      </c>
      <c r="BM64" s="19" t="e">
        <f t="shared" si="5"/>
        <v>#DIV/0!</v>
      </c>
      <c r="BN64" s="19" t="e">
        <f t="shared" si="6"/>
        <v>#DIV/0!</v>
      </c>
      <c r="BO64" s="19" t="e">
        <f t="shared" si="7"/>
        <v>#DIV/0!</v>
      </c>
      <c r="BP64" s="19" t="e">
        <f t="shared" si="8"/>
        <v>#DIV/0!</v>
      </c>
      <c r="BQ64" s="19" t="e">
        <f t="shared" si="9"/>
        <v>#DIV/0!</v>
      </c>
      <c r="BR64" s="19" t="e">
        <f t="shared" si="10"/>
        <v>#DIV/0!</v>
      </c>
      <c r="BS64" s="19" t="e">
        <f t="shared" si="11"/>
        <v>#DIV/0!</v>
      </c>
      <c r="BT64" s="19" t="e">
        <f t="shared" si="12"/>
        <v>#DIV/0!</v>
      </c>
      <c r="BV64" s="16">
        <f t="shared" si="13"/>
        <v>0</v>
      </c>
      <c r="BW64" s="16">
        <f t="shared" si="14"/>
        <v>0</v>
      </c>
      <c r="BX64" s="3">
        <f t="shared" si="15"/>
        <v>0</v>
      </c>
      <c r="BY64" s="3">
        <f t="shared" si="49"/>
        <v>0</v>
      </c>
      <c r="BZ64" s="3" t="s">
        <v>162</v>
      </c>
      <c r="CA64" s="3">
        <f t="shared" si="17"/>
        <v>0</v>
      </c>
      <c r="CB64" s="3">
        <f t="shared" si="18"/>
        <v>0</v>
      </c>
      <c r="CC64" s="3">
        <f t="shared" si="19"/>
        <v>0</v>
      </c>
      <c r="CD64" s="3">
        <f t="shared" si="20"/>
        <v>0</v>
      </c>
      <c r="CE64" s="22">
        <f t="shared" si="29"/>
        <v>0</v>
      </c>
      <c r="CF64" s="1">
        <f t="shared" si="30"/>
        <v>0</v>
      </c>
      <c r="CG64" s="1">
        <f t="shared" si="31"/>
        <v>0</v>
      </c>
      <c r="CH64" s="3" t="s">
        <v>162</v>
      </c>
      <c r="CI64" s="1">
        <f t="shared" si="32"/>
        <v>0</v>
      </c>
      <c r="CJ64" s="1">
        <f t="shared" si="33"/>
        <v>0</v>
      </c>
      <c r="CK64" s="1">
        <f t="shared" si="34"/>
        <v>0</v>
      </c>
      <c r="CL64" s="1">
        <f t="shared" si="35"/>
        <v>0</v>
      </c>
      <c r="CM64" s="2">
        <f t="shared" si="36"/>
        <v>0</v>
      </c>
      <c r="CN64" s="1">
        <f t="shared" si="37"/>
        <v>0</v>
      </c>
      <c r="CO64" s="1">
        <f t="shared" si="38"/>
        <v>0</v>
      </c>
      <c r="CP64" s="3" t="s">
        <v>162</v>
      </c>
      <c r="CQ64" s="1">
        <f t="shared" si="39"/>
        <v>0</v>
      </c>
      <c r="CR64" s="1">
        <f t="shared" si="40"/>
        <v>0</v>
      </c>
      <c r="CS64" s="1">
        <f t="shared" si="41"/>
        <v>0</v>
      </c>
      <c r="CT64" s="1">
        <f t="shared" si="42"/>
        <v>0</v>
      </c>
      <c r="CU64" s="2">
        <f t="shared" si="43"/>
        <v>0</v>
      </c>
      <c r="CV64" s="14">
        <f t="shared" si="44"/>
        <v>0</v>
      </c>
      <c r="CW64" s="1">
        <f>ROUND(PPTest!K64,1)</f>
        <v>0</v>
      </c>
      <c r="CX64" s="3">
        <f t="shared" si="25"/>
        <v>0</v>
      </c>
      <c r="CY64" s="3">
        <f t="shared" si="45"/>
        <v>0</v>
      </c>
      <c r="CZ64" s="19">
        <f t="shared" si="46"/>
        <v>0</v>
      </c>
      <c r="DA64" s="19" t="e">
        <f t="shared" si="46"/>
        <v>#DIV/0!</v>
      </c>
      <c r="DB64" s="16">
        <f t="shared" si="47"/>
        <v>0</v>
      </c>
    </row>
    <row r="65" spans="1:106" x14ac:dyDescent="0.2">
      <c r="A65" s="15">
        <f t="shared" si="48"/>
        <v>45717</v>
      </c>
      <c r="B65" s="1">
        <v>60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4"/>
      <c r="AY65" s="12"/>
      <c r="AZ65" s="12"/>
      <c r="BA65" s="16">
        <v>12.98</v>
      </c>
      <c r="BB65" s="41"/>
      <c r="BC65" s="41"/>
      <c r="BD65" s="8" t="e">
        <f t="shared" si="50"/>
        <v>#DIV/0!</v>
      </c>
      <c r="BE65" s="8"/>
      <c r="BF65" s="2">
        <f t="shared" si="26"/>
        <v>0</v>
      </c>
      <c r="BG65" s="2">
        <f t="shared" si="27"/>
        <v>0</v>
      </c>
      <c r="BH65" s="2">
        <f t="shared" si="28"/>
        <v>0</v>
      </c>
      <c r="BI65" s="35">
        <f t="shared" si="51"/>
        <v>0</v>
      </c>
      <c r="BJ65" s="35" t="e">
        <f t="shared" si="3"/>
        <v>#DIV/0!</v>
      </c>
      <c r="BL65" s="3">
        <f t="shared" si="4"/>
        <v>0</v>
      </c>
      <c r="BM65" s="19" t="e">
        <f t="shared" si="5"/>
        <v>#DIV/0!</v>
      </c>
      <c r="BN65" s="19" t="e">
        <f t="shared" si="6"/>
        <v>#DIV/0!</v>
      </c>
      <c r="BO65" s="19" t="e">
        <f t="shared" si="7"/>
        <v>#DIV/0!</v>
      </c>
      <c r="BP65" s="19" t="e">
        <f t="shared" si="8"/>
        <v>#DIV/0!</v>
      </c>
      <c r="BQ65" s="19" t="e">
        <f t="shared" si="9"/>
        <v>#DIV/0!</v>
      </c>
      <c r="BR65" s="19" t="e">
        <f t="shared" si="10"/>
        <v>#DIV/0!</v>
      </c>
      <c r="BS65" s="19" t="e">
        <f t="shared" si="11"/>
        <v>#DIV/0!</v>
      </c>
      <c r="BT65" s="19" t="e">
        <f t="shared" si="12"/>
        <v>#DIV/0!</v>
      </c>
      <c r="BV65" s="16">
        <f t="shared" si="13"/>
        <v>0</v>
      </c>
      <c r="BW65" s="16">
        <f t="shared" si="14"/>
        <v>0</v>
      </c>
      <c r="BX65" s="3">
        <f t="shared" si="15"/>
        <v>0</v>
      </c>
      <c r="BY65" s="3">
        <f t="shared" si="49"/>
        <v>0</v>
      </c>
      <c r="BZ65" s="3" t="s">
        <v>162</v>
      </c>
      <c r="CA65" s="3">
        <f t="shared" si="17"/>
        <v>0</v>
      </c>
      <c r="CB65" s="3">
        <f t="shared" si="18"/>
        <v>0</v>
      </c>
      <c r="CC65" s="3">
        <f t="shared" si="19"/>
        <v>0</v>
      </c>
      <c r="CD65" s="3">
        <f t="shared" si="20"/>
        <v>0</v>
      </c>
      <c r="CE65" s="22">
        <f t="shared" si="29"/>
        <v>0</v>
      </c>
      <c r="CF65" s="1">
        <f t="shared" si="30"/>
        <v>0</v>
      </c>
      <c r="CG65" s="1">
        <f t="shared" si="31"/>
        <v>0</v>
      </c>
      <c r="CH65" s="3" t="s">
        <v>162</v>
      </c>
      <c r="CI65" s="1">
        <f t="shared" si="32"/>
        <v>0</v>
      </c>
      <c r="CJ65" s="1">
        <f t="shared" si="33"/>
        <v>0</v>
      </c>
      <c r="CK65" s="1">
        <f t="shared" si="34"/>
        <v>0</v>
      </c>
      <c r="CL65" s="1">
        <f t="shared" si="35"/>
        <v>0</v>
      </c>
      <c r="CM65" s="2">
        <f t="shared" si="36"/>
        <v>0</v>
      </c>
      <c r="CN65" s="1">
        <f t="shared" si="37"/>
        <v>0</v>
      </c>
      <c r="CO65" s="1">
        <f t="shared" si="38"/>
        <v>0</v>
      </c>
      <c r="CP65" s="3" t="s">
        <v>162</v>
      </c>
      <c r="CQ65" s="1">
        <f t="shared" si="39"/>
        <v>0</v>
      </c>
      <c r="CR65" s="1">
        <f t="shared" si="40"/>
        <v>0</v>
      </c>
      <c r="CS65" s="1">
        <f t="shared" si="41"/>
        <v>0</v>
      </c>
      <c r="CT65" s="1">
        <f t="shared" si="42"/>
        <v>0</v>
      </c>
      <c r="CU65" s="2">
        <f t="shared" si="43"/>
        <v>0</v>
      </c>
      <c r="CV65" s="14">
        <f t="shared" si="44"/>
        <v>0</v>
      </c>
      <c r="CW65" s="1">
        <f>ROUND(PPTest!K65,1)</f>
        <v>0</v>
      </c>
      <c r="CX65" s="3">
        <f t="shared" si="25"/>
        <v>0</v>
      </c>
      <c r="CY65" s="3">
        <f t="shared" si="45"/>
        <v>0</v>
      </c>
      <c r="CZ65" s="19">
        <f t="shared" si="46"/>
        <v>0</v>
      </c>
      <c r="DA65" s="19" t="e">
        <f t="shared" si="46"/>
        <v>#DIV/0!</v>
      </c>
      <c r="DB65" s="16">
        <f t="shared" si="47"/>
        <v>0</v>
      </c>
    </row>
    <row r="66" spans="1:106" x14ac:dyDescent="0.2">
      <c r="A66" s="15">
        <f t="shared" si="48"/>
        <v>45718</v>
      </c>
      <c r="B66" s="1">
        <v>61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4"/>
      <c r="AY66" s="12"/>
      <c r="AZ66" s="12"/>
      <c r="BA66" s="16">
        <v>13.23</v>
      </c>
      <c r="BB66" s="41"/>
      <c r="BC66" s="41"/>
      <c r="BD66" s="8" t="e">
        <f t="shared" si="50"/>
        <v>#DIV/0!</v>
      </c>
      <c r="BE66" s="8"/>
      <c r="BF66" s="2">
        <f t="shared" si="26"/>
        <v>0</v>
      </c>
      <c r="BG66" s="2">
        <f t="shared" si="27"/>
        <v>0</v>
      </c>
      <c r="BH66" s="2">
        <f t="shared" si="28"/>
        <v>0</v>
      </c>
      <c r="BI66" s="35">
        <f t="shared" si="51"/>
        <v>0</v>
      </c>
      <c r="BJ66" s="35" t="e">
        <f t="shared" si="3"/>
        <v>#DIV/0!</v>
      </c>
      <c r="BL66" s="3">
        <f t="shared" si="4"/>
        <v>0</v>
      </c>
      <c r="BM66" s="19" t="e">
        <f t="shared" si="5"/>
        <v>#DIV/0!</v>
      </c>
      <c r="BN66" s="19" t="e">
        <f t="shared" si="6"/>
        <v>#DIV/0!</v>
      </c>
      <c r="BO66" s="19" t="e">
        <f t="shared" si="7"/>
        <v>#DIV/0!</v>
      </c>
      <c r="BP66" s="19" t="e">
        <f t="shared" si="8"/>
        <v>#DIV/0!</v>
      </c>
      <c r="BQ66" s="19" t="e">
        <f t="shared" si="9"/>
        <v>#DIV/0!</v>
      </c>
      <c r="BR66" s="19" t="e">
        <f t="shared" si="10"/>
        <v>#DIV/0!</v>
      </c>
      <c r="BS66" s="19" t="e">
        <f t="shared" si="11"/>
        <v>#DIV/0!</v>
      </c>
      <c r="BT66" s="19" t="e">
        <f t="shared" si="12"/>
        <v>#DIV/0!</v>
      </c>
      <c r="BV66" s="16">
        <f t="shared" si="13"/>
        <v>0</v>
      </c>
      <c r="BW66" s="16">
        <f t="shared" si="14"/>
        <v>0</v>
      </c>
      <c r="BX66" s="3">
        <f t="shared" si="15"/>
        <v>0</v>
      </c>
      <c r="BY66" s="3">
        <f t="shared" si="49"/>
        <v>0</v>
      </c>
      <c r="BZ66" s="3" t="s">
        <v>162</v>
      </c>
      <c r="CA66" s="3">
        <f t="shared" si="17"/>
        <v>0</v>
      </c>
      <c r="CB66" s="3">
        <f t="shared" si="18"/>
        <v>0</v>
      </c>
      <c r="CC66" s="3">
        <f t="shared" si="19"/>
        <v>0</v>
      </c>
      <c r="CD66" s="3">
        <f t="shared" si="20"/>
        <v>0</v>
      </c>
      <c r="CE66" s="22">
        <f t="shared" si="29"/>
        <v>0</v>
      </c>
      <c r="CF66" s="1">
        <f t="shared" si="30"/>
        <v>0</v>
      </c>
      <c r="CG66" s="1">
        <f t="shared" si="31"/>
        <v>0</v>
      </c>
      <c r="CH66" s="3" t="s">
        <v>162</v>
      </c>
      <c r="CI66" s="1">
        <f t="shared" si="32"/>
        <v>0</v>
      </c>
      <c r="CJ66" s="1">
        <f t="shared" si="33"/>
        <v>0</v>
      </c>
      <c r="CK66" s="1">
        <f t="shared" si="34"/>
        <v>0</v>
      </c>
      <c r="CL66" s="1">
        <f t="shared" si="35"/>
        <v>0</v>
      </c>
      <c r="CM66" s="2">
        <f t="shared" si="36"/>
        <v>0</v>
      </c>
      <c r="CN66" s="1">
        <f t="shared" si="37"/>
        <v>0</v>
      </c>
      <c r="CO66" s="1">
        <f t="shared" si="38"/>
        <v>0</v>
      </c>
      <c r="CP66" s="3" t="s">
        <v>162</v>
      </c>
      <c r="CQ66" s="1">
        <f t="shared" si="39"/>
        <v>0</v>
      </c>
      <c r="CR66" s="1">
        <f t="shared" si="40"/>
        <v>0</v>
      </c>
      <c r="CS66" s="1">
        <f t="shared" si="41"/>
        <v>0</v>
      </c>
      <c r="CT66" s="1">
        <f t="shared" si="42"/>
        <v>0</v>
      </c>
      <c r="CU66" s="2">
        <f t="shared" si="43"/>
        <v>0</v>
      </c>
      <c r="CV66" s="14">
        <f t="shared" si="44"/>
        <v>0</v>
      </c>
      <c r="CW66" s="1">
        <f>ROUND(PPTest!K66,1)</f>
        <v>0</v>
      </c>
      <c r="CX66" s="3">
        <f t="shared" si="25"/>
        <v>0</v>
      </c>
      <c r="CY66" s="3">
        <f t="shared" si="45"/>
        <v>0</v>
      </c>
      <c r="CZ66" s="19">
        <f t="shared" si="46"/>
        <v>0</v>
      </c>
      <c r="DA66" s="19" t="e">
        <f t="shared" si="46"/>
        <v>#DIV/0!</v>
      </c>
      <c r="DB66" s="16">
        <f t="shared" si="47"/>
        <v>0</v>
      </c>
    </row>
    <row r="67" spans="1:106" x14ac:dyDescent="0.2">
      <c r="A67" s="15">
        <f t="shared" si="48"/>
        <v>45719</v>
      </c>
      <c r="B67" s="1">
        <v>62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4"/>
      <c r="AY67" s="12"/>
      <c r="AZ67" s="12"/>
      <c r="BA67" s="16">
        <v>13.47</v>
      </c>
      <c r="BB67" s="41"/>
      <c r="BC67" s="41"/>
      <c r="BD67" s="8" t="e">
        <f t="shared" si="50"/>
        <v>#DIV/0!</v>
      </c>
      <c r="BE67" s="8"/>
      <c r="BF67" s="2">
        <f t="shared" si="26"/>
        <v>0</v>
      </c>
      <c r="BG67" s="2">
        <f t="shared" si="27"/>
        <v>0</v>
      </c>
      <c r="BH67" s="2">
        <f t="shared" si="28"/>
        <v>0</v>
      </c>
      <c r="BI67" s="35">
        <f t="shared" si="51"/>
        <v>0</v>
      </c>
      <c r="BJ67" s="35" t="e">
        <f t="shared" si="3"/>
        <v>#DIV/0!</v>
      </c>
      <c r="BL67" s="3">
        <f t="shared" si="4"/>
        <v>0</v>
      </c>
      <c r="BM67" s="19" t="e">
        <f t="shared" si="5"/>
        <v>#DIV/0!</v>
      </c>
      <c r="BN67" s="19" t="e">
        <f t="shared" si="6"/>
        <v>#DIV/0!</v>
      </c>
      <c r="BO67" s="19" t="e">
        <f t="shared" si="7"/>
        <v>#DIV/0!</v>
      </c>
      <c r="BP67" s="19" t="e">
        <f t="shared" si="8"/>
        <v>#DIV/0!</v>
      </c>
      <c r="BQ67" s="19" t="e">
        <f t="shared" si="9"/>
        <v>#DIV/0!</v>
      </c>
      <c r="BR67" s="19" t="e">
        <f t="shared" si="10"/>
        <v>#DIV/0!</v>
      </c>
      <c r="BS67" s="19" t="e">
        <f t="shared" si="11"/>
        <v>#DIV/0!</v>
      </c>
      <c r="BT67" s="19" t="e">
        <f t="shared" si="12"/>
        <v>#DIV/0!</v>
      </c>
      <c r="BV67" s="16">
        <f t="shared" si="13"/>
        <v>0</v>
      </c>
      <c r="BW67" s="16">
        <f t="shared" si="14"/>
        <v>0</v>
      </c>
      <c r="BX67" s="3">
        <f t="shared" si="15"/>
        <v>0</v>
      </c>
      <c r="BY67" s="3">
        <f t="shared" si="49"/>
        <v>0</v>
      </c>
      <c r="BZ67" s="3" t="s">
        <v>162</v>
      </c>
      <c r="CA67" s="3">
        <f t="shared" si="17"/>
        <v>0</v>
      </c>
      <c r="CB67" s="3">
        <f t="shared" si="18"/>
        <v>0</v>
      </c>
      <c r="CC67" s="3">
        <f t="shared" si="19"/>
        <v>0</v>
      </c>
      <c r="CD67" s="3">
        <f t="shared" si="20"/>
        <v>0</v>
      </c>
      <c r="CE67" s="22">
        <f t="shared" si="29"/>
        <v>0</v>
      </c>
      <c r="CF67" s="1">
        <f t="shared" si="30"/>
        <v>0</v>
      </c>
      <c r="CG67" s="1">
        <f t="shared" si="31"/>
        <v>0</v>
      </c>
      <c r="CH67" s="3" t="s">
        <v>162</v>
      </c>
      <c r="CI67" s="1">
        <f t="shared" si="32"/>
        <v>0</v>
      </c>
      <c r="CJ67" s="1">
        <f t="shared" si="33"/>
        <v>0</v>
      </c>
      <c r="CK67" s="1">
        <f t="shared" si="34"/>
        <v>0</v>
      </c>
      <c r="CL67" s="1">
        <f t="shared" si="35"/>
        <v>0</v>
      </c>
      <c r="CM67" s="2">
        <f t="shared" si="36"/>
        <v>0</v>
      </c>
      <c r="CN67" s="1">
        <f t="shared" si="37"/>
        <v>0</v>
      </c>
      <c r="CO67" s="1">
        <f t="shared" si="38"/>
        <v>0</v>
      </c>
      <c r="CP67" s="3" t="s">
        <v>162</v>
      </c>
      <c r="CQ67" s="1">
        <f t="shared" si="39"/>
        <v>0</v>
      </c>
      <c r="CR67" s="1">
        <f t="shared" si="40"/>
        <v>0</v>
      </c>
      <c r="CS67" s="1">
        <f t="shared" si="41"/>
        <v>0</v>
      </c>
      <c r="CT67" s="1">
        <f t="shared" si="42"/>
        <v>0</v>
      </c>
      <c r="CU67" s="2">
        <f t="shared" si="43"/>
        <v>0</v>
      </c>
      <c r="CV67" s="14">
        <f t="shared" si="44"/>
        <v>0</v>
      </c>
      <c r="CW67" s="1">
        <f>ROUND(PPTest!K67,1)</f>
        <v>0</v>
      </c>
      <c r="CX67" s="3">
        <f t="shared" si="25"/>
        <v>0</v>
      </c>
      <c r="CY67" s="3">
        <f t="shared" si="45"/>
        <v>0</v>
      </c>
      <c r="CZ67" s="19">
        <f t="shared" si="46"/>
        <v>0</v>
      </c>
      <c r="DA67" s="19" t="e">
        <f t="shared" si="46"/>
        <v>#DIV/0!</v>
      </c>
      <c r="DB67" s="16">
        <f t="shared" si="47"/>
        <v>0</v>
      </c>
    </row>
    <row r="68" spans="1:106" x14ac:dyDescent="0.2">
      <c r="A68" s="15">
        <f t="shared" si="48"/>
        <v>45720</v>
      </c>
      <c r="B68" s="1">
        <v>63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4"/>
      <c r="AY68" s="12"/>
      <c r="AZ68" s="12"/>
      <c r="BA68" s="16">
        <v>13.71</v>
      </c>
      <c r="BB68" s="41"/>
      <c r="BC68" s="41"/>
      <c r="BD68" s="8" t="e">
        <f t="shared" si="50"/>
        <v>#DIV/0!</v>
      </c>
      <c r="BE68" s="8"/>
      <c r="BF68" s="2">
        <f t="shared" si="26"/>
        <v>0</v>
      </c>
      <c r="BG68" s="2">
        <f t="shared" si="27"/>
        <v>0</v>
      </c>
      <c r="BH68" s="2">
        <f t="shared" si="28"/>
        <v>0</v>
      </c>
      <c r="BI68" s="35">
        <f t="shared" si="51"/>
        <v>0</v>
      </c>
      <c r="BJ68" s="35" t="e">
        <f t="shared" si="3"/>
        <v>#DIV/0!</v>
      </c>
      <c r="BL68" s="3">
        <f t="shared" si="4"/>
        <v>0</v>
      </c>
      <c r="BM68" s="19" t="e">
        <f t="shared" si="5"/>
        <v>#DIV/0!</v>
      </c>
      <c r="BN68" s="19" t="e">
        <f t="shared" si="6"/>
        <v>#DIV/0!</v>
      </c>
      <c r="BO68" s="19" t="e">
        <f t="shared" si="7"/>
        <v>#DIV/0!</v>
      </c>
      <c r="BP68" s="19" t="e">
        <f t="shared" si="8"/>
        <v>#DIV/0!</v>
      </c>
      <c r="BQ68" s="19" t="e">
        <f t="shared" si="9"/>
        <v>#DIV/0!</v>
      </c>
      <c r="BR68" s="19" t="e">
        <f t="shared" si="10"/>
        <v>#DIV/0!</v>
      </c>
      <c r="BS68" s="19" t="e">
        <f t="shared" si="11"/>
        <v>#DIV/0!</v>
      </c>
      <c r="BT68" s="19" t="e">
        <f t="shared" si="12"/>
        <v>#DIV/0!</v>
      </c>
      <c r="BV68" s="16">
        <f t="shared" si="13"/>
        <v>0</v>
      </c>
      <c r="BW68" s="16">
        <f t="shared" si="14"/>
        <v>0</v>
      </c>
      <c r="BX68" s="3">
        <f t="shared" si="15"/>
        <v>0</v>
      </c>
      <c r="BY68" s="3">
        <f t="shared" si="49"/>
        <v>0</v>
      </c>
      <c r="BZ68" s="3" t="s">
        <v>162</v>
      </c>
      <c r="CA68" s="3">
        <f t="shared" si="17"/>
        <v>0</v>
      </c>
      <c r="CB68" s="3">
        <f t="shared" si="18"/>
        <v>0</v>
      </c>
      <c r="CC68" s="3">
        <f t="shared" si="19"/>
        <v>0</v>
      </c>
      <c r="CD68" s="3">
        <f t="shared" si="20"/>
        <v>0</v>
      </c>
      <c r="CE68" s="22">
        <f t="shared" si="29"/>
        <v>0</v>
      </c>
      <c r="CF68" s="1">
        <f t="shared" si="30"/>
        <v>0</v>
      </c>
      <c r="CG68" s="1">
        <f t="shared" si="31"/>
        <v>0</v>
      </c>
      <c r="CH68" s="3" t="s">
        <v>162</v>
      </c>
      <c r="CI68" s="1">
        <f t="shared" si="32"/>
        <v>0</v>
      </c>
      <c r="CJ68" s="1">
        <f t="shared" si="33"/>
        <v>0</v>
      </c>
      <c r="CK68" s="1">
        <f t="shared" si="34"/>
        <v>0</v>
      </c>
      <c r="CL68" s="1">
        <f t="shared" si="35"/>
        <v>0</v>
      </c>
      <c r="CM68" s="2">
        <f t="shared" si="36"/>
        <v>0</v>
      </c>
      <c r="CN68" s="1">
        <f t="shared" si="37"/>
        <v>0</v>
      </c>
      <c r="CO68" s="1">
        <f t="shared" si="38"/>
        <v>0</v>
      </c>
      <c r="CP68" s="3" t="s">
        <v>162</v>
      </c>
      <c r="CQ68" s="1">
        <f t="shared" si="39"/>
        <v>0</v>
      </c>
      <c r="CR68" s="1">
        <f t="shared" si="40"/>
        <v>0</v>
      </c>
      <c r="CS68" s="1">
        <f t="shared" si="41"/>
        <v>0</v>
      </c>
      <c r="CT68" s="1">
        <f t="shared" si="42"/>
        <v>0</v>
      </c>
      <c r="CU68" s="2">
        <f t="shared" si="43"/>
        <v>0</v>
      </c>
      <c r="CV68" s="14">
        <f t="shared" si="44"/>
        <v>0</v>
      </c>
      <c r="CW68" s="1">
        <f>ROUND(PPTest!K68,1)</f>
        <v>0</v>
      </c>
      <c r="CX68" s="3">
        <f t="shared" si="25"/>
        <v>0</v>
      </c>
      <c r="CY68" s="3">
        <f t="shared" si="45"/>
        <v>0</v>
      </c>
      <c r="CZ68" s="19">
        <f t="shared" si="46"/>
        <v>0</v>
      </c>
      <c r="DA68" s="19" t="e">
        <f t="shared" si="46"/>
        <v>#DIV/0!</v>
      </c>
      <c r="DB68" s="16">
        <f t="shared" si="47"/>
        <v>0</v>
      </c>
    </row>
    <row r="69" spans="1:106" x14ac:dyDescent="0.2">
      <c r="A69" s="15">
        <f t="shared" si="48"/>
        <v>45721</v>
      </c>
      <c r="B69" s="1">
        <v>64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4"/>
      <c r="AY69" s="12"/>
      <c r="AZ69" s="12"/>
      <c r="BA69" s="16">
        <v>13.95</v>
      </c>
      <c r="BB69" s="41"/>
      <c r="BC69" s="41"/>
      <c r="BD69" s="8" t="e">
        <f t="shared" si="50"/>
        <v>#DIV/0!</v>
      </c>
      <c r="BE69" s="8"/>
      <c r="BF69" s="2">
        <f t="shared" si="26"/>
        <v>0</v>
      </c>
      <c r="BG69" s="2">
        <f t="shared" si="27"/>
        <v>0</v>
      </c>
      <c r="BH69" s="2">
        <f t="shared" si="28"/>
        <v>0</v>
      </c>
      <c r="BI69" s="35">
        <f t="shared" si="51"/>
        <v>0</v>
      </c>
      <c r="BJ69" s="35" t="e">
        <f t="shared" si="3"/>
        <v>#DIV/0!</v>
      </c>
      <c r="BL69" s="3">
        <f t="shared" si="4"/>
        <v>0</v>
      </c>
      <c r="BM69" s="19" t="e">
        <f t="shared" si="5"/>
        <v>#DIV/0!</v>
      </c>
      <c r="BN69" s="19" t="e">
        <f t="shared" si="6"/>
        <v>#DIV/0!</v>
      </c>
      <c r="BO69" s="19" t="e">
        <f t="shared" si="7"/>
        <v>#DIV/0!</v>
      </c>
      <c r="BP69" s="19" t="e">
        <f t="shared" si="8"/>
        <v>#DIV/0!</v>
      </c>
      <c r="BQ69" s="19" t="e">
        <f t="shared" si="9"/>
        <v>#DIV/0!</v>
      </c>
      <c r="BR69" s="19" t="e">
        <f t="shared" si="10"/>
        <v>#DIV/0!</v>
      </c>
      <c r="BS69" s="19" t="e">
        <f t="shared" si="11"/>
        <v>#DIV/0!</v>
      </c>
      <c r="BT69" s="19" t="e">
        <f t="shared" si="12"/>
        <v>#DIV/0!</v>
      </c>
      <c r="BV69" s="16">
        <f t="shared" si="13"/>
        <v>0</v>
      </c>
      <c r="BW69" s="16">
        <f t="shared" si="14"/>
        <v>0</v>
      </c>
      <c r="BX69" s="3">
        <f t="shared" si="15"/>
        <v>0</v>
      </c>
      <c r="BY69" s="3">
        <f t="shared" si="49"/>
        <v>0</v>
      </c>
      <c r="BZ69" s="3" t="s">
        <v>162</v>
      </c>
      <c r="CA69" s="3">
        <f t="shared" si="17"/>
        <v>0</v>
      </c>
      <c r="CB69" s="3">
        <f t="shared" si="18"/>
        <v>0</v>
      </c>
      <c r="CC69" s="3">
        <f t="shared" si="19"/>
        <v>0</v>
      </c>
      <c r="CD69" s="3">
        <f t="shared" si="20"/>
        <v>0</v>
      </c>
      <c r="CE69" s="22">
        <f t="shared" si="29"/>
        <v>0</v>
      </c>
      <c r="CF69" s="1">
        <f t="shared" si="30"/>
        <v>0</v>
      </c>
      <c r="CG69" s="1">
        <f t="shared" si="31"/>
        <v>0</v>
      </c>
      <c r="CH69" s="3" t="s">
        <v>162</v>
      </c>
      <c r="CI69" s="1">
        <f t="shared" si="32"/>
        <v>0</v>
      </c>
      <c r="CJ69" s="1">
        <f t="shared" si="33"/>
        <v>0</v>
      </c>
      <c r="CK69" s="1">
        <f t="shared" si="34"/>
        <v>0</v>
      </c>
      <c r="CL69" s="1">
        <f t="shared" si="35"/>
        <v>0</v>
      </c>
      <c r="CM69" s="2">
        <f t="shared" si="36"/>
        <v>0</v>
      </c>
      <c r="CN69" s="1">
        <f t="shared" si="37"/>
        <v>0</v>
      </c>
      <c r="CO69" s="1">
        <f t="shared" si="38"/>
        <v>0</v>
      </c>
      <c r="CP69" s="3" t="s">
        <v>162</v>
      </c>
      <c r="CQ69" s="1">
        <f t="shared" si="39"/>
        <v>0</v>
      </c>
      <c r="CR69" s="1">
        <f t="shared" si="40"/>
        <v>0</v>
      </c>
      <c r="CS69" s="1">
        <f t="shared" si="41"/>
        <v>0</v>
      </c>
      <c r="CT69" s="1">
        <f t="shared" si="42"/>
        <v>0</v>
      </c>
      <c r="CU69" s="2">
        <f t="shared" si="43"/>
        <v>0</v>
      </c>
      <c r="CV69" s="14">
        <f t="shared" si="44"/>
        <v>0</v>
      </c>
      <c r="CW69" s="1">
        <f>ROUND(PPTest!K69,1)</f>
        <v>0</v>
      </c>
      <c r="CX69" s="3">
        <f t="shared" si="25"/>
        <v>0</v>
      </c>
      <c r="CY69" s="3">
        <f t="shared" si="45"/>
        <v>0</v>
      </c>
      <c r="CZ69" s="19">
        <f t="shared" si="46"/>
        <v>0</v>
      </c>
      <c r="DA69" s="19" t="e">
        <f t="shared" si="46"/>
        <v>#DIV/0!</v>
      </c>
      <c r="DB69" s="16">
        <f t="shared" si="47"/>
        <v>0</v>
      </c>
    </row>
    <row r="70" spans="1:106" x14ac:dyDescent="0.2">
      <c r="A70" s="15">
        <f t="shared" si="48"/>
        <v>45722</v>
      </c>
      <c r="B70" s="1">
        <v>65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4"/>
      <c r="AY70" s="12"/>
      <c r="AZ70" s="12"/>
      <c r="BA70" s="16">
        <v>14.21</v>
      </c>
      <c r="BB70" s="41"/>
      <c r="BC70" s="41"/>
      <c r="BD70" s="8" t="e">
        <f t="shared" si="50"/>
        <v>#DIV/0!</v>
      </c>
      <c r="BE70" s="8"/>
      <c r="BF70" s="2">
        <f t="shared" si="26"/>
        <v>0</v>
      </c>
      <c r="BG70" s="2">
        <f t="shared" si="27"/>
        <v>0</v>
      </c>
      <c r="BH70" s="2">
        <f t="shared" si="28"/>
        <v>0</v>
      </c>
      <c r="BI70" s="35">
        <f t="shared" si="51"/>
        <v>0</v>
      </c>
      <c r="BJ70" s="35" t="e">
        <f t="shared" ref="BJ70:BJ133" si="52">ROUND(BI70/BH70*(100-BH70),3)</f>
        <v>#DIV/0!</v>
      </c>
      <c r="BL70" s="3">
        <f t="shared" ref="BL70:BL133" si="53">SUM(AG70:AN70)</f>
        <v>0</v>
      </c>
      <c r="BM70" s="19" t="e">
        <f t="shared" ref="BM70:BM133" si="54">ROUND(AG70/$BL70,3)</f>
        <v>#DIV/0!</v>
      </c>
      <c r="BN70" s="19" t="e">
        <f t="shared" ref="BN70:BN133" si="55">ROUND(AH70/$BL70,3)</f>
        <v>#DIV/0!</v>
      </c>
      <c r="BO70" s="19" t="e">
        <f t="shared" ref="BO70:BO133" si="56">ROUND(AI70/$BL70,3)</f>
        <v>#DIV/0!</v>
      </c>
      <c r="BP70" s="19" t="e">
        <f t="shared" ref="BP70:BP133" si="57">ROUND(AJ70/$BL70,3)</f>
        <v>#DIV/0!</v>
      </c>
      <c r="BQ70" s="19" t="e">
        <f t="shared" ref="BQ70:BQ133" si="58">ROUND(AK70/$BL70,3)</f>
        <v>#DIV/0!</v>
      </c>
      <c r="BR70" s="19" t="e">
        <f t="shared" ref="BR70:BR133" si="59">ROUND(AL70/$BL70,3)</f>
        <v>#DIV/0!</v>
      </c>
      <c r="BS70" s="19" t="e">
        <f t="shared" ref="BS70:BS133" si="60">ROUND(AM70/$BL70,3)</f>
        <v>#DIV/0!</v>
      </c>
      <c r="BT70" s="19" t="e">
        <f t="shared" ref="BT70:BT133" si="61">ROUND(AN70/$BL70,3)</f>
        <v>#DIV/0!</v>
      </c>
      <c r="BV70" s="16">
        <f t="shared" ref="BV70:BV133" si="62">BB70</f>
        <v>0</v>
      </c>
      <c r="BW70" s="16">
        <f t="shared" ref="BW70:BW133" si="63">BC70</f>
        <v>0</v>
      </c>
      <c r="BX70" s="3">
        <f t="shared" ref="BX70:BX133" si="64">ROUND(E70,1)</f>
        <v>0</v>
      </c>
      <c r="BY70" s="3">
        <f t="shared" si="49"/>
        <v>0</v>
      </c>
      <c r="BZ70" s="3" t="s">
        <v>162</v>
      </c>
      <c r="CA70" s="3">
        <f t="shared" ref="CA70:CA133" si="65">ROUND(I70,1)</f>
        <v>0</v>
      </c>
      <c r="CB70" s="3">
        <f t="shared" ref="CB70:CB133" si="66">ROUND(J70,1)</f>
        <v>0</v>
      </c>
      <c r="CC70" s="3">
        <f t="shared" ref="CC70:CC133" si="67">ROUND(K70,1)</f>
        <v>0</v>
      </c>
      <c r="CD70" s="3">
        <f t="shared" ref="CD70:CD133" si="68">ROUND(L70,1)</f>
        <v>0</v>
      </c>
      <c r="CE70" s="22">
        <f t="shared" si="29"/>
        <v>0</v>
      </c>
      <c r="CF70" s="1">
        <f t="shared" ref="CF70:CF133" si="69">ROUND(P70,1)</f>
        <v>0</v>
      </c>
      <c r="CG70" s="1">
        <f t="shared" si="31"/>
        <v>0</v>
      </c>
      <c r="CH70" s="3" t="s">
        <v>162</v>
      </c>
      <c r="CI70" s="1">
        <f t="shared" si="32"/>
        <v>0</v>
      </c>
      <c r="CJ70" s="1">
        <f t="shared" si="33"/>
        <v>0</v>
      </c>
      <c r="CK70" s="1">
        <f t="shared" si="34"/>
        <v>0</v>
      </c>
      <c r="CL70" s="1">
        <f t="shared" si="35"/>
        <v>0</v>
      </c>
      <c r="CM70" s="2">
        <f t="shared" si="36"/>
        <v>0</v>
      </c>
      <c r="CN70" s="1">
        <f t="shared" si="37"/>
        <v>0</v>
      </c>
      <c r="CO70" s="1">
        <f t="shared" si="38"/>
        <v>0</v>
      </c>
      <c r="CP70" s="3" t="s">
        <v>162</v>
      </c>
      <c r="CQ70" s="1">
        <f t="shared" si="39"/>
        <v>0</v>
      </c>
      <c r="CR70" s="1">
        <f t="shared" si="40"/>
        <v>0</v>
      </c>
      <c r="CS70" s="1">
        <f t="shared" si="41"/>
        <v>0</v>
      </c>
      <c r="CT70" s="1">
        <f t="shared" si="42"/>
        <v>0</v>
      </c>
      <c r="CU70" s="2">
        <f t="shared" si="43"/>
        <v>0</v>
      </c>
      <c r="CV70" s="14">
        <f t="shared" si="44"/>
        <v>0</v>
      </c>
      <c r="CW70" s="1">
        <f>ROUND(PPTest!K70,1)</f>
        <v>0</v>
      </c>
      <c r="CX70" s="3">
        <f t="shared" ref="CX70:CX133" si="70">ROUND(M70,2)</f>
        <v>0</v>
      </c>
      <c r="CY70" s="3">
        <f t="shared" si="45"/>
        <v>0</v>
      </c>
      <c r="CZ70" s="19">
        <f t="shared" si="46"/>
        <v>0</v>
      </c>
      <c r="DA70" s="19" t="e">
        <f t="shared" si="46"/>
        <v>#DIV/0!</v>
      </c>
      <c r="DB70" s="16">
        <f t="shared" si="47"/>
        <v>0</v>
      </c>
    </row>
    <row r="71" spans="1:106" x14ac:dyDescent="0.2">
      <c r="A71" s="15">
        <f t="shared" si="48"/>
        <v>45723</v>
      </c>
      <c r="B71" s="1">
        <v>66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4"/>
      <c r="AY71" s="12"/>
      <c r="AZ71" s="12"/>
      <c r="BA71" s="16">
        <v>14.45</v>
      </c>
      <c r="BB71" s="41"/>
      <c r="BC71" s="41"/>
      <c r="BD71" s="8" t="e">
        <f t="shared" si="50"/>
        <v>#DIV/0!</v>
      </c>
      <c r="BE71" s="8"/>
      <c r="BF71" s="2">
        <f t="shared" ref="BF71:BF134" si="71">ROUND(Q71-BF$2,1)</f>
        <v>0</v>
      </c>
      <c r="BG71" s="2">
        <f t="shared" ref="BG71:BG134" si="72">ROUND(F71-BG$2,1)</f>
        <v>0</v>
      </c>
      <c r="BH71" s="2">
        <f t="shared" ref="BH71:BH134" si="73">ROUND(Z71-BH$2,1)</f>
        <v>0</v>
      </c>
      <c r="BI71" s="35">
        <f t="shared" si="51"/>
        <v>0</v>
      </c>
      <c r="BJ71" s="35" t="e">
        <f t="shared" si="52"/>
        <v>#DIV/0!</v>
      </c>
      <c r="BL71" s="3">
        <f t="shared" si="53"/>
        <v>0</v>
      </c>
      <c r="BM71" s="19" t="e">
        <f t="shared" si="54"/>
        <v>#DIV/0!</v>
      </c>
      <c r="BN71" s="19" t="e">
        <f t="shared" si="55"/>
        <v>#DIV/0!</v>
      </c>
      <c r="BO71" s="19" t="e">
        <f t="shared" si="56"/>
        <v>#DIV/0!</v>
      </c>
      <c r="BP71" s="19" t="e">
        <f t="shared" si="57"/>
        <v>#DIV/0!</v>
      </c>
      <c r="BQ71" s="19" t="e">
        <f t="shared" si="58"/>
        <v>#DIV/0!</v>
      </c>
      <c r="BR71" s="19" t="e">
        <f t="shared" si="59"/>
        <v>#DIV/0!</v>
      </c>
      <c r="BS71" s="19" t="e">
        <f t="shared" si="60"/>
        <v>#DIV/0!</v>
      </c>
      <c r="BT71" s="19" t="e">
        <f t="shared" si="61"/>
        <v>#DIV/0!</v>
      </c>
      <c r="BV71" s="16">
        <f t="shared" si="62"/>
        <v>0</v>
      </c>
      <c r="BW71" s="16">
        <f t="shared" si="63"/>
        <v>0</v>
      </c>
      <c r="BX71" s="3">
        <f t="shared" si="64"/>
        <v>0</v>
      </c>
      <c r="BY71" s="3">
        <f t="shared" si="49"/>
        <v>0</v>
      </c>
      <c r="BZ71" s="3" t="s">
        <v>162</v>
      </c>
      <c r="CA71" s="3">
        <f t="shared" si="65"/>
        <v>0</v>
      </c>
      <c r="CB71" s="3">
        <f t="shared" si="66"/>
        <v>0</v>
      </c>
      <c r="CC71" s="3">
        <f t="shared" si="67"/>
        <v>0</v>
      </c>
      <c r="CD71" s="3">
        <f t="shared" si="68"/>
        <v>0</v>
      </c>
      <c r="CE71" s="22">
        <f t="shared" ref="CE71:CE134" si="74">ROUND(BG71,1)</f>
        <v>0</v>
      </c>
      <c r="CF71" s="1">
        <f t="shared" si="69"/>
        <v>0</v>
      </c>
      <c r="CG71" s="1">
        <f t="shared" ref="CG71:CG134" si="75">ROUND(R71,1)</f>
        <v>0</v>
      </c>
      <c r="CH71" s="3" t="s">
        <v>162</v>
      </c>
      <c r="CI71" s="1">
        <f t="shared" ref="CI71:CI134" si="76">ROUND(T71,1)</f>
        <v>0</v>
      </c>
      <c r="CJ71" s="1">
        <f t="shared" ref="CJ71:CJ134" si="77">ROUND(U71,1)</f>
        <v>0</v>
      </c>
      <c r="CK71" s="1">
        <f t="shared" ref="CK71:CK134" si="78">ROUND(V71,1)</f>
        <v>0</v>
      </c>
      <c r="CL71" s="1">
        <f t="shared" ref="CL71:CL134" si="79">ROUND(W71,1)</f>
        <v>0</v>
      </c>
      <c r="CM71" s="2">
        <f t="shared" ref="CM71:CM134" si="80">ROUND(BF71,1)</f>
        <v>0</v>
      </c>
      <c r="CN71" s="1">
        <f t="shared" ref="CN71:CN134" si="81">ROUND(Y71,1)</f>
        <v>0</v>
      </c>
      <c r="CO71" s="1">
        <f t="shared" ref="CO71:CO134" si="82">ROUND(AA71,1)</f>
        <v>0</v>
      </c>
      <c r="CP71" s="3" t="s">
        <v>162</v>
      </c>
      <c r="CQ71" s="1">
        <f t="shared" ref="CQ71:CQ134" si="83">ROUND(AC71,1)</f>
        <v>0</v>
      </c>
      <c r="CR71" s="1">
        <f t="shared" ref="CR71:CR134" si="84">ROUND(AD71,1)</f>
        <v>0</v>
      </c>
      <c r="CS71" s="1">
        <f t="shared" ref="CS71:CS134" si="85">ROUND(AE71,1)</f>
        <v>0</v>
      </c>
      <c r="CT71" s="1">
        <f t="shared" ref="CT71:CT134" si="86">ROUND(AF71,1)</f>
        <v>0</v>
      </c>
      <c r="CU71" s="2">
        <f t="shared" ref="CU71:CU134" si="87">ROUND(BH71,1)</f>
        <v>0</v>
      </c>
      <c r="CV71" s="14">
        <f t="shared" ref="CV71:CV134" si="88">AY71</f>
        <v>0</v>
      </c>
      <c r="CW71" s="1">
        <f>ROUND(PPTest!K71,1)</f>
        <v>0</v>
      </c>
      <c r="CX71" s="3">
        <f t="shared" si="70"/>
        <v>0</v>
      </c>
      <c r="CY71" s="3">
        <f t="shared" ref="CY71:CY134" si="89">ROUND(X71,2)</f>
        <v>0</v>
      </c>
      <c r="CZ71" s="19">
        <f t="shared" ref="CZ71:DA134" si="90">BI71</f>
        <v>0</v>
      </c>
      <c r="DA71" s="19" t="e">
        <f t="shared" si="90"/>
        <v>#DIV/0!</v>
      </c>
      <c r="DB71" s="16">
        <f t="shared" ref="DB71:DB134" si="91">AV71</f>
        <v>0</v>
      </c>
    </row>
    <row r="72" spans="1:106" x14ac:dyDescent="0.2">
      <c r="A72" s="15">
        <f t="shared" ref="A72:A135" si="92">A71+1</f>
        <v>45724</v>
      </c>
      <c r="B72" s="1">
        <v>67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4"/>
      <c r="AY72" s="12"/>
      <c r="AZ72" s="12"/>
      <c r="BA72" s="16">
        <v>14.7</v>
      </c>
      <c r="BB72" s="41"/>
      <c r="BC72" s="41"/>
      <c r="BD72" s="8" t="e">
        <f t="shared" si="50"/>
        <v>#DIV/0!</v>
      </c>
      <c r="BE72" s="8"/>
      <c r="BF72" s="2">
        <f t="shared" si="71"/>
        <v>0</v>
      </c>
      <c r="BG72" s="2">
        <f t="shared" si="72"/>
        <v>0</v>
      </c>
      <c r="BH72" s="2">
        <f t="shared" si="73"/>
        <v>0</v>
      </c>
      <c r="BI72" s="35">
        <f t="shared" si="51"/>
        <v>0</v>
      </c>
      <c r="BJ72" s="35" t="e">
        <f t="shared" si="52"/>
        <v>#DIV/0!</v>
      </c>
      <c r="BL72" s="3">
        <f t="shared" si="53"/>
        <v>0</v>
      </c>
      <c r="BM72" s="19" t="e">
        <f t="shared" si="54"/>
        <v>#DIV/0!</v>
      </c>
      <c r="BN72" s="19" t="e">
        <f t="shared" si="55"/>
        <v>#DIV/0!</v>
      </c>
      <c r="BO72" s="19" t="e">
        <f t="shared" si="56"/>
        <v>#DIV/0!</v>
      </c>
      <c r="BP72" s="19" t="e">
        <f t="shared" si="57"/>
        <v>#DIV/0!</v>
      </c>
      <c r="BQ72" s="19" t="e">
        <f t="shared" si="58"/>
        <v>#DIV/0!</v>
      </c>
      <c r="BR72" s="19" t="e">
        <f t="shared" si="59"/>
        <v>#DIV/0!</v>
      </c>
      <c r="BS72" s="19" t="e">
        <f t="shared" si="60"/>
        <v>#DIV/0!</v>
      </c>
      <c r="BT72" s="19" t="e">
        <f t="shared" si="61"/>
        <v>#DIV/0!</v>
      </c>
      <c r="BV72" s="16">
        <f t="shared" si="62"/>
        <v>0</v>
      </c>
      <c r="BW72" s="16">
        <f t="shared" si="63"/>
        <v>0</v>
      </c>
      <c r="BX72" s="3">
        <f t="shared" si="64"/>
        <v>0</v>
      </c>
      <c r="BY72" s="3">
        <f t="shared" si="49"/>
        <v>0</v>
      </c>
      <c r="BZ72" s="3" t="s">
        <v>162</v>
      </c>
      <c r="CA72" s="3">
        <f t="shared" si="65"/>
        <v>0</v>
      </c>
      <c r="CB72" s="3">
        <f t="shared" si="66"/>
        <v>0</v>
      </c>
      <c r="CC72" s="3">
        <f t="shared" si="67"/>
        <v>0</v>
      </c>
      <c r="CD72" s="3">
        <f t="shared" si="68"/>
        <v>0</v>
      </c>
      <c r="CE72" s="22">
        <f t="shared" si="74"/>
        <v>0</v>
      </c>
      <c r="CF72" s="1">
        <f t="shared" si="69"/>
        <v>0</v>
      </c>
      <c r="CG72" s="1">
        <f t="shared" si="75"/>
        <v>0</v>
      </c>
      <c r="CH72" s="3" t="s">
        <v>162</v>
      </c>
      <c r="CI72" s="1">
        <f t="shared" si="76"/>
        <v>0</v>
      </c>
      <c r="CJ72" s="1">
        <f t="shared" si="77"/>
        <v>0</v>
      </c>
      <c r="CK72" s="1">
        <f t="shared" si="78"/>
        <v>0</v>
      </c>
      <c r="CL72" s="1">
        <f t="shared" si="79"/>
        <v>0</v>
      </c>
      <c r="CM72" s="2">
        <f t="shared" si="80"/>
        <v>0</v>
      </c>
      <c r="CN72" s="1">
        <f t="shared" si="81"/>
        <v>0</v>
      </c>
      <c r="CO72" s="1">
        <f t="shared" si="82"/>
        <v>0</v>
      </c>
      <c r="CP72" s="3" t="s">
        <v>162</v>
      </c>
      <c r="CQ72" s="1">
        <f t="shared" si="83"/>
        <v>0</v>
      </c>
      <c r="CR72" s="1">
        <f t="shared" si="84"/>
        <v>0</v>
      </c>
      <c r="CS72" s="1">
        <f t="shared" si="85"/>
        <v>0</v>
      </c>
      <c r="CT72" s="1">
        <f t="shared" si="86"/>
        <v>0</v>
      </c>
      <c r="CU72" s="2">
        <f t="shared" si="87"/>
        <v>0</v>
      </c>
      <c r="CV72" s="14">
        <f t="shared" si="88"/>
        <v>0</v>
      </c>
      <c r="CW72" s="1">
        <f>ROUND(PPTest!K72,1)</f>
        <v>0</v>
      </c>
      <c r="CX72" s="3">
        <f t="shared" si="70"/>
        <v>0</v>
      </c>
      <c r="CY72" s="3">
        <f t="shared" si="89"/>
        <v>0</v>
      </c>
      <c r="CZ72" s="19">
        <f t="shared" si="90"/>
        <v>0</v>
      </c>
      <c r="DA72" s="19" t="e">
        <f t="shared" si="90"/>
        <v>#DIV/0!</v>
      </c>
      <c r="DB72" s="16">
        <f t="shared" si="91"/>
        <v>0</v>
      </c>
    </row>
    <row r="73" spans="1:106" x14ac:dyDescent="0.2">
      <c r="A73" s="15">
        <f t="shared" si="92"/>
        <v>45725</v>
      </c>
      <c r="B73" s="1">
        <v>68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4"/>
      <c r="AY73" s="12"/>
      <c r="AZ73" s="12"/>
      <c r="BA73" s="16">
        <v>14.96</v>
      </c>
      <c r="BB73" s="41"/>
      <c r="BC73" s="41"/>
      <c r="BD73" s="8" t="e">
        <f t="shared" si="50"/>
        <v>#DIV/0!</v>
      </c>
      <c r="BE73" s="8"/>
      <c r="BF73" s="2">
        <f t="shared" si="71"/>
        <v>0</v>
      </c>
      <c r="BG73" s="2">
        <f t="shared" si="72"/>
        <v>0</v>
      </c>
      <c r="BH73" s="2">
        <f t="shared" si="73"/>
        <v>0</v>
      </c>
      <c r="BI73" s="35">
        <f t="shared" si="51"/>
        <v>0</v>
      </c>
      <c r="BJ73" s="35" t="e">
        <f t="shared" si="52"/>
        <v>#DIV/0!</v>
      </c>
      <c r="BL73" s="3">
        <f t="shared" si="53"/>
        <v>0</v>
      </c>
      <c r="BM73" s="19" t="e">
        <f t="shared" si="54"/>
        <v>#DIV/0!</v>
      </c>
      <c r="BN73" s="19" t="e">
        <f t="shared" si="55"/>
        <v>#DIV/0!</v>
      </c>
      <c r="BO73" s="19" t="e">
        <f t="shared" si="56"/>
        <v>#DIV/0!</v>
      </c>
      <c r="BP73" s="19" t="e">
        <f t="shared" si="57"/>
        <v>#DIV/0!</v>
      </c>
      <c r="BQ73" s="19" t="e">
        <f t="shared" si="58"/>
        <v>#DIV/0!</v>
      </c>
      <c r="BR73" s="19" t="e">
        <f t="shared" si="59"/>
        <v>#DIV/0!</v>
      </c>
      <c r="BS73" s="19" t="e">
        <f t="shared" si="60"/>
        <v>#DIV/0!</v>
      </c>
      <c r="BT73" s="19" t="e">
        <f t="shared" si="61"/>
        <v>#DIV/0!</v>
      </c>
      <c r="BV73" s="16">
        <f t="shared" si="62"/>
        <v>0</v>
      </c>
      <c r="BW73" s="16">
        <f t="shared" si="63"/>
        <v>0</v>
      </c>
      <c r="BX73" s="3">
        <f t="shared" si="64"/>
        <v>0</v>
      </c>
      <c r="BY73" s="3">
        <f t="shared" ref="BY73:BY136" si="93">ROUND(G73,1)</f>
        <v>0</v>
      </c>
      <c r="BZ73" s="3" t="s">
        <v>162</v>
      </c>
      <c r="CA73" s="3">
        <f t="shared" si="65"/>
        <v>0</v>
      </c>
      <c r="CB73" s="3">
        <f t="shared" si="66"/>
        <v>0</v>
      </c>
      <c r="CC73" s="3">
        <f t="shared" si="67"/>
        <v>0</v>
      </c>
      <c r="CD73" s="3">
        <f t="shared" si="68"/>
        <v>0</v>
      </c>
      <c r="CE73" s="22">
        <f t="shared" si="74"/>
        <v>0</v>
      </c>
      <c r="CF73" s="1">
        <f t="shared" si="69"/>
        <v>0</v>
      </c>
      <c r="CG73" s="1">
        <f t="shared" si="75"/>
        <v>0</v>
      </c>
      <c r="CH73" s="3" t="s">
        <v>162</v>
      </c>
      <c r="CI73" s="1">
        <f t="shared" si="76"/>
        <v>0</v>
      </c>
      <c r="CJ73" s="1">
        <f t="shared" si="77"/>
        <v>0</v>
      </c>
      <c r="CK73" s="1">
        <f t="shared" si="78"/>
        <v>0</v>
      </c>
      <c r="CL73" s="1">
        <f t="shared" si="79"/>
        <v>0</v>
      </c>
      <c r="CM73" s="2">
        <f t="shared" si="80"/>
        <v>0</v>
      </c>
      <c r="CN73" s="1">
        <f t="shared" si="81"/>
        <v>0</v>
      </c>
      <c r="CO73" s="1">
        <f t="shared" si="82"/>
        <v>0</v>
      </c>
      <c r="CP73" s="3" t="s">
        <v>162</v>
      </c>
      <c r="CQ73" s="1">
        <f t="shared" si="83"/>
        <v>0</v>
      </c>
      <c r="CR73" s="1">
        <f t="shared" si="84"/>
        <v>0</v>
      </c>
      <c r="CS73" s="1">
        <f t="shared" si="85"/>
        <v>0</v>
      </c>
      <c r="CT73" s="1">
        <f t="shared" si="86"/>
        <v>0</v>
      </c>
      <c r="CU73" s="2">
        <f t="shared" si="87"/>
        <v>0</v>
      </c>
      <c r="CV73" s="14">
        <f t="shared" si="88"/>
        <v>0</v>
      </c>
      <c r="CW73" s="1">
        <f>ROUND(PPTest!K73,1)</f>
        <v>0</v>
      </c>
      <c r="CX73" s="3">
        <f t="shared" si="70"/>
        <v>0</v>
      </c>
      <c r="CY73" s="3">
        <f t="shared" si="89"/>
        <v>0</v>
      </c>
      <c r="CZ73" s="19">
        <f t="shared" si="90"/>
        <v>0</v>
      </c>
      <c r="DA73" s="19" t="e">
        <f t="shared" si="90"/>
        <v>#DIV/0!</v>
      </c>
      <c r="DB73" s="16">
        <f t="shared" si="91"/>
        <v>0</v>
      </c>
    </row>
    <row r="74" spans="1:106" x14ac:dyDescent="0.2">
      <c r="A74" s="15">
        <f t="shared" si="92"/>
        <v>45726</v>
      </c>
      <c r="B74" s="1">
        <v>69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4"/>
      <c r="AY74" s="12"/>
      <c r="AZ74" s="12"/>
      <c r="BA74" s="16">
        <v>15.22</v>
      </c>
      <c r="BB74" s="41"/>
      <c r="BC74" s="41"/>
      <c r="BD74" s="8" t="e">
        <f t="shared" si="50"/>
        <v>#DIV/0!</v>
      </c>
      <c r="BE74" s="8"/>
      <c r="BF74" s="2">
        <f t="shared" si="71"/>
        <v>0</v>
      </c>
      <c r="BG74" s="2">
        <f t="shared" si="72"/>
        <v>0</v>
      </c>
      <c r="BH74" s="2">
        <f t="shared" si="73"/>
        <v>0</v>
      </c>
      <c r="BI74" s="35">
        <f t="shared" si="51"/>
        <v>0</v>
      </c>
      <c r="BJ74" s="35" t="e">
        <f t="shared" si="52"/>
        <v>#DIV/0!</v>
      </c>
      <c r="BL74" s="3">
        <f t="shared" si="53"/>
        <v>0</v>
      </c>
      <c r="BM74" s="19" t="e">
        <f t="shared" si="54"/>
        <v>#DIV/0!</v>
      </c>
      <c r="BN74" s="19" t="e">
        <f t="shared" si="55"/>
        <v>#DIV/0!</v>
      </c>
      <c r="BO74" s="19" t="e">
        <f t="shared" si="56"/>
        <v>#DIV/0!</v>
      </c>
      <c r="BP74" s="19" t="e">
        <f t="shared" si="57"/>
        <v>#DIV/0!</v>
      </c>
      <c r="BQ74" s="19" t="e">
        <f t="shared" si="58"/>
        <v>#DIV/0!</v>
      </c>
      <c r="BR74" s="19" t="e">
        <f t="shared" si="59"/>
        <v>#DIV/0!</v>
      </c>
      <c r="BS74" s="19" t="e">
        <f t="shared" si="60"/>
        <v>#DIV/0!</v>
      </c>
      <c r="BT74" s="19" t="e">
        <f t="shared" si="61"/>
        <v>#DIV/0!</v>
      </c>
      <c r="BV74" s="16">
        <f t="shared" si="62"/>
        <v>0</v>
      </c>
      <c r="BW74" s="16">
        <f t="shared" si="63"/>
        <v>0</v>
      </c>
      <c r="BX74" s="3">
        <f t="shared" si="64"/>
        <v>0</v>
      </c>
      <c r="BY74" s="3">
        <f t="shared" si="93"/>
        <v>0</v>
      </c>
      <c r="BZ74" s="3" t="s">
        <v>162</v>
      </c>
      <c r="CA74" s="3">
        <f t="shared" si="65"/>
        <v>0</v>
      </c>
      <c r="CB74" s="3">
        <f t="shared" si="66"/>
        <v>0</v>
      </c>
      <c r="CC74" s="3">
        <f t="shared" si="67"/>
        <v>0</v>
      </c>
      <c r="CD74" s="3">
        <f t="shared" si="68"/>
        <v>0</v>
      </c>
      <c r="CE74" s="22">
        <f t="shared" si="74"/>
        <v>0</v>
      </c>
      <c r="CF74" s="1">
        <f t="shared" si="69"/>
        <v>0</v>
      </c>
      <c r="CG74" s="1">
        <f t="shared" si="75"/>
        <v>0</v>
      </c>
      <c r="CH74" s="3" t="s">
        <v>162</v>
      </c>
      <c r="CI74" s="1">
        <f t="shared" si="76"/>
        <v>0</v>
      </c>
      <c r="CJ74" s="1">
        <f t="shared" si="77"/>
        <v>0</v>
      </c>
      <c r="CK74" s="1">
        <f t="shared" si="78"/>
        <v>0</v>
      </c>
      <c r="CL74" s="1">
        <f t="shared" si="79"/>
        <v>0</v>
      </c>
      <c r="CM74" s="2">
        <f t="shared" si="80"/>
        <v>0</v>
      </c>
      <c r="CN74" s="1">
        <f t="shared" si="81"/>
        <v>0</v>
      </c>
      <c r="CO74" s="1">
        <f t="shared" si="82"/>
        <v>0</v>
      </c>
      <c r="CP74" s="3" t="s">
        <v>162</v>
      </c>
      <c r="CQ74" s="1">
        <f t="shared" si="83"/>
        <v>0</v>
      </c>
      <c r="CR74" s="1">
        <f t="shared" si="84"/>
        <v>0</v>
      </c>
      <c r="CS74" s="1">
        <f t="shared" si="85"/>
        <v>0</v>
      </c>
      <c r="CT74" s="1">
        <f t="shared" si="86"/>
        <v>0</v>
      </c>
      <c r="CU74" s="2">
        <f t="shared" si="87"/>
        <v>0</v>
      </c>
      <c r="CV74" s="14">
        <f t="shared" si="88"/>
        <v>0</v>
      </c>
      <c r="CW74" s="1">
        <f>ROUND(PPTest!K74,1)</f>
        <v>0</v>
      </c>
      <c r="CX74" s="3">
        <f t="shared" si="70"/>
        <v>0</v>
      </c>
      <c r="CY74" s="3">
        <f t="shared" si="89"/>
        <v>0</v>
      </c>
      <c r="CZ74" s="19">
        <f t="shared" si="90"/>
        <v>0</v>
      </c>
      <c r="DA74" s="19" t="e">
        <f t="shared" si="90"/>
        <v>#DIV/0!</v>
      </c>
      <c r="DB74" s="16">
        <f t="shared" si="91"/>
        <v>0</v>
      </c>
    </row>
    <row r="75" spans="1:106" x14ac:dyDescent="0.2">
      <c r="A75" s="15">
        <f t="shared" si="92"/>
        <v>45727</v>
      </c>
      <c r="B75" s="1">
        <v>70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4"/>
      <c r="AY75" s="12"/>
      <c r="AZ75" s="12"/>
      <c r="BA75" s="16">
        <v>15.48</v>
      </c>
      <c r="BB75" s="41"/>
      <c r="BC75" s="41"/>
      <c r="BD75" s="8" t="e">
        <f t="shared" si="50"/>
        <v>#DIV/0!</v>
      </c>
      <c r="BE75" s="8"/>
      <c r="BF75" s="2">
        <f t="shared" si="71"/>
        <v>0</v>
      </c>
      <c r="BG75" s="2">
        <f t="shared" si="72"/>
        <v>0</v>
      </c>
      <c r="BH75" s="2">
        <f t="shared" si="73"/>
        <v>0</v>
      </c>
      <c r="BI75" s="35">
        <f t="shared" si="51"/>
        <v>0</v>
      </c>
      <c r="BJ75" s="35" t="e">
        <f t="shared" si="52"/>
        <v>#DIV/0!</v>
      </c>
      <c r="BL75" s="3">
        <f t="shared" si="53"/>
        <v>0</v>
      </c>
      <c r="BM75" s="19" t="e">
        <f t="shared" si="54"/>
        <v>#DIV/0!</v>
      </c>
      <c r="BN75" s="19" t="e">
        <f t="shared" si="55"/>
        <v>#DIV/0!</v>
      </c>
      <c r="BO75" s="19" t="e">
        <f t="shared" si="56"/>
        <v>#DIV/0!</v>
      </c>
      <c r="BP75" s="19" t="e">
        <f t="shared" si="57"/>
        <v>#DIV/0!</v>
      </c>
      <c r="BQ75" s="19" t="e">
        <f t="shared" si="58"/>
        <v>#DIV/0!</v>
      </c>
      <c r="BR75" s="19" t="e">
        <f t="shared" si="59"/>
        <v>#DIV/0!</v>
      </c>
      <c r="BS75" s="19" t="e">
        <f t="shared" si="60"/>
        <v>#DIV/0!</v>
      </c>
      <c r="BT75" s="19" t="e">
        <f t="shared" si="61"/>
        <v>#DIV/0!</v>
      </c>
      <c r="BV75" s="16">
        <f t="shared" si="62"/>
        <v>0</v>
      </c>
      <c r="BW75" s="16">
        <f t="shared" si="63"/>
        <v>0</v>
      </c>
      <c r="BX75" s="3">
        <f t="shared" si="64"/>
        <v>0</v>
      </c>
      <c r="BY75" s="3">
        <f t="shared" si="93"/>
        <v>0</v>
      </c>
      <c r="BZ75" s="3" t="s">
        <v>162</v>
      </c>
      <c r="CA75" s="3">
        <f t="shared" si="65"/>
        <v>0</v>
      </c>
      <c r="CB75" s="3">
        <f t="shared" si="66"/>
        <v>0</v>
      </c>
      <c r="CC75" s="3">
        <f t="shared" si="67"/>
        <v>0</v>
      </c>
      <c r="CD75" s="3">
        <f t="shared" si="68"/>
        <v>0</v>
      </c>
      <c r="CE75" s="22">
        <f t="shared" si="74"/>
        <v>0</v>
      </c>
      <c r="CF75" s="1">
        <f t="shared" si="69"/>
        <v>0</v>
      </c>
      <c r="CG75" s="1">
        <f t="shared" si="75"/>
        <v>0</v>
      </c>
      <c r="CH75" s="3" t="s">
        <v>162</v>
      </c>
      <c r="CI75" s="1">
        <f t="shared" si="76"/>
        <v>0</v>
      </c>
      <c r="CJ75" s="1">
        <f t="shared" si="77"/>
        <v>0</v>
      </c>
      <c r="CK75" s="1">
        <f t="shared" si="78"/>
        <v>0</v>
      </c>
      <c r="CL75" s="1">
        <f t="shared" si="79"/>
        <v>0</v>
      </c>
      <c r="CM75" s="2">
        <f t="shared" si="80"/>
        <v>0</v>
      </c>
      <c r="CN75" s="1">
        <f t="shared" si="81"/>
        <v>0</v>
      </c>
      <c r="CO75" s="1">
        <f t="shared" si="82"/>
        <v>0</v>
      </c>
      <c r="CP75" s="3" t="s">
        <v>162</v>
      </c>
      <c r="CQ75" s="1">
        <f t="shared" si="83"/>
        <v>0</v>
      </c>
      <c r="CR75" s="1">
        <f t="shared" si="84"/>
        <v>0</v>
      </c>
      <c r="CS75" s="1">
        <f t="shared" si="85"/>
        <v>0</v>
      </c>
      <c r="CT75" s="1">
        <f t="shared" si="86"/>
        <v>0</v>
      </c>
      <c r="CU75" s="2">
        <f t="shared" si="87"/>
        <v>0</v>
      </c>
      <c r="CV75" s="14">
        <f t="shared" si="88"/>
        <v>0</v>
      </c>
      <c r="CW75" s="1">
        <f>ROUND(PPTest!K75,1)</f>
        <v>0</v>
      </c>
      <c r="CX75" s="3">
        <f t="shared" si="70"/>
        <v>0</v>
      </c>
      <c r="CY75" s="3">
        <f t="shared" si="89"/>
        <v>0</v>
      </c>
      <c r="CZ75" s="19">
        <f t="shared" si="90"/>
        <v>0</v>
      </c>
      <c r="DA75" s="19" t="e">
        <f t="shared" si="90"/>
        <v>#DIV/0!</v>
      </c>
      <c r="DB75" s="16">
        <f t="shared" si="91"/>
        <v>0</v>
      </c>
    </row>
    <row r="76" spans="1:106" x14ac:dyDescent="0.2">
      <c r="A76" s="15">
        <f t="shared" si="92"/>
        <v>45728</v>
      </c>
      <c r="B76" s="1">
        <v>71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4"/>
      <c r="AY76" s="12"/>
      <c r="AZ76" s="12"/>
      <c r="BA76" s="16">
        <v>15.73</v>
      </c>
      <c r="BB76" s="41"/>
      <c r="BC76" s="41"/>
      <c r="BD76" s="8" t="e">
        <f t="shared" si="50"/>
        <v>#DIV/0!</v>
      </c>
      <c r="BE76" s="8"/>
      <c r="BF76" s="2">
        <f t="shared" si="71"/>
        <v>0</v>
      </c>
      <c r="BG76" s="2">
        <f t="shared" si="72"/>
        <v>0</v>
      </c>
      <c r="BH76" s="2">
        <f t="shared" si="73"/>
        <v>0</v>
      </c>
      <c r="BI76" s="35">
        <f t="shared" si="51"/>
        <v>0</v>
      </c>
      <c r="BJ76" s="35" t="e">
        <f t="shared" si="52"/>
        <v>#DIV/0!</v>
      </c>
      <c r="BL76" s="3">
        <f t="shared" si="53"/>
        <v>0</v>
      </c>
      <c r="BM76" s="19" t="e">
        <f t="shared" si="54"/>
        <v>#DIV/0!</v>
      </c>
      <c r="BN76" s="19" t="e">
        <f t="shared" si="55"/>
        <v>#DIV/0!</v>
      </c>
      <c r="BO76" s="19" t="e">
        <f t="shared" si="56"/>
        <v>#DIV/0!</v>
      </c>
      <c r="BP76" s="19" t="e">
        <f t="shared" si="57"/>
        <v>#DIV/0!</v>
      </c>
      <c r="BQ76" s="19" t="e">
        <f t="shared" si="58"/>
        <v>#DIV/0!</v>
      </c>
      <c r="BR76" s="19" t="e">
        <f t="shared" si="59"/>
        <v>#DIV/0!</v>
      </c>
      <c r="BS76" s="19" t="e">
        <f t="shared" si="60"/>
        <v>#DIV/0!</v>
      </c>
      <c r="BT76" s="19" t="e">
        <f t="shared" si="61"/>
        <v>#DIV/0!</v>
      </c>
      <c r="BV76" s="16">
        <f t="shared" si="62"/>
        <v>0</v>
      </c>
      <c r="BW76" s="16">
        <f t="shared" si="63"/>
        <v>0</v>
      </c>
      <c r="BX76" s="3">
        <f t="shared" si="64"/>
        <v>0</v>
      </c>
      <c r="BY76" s="3">
        <f t="shared" si="93"/>
        <v>0</v>
      </c>
      <c r="BZ76" s="3" t="s">
        <v>162</v>
      </c>
      <c r="CA76" s="3">
        <f t="shared" si="65"/>
        <v>0</v>
      </c>
      <c r="CB76" s="3">
        <f t="shared" si="66"/>
        <v>0</v>
      </c>
      <c r="CC76" s="3">
        <f t="shared" si="67"/>
        <v>0</v>
      </c>
      <c r="CD76" s="3">
        <f t="shared" si="68"/>
        <v>0</v>
      </c>
      <c r="CE76" s="22">
        <f t="shared" si="74"/>
        <v>0</v>
      </c>
      <c r="CF76" s="1">
        <f t="shared" si="69"/>
        <v>0</v>
      </c>
      <c r="CG76" s="1">
        <f t="shared" si="75"/>
        <v>0</v>
      </c>
      <c r="CH76" s="3" t="s">
        <v>162</v>
      </c>
      <c r="CI76" s="1">
        <f t="shared" si="76"/>
        <v>0</v>
      </c>
      <c r="CJ76" s="1">
        <f t="shared" si="77"/>
        <v>0</v>
      </c>
      <c r="CK76" s="1">
        <f t="shared" si="78"/>
        <v>0</v>
      </c>
      <c r="CL76" s="1">
        <f t="shared" si="79"/>
        <v>0</v>
      </c>
      <c r="CM76" s="2">
        <f t="shared" si="80"/>
        <v>0</v>
      </c>
      <c r="CN76" s="1">
        <f t="shared" si="81"/>
        <v>0</v>
      </c>
      <c r="CO76" s="1">
        <f t="shared" si="82"/>
        <v>0</v>
      </c>
      <c r="CP76" s="3" t="s">
        <v>162</v>
      </c>
      <c r="CQ76" s="1">
        <f t="shared" si="83"/>
        <v>0</v>
      </c>
      <c r="CR76" s="1">
        <f t="shared" si="84"/>
        <v>0</v>
      </c>
      <c r="CS76" s="1">
        <f t="shared" si="85"/>
        <v>0</v>
      </c>
      <c r="CT76" s="1">
        <f t="shared" si="86"/>
        <v>0</v>
      </c>
      <c r="CU76" s="2">
        <f t="shared" si="87"/>
        <v>0</v>
      </c>
      <c r="CV76" s="14">
        <f t="shared" si="88"/>
        <v>0</v>
      </c>
      <c r="CW76" s="1">
        <f>ROUND(PPTest!K76,1)</f>
        <v>0</v>
      </c>
      <c r="CX76" s="3">
        <f t="shared" si="70"/>
        <v>0</v>
      </c>
      <c r="CY76" s="3">
        <f t="shared" si="89"/>
        <v>0</v>
      </c>
      <c r="CZ76" s="19">
        <f t="shared" si="90"/>
        <v>0</v>
      </c>
      <c r="DA76" s="19" t="e">
        <f t="shared" si="90"/>
        <v>#DIV/0!</v>
      </c>
      <c r="DB76" s="16">
        <f t="shared" si="91"/>
        <v>0</v>
      </c>
    </row>
    <row r="77" spans="1:106" x14ac:dyDescent="0.2">
      <c r="A77" s="15">
        <f t="shared" si="92"/>
        <v>45729</v>
      </c>
      <c r="B77" s="1">
        <v>72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4"/>
      <c r="AY77" s="12"/>
      <c r="AZ77" s="12"/>
      <c r="BA77" s="16">
        <v>15.98</v>
      </c>
      <c r="BB77" s="41"/>
      <c r="BC77" s="41"/>
      <c r="BD77" s="8" t="e">
        <f t="shared" si="50"/>
        <v>#DIV/0!</v>
      </c>
      <c r="BE77" s="8"/>
      <c r="BF77" s="2">
        <f t="shared" si="71"/>
        <v>0</v>
      </c>
      <c r="BG77" s="2">
        <f t="shared" si="72"/>
        <v>0</v>
      </c>
      <c r="BH77" s="2">
        <f t="shared" si="73"/>
        <v>0</v>
      </c>
      <c r="BI77" s="35">
        <f t="shared" si="51"/>
        <v>0</v>
      </c>
      <c r="BJ77" s="35" t="e">
        <f t="shared" si="52"/>
        <v>#DIV/0!</v>
      </c>
      <c r="BL77" s="3">
        <f t="shared" si="53"/>
        <v>0</v>
      </c>
      <c r="BM77" s="19" t="e">
        <f t="shared" si="54"/>
        <v>#DIV/0!</v>
      </c>
      <c r="BN77" s="19" t="e">
        <f t="shared" si="55"/>
        <v>#DIV/0!</v>
      </c>
      <c r="BO77" s="19" t="e">
        <f t="shared" si="56"/>
        <v>#DIV/0!</v>
      </c>
      <c r="BP77" s="19" t="e">
        <f t="shared" si="57"/>
        <v>#DIV/0!</v>
      </c>
      <c r="BQ77" s="19" t="e">
        <f t="shared" si="58"/>
        <v>#DIV/0!</v>
      </c>
      <c r="BR77" s="19" t="e">
        <f t="shared" si="59"/>
        <v>#DIV/0!</v>
      </c>
      <c r="BS77" s="19" t="e">
        <f t="shared" si="60"/>
        <v>#DIV/0!</v>
      </c>
      <c r="BT77" s="19" t="e">
        <f t="shared" si="61"/>
        <v>#DIV/0!</v>
      </c>
      <c r="BV77" s="16">
        <f t="shared" si="62"/>
        <v>0</v>
      </c>
      <c r="BW77" s="16">
        <f t="shared" si="63"/>
        <v>0</v>
      </c>
      <c r="BX77" s="3">
        <f t="shared" si="64"/>
        <v>0</v>
      </c>
      <c r="BY77" s="3">
        <f t="shared" si="93"/>
        <v>0</v>
      </c>
      <c r="BZ77" s="3" t="s">
        <v>162</v>
      </c>
      <c r="CA77" s="3">
        <f t="shared" si="65"/>
        <v>0</v>
      </c>
      <c r="CB77" s="3">
        <f t="shared" si="66"/>
        <v>0</v>
      </c>
      <c r="CC77" s="3">
        <f t="shared" si="67"/>
        <v>0</v>
      </c>
      <c r="CD77" s="3">
        <f t="shared" si="68"/>
        <v>0</v>
      </c>
      <c r="CE77" s="22">
        <f t="shared" si="74"/>
        <v>0</v>
      </c>
      <c r="CF77" s="1">
        <f t="shared" si="69"/>
        <v>0</v>
      </c>
      <c r="CG77" s="1">
        <f t="shared" si="75"/>
        <v>0</v>
      </c>
      <c r="CH77" s="3" t="s">
        <v>162</v>
      </c>
      <c r="CI77" s="1">
        <f t="shared" si="76"/>
        <v>0</v>
      </c>
      <c r="CJ77" s="1">
        <f t="shared" si="77"/>
        <v>0</v>
      </c>
      <c r="CK77" s="1">
        <f t="shared" si="78"/>
        <v>0</v>
      </c>
      <c r="CL77" s="1">
        <f t="shared" si="79"/>
        <v>0</v>
      </c>
      <c r="CM77" s="2">
        <f t="shared" si="80"/>
        <v>0</v>
      </c>
      <c r="CN77" s="1">
        <f t="shared" si="81"/>
        <v>0</v>
      </c>
      <c r="CO77" s="1">
        <f t="shared" si="82"/>
        <v>0</v>
      </c>
      <c r="CP77" s="3" t="s">
        <v>162</v>
      </c>
      <c r="CQ77" s="1">
        <f t="shared" si="83"/>
        <v>0</v>
      </c>
      <c r="CR77" s="1">
        <f t="shared" si="84"/>
        <v>0</v>
      </c>
      <c r="CS77" s="1">
        <f t="shared" si="85"/>
        <v>0</v>
      </c>
      <c r="CT77" s="1">
        <f t="shared" si="86"/>
        <v>0</v>
      </c>
      <c r="CU77" s="2">
        <f t="shared" si="87"/>
        <v>0</v>
      </c>
      <c r="CV77" s="14">
        <f t="shared" si="88"/>
        <v>0</v>
      </c>
      <c r="CW77" s="1">
        <f>ROUND(PPTest!K77,1)</f>
        <v>0</v>
      </c>
      <c r="CX77" s="3">
        <f t="shared" si="70"/>
        <v>0</v>
      </c>
      <c r="CY77" s="3">
        <f t="shared" si="89"/>
        <v>0</v>
      </c>
      <c r="CZ77" s="19">
        <f t="shared" si="90"/>
        <v>0</v>
      </c>
      <c r="DA77" s="19" t="e">
        <f t="shared" si="90"/>
        <v>#DIV/0!</v>
      </c>
      <c r="DB77" s="16">
        <f t="shared" si="91"/>
        <v>0</v>
      </c>
    </row>
    <row r="78" spans="1:106" x14ac:dyDescent="0.2">
      <c r="A78" s="15">
        <f t="shared" si="92"/>
        <v>45730</v>
      </c>
      <c r="B78" s="1">
        <v>73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4"/>
      <c r="AY78" s="12"/>
      <c r="AZ78" s="12"/>
      <c r="BA78" s="16">
        <v>16.25</v>
      </c>
      <c r="BB78" s="41"/>
      <c r="BC78" s="41"/>
      <c r="BD78" s="8" t="e">
        <f t="shared" si="50"/>
        <v>#DIV/0!</v>
      </c>
      <c r="BE78" s="8"/>
      <c r="BF78" s="2">
        <f t="shared" si="71"/>
        <v>0</v>
      </c>
      <c r="BG78" s="2">
        <f t="shared" si="72"/>
        <v>0</v>
      </c>
      <c r="BH78" s="2">
        <f t="shared" si="73"/>
        <v>0</v>
      </c>
      <c r="BI78" s="35">
        <f t="shared" si="51"/>
        <v>0</v>
      </c>
      <c r="BJ78" s="35" t="e">
        <f t="shared" si="52"/>
        <v>#DIV/0!</v>
      </c>
      <c r="BL78" s="3">
        <f t="shared" si="53"/>
        <v>0</v>
      </c>
      <c r="BM78" s="19" t="e">
        <f t="shared" si="54"/>
        <v>#DIV/0!</v>
      </c>
      <c r="BN78" s="19" t="e">
        <f t="shared" si="55"/>
        <v>#DIV/0!</v>
      </c>
      <c r="BO78" s="19" t="e">
        <f t="shared" si="56"/>
        <v>#DIV/0!</v>
      </c>
      <c r="BP78" s="19" t="e">
        <f t="shared" si="57"/>
        <v>#DIV/0!</v>
      </c>
      <c r="BQ78" s="19" t="e">
        <f t="shared" si="58"/>
        <v>#DIV/0!</v>
      </c>
      <c r="BR78" s="19" t="e">
        <f t="shared" si="59"/>
        <v>#DIV/0!</v>
      </c>
      <c r="BS78" s="19" t="e">
        <f t="shared" si="60"/>
        <v>#DIV/0!</v>
      </c>
      <c r="BT78" s="19" t="e">
        <f t="shared" si="61"/>
        <v>#DIV/0!</v>
      </c>
      <c r="BV78" s="16">
        <f t="shared" si="62"/>
        <v>0</v>
      </c>
      <c r="BW78" s="16">
        <f t="shared" si="63"/>
        <v>0</v>
      </c>
      <c r="BX78" s="3">
        <f t="shared" si="64"/>
        <v>0</v>
      </c>
      <c r="BY78" s="3">
        <f t="shared" si="93"/>
        <v>0</v>
      </c>
      <c r="BZ78" s="3" t="s">
        <v>162</v>
      </c>
      <c r="CA78" s="3">
        <f t="shared" si="65"/>
        <v>0</v>
      </c>
      <c r="CB78" s="3">
        <f t="shared" si="66"/>
        <v>0</v>
      </c>
      <c r="CC78" s="3">
        <f t="shared" si="67"/>
        <v>0</v>
      </c>
      <c r="CD78" s="3">
        <f t="shared" si="68"/>
        <v>0</v>
      </c>
      <c r="CE78" s="22">
        <f t="shared" si="74"/>
        <v>0</v>
      </c>
      <c r="CF78" s="1">
        <f t="shared" si="69"/>
        <v>0</v>
      </c>
      <c r="CG78" s="1">
        <f t="shared" si="75"/>
        <v>0</v>
      </c>
      <c r="CH78" s="3" t="s">
        <v>162</v>
      </c>
      <c r="CI78" s="1">
        <f t="shared" si="76"/>
        <v>0</v>
      </c>
      <c r="CJ78" s="1">
        <f t="shared" si="77"/>
        <v>0</v>
      </c>
      <c r="CK78" s="1">
        <f t="shared" si="78"/>
        <v>0</v>
      </c>
      <c r="CL78" s="1">
        <f t="shared" si="79"/>
        <v>0</v>
      </c>
      <c r="CM78" s="2">
        <f t="shared" si="80"/>
        <v>0</v>
      </c>
      <c r="CN78" s="1">
        <f t="shared" si="81"/>
        <v>0</v>
      </c>
      <c r="CO78" s="1">
        <f t="shared" si="82"/>
        <v>0</v>
      </c>
      <c r="CP78" s="3" t="s">
        <v>162</v>
      </c>
      <c r="CQ78" s="1">
        <f t="shared" si="83"/>
        <v>0</v>
      </c>
      <c r="CR78" s="1">
        <f t="shared" si="84"/>
        <v>0</v>
      </c>
      <c r="CS78" s="1">
        <f t="shared" si="85"/>
        <v>0</v>
      </c>
      <c r="CT78" s="1">
        <f t="shared" si="86"/>
        <v>0</v>
      </c>
      <c r="CU78" s="2">
        <f t="shared" si="87"/>
        <v>0</v>
      </c>
      <c r="CV78" s="14">
        <f t="shared" si="88"/>
        <v>0</v>
      </c>
      <c r="CW78" s="1">
        <f>ROUND(PPTest!K78,1)</f>
        <v>0</v>
      </c>
      <c r="CX78" s="3">
        <f t="shared" si="70"/>
        <v>0</v>
      </c>
      <c r="CY78" s="3">
        <f t="shared" si="89"/>
        <v>0</v>
      </c>
      <c r="CZ78" s="19">
        <f t="shared" si="90"/>
        <v>0</v>
      </c>
      <c r="DA78" s="19" t="e">
        <f t="shared" si="90"/>
        <v>#DIV/0!</v>
      </c>
      <c r="DB78" s="16">
        <f t="shared" si="91"/>
        <v>0</v>
      </c>
    </row>
    <row r="79" spans="1:106" x14ac:dyDescent="0.2">
      <c r="A79" s="15">
        <f t="shared" si="92"/>
        <v>45731</v>
      </c>
      <c r="B79" s="1">
        <v>74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4"/>
      <c r="AY79" s="12"/>
      <c r="AZ79" s="12"/>
      <c r="BA79" s="16">
        <v>16.510000000000002</v>
      </c>
      <c r="BB79" s="41"/>
      <c r="BC79" s="41"/>
      <c r="BD79" s="8" t="e">
        <f t="shared" si="50"/>
        <v>#DIV/0!</v>
      </c>
      <c r="BE79" s="8"/>
      <c r="BF79" s="2">
        <f t="shared" si="71"/>
        <v>0</v>
      </c>
      <c r="BG79" s="2">
        <f t="shared" si="72"/>
        <v>0</v>
      </c>
      <c r="BH79" s="2">
        <f t="shared" si="73"/>
        <v>0</v>
      </c>
      <c r="BI79" s="35">
        <f t="shared" si="51"/>
        <v>0</v>
      </c>
      <c r="BJ79" s="35" t="e">
        <f t="shared" si="52"/>
        <v>#DIV/0!</v>
      </c>
      <c r="BL79" s="3">
        <f t="shared" si="53"/>
        <v>0</v>
      </c>
      <c r="BM79" s="19" t="e">
        <f t="shared" si="54"/>
        <v>#DIV/0!</v>
      </c>
      <c r="BN79" s="19" t="e">
        <f t="shared" si="55"/>
        <v>#DIV/0!</v>
      </c>
      <c r="BO79" s="19" t="e">
        <f t="shared" si="56"/>
        <v>#DIV/0!</v>
      </c>
      <c r="BP79" s="19" t="e">
        <f t="shared" si="57"/>
        <v>#DIV/0!</v>
      </c>
      <c r="BQ79" s="19" t="e">
        <f t="shared" si="58"/>
        <v>#DIV/0!</v>
      </c>
      <c r="BR79" s="19" t="e">
        <f t="shared" si="59"/>
        <v>#DIV/0!</v>
      </c>
      <c r="BS79" s="19" t="e">
        <f t="shared" si="60"/>
        <v>#DIV/0!</v>
      </c>
      <c r="BT79" s="19" t="e">
        <f t="shared" si="61"/>
        <v>#DIV/0!</v>
      </c>
      <c r="BV79" s="16">
        <f t="shared" si="62"/>
        <v>0</v>
      </c>
      <c r="BW79" s="16">
        <f t="shared" si="63"/>
        <v>0</v>
      </c>
      <c r="BX79" s="3">
        <f t="shared" si="64"/>
        <v>0</v>
      </c>
      <c r="BY79" s="3">
        <f t="shared" si="93"/>
        <v>0</v>
      </c>
      <c r="BZ79" s="3" t="s">
        <v>162</v>
      </c>
      <c r="CA79" s="3">
        <f t="shared" si="65"/>
        <v>0</v>
      </c>
      <c r="CB79" s="3">
        <f t="shared" si="66"/>
        <v>0</v>
      </c>
      <c r="CC79" s="3">
        <f t="shared" si="67"/>
        <v>0</v>
      </c>
      <c r="CD79" s="3">
        <f t="shared" si="68"/>
        <v>0</v>
      </c>
      <c r="CE79" s="22">
        <f t="shared" si="74"/>
        <v>0</v>
      </c>
      <c r="CF79" s="1">
        <f t="shared" si="69"/>
        <v>0</v>
      </c>
      <c r="CG79" s="1">
        <f t="shared" si="75"/>
        <v>0</v>
      </c>
      <c r="CH79" s="3" t="s">
        <v>162</v>
      </c>
      <c r="CI79" s="1">
        <f t="shared" si="76"/>
        <v>0</v>
      </c>
      <c r="CJ79" s="1">
        <f t="shared" si="77"/>
        <v>0</v>
      </c>
      <c r="CK79" s="1">
        <f t="shared" si="78"/>
        <v>0</v>
      </c>
      <c r="CL79" s="1">
        <f t="shared" si="79"/>
        <v>0</v>
      </c>
      <c r="CM79" s="2">
        <f t="shared" si="80"/>
        <v>0</v>
      </c>
      <c r="CN79" s="1">
        <f t="shared" si="81"/>
        <v>0</v>
      </c>
      <c r="CO79" s="1">
        <f t="shared" si="82"/>
        <v>0</v>
      </c>
      <c r="CP79" s="3" t="s">
        <v>162</v>
      </c>
      <c r="CQ79" s="1">
        <f t="shared" si="83"/>
        <v>0</v>
      </c>
      <c r="CR79" s="1">
        <f t="shared" si="84"/>
        <v>0</v>
      </c>
      <c r="CS79" s="1">
        <f t="shared" si="85"/>
        <v>0</v>
      </c>
      <c r="CT79" s="1">
        <f t="shared" si="86"/>
        <v>0</v>
      </c>
      <c r="CU79" s="2">
        <f t="shared" si="87"/>
        <v>0</v>
      </c>
      <c r="CV79" s="14">
        <f t="shared" si="88"/>
        <v>0</v>
      </c>
      <c r="CW79" s="1">
        <f>ROUND(PPTest!K79,1)</f>
        <v>0</v>
      </c>
      <c r="CX79" s="3">
        <f t="shared" si="70"/>
        <v>0</v>
      </c>
      <c r="CY79" s="3">
        <f t="shared" si="89"/>
        <v>0</v>
      </c>
      <c r="CZ79" s="19">
        <f t="shared" si="90"/>
        <v>0</v>
      </c>
      <c r="DA79" s="19" t="e">
        <f t="shared" si="90"/>
        <v>#DIV/0!</v>
      </c>
      <c r="DB79" s="16">
        <f t="shared" si="91"/>
        <v>0</v>
      </c>
    </row>
    <row r="80" spans="1:106" x14ac:dyDescent="0.2">
      <c r="A80" s="15">
        <f t="shared" si="92"/>
        <v>45732</v>
      </c>
      <c r="B80" s="1">
        <v>75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4"/>
      <c r="AY80" s="12"/>
      <c r="AZ80" s="12"/>
      <c r="BA80" s="16">
        <v>16.77</v>
      </c>
      <c r="BB80" s="41"/>
      <c r="BC80" s="41"/>
      <c r="BD80" s="8" t="e">
        <f t="shared" si="50"/>
        <v>#DIV/0!</v>
      </c>
      <c r="BE80" s="8"/>
      <c r="BF80" s="2">
        <f t="shared" si="71"/>
        <v>0</v>
      </c>
      <c r="BG80" s="2">
        <f t="shared" si="72"/>
        <v>0</v>
      </c>
      <c r="BH80" s="2">
        <f t="shared" si="73"/>
        <v>0</v>
      </c>
      <c r="BI80" s="35">
        <f t="shared" si="51"/>
        <v>0</v>
      </c>
      <c r="BJ80" s="35" t="e">
        <f t="shared" si="52"/>
        <v>#DIV/0!</v>
      </c>
      <c r="BL80" s="3">
        <f t="shared" si="53"/>
        <v>0</v>
      </c>
      <c r="BM80" s="19" t="e">
        <f t="shared" si="54"/>
        <v>#DIV/0!</v>
      </c>
      <c r="BN80" s="19" t="e">
        <f t="shared" si="55"/>
        <v>#DIV/0!</v>
      </c>
      <c r="BO80" s="19" t="e">
        <f t="shared" si="56"/>
        <v>#DIV/0!</v>
      </c>
      <c r="BP80" s="19" t="e">
        <f t="shared" si="57"/>
        <v>#DIV/0!</v>
      </c>
      <c r="BQ80" s="19" t="e">
        <f t="shared" si="58"/>
        <v>#DIV/0!</v>
      </c>
      <c r="BR80" s="19" t="e">
        <f t="shared" si="59"/>
        <v>#DIV/0!</v>
      </c>
      <c r="BS80" s="19" t="e">
        <f t="shared" si="60"/>
        <v>#DIV/0!</v>
      </c>
      <c r="BT80" s="19" t="e">
        <f t="shared" si="61"/>
        <v>#DIV/0!</v>
      </c>
      <c r="BV80" s="16">
        <f t="shared" si="62"/>
        <v>0</v>
      </c>
      <c r="BW80" s="16">
        <f t="shared" si="63"/>
        <v>0</v>
      </c>
      <c r="BX80" s="3">
        <f t="shared" si="64"/>
        <v>0</v>
      </c>
      <c r="BY80" s="3">
        <f t="shared" si="93"/>
        <v>0</v>
      </c>
      <c r="BZ80" s="3" t="s">
        <v>162</v>
      </c>
      <c r="CA80" s="3">
        <f t="shared" si="65"/>
        <v>0</v>
      </c>
      <c r="CB80" s="3">
        <f t="shared" si="66"/>
        <v>0</v>
      </c>
      <c r="CC80" s="3">
        <f t="shared" si="67"/>
        <v>0</v>
      </c>
      <c r="CD80" s="3">
        <f t="shared" si="68"/>
        <v>0</v>
      </c>
      <c r="CE80" s="22">
        <f t="shared" si="74"/>
        <v>0</v>
      </c>
      <c r="CF80" s="1">
        <f t="shared" si="69"/>
        <v>0</v>
      </c>
      <c r="CG80" s="1">
        <f t="shared" si="75"/>
        <v>0</v>
      </c>
      <c r="CH80" s="3" t="s">
        <v>162</v>
      </c>
      <c r="CI80" s="1">
        <f t="shared" si="76"/>
        <v>0</v>
      </c>
      <c r="CJ80" s="1">
        <f t="shared" si="77"/>
        <v>0</v>
      </c>
      <c r="CK80" s="1">
        <f t="shared" si="78"/>
        <v>0</v>
      </c>
      <c r="CL80" s="1">
        <f t="shared" si="79"/>
        <v>0</v>
      </c>
      <c r="CM80" s="2">
        <f t="shared" si="80"/>
        <v>0</v>
      </c>
      <c r="CN80" s="1">
        <f t="shared" si="81"/>
        <v>0</v>
      </c>
      <c r="CO80" s="1">
        <f t="shared" si="82"/>
        <v>0</v>
      </c>
      <c r="CP80" s="3" t="s">
        <v>162</v>
      </c>
      <c r="CQ80" s="1">
        <f t="shared" si="83"/>
        <v>0</v>
      </c>
      <c r="CR80" s="1">
        <f t="shared" si="84"/>
        <v>0</v>
      </c>
      <c r="CS80" s="1">
        <f t="shared" si="85"/>
        <v>0</v>
      </c>
      <c r="CT80" s="1">
        <f t="shared" si="86"/>
        <v>0</v>
      </c>
      <c r="CU80" s="2">
        <f t="shared" si="87"/>
        <v>0</v>
      </c>
      <c r="CV80" s="14">
        <f t="shared" si="88"/>
        <v>0</v>
      </c>
      <c r="CW80" s="1">
        <f>ROUND(PPTest!K80,1)</f>
        <v>0</v>
      </c>
      <c r="CX80" s="3">
        <f t="shared" si="70"/>
        <v>0</v>
      </c>
      <c r="CY80" s="3">
        <f t="shared" si="89"/>
        <v>0</v>
      </c>
      <c r="CZ80" s="19">
        <f t="shared" si="90"/>
        <v>0</v>
      </c>
      <c r="DA80" s="19" t="e">
        <f t="shared" si="90"/>
        <v>#DIV/0!</v>
      </c>
      <c r="DB80" s="16">
        <f t="shared" si="91"/>
        <v>0</v>
      </c>
    </row>
    <row r="81" spans="1:106" x14ac:dyDescent="0.2">
      <c r="A81" s="15">
        <f t="shared" si="92"/>
        <v>45733</v>
      </c>
      <c r="B81" s="1">
        <v>76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4"/>
      <c r="AY81" s="12"/>
      <c r="AZ81" s="12"/>
      <c r="BA81" s="16">
        <v>17.03</v>
      </c>
      <c r="BB81" s="41"/>
      <c r="BC81" s="41"/>
      <c r="BD81" s="8" t="e">
        <f t="shared" si="50"/>
        <v>#DIV/0!</v>
      </c>
      <c r="BE81" s="8"/>
      <c r="BF81" s="2">
        <f t="shared" si="71"/>
        <v>0</v>
      </c>
      <c r="BG81" s="2">
        <f t="shared" si="72"/>
        <v>0</v>
      </c>
      <c r="BH81" s="2">
        <f t="shared" si="73"/>
        <v>0</v>
      </c>
      <c r="BI81" s="35">
        <f t="shared" si="51"/>
        <v>0</v>
      </c>
      <c r="BJ81" s="35" t="e">
        <f t="shared" si="52"/>
        <v>#DIV/0!</v>
      </c>
      <c r="BL81" s="3">
        <f t="shared" si="53"/>
        <v>0</v>
      </c>
      <c r="BM81" s="19" t="e">
        <f t="shared" si="54"/>
        <v>#DIV/0!</v>
      </c>
      <c r="BN81" s="19" t="e">
        <f t="shared" si="55"/>
        <v>#DIV/0!</v>
      </c>
      <c r="BO81" s="19" t="e">
        <f t="shared" si="56"/>
        <v>#DIV/0!</v>
      </c>
      <c r="BP81" s="19" t="e">
        <f t="shared" si="57"/>
        <v>#DIV/0!</v>
      </c>
      <c r="BQ81" s="19" t="e">
        <f t="shared" si="58"/>
        <v>#DIV/0!</v>
      </c>
      <c r="BR81" s="19" t="e">
        <f t="shared" si="59"/>
        <v>#DIV/0!</v>
      </c>
      <c r="BS81" s="19" t="e">
        <f t="shared" si="60"/>
        <v>#DIV/0!</v>
      </c>
      <c r="BT81" s="19" t="e">
        <f t="shared" si="61"/>
        <v>#DIV/0!</v>
      </c>
      <c r="BV81" s="16">
        <f t="shared" si="62"/>
        <v>0</v>
      </c>
      <c r="BW81" s="16">
        <f t="shared" si="63"/>
        <v>0</v>
      </c>
      <c r="BX81" s="3">
        <f t="shared" si="64"/>
        <v>0</v>
      </c>
      <c r="BY81" s="3">
        <f t="shared" si="93"/>
        <v>0</v>
      </c>
      <c r="BZ81" s="3" t="s">
        <v>162</v>
      </c>
      <c r="CA81" s="3">
        <f t="shared" si="65"/>
        <v>0</v>
      </c>
      <c r="CB81" s="3">
        <f t="shared" si="66"/>
        <v>0</v>
      </c>
      <c r="CC81" s="3">
        <f t="shared" si="67"/>
        <v>0</v>
      </c>
      <c r="CD81" s="3">
        <f t="shared" si="68"/>
        <v>0</v>
      </c>
      <c r="CE81" s="22">
        <f t="shared" si="74"/>
        <v>0</v>
      </c>
      <c r="CF81" s="1">
        <f t="shared" si="69"/>
        <v>0</v>
      </c>
      <c r="CG81" s="1">
        <f t="shared" si="75"/>
        <v>0</v>
      </c>
      <c r="CH81" s="3" t="s">
        <v>162</v>
      </c>
      <c r="CI81" s="1">
        <f t="shared" si="76"/>
        <v>0</v>
      </c>
      <c r="CJ81" s="1">
        <f t="shared" si="77"/>
        <v>0</v>
      </c>
      <c r="CK81" s="1">
        <f t="shared" si="78"/>
        <v>0</v>
      </c>
      <c r="CL81" s="1">
        <f t="shared" si="79"/>
        <v>0</v>
      </c>
      <c r="CM81" s="2">
        <f t="shared" si="80"/>
        <v>0</v>
      </c>
      <c r="CN81" s="1">
        <f t="shared" si="81"/>
        <v>0</v>
      </c>
      <c r="CO81" s="1">
        <f t="shared" si="82"/>
        <v>0</v>
      </c>
      <c r="CP81" s="3" t="s">
        <v>162</v>
      </c>
      <c r="CQ81" s="1">
        <f t="shared" si="83"/>
        <v>0</v>
      </c>
      <c r="CR81" s="1">
        <f t="shared" si="84"/>
        <v>0</v>
      </c>
      <c r="CS81" s="1">
        <f t="shared" si="85"/>
        <v>0</v>
      </c>
      <c r="CT81" s="1">
        <f t="shared" si="86"/>
        <v>0</v>
      </c>
      <c r="CU81" s="2">
        <f t="shared" si="87"/>
        <v>0</v>
      </c>
      <c r="CV81" s="14">
        <f t="shared" si="88"/>
        <v>0</v>
      </c>
      <c r="CW81" s="1">
        <f>ROUND(PPTest!K81,1)</f>
        <v>0</v>
      </c>
      <c r="CX81" s="3">
        <f t="shared" si="70"/>
        <v>0</v>
      </c>
      <c r="CY81" s="3">
        <f t="shared" si="89"/>
        <v>0</v>
      </c>
      <c r="CZ81" s="19">
        <f t="shared" si="90"/>
        <v>0</v>
      </c>
      <c r="DA81" s="19" t="e">
        <f t="shared" si="90"/>
        <v>#DIV/0!</v>
      </c>
      <c r="DB81" s="16">
        <f t="shared" si="91"/>
        <v>0</v>
      </c>
    </row>
    <row r="82" spans="1:106" x14ac:dyDescent="0.2">
      <c r="A82" s="15">
        <f t="shared" si="92"/>
        <v>45734</v>
      </c>
      <c r="B82" s="1">
        <v>77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4"/>
      <c r="AY82" s="12"/>
      <c r="AZ82" s="12"/>
      <c r="BA82" s="16">
        <v>17.3</v>
      </c>
      <c r="BB82" s="41"/>
      <c r="BC82" s="41"/>
      <c r="BD82" s="8" t="e">
        <f t="shared" si="50"/>
        <v>#DIV/0!</v>
      </c>
      <c r="BE82" s="8"/>
      <c r="BF82" s="2">
        <f t="shared" si="71"/>
        <v>0</v>
      </c>
      <c r="BG82" s="2">
        <f t="shared" si="72"/>
        <v>0</v>
      </c>
      <c r="BH82" s="2">
        <f t="shared" si="73"/>
        <v>0</v>
      </c>
      <c r="BI82" s="35">
        <f t="shared" si="51"/>
        <v>0</v>
      </c>
      <c r="BJ82" s="35" t="e">
        <f t="shared" si="52"/>
        <v>#DIV/0!</v>
      </c>
      <c r="BL82" s="3">
        <f t="shared" si="53"/>
        <v>0</v>
      </c>
      <c r="BM82" s="19" t="e">
        <f t="shared" si="54"/>
        <v>#DIV/0!</v>
      </c>
      <c r="BN82" s="19" t="e">
        <f t="shared" si="55"/>
        <v>#DIV/0!</v>
      </c>
      <c r="BO82" s="19" t="e">
        <f t="shared" si="56"/>
        <v>#DIV/0!</v>
      </c>
      <c r="BP82" s="19" t="e">
        <f t="shared" si="57"/>
        <v>#DIV/0!</v>
      </c>
      <c r="BQ82" s="19" t="e">
        <f t="shared" si="58"/>
        <v>#DIV/0!</v>
      </c>
      <c r="BR82" s="19" t="e">
        <f t="shared" si="59"/>
        <v>#DIV/0!</v>
      </c>
      <c r="BS82" s="19" t="e">
        <f t="shared" si="60"/>
        <v>#DIV/0!</v>
      </c>
      <c r="BT82" s="19" t="e">
        <f t="shared" si="61"/>
        <v>#DIV/0!</v>
      </c>
      <c r="BV82" s="16">
        <f t="shared" si="62"/>
        <v>0</v>
      </c>
      <c r="BW82" s="16">
        <f t="shared" si="63"/>
        <v>0</v>
      </c>
      <c r="BX82" s="3">
        <f t="shared" si="64"/>
        <v>0</v>
      </c>
      <c r="BY82" s="3">
        <f t="shared" si="93"/>
        <v>0</v>
      </c>
      <c r="BZ82" s="3" t="s">
        <v>162</v>
      </c>
      <c r="CA82" s="3">
        <f t="shared" si="65"/>
        <v>0</v>
      </c>
      <c r="CB82" s="3">
        <f t="shared" si="66"/>
        <v>0</v>
      </c>
      <c r="CC82" s="3">
        <f t="shared" si="67"/>
        <v>0</v>
      </c>
      <c r="CD82" s="3">
        <f t="shared" si="68"/>
        <v>0</v>
      </c>
      <c r="CE82" s="22">
        <f t="shared" si="74"/>
        <v>0</v>
      </c>
      <c r="CF82" s="1">
        <f t="shared" si="69"/>
        <v>0</v>
      </c>
      <c r="CG82" s="1">
        <f t="shared" si="75"/>
        <v>0</v>
      </c>
      <c r="CH82" s="3" t="s">
        <v>162</v>
      </c>
      <c r="CI82" s="1">
        <f t="shared" si="76"/>
        <v>0</v>
      </c>
      <c r="CJ82" s="1">
        <f t="shared" si="77"/>
        <v>0</v>
      </c>
      <c r="CK82" s="1">
        <f t="shared" si="78"/>
        <v>0</v>
      </c>
      <c r="CL82" s="1">
        <f t="shared" si="79"/>
        <v>0</v>
      </c>
      <c r="CM82" s="2">
        <f t="shared" si="80"/>
        <v>0</v>
      </c>
      <c r="CN82" s="1">
        <f t="shared" si="81"/>
        <v>0</v>
      </c>
      <c r="CO82" s="1">
        <f t="shared" si="82"/>
        <v>0</v>
      </c>
      <c r="CP82" s="3" t="s">
        <v>162</v>
      </c>
      <c r="CQ82" s="1">
        <f t="shared" si="83"/>
        <v>0</v>
      </c>
      <c r="CR82" s="1">
        <f t="shared" si="84"/>
        <v>0</v>
      </c>
      <c r="CS82" s="1">
        <f t="shared" si="85"/>
        <v>0</v>
      </c>
      <c r="CT82" s="1">
        <f t="shared" si="86"/>
        <v>0</v>
      </c>
      <c r="CU82" s="2">
        <f t="shared" si="87"/>
        <v>0</v>
      </c>
      <c r="CV82" s="14">
        <f t="shared" si="88"/>
        <v>0</v>
      </c>
      <c r="CW82" s="1">
        <f>ROUND(PPTest!K82,1)</f>
        <v>0</v>
      </c>
      <c r="CX82" s="3">
        <f t="shared" si="70"/>
        <v>0</v>
      </c>
      <c r="CY82" s="3">
        <f t="shared" si="89"/>
        <v>0</v>
      </c>
      <c r="CZ82" s="19">
        <f t="shared" si="90"/>
        <v>0</v>
      </c>
      <c r="DA82" s="19" t="e">
        <f t="shared" si="90"/>
        <v>#DIV/0!</v>
      </c>
      <c r="DB82" s="16">
        <f t="shared" si="91"/>
        <v>0</v>
      </c>
    </row>
    <row r="83" spans="1:106" x14ac:dyDescent="0.2">
      <c r="A83" s="15">
        <f t="shared" si="92"/>
        <v>45735</v>
      </c>
      <c r="B83" s="1">
        <v>78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4"/>
      <c r="AY83" s="12"/>
      <c r="AZ83" s="12"/>
      <c r="BA83" s="16">
        <v>17.559999999999999</v>
      </c>
      <c r="BB83" s="41"/>
      <c r="BC83" s="41"/>
      <c r="BD83" s="8" t="e">
        <f t="shared" si="50"/>
        <v>#DIV/0!</v>
      </c>
      <c r="BE83" s="8"/>
      <c r="BF83" s="2">
        <f t="shared" si="71"/>
        <v>0</v>
      </c>
      <c r="BG83" s="2">
        <f t="shared" si="72"/>
        <v>0</v>
      </c>
      <c r="BH83" s="2">
        <f t="shared" si="73"/>
        <v>0</v>
      </c>
      <c r="BI83" s="35">
        <f t="shared" si="51"/>
        <v>0</v>
      </c>
      <c r="BJ83" s="35" t="e">
        <f t="shared" si="52"/>
        <v>#DIV/0!</v>
      </c>
      <c r="BL83" s="3">
        <f t="shared" si="53"/>
        <v>0</v>
      </c>
      <c r="BM83" s="19" t="e">
        <f t="shared" si="54"/>
        <v>#DIV/0!</v>
      </c>
      <c r="BN83" s="19" t="e">
        <f t="shared" si="55"/>
        <v>#DIV/0!</v>
      </c>
      <c r="BO83" s="19" t="e">
        <f t="shared" si="56"/>
        <v>#DIV/0!</v>
      </c>
      <c r="BP83" s="19" t="e">
        <f t="shared" si="57"/>
        <v>#DIV/0!</v>
      </c>
      <c r="BQ83" s="19" t="e">
        <f t="shared" si="58"/>
        <v>#DIV/0!</v>
      </c>
      <c r="BR83" s="19" t="e">
        <f t="shared" si="59"/>
        <v>#DIV/0!</v>
      </c>
      <c r="BS83" s="19" t="e">
        <f t="shared" si="60"/>
        <v>#DIV/0!</v>
      </c>
      <c r="BT83" s="19" t="e">
        <f t="shared" si="61"/>
        <v>#DIV/0!</v>
      </c>
      <c r="BV83" s="16">
        <f t="shared" si="62"/>
        <v>0</v>
      </c>
      <c r="BW83" s="16">
        <f t="shared" si="63"/>
        <v>0</v>
      </c>
      <c r="BX83" s="3">
        <f t="shared" si="64"/>
        <v>0</v>
      </c>
      <c r="BY83" s="3">
        <f t="shared" si="93"/>
        <v>0</v>
      </c>
      <c r="BZ83" s="3" t="s">
        <v>162</v>
      </c>
      <c r="CA83" s="3">
        <f t="shared" si="65"/>
        <v>0</v>
      </c>
      <c r="CB83" s="3">
        <f t="shared" si="66"/>
        <v>0</v>
      </c>
      <c r="CC83" s="3">
        <f t="shared" si="67"/>
        <v>0</v>
      </c>
      <c r="CD83" s="3">
        <f t="shared" si="68"/>
        <v>0</v>
      </c>
      <c r="CE83" s="22">
        <f t="shared" si="74"/>
        <v>0</v>
      </c>
      <c r="CF83" s="1">
        <f t="shared" si="69"/>
        <v>0</v>
      </c>
      <c r="CG83" s="1">
        <f t="shared" si="75"/>
        <v>0</v>
      </c>
      <c r="CH83" s="3" t="s">
        <v>162</v>
      </c>
      <c r="CI83" s="1">
        <f t="shared" si="76"/>
        <v>0</v>
      </c>
      <c r="CJ83" s="1">
        <f t="shared" si="77"/>
        <v>0</v>
      </c>
      <c r="CK83" s="1">
        <f t="shared" si="78"/>
        <v>0</v>
      </c>
      <c r="CL83" s="1">
        <f t="shared" si="79"/>
        <v>0</v>
      </c>
      <c r="CM83" s="2">
        <f t="shared" si="80"/>
        <v>0</v>
      </c>
      <c r="CN83" s="1">
        <f t="shared" si="81"/>
        <v>0</v>
      </c>
      <c r="CO83" s="1">
        <f t="shared" si="82"/>
        <v>0</v>
      </c>
      <c r="CP83" s="3" t="s">
        <v>162</v>
      </c>
      <c r="CQ83" s="1">
        <f t="shared" si="83"/>
        <v>0</v>
      </c>
      <c r="CR83" s="1">
        <f t="shared" si="84"/>
        <v>0</v>
      </c>
      <c r="CS83" s="1">
        <f t="shared" si="85"/>
        <v>0</v>
      </c>
      <c r="CT83" s="1">
        <f t="shared" si="86"/>
        <v>0</v>
      </c>
      <c r="CU83" s="2">
        <f t="shared" si="87"/>
        <v>0</v>
      </c>
      <c r="CV83" s="14">
        <f t="shared" si="88"/>
        <v>0</v>
      </c>
      <c r="CW83" s="1">
        <f>ROUND(PPTest!K83,1)</f>
        <v>0</v>
      </c>
      <c r="CX83" s="3">
        <f t="shared" si="70"/>
        <v>0</v>
      </c>
      <c r="CY83" s="3">
        <f t="shared" si="89"/>
        <v>0</v>
      </c>
      <c r="CZ83" s="19">
        <f t="shared" si="90"/>
        <v>0</v>
      </c>
      <c r="DA83" s="19" t="e">
        <f t="shared" si="90"/>
        <v>#DIV/0!</v>
      </c>
      <c r="DB83" s="16">
        <f t="shared" si="91"/>
        <v>0</v>
      </c>
    </row>
    <row r="84" spans="1:106" x14ac:dyDescent="0.2">
      <c r="A84" s="15">
        <f t="shared" si="92"/>
        <v>45736</v>
      </c>
      <c r="B84" s="1">
        <v>79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4"/>
      <c r="AY84" s="12"/>
      <c r="AZ84" s="12"/>
      <c r="BA84" s="16">
        <v>17.829999999999998</v>
      </c>
      <c r="BB84" s="41"/>
      <c r="BC84" s="41"/>
      <c r="BD84" s="8" t="e">
        <f t="shared" si="50"/>
        <v>#DIV/0!</v>
      </c>
      <c r="BE84" s="8"/>
      <c r="BF84" s="2">
        <f t="shared" si="71"/>
        <v>0</v>
      </c>
      <c r="BG84" s="2">
        <f t="shared" si="72"/>
        <v>0</v>
      </c>
      <c r="BH84" s="2">
        <f t="shared" si="73"/>
        <v>0</v>
      </c>
      <c r="BI84" s="35">
        <f t="shared" si="51"/>
        <v>0</v>
      </c>
      <c r="BJ84" s="35" t="e">
        <f t="shared" si="52"/>
        <v>#DIV/0!</v>
      </c>
      <c r="BL84" s="3">
        <f t="shared" si="53"/>
        <v>0</v>
      </c>
      <c r="BM84" s="19" t="e">
        <f t="shared" si="54"/>
        <v>#DIV/0!</v>
      </c>
      <c r="BN84" s="19" t="e">
        <f t="shared" si="55"/>
        <v>#DIV/0!</v>
      </c>
      <c r="BO84" s="19" t="e">
        <f t="shared" si="56"/>
        <v>#DIV/0!</v>
      </c>
      <c r="BP84" s="19" t="e">
        <f t="shared" si="57"/>
        <v>#DIV/0!</v>
      </c>
      <c r="BQ84" s="19" t="e">
        <f t="shared" si="58"/>
        <v>#DIV/0!</v>
      </c>
      <c r="BR84" s="19" t="e">
        <f t="shared" si="59"/>
        <v>#DIV/0!</v>
      </c>
      <c r="BS84" s="19" t="e">
        <f t="shared" si="60"/>
        <v>#DIV/0!</v>
      </c>
      <c r="BT84" s="19" t="e">
        <f t="shared" si="61"/>
        <v>#DIV/0!</v>
      </c>
      <c r="BV84" s="16">
        <f t="shared" si="62"/>
        <v>0</v>
      </c>
      <c r="BW84" s="16">
        <f t="shared" si="63"/>
        <v>0</v>
      </c>
      <c r="BX84" s="3">
        <f t="shared" si="64"/>
        <v>0</v>
      </c>
      <c r="BY84" s="3">
        <f t="shared" si="93"/>
        <v>0</v>
      </c>
      <c r="BZ84" s="3" t="s">
        <v>162</v>
      </c>
      <c r="CA84" s="3">
        <f t="shared" si="65"/>
        <v>0</v>
      </c>
      <c r="CB84" s="3">
        <f t="shared" si="66"/>
        <v>0</v>
      </c>
      <c r="CC84" s="3">
        <f t="shared" si="67"/>
        <v>0</v>
      </c>
      <c r="CD84" s="3">
        <f t="shared" si="68"/>
        <v>0</v>
      </c>
      <c r="CE84" s="22">
        <f t="shared" si="74"/>
        <v>0</v>
      </c>
      <c r="CF84" s="1">
        <f t="shared" si="69"/>
        <v>0</v>
      </c>
      <c r="CG84" s="1">
        <f t="shared" si="75"/>
        <v>0</v>
      </c>
      <c r="CH84" s="3" t="s">
        <v>162</v>
      </c>
      <c r="CI84" s="1">
        <f t="shared" si="76"/>
        <v>0</v>
      </c>
      <c r="CJ84" s="1">
        <f t="shared" si="77"/>
        <v>0</v>
      </c>
      <c r="CK84" s="1">
        <f t="shared" si="78"/>
        <v>0</v>
      </c>
      <c r="CL84" s="1">
        <f t="shared" si="79"/>
        <v>0</v>
      </c>
      <c r="CM84" s="2">
        <f t="shared" si="80"/>
        <v>0</v>
      </c>
      <c r="CN84" s="1">
        <f t="shared" si="81"/>
        <v>0</v>
      </c>
      <c r="CO84" s="1">
        <f t="shared" si="82"/>
        <v>0</v>
      </c>
      <c r="CP84" s="3" t="s">
        <v>162</v>
      </c>
      <c r="CQ84" s="1">
        <f t="shared" si="83"/>
        <v>0</v>
      </c>
      <c r="CR84" s="1">
        <f t="shared" si="84"/>
        <v>0</v>
      </c>
      <c r="CS84" s="1">
        <f t="shared" si="85"/>
        <v>0</v>
      </c>
      <c r="CT84" s="1">
        <f t="shared" si="86"/>
        <v>0</v>
      </c>
      <c r="CU84" s="2">
        <f t="shared" si="87"/>
        <v>0</v>
      </c>
      <c r="CV84" s="14">
        <f t="shared" si="88"/>
        <v>0</v>
      </c>
      <c r="CW84" s="1">
        <f>ROUND(PPTest!K84,1)</f>
        <v>0</v>
      </c>
      <c r="CX84" s="3">
        <f t="shared" si="70"/>
        <v>0</v>
      </c>
      <c r="CY84" s="3">
        <f t="shared" si="89"/>
        <v>0</v>
      </c>
      <c r="CZ84" s="19">
        <f t="shared" si="90"/>
        <v>0</v>
      </c>
      <c r="DA84" s="19" t="e">
        <f t="shared" si="90"/>
        <v>#DIV/0!</v>
      </c>
      <c r="DB84" s="16">
        <f t="shared" si="91"/>
        <v>0</v>
      </c>
    </row>
    <row r="85" spans="1:106" x14ac:dyDescent="0.2">
      <c r="A85" s="15">
        <f t="shared" si="92"/>
        <v>45737</v>
      </c>
      <c r="B85" s="1">
        <v>80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4"/>
      <c r="AY85" s="12"/>
      <c r="AZ85" s="12"/>
      <c r="BA85" s="16">
        <v>18.100000000000001</v>
      </c>
      <c r="BB85" s="41"/>
      <c r="BC85" s="41"/>
      <c r="BD85" s="8" t="e">
        <f t="shared" si="50"/>
        <v>#DIV/0!</v>
      </c>
      <c r="BE85" s="8"/>
      <c r="BF85" s="2">
        <f t="shared" si="71"/>
        <v>0</v>
      </c>
      <c r="BG85" s="2">
        <f t="shared" si="72"/>
        <v>0</v>
      </c>
      <c r="BH85" s="2">
        <f t="shared" si="73"/>
        <v>0</v>
      </c>
      <c r="BI85" s="35">
        <f t="shared" si="51"/>
        <v>0</v>
      </c>
      <c r="BJ85" s="35" t="e">
        <f t="shared" si="52"/>
        <v>#DIV/0!</v>
      </c>
      <c r="BL85" s="3">
        <f t="shared" si="53"/>
        <v>0</v>
      </c>
      <c r="BM85" s="19" t="e">
        <f t="shared" si="54"/>
        <v>#DIV/0!</v>
      </c>
      <c r="BN85" s="19" t="e">
        <f t="shared" si="55"/>
        <v>#DIV/0!</v>
      </c>
      <c r="BO85" s="19" t="e">
        <f t="shared" si="56"/>
        <v>#DIV/0!</v>
      </c>
      <c r="BP85" s="19" t="e">
        <f t="shared" si="57"/>
        <v>#DIV/0!</v>
      </c>
      <c r="BQ85" s="19" t="e">
        <f t="shared" si="58"/>
        <v>#DIV/0!</v>
      </c>
      <c r="BR85" s="19" t="e">
        <f t="shared" si="59"/>
        <v>#DIV/0!</v>
      </c>
      <c r="BS85" s="19" t="e">
        <f t="shared" si="60"/>
        <v>#DIV/0!</v>
      </c>
      <c r="BT85" s="19" t="e">
        <f t="shared" si="61"/>
        <v>#DIV/0!</v>
      </c>
      <c r="BV85" s="16">
        <f t="shared" si="62"/>
        <v>0</v>
      </c>
      <c r="BW85" s="16">
        <f t="shared" si="63"/>
        <v>0</v>
      </c>
      <c r="BX85" s="3">
        <f t="shared" si="64"/>
        <v>0</v>
      </c>
      <c r="BY85" s="3">
        <f t="shared" si="93"/>
        <v>0</v>
      </c>
      <c r="BZ85" s="3" t="s">
        <v>162</v>
      </c>
      <c r="CA85" s="3">
        <f t="shared" si="65"/>
        <v>0</v>
      </c>
      <c r="CB85" s="3">
        <f t="shared" si="66"/>
        <v>0</v>
      </c>
      <c r="CC85" s="3">
        <f t="shared" si="67"/>
        <v>0</v>
      </c>
      <c r="CD85" s="3">
        <f t="shared" si="68"/>
        <v>0</v>
      </c>
      <c r="CE85" s="22">
        <f t="shared" si="74"/>
        <v>0</v>
      </c>
      <c r="CF85" s="1">
        <f t="shared" si="69"/>
        <v>0</v>
      </c>
      <c r="CG85" s="1">
        <f t="shared" si="75"/>
        <v>0</v>
      </c>
      <c r="CH85" s="3" t="s">
        <v>162</v>
      </c>
      <c r="CI85" s="1">
        <f t="shared" si="76"/>
        <v>0</v>
      </c>
      <c r="CJ85" s="1">
        <f t="shared" si="77"/>
        <v>0</v>
      </c>
      <c r="CK85" s="1">
        <f t="shared" si="78"/>
        <v>0</v>
      </c>
      <c r="CL85" s="1">
        <f t="shared" si="79"/>
        <v>0</v>
      </c>
      <c r="CM85" s="2">
        <f t="shared" si="80"/>
        <v>0</v>
      </c>
      <c r="CN85" s="1">
        <f t="shared" si="81"/>
        <v>0</v>
      </c>
      <c r="CO85" s="1">
        <f t="shared" si="82"/>
        <v>0</v>
      </c>
      <c r="CP85" s="3" t="s">
        <v>162</v>
      </c>
      <c r="CQ85" s="1">
        <f t="shared" si="83"/>
        <v>0</v>
      </c>
      <c r="CR85" s="1">
        <f t="shared" si="84"/>
        <v>0</v>
      </c>
      <c r="CS85" s="1">
        <f t="shared" si="85"/>
        <v>0</v>
      </c>
      <c r="CT85" s="1">
        <f t="shared" si="86"/>
        <v>0</v>
      </c>
      <c r="CU85" s="2">
        <f t="shared" si="87"/>
        <v>0</v>
      </c>
      <c r="CV85" s="14">
        <f t="shared" si="88"/>
        <v>0</v>
      </c>
      <c r="CW85" s="1">
        <f>ROUND(PPTest!K85,1)</f>
        <v>0</v>
      </c>
      <c r="CX85" s="3">
        <f t="shared" si="70"/>
        <v>0</v>
      </c>
      <c r="CY85" s="3">
        <f t="shared" si="89"/>
        <v>0</v>
      </c>
      <c r="CZ85" s="19">
        <f t="shared" si="90"/>
        <v>0</v>
      </c>
      <c r="DA85" s="19" t="e">
        <f t="shared" si="90"/>
        <v>#DIV/0!</v>
      </c>
      <c r="DB85" s="16">
        <f t="shared" si="91"/>
        <v>0</v>
      </c>
    </row>
    <row r="86" spans="1:106" x14ac:dyDescent="0.2">
      <c r="A86" s="15">
        <f t="shared" si="92"/>
        <v>45738</v>
      </c>
      <c r="B86" s="1">
        <v>81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4"/>
      <c r="AY86" s="12"/>
      <c r="AZ86" s="12"/>
      <c r="BA86" s="16">
        <v>18.36</v>
      </c>
      <c r="BB86" s="41"/>
      <c r="BC86" s="41"/>
      <c r="BD86" s="8" t="e">
        <f t="shared" si="50"/>
        <v>#DIV/0!</v>
      </c>
      <c r="BE86" s="8"/>
      <c r="BF86" s="2">
        <f t="shared" si="71"/>
        <v>0</v>
      </c>
      <c r="BG86" s="2">
        <f t="shared" si="72"/>
        <v>0</v>
      </c>
      <c r="BH86" s="2">
        <f t="shared" si="73"/>
        <v>0</v>
      </c>
      <c r="BI86" s="35">
        <f t="shared" si="51"/>
        <v>0</v>
      </c>
      <c r="BJ86" s="35" t="e">
        <f t="shared" si="52"/>
        <v>#DIV/0!</v>
      </c>
      <c r="BL86" s="3">
        <f t="shared" si="53"/>
        <v>0</v>
      </c>
      <c r="BM86" s="19" t="e">
        <f t="shared" si="54"/>
        <v>#DIV/0!</v>
      </c>
      <c r="BN86" s="19" t="e">
        <f t="shared" si="55"/>
        <v>#DIV/0!</v>
      </c>
      <c r="BO86" s="19" t="e">
        <f t="shared" si="56"/>
        <v>#DIV/0!</v>
      </c>
      <c r="BP86" s="19" t="e">
        <f t="shared" si="57"/>
        <v>#DIV/0!</v>
      </c>
      <c r="BQ86" s="19" t="e">
        <f t="shared" si="58"/>
        <v>#DIV/0!</v>
      </c>
      <c r="BR86" s="19" t="e">
        <f t="shared" si="59"/>
        <v>#DIV/0!</v>
      </c>
      <c r="BS86" s="19" t="e">
        <f t="shared" si="60"/>
        <v>#DIV/0!</v>
      </c>
      <c r="BT86" s="19" t="e">
        <f t="shared" si="61"/>
        <v>#DIV/0!</v>
      </c>
      <c r="BV86" s="16">
        <f t="shared" si="62"/>
        <v>0</v>
      </c>
      <c r="BW86" s="16">
        <f t="shared" si="63"/>
        <v>0</v>
      </c>
      <c r="BX86" s="3">
        <f t="shared" si="64"/>
        <v>0</v>
      </c>
      <c r="BY86" s="3">
        <f t="shared" si="93"/>
        <v>0</v>
      </c>
      <c r="BZ86" s="3" t="s">
        <v>162</v>
      </c>
      <c r="CA86" s="3">
        <f t="shared" si="65"/>
        <v>0</v>
      </c>
      <c r="CB86" s="3">
        <f t="shared" si="66"/>
        <v>0</v>
      </c>
      <c r="CC86" s="3">
        <f t="shared" si="67"/>
        <v>0</v>
      </c>
      <c r="CD86" s="3">
        <f t="shared" si="68"/>
        <v>0</v>
      </c>
      <c r="CE86" s="22">
        <f t="shared" si="74"/>
        <v>0</v>
      </c>
      <c r="CF86" s="1">
        <f t="shared" si="69"/>
        <v>0</v>
      </c>
      <c r="CG86" s="1">
        <f t="shared" si="75"/>
        <v>0</v>
      </c>
      <c r="CH86" s="3" t="s">
        <v>162</v>
      </c>
      <c r="CI86" s="1">
        <f t="shared" si="76"/>
        <v>0</v>
      </c>
      <c r="CJ86" s="1">
        <f t="shared" si="77"/>
        <v>0</v>
      </c>
      <c r="CK86" s="1">
        <f t="shared" si="78"/>
        <v>0</v>
      </c>
      <c r="CL86" s="1">
        <f t="shared" si="79"/>
        <v>0</v>
      </c>
      <c r="CM86" s="2">
        <f t="shared" si="80"/>
        <v>0</v>
      </c>
      <c r="CN86" s="1">
        <f t="shared" si="81"/>
        <v>0</v>
      </c>
      <c r="CO86" s="1">
        <f t="shared" si="82"/>
        <v>0</v>
      </c>
      <c r="CP86" s="3" t="s">
        <v>162</v>
      </c>
      <c r="CQ86" s="1">
        <f t="shared" si="83"/>
        <v>0</v>
      </c>
      <c r="CR86" s="1">
        <f t="shared" si="84"/>
        <v>0</v>
      </c>
      <c r="CS86" s="1">
        <f t="shared" si="85"/>
        <v>0</v>
      </c>
      <c r="CT86" s="1">
        <f t="shared" si="86"/>
        <v>0</v>
      </c>
      <c r="CU86" s="2">
        <f t="shared" si="87"/>
        <v>0</v>
      </c>
      <c r="CV86" s="14">
        <f t="shared" si="88"/>
        <v>0</v>
      </c>
      <c r="CW86" s="1">
        <f>ROUND(PPTest!K86,1)</f>
        <v>0</v>
      </c>
      <c r="CX86" s="3">
        <f t="shared" si="70"/>
        <v>0</v>
      </c>
      <c r="CY86" s="3">
        <f t="shared" si="89"/>
        <v>0</v>
      </c>
      <c r="CZ86" s="19">
        <f t="shared" si="90"/>
        <v>0</v>
      </c>
      <c r="DA86" s="19" t="e">
        <f t="shared" si="90"/>
        <v>#DIV/0!</v>
      </c>
      <c r="DB86" s="16">
        <f t="shared" si="91"/>
        <v>0</v>
      </c>
    </row>
    <row r="87" spans="1:106" x14ac:dyDescent="0.2">
      <c r="A87" s="15">
        <f t="shared" si="92"/>
        <v>45739</v>
      </c>
      <c r="B87" s="1">
        <v>82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4"/>
      <c r="AY87" s="12"/>
      <c r="AZ87" s="12"/>
      <c r="BA87" s="16">
        <v>18.63</v>
      </c>
      <c r="BB87" s="41"/>
      <c r="BC87" s="41"/>
      <c r="BD87" s="8" t="e">
        <f t="shared" si="50"/>
        <v>#DIV/0!</v>
      </c>
      <c r="BE87" s="8"/>
      <c r="BF87" s="2">
        <f t="shared" si="71"/>
        <v>0</v>
      </c>
      <c r="BG87" s="2">
        <f t="shared" si="72"/>
        <v>0</v>
      </c>
      <c r="BH87" s="2">
        <f t="shared" si="73"/>
        <v>0</v>
      </c>
      <c r="BI87" s="35">
        <f t="shared" si="51"/>
        <v>0</v>
      </c>
      <c r="BJ87" s="35" t="e">
        <f t="shared" si="52"/>
        <v>#DIV/0!</v>
      </c>
      <c r="BL87" s="3">
        <f t="shared" si="53"/>
        <v>0</v>
      </c>
      <c r="BM87" s="19" t="e">
        <f t="shared" si="54"/>
        <v>#DIV/0!</v>
      </c>
      <c r="BN87" s="19" t="e">
        <f t="shared" si="55"/>
        <v>#DIV/0!</v>
      </c>
      <c r="BO87" s="19" t="e">
        <f t="shared" si="56"/>
        <v>#DIV/0!</v>
      </c>
      <c r="BP87" s="19" t="e">
        <f t="shared" si="57"/>
        <v>#DIV/0!</v>
      </c>
      <c r="BQ87" s="19" t="e">
        <f t="shared" si="58"/>
        <v>#DIV/0!</v>
      </c>
      <c r="BR87" s="19" t="e">
        <f t="shared" si="59"/>
        <v>#DIV/0!</v>
      </c>
      <c r="BS87" s="19" t="e">
        <f t="shared" si="60"/>
        <v>#DIV/0!</v>
      </c>
      <c r="BT87" s="19" t="e">
        <f t="shared" si="61"/>
        <v>#DIV/0!</v>
      </c>
      <c r="BV87" s="16">
        <f t="shared" si="62"/>
        <v>0</v>
      </c>
      <c r="BW87" s="16">
        <f t="shared" si="63"/>
        <v>0</v>
      </c>
      <c r="BX87" s="3">
        <f t="shared" si="64"/>
        <v>0</v>
      </c>
      <c r="BY87" s="3">
        <f t="shared" si="93"/>
        <v>0</v>
      </c>
      <c r="BZ87" s="3" t="s">
        <v>162</v>
      </c>
      <c r="CA87" s="3">
        <f t="shared" si="65"/>
        <v>0</v>
      </c>
      <c r="CB87" s="3">
        <f t="shared" si="66"/>
        <v>0</v>
      </c>
      <c r="CC87" s="3">
        <f t="shared" si="67"/>
        <v>0</v>
      </c>
      <c r="CD87" s="3">
        <f t="shared" si="68"/>
        <v>0</v>
      </c>
      <c r="CE87" s="22">
        <f t="shared" si="74"/>
        <v>0</v>
      </c>
      <c r="CF87" s="1">
        <f t="shared" si="69"/>
        <v>0</v>
      </c>
      <c r="CG87" s="1">
        <f t="shared" si="75"/>
        <v>0</v>
      </c>
      <c r="CH87" s="3" t="s">
        <v>162</v>
      </c>
      <c r="CI87" s="1">
        <f t="shared" si="76"/>
        <v>0</v>
      </c>
      <c r="CJ87" s="1">
        <f t="shared" si="77"/>
        <v>0</v>
      </c>
      <c r="CK87" s="1">
        <f t="shared" si="78"/>
        <v>0</v>
      </c>
      <c r="CL87" s="1">
        <f t="shared" si="79"/>
        <v>0</v>
      </c>
      <c r="CM87" s="2">
        <f t="shared" si="80"/>
        <v>0</v>
      </c>
      <c r="CN87" s="1">
        <f t="shared" si="81"/>
        <v>0</v>
      </c>
      <c r="CO87" s="1">
        <f t="shared" si="82"/>
        <v>0</v>
      </c>
      <c r="CP87" s="3" t="s">
        <v>162</v>
      </c>
      <c r="CQ87" s="1">
        <f t="shared" si="83"/>
        <v>0</v>
      </c>
      <c r="CR87" s="1">
        <f t="shared" si="84"/>
        <v>0</v>
      </c>
      <c r="CS87" s="1">
        <f t="shared" si="85"/>
        <v>0</v>
      </c>
      <c r="CT87" s="1">
        <f t="shared" si="86"/>
        <v>0</v>
      </c>
      <c r="CU87" s="2">
        <f t="shared" si="87"/>
        <v>0</v>
      </c>
      <c r="CV87" s="14">
        <f t="shared" si="88"/>
        <v>0</v>
      </c>
      <c r="CW87" s="1">
        <f>ROUND(PPTest!K87,1)</f>
        <v>0</v>
      </c>
      <c r="CX87" s="3">
        <f t="shared" si="70"/>
        <v>0</v>
      </c>
      <c r="CY87" s="3">
        <f t="shared" si="89"/>
        <v>0</v>
      </c>
      <c r="CZ87" s="19">
        <f t="shared" si="90"/>
        <v>0</v>
      </c>
      <c r="DA87" s="19" t="e">
        <f t="shared" si="90"/>
        <v>#DIV/0!</v>
      </c>
      <c r="DB87" s="16">
        <f t="shared" si="91"/>
        <v>0</v>
      </c>
    </row>
    <row r="88" spans="1:106" x14ac:dyDescent="0.2">
      <c r="A88" s="15">
        <f t="shared" si="92"/>
        <v>45740</v>
      </c>
      <c r="B88" s="1">
        <v>83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4"/>
      <c r="AY88" s="12"/>
      <c r="AZ88" s="12"/>
      <c r="BA88" s="16">
        <v>18.899999999999999</v>
      </c>
      <c r="BB88" s="41"/>
      <c r="BC88" s="41"/>
      <c r="BD88" s="8" t="e">
        <f t="shared" si="50"/>
        <v>#DIV/0!</v>
      </c>
      <c r="BE88" s="8"/>
      <c r="BF88" s="2">
        <f t="shared" si="71"/>
        <v>0</v>
      </c>
      <c r="BG88" s="2">
        <f t="shared" si="72"/>
        <v>0</v>
      </c>
      <c r="BH88" s="2">
        <f t="shared" si="73"/>
        <v>0</v>
      </c>
      <c r="BI88" s="35">
        <f t="shared" si="51"/>
        <v>0</v>
      </c>
      <c r="BJ88" s="35" t="e">
        <f t="shared" si="52"/>
        <v>#DIV/0!</v>
      </c>
      <c r="BL88" s="3">
        <f t="shared" si="53"/>
        <v>0</v>
      </c>
      <c r="BM88" s="19" t="e">
        <f t="shared" si="54"/>
        <v>#DIV/0!</v>
      </c>
      <c r="BN88" s="19" t="e">
        <f t="shared" si="55"/>
        <v>#DIV/0!</v>
      </c>
      <c r="BO88" s="19" t="e">
        <f t="shared" si="56"/>
        <v>#DIV/0!</v>
      </c>
      <c r="BP88" s="19" t="e">
        <f t="shared" si="57"/>
        <v>#DIV/0!</v>
      </c>
      <c r="BQ88" s="19" t="e">
        <f t="shared" si="58"/>
        <v>#DIV/0!</v>
      </c>
      <c r="BR88" s="19" t="e">
        <f t="shared" si="59"/>
        <v>#DIV/0!</v>
      </c>
      <c r="BS88" s="19" t="e">
        <f t="shared" si="60"/>
        <v>#DIV/0!</v>
      </c>
      <c r="BT88" s="19" t="e">
        <f t="shared" si="61"/>
        <v>#DIV/0!</v>
      </c>
      <c r="BV88" s="16">
        <f t="shared" si="62"/>
        <v>0</v>
      </c>
      <c r="BW88" s="16">
        <f t="shared" si="63"/>
        <v>0</v>
      </c>
      <c r="BX88" s="3">
        <f t="shared" si="64"/>
        <v>0</v>
      </c>
      <c r="BY88" s="3">
        <f t="shared" si="93"/>
        <v>0</v>
      </c>
      <c r="BZ88" s="3" t="s">
        <v>162</v>
      </c>
      <c r="CA88" s="3">
        <f t="shared" si="65"/>
        <v>0</v>
      </c>
      <c r="CB88" s="3">
        <f t="shared" si="66"/>
        <v>0</v>
      </c>
      <c r="CC88" s="3">
        <f t="shared" si="67"/>
        <v>0</v>
      </c>
      <c r="CD88" s="3">
        <f t="shared" si="68"/>
        <v>0</v>
      </c>
      <c r="CE88" s="22">
        <f t="shared" si="74"/>
        <v>0</v>
      </c>
      <c r="CF88" s="1">
        <f t="shared" si="69"/>
        <v>0</v>
      </c>
      <c r="CG88" s="1">
        <f t="shared" si="75"/>
        <v>0</v>
      </c>
      <c r="CH88" s="3" t="s">
        <v>162</v>
      </c>
      <c r="CI88" s="1">
        <f t="shared" si="76"/>
        <v>0</v>
      </c>
      <c r="CJ88" s="1">
        <f t="shared" si="77"/>
        <v>0</v>
      </c>
      <c r="CK88" s="1">
        <f t="shared" si="78"/>
        <v>0</v>
      </c>
      <c r="CL88" s="1">
        <f t="shared" si="79"/>
        <v>0</v>
      </c>
      <c r="CM88" s="2">
        <f t="shared" si="80"/>
        <v>0</v>
      </c>
      <c r="CN88" s="1">
        <f t="shared" si="81"/>
        <v>0</v>
      </c>
      <c r="CO88" s="1">
        <f t="shared" si="82"/>
        <v>0</v>
      </c>
      <c r="CP88" s="3" t="s">
        <v>162</v>
      </c>
      <c r="CQ88" s="1">
        <f t="shared" si="83"/>
        <v>0</v>
      </c>
      <c r="CR88" s="1">
        <f t="shared" si="84"/>
        <v>0</v>
      </c>
      <c r="CS88" s="1">
        <f t="shared" si="85"/>
        <v>0</v>
      </c>
      <c r="CT88" s="1">
        <f t="shared" si="86"/>
        <v>0</v>
      </c>
      <c r="CU88" s="2">
        <f t="shared" si="87"/>
        <v>0</v>
      </c>
      <c r="CV88" s="14">
        <f t="shared" si="88"/>
        <v>0</v>
      </c>
      <c r="CW88" s="1">
        <f>ROUND(PPTest!K88,1)</f>
        <v>0</v>
      </c>
      <c r="CX88" s="3">
        <f t="shared" si="70"/>
        <v>0</v>
      </c>
      <c r="CY88" s="3">
        <f t="shared" si="89"/>
        <v>0</v>
      </c>
      <c r="CZ88" s="19">
        <f t="shared" si="90"/>
        <v>0</v>
      </c>
      <c r="DA88" s="19" t="e">
        <f t="shared" si="90"/>
        <v>#DIV/0!</v>
      </c>
      <c r="DB88" s="16">
        <f t="shared" si="91"/>
        <v>0</v>
      </c>
    </row>
    <row r="89" spans="1:106" x14ac:dyDescent="0.2">
      <c r="A89" s="15">
        <f t="shared" si="92"/>
        <v>45741</v>
      </c>
      <c r="B89" s="1">
        <v>84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4"/>
      <c r="AY89" s="12"/>
      <c r="AZ89" s="12"/>
      <c r="BA89" s="16">
        <v>19.16</v>
      </c>
      <c r="BB89" s="41"/>
      <c r="BC89" s="41"/>
      <c r="BD89" s="8" t="e">
        <f t="shared" si="50"/>
        <v>#DIV/0!</v>
      </c>
      <c r="BE89" s="8"/>
      <c r="BF89" s="2">
        <f t="shared" si="71"/>
        <v>0</v>
      </c>
      <c r="BG89" s="2">
        <f t="shared" si="72"/>
        <v>0</v>
      </c>
      <c r="BH89" s="2">
        <f t="shared" si="73"/>
        <v>0</v>
      </c>
      <c r="BI89" s="35">
        <f t="shared" si="51"/>
        <v>0</v>
      </c>
      <c r="BJ89" s="35" t="e">
        <f t="shared" si="52"/>
        <v>#DIV/0!</v>
      </c>
      <c r="BL89" s="3">
        <f t="shared" si="53"/>
        <v>0</v>
      </c>
      <c r="BM89" s="19" t="e">
        <f t="shared" si="54"/>
        <v>#DIV/0!</v>
      </c>
      <c r="BN89" s="19" t="e">
        <f t="shared" si="55"/>
        <v>#DIV/0!</v>
      </c>
      <c r="BO89" s="19" t="e">
        <f t="shared" si="56"/>
        <v>#DIV/0!</v>
      </c>
      <c r="BP89" s="19" t="e">
        <f t="shared" si="57"/>
        <v>#DIV/0!</v>
      </c>
      <c r="BQ89" s="19" t="e">
        <f t="shared" si="58"/>
        <v>#DIV/0!</v>
      </c>
      <c r="BR89" s="19" t="e">
        <f t="shared" si="59"/>
        <v>#DIV/0!</v>
      </c>
      <c r="BS89" s="19" t="e">
        <f t="shared" si="60"/>
        <v>#DIV/0!</v>
      </c>
      <c r="BT89" s="19" t="e">
        <f t="shared" si="61"/>
        <v>#DIV/0!</v>
      </c>
      <c r="BV89" s="16">
        <f t="shared" si="62"/>
        <v>0</v>
      </c>
      <c r="BW89" s="16">
        <f t="shared" si="63"/>
        <v>0</v>
      </c>
      <c r="BX89" s="3">
        <f t="shared" si="64"/>
        <v>0</v>
      </c>
      <c r="BY89" s="3">
        <f t="shared" si="93"/>
        <v>0</v>
      </c>
      <c r="BZ89" s="3" t="s">
        <v>162</v>
      </c>
      <c r="CA89" s="3">
        <f t="shared" si="65"/>
        <v>0</v>
      </c>
      <c r="CB89" s="3">
        <f t="shared" si="66"/>
        <v>0</v>
      </c>
      <c r="CC89" s="3">
        <f t="shared" si="67"/>
        <v>0</v>
      </c>
      <c r="CD89" s="3">
        <f t="shared" si="68"/>
        <v>0</v>
      </c>
      <c r="CE89" s="22">
        <f t="shared" si="74"/>
        <v>0</v>
      </c>
      <c r="CF89" s="1">
        <f t="shared" si="69"/>
        <v>0</v>
      </c>
      <c r="CG89" s="1">
        <f t="shared" si="75"/>
        <v>0</v>
      </c>
      <c r="CH89" s="3" t="s">
        <v>162</v>
      </c>
      <c r="CI89" s="1">
        <f t="shared" si="76"/>
        <v>0</v>
      </c>
      <c r="CJ89" s="1">
        <f t="shared" si="77"/>
        <v>0</v>
      </c>
      <c r="CK89" s="1">
        <f t="shared" si="78"/>
        <v>0</v>
      </c>
      <c r="CL89" s="1">
        <f t="shared" si="79"/>
        <v>0</v>
      </c>
      <c r="CM89" s="2">
        <f t="shared" si="80"/>
        <v>0</v>
      </c>
      <c r="CN89" s="1">
        <f t="shared" si="81"/>
        <v>0</v>
      </c>
      <c r="CO89" s="1">
        <f t="shared" si="82"/>
        <v>0</v>
      </c>
      <c r="CP89" s="3" t="s">
        <v>162</v>
      </c>
      <c r="CQ89" s="1">
        <f t="shared" si="83"/>
        <v>0</v>
      </c>
      <c r="CR89" s="1">
        <f t="shared" si="84"/>
        <v>0</v>
      </c>
      <c r="CS89" s="1">
        <f t="shared" si="85"/>
        <v>0</v>
      </c>
      <c r="CT89" s="1">
        <f t="shared" si="86"/>
        <v>0</v>
      </c>
      <c r="CU89" s="2">
        <f t="shared" si="87"/>
        <v>0</v>
      </c>
      <c r="CV89" s="14">
        <f t="shared" si="88"/>
        <v>0</v>
      </c>
      <c r="CW89" s="1">
        <f>ROUND(PPTest!K89,1)</f>
        <v>0</v>
      </c>
      <c r="CX89" s="3">
        <f t="shared" si="70"/>
        <v>0</v>
      </c>
      <c r="CY89" s="3">
        <f t="shared" si="89"/>
        <v>0</v>
      </c>
      <c r="CZ89" s="19">
        <f t="shared" si="90"/>
        <v>0</v>
      </c>
      <c r="DA89" s="19" t="e">
        <f t="shared" si="90"/>
        <v>#DIV/0!</v>
      </c>
      <c r="DB89" s="16">
        <f t="shared" si="91"/>
        <v>0</v>
      </c>
    </row>
    <row r="90" spans="1:106" x14ac:dyDescent="0.2">
      <c r="A90" s="15">
        <f t="shared" si="92"/>
        <v>45742</v>
      </c>
      <c r="B90" s="1">
        <v>85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4"/>
      <c r="AY90" s="12"/>
      <c r="AZ90" s="12"/>
      <c r="BA90" s="16">
        <v>19.440000000000001</v>
      </c>
      <c r="BB90" s="41"/>
      <c r="BC90" s="41"/>
      <c r="BD90" s="8" t="e">
        <f t="shared" si="50"/>
        <v>#DIV/0!</v>
      </c>
      <c r="BE90" s="8"/>
      <c r="BF90" s="2">
        <f t="shared" si="71"/>
        <v>0</v>
      </c>
      <c r="BG90" s="2">
        <f t="shared" si="72"/>
        <v>0</v>
      </c>
      <c r="BH90" s="2">
        <f t="shared" si="73"/>
        <v>0</v>
      </c>
      <c r="BI90" s="35">
        <f t="shared" si="51"/>
        <v>0</v>
      </c>
      <c r="BJ90" s="35" t="e">
        <f t="shared" si="52"/>
        <v>#DIV/0!</v>
      </c>
      <c r="BL90" s="3">
        <f t="shared" si="53"/>
        <v>0</v>
      </c>
      <c r="BM90" s="19" t="e">
        <f t="shared" si="54"/>
        <v>#DIV/0!</v>
      </c>
      <c r="BN90" s="19" t="e">
        <f t="shared" si="55"/>
        <v>#DIV/0!</v>
      </c>
      <c r="BO90" s="19" t="e">
        <f t="shared" si="56"/>
        <v>#DIV/0!</v>
      </c>
      <c r="BP90" s="19" t="e">
        <f t="shared" si="57"/>
        <v>#DIV/0!</v>
      </c>
      <c r="BQ90" s="19" t="e">
        <f t="shared" si="58"/>
        <v>#DIV/0!</v>
      </c>
      <c r="BR90" s="19" t="e">
        <f t="shared" si="59"/>
        <v>#DIV/0!</v>
      </c>
      <c r="BS90" s="19" t="e">
        <f t="shared" si="60"/>
        <v>#DIV/0!</v>
      </c>
      <c r="BT90" s="19" t="e">
        <f t="shared" si="61"/>
        <v>#DIV/0!</v>
      </c>
      <c r="BV90" s="16">
        <f t="shared" si="62"/>
        <v>0</v>
      </c>
      <c r="BW90" s="16">
        <f t="shared" si="63"/>
        <v>0</v>
      </c>
      <c r="BX90" s="3">
        <f t="shared" si="64"/>
        <v>0</v>
      </c>
      <c r="BY90" s="3">
        <f t="shared" si="93"/>
        <v>0</v>
      </c>
      <c r="BZ90" s="3" t="s">
        <v>162</v>
      </c>
      <c r="CA90" s="3">
        <f t="shared" si="65"/>
        <v>0</v>
      </c>
      <c r="CB90" s="3">
        <f t="shared" si="66"/>
        <v>0</v>
      </c>
      <c r="CC90" s="3">
        <f t="shared" si="67"/>
        <v>0</v>
      </c>
      <c r="CD90" s="3">
        <f t="shared" si="68"/>
        <v>0</v>
      </c>
      <c r="CE90" s="22">
        <f t="shared" si="74"/>
        <v>0</v>
      </c>
      <c r="CF90" s="1">
        <f t="shared" si="69"/>
        <v>0</v>
      </c>
      <c r="CG90" s="1">
        <f t="shared" si="75"/>
        <v>0</v>
      </c>
      <c r="CH90" s="3" t="s">
        <v>162</v>
      </c>
      <c r="CI90" s="1">
        <f t="shared" si="76"/>
        <v>0</v>
      </c>
      <c r="CJ90" s="1">
        <f t="shared" si="77"/>
        <v>0</v>
      </c>
      <c r="CK90" s="1">
        <f t="shared" si="78"/>
        <v>0</v>
      </c>
      <c r="CL90" s="1">
        <f t="shared" si="79"/>
        <v>0</v>
      </c>
      <c r="CM90" s="2">
        <f t="shared" si="80"/>
        <v>0</v>
      </c>
      <c r="CN90" s="1">
        <f t="shared" si="81"/>
        <v>0</v>
      </c>
      <c r="CO90" s="1">
        <f t="shared" si="82"/>
        <v>0</v>
      </c>
      <c r="CP90" s="3" t="s">
        <v>162</v>
      </c>
      <c r="CQ90" s="1">
        <f t="shared" si="83"/>
        <v>0</v>
      </c>
      <c r="CR90" s="1">
        <f t="shared" si="84"/>
        <v>0</v>
      </c>
      <c r="CS90" s="1">
        <f t="shared" si="85"/>
        <v>0</v>
      </c>
      <c r="CT90" s="1">
        <f t="shared" si="86"/>
        <v>0</v>
      </c>
      <c r="CU90" s="2">
        <f t="shared" si="87"/>
        <v>0</v>
      </c>
      <c r="CV90" s="14">
        <f t="shared" si="88"/>
        <v>0</v>
      </c>
      <c r="CW90" s="1">
        <f>ROUND(PPTest!K90,1)</f>
        <v>0</v>
      </c>
      <c r="CX90" s="3">
        <f t="shared" si="70"/>
        <v>0</v>
      </c>
      <c r="CY90" s="3">
        <f t="shared" si="89"/>
        <v>0</v>
      </c>
      <c r="CZ90" s="19">
        <f t="shared" si="90"/>
        <v>0</v>
      </c>
      <c r="DA90" s="19" t="e">
        <f t="shared" si="90"/>
        <v>#DIV/0!</v>
      </c>
      <c r="DB90" s="16">
        <f t="shared" si="91"/>
        <v>0</v>
      </c>
    </row>
    <row r="91" spans="1:106" x14ac:dyDescent="0.2">
      <c r="A91" s="15">
        <f t="shared" si="92"/>
        <v>45743</v>
      </c>
      <c r="B91" s="1">
        <v>86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4"/>
      <c r="AY91" s="12"/>
      <c r="AZ91" s="12"/>
      <c r="BA91" s="16">
        <v>19.7</v>
      </c>
      <c r="BB91" s="41"/>
      <c r="BC91" s="41"/>
      <c r="BD91" s="8" t="e">
        <f t="shared" si="50"/>
        <v>#DIV/0!</v>
      </c>
      <c r="BE91" s="8"/>
      <c r="BF91" s="2">
        <f t="shared" si="71"/>
        <v>0</v>
      </c>
      <c r="BG91" s="2">
        <f t="shared" si="72"/>
        <v>0</v>
      </c>
      <c r="BH91" s="2">
        <f t="shared" si="73"/>
        <v>0</v>
      </c>
      <c r="BI91" s="35">
        <f t="shared" si="51"/>
        <v>0</v>
      </c>
      <c r="BJ91" s="35" t="e">
        <f t="shared" si="52"/>
        <v>#DIV/0!</v>
      </c>
      <c r="BL91" s="3">
        <f t="shared" si="53"/>
        <v>0</v>
      </c>
      <c r="BM91" s="19" t="e">
        <f t="shared" si="54"/>
        <v>#DIV/0!</v>
      </c>
      <c r="BN91" s="19" t="e">
        <f t="shared" si="55"/>
        <v>#DIV/0!</v>
      </c>
      <c r="BO91" s="19" t="e">
        <f t="shared" si="56"/>
        <v>#DIV/0!</v>
      </c>
      <c r="BP91" s="19" t="e">
        <f t="shared" si="57"/>
        <v>#DIV/0!</v>
      </c>
      <c r="BQ91" s="19" t="e">
        <f t="shared" si="58"/>
        <v>#DIV/0!</v>
      </c>
      <c r="BR91" s="19" t="e">
        <f t="shared" si="59"/>
        <v>#DIV/0!</v>
      </c>
      <c r="BS91" s="19" t="e">
        <f t="shared" si="60"/>
        <v>#DIV/0!</v>
      </c>
      <c r="BT91" s="19" t="e">
        <f t="shared" si="61"/>
        <v>#DIV/0!</v>
      </c>
      <c r="BV91" s="16">
        <f t="shared" si="62"/>
        <v>0</v>
      </c>
      <c r="BW91" s="16">
        <f t="shared" si="63"/>
        <v>0</v>
      </c>
      <c r="BX91" s="3">
        <f t="shared" si="64"/>
        <v>0</v>
      </c>
      <c r="BY91" s="3">
        <f t="shared" si="93"/>
        <v>0</v>
      </c>
      <c r="BZ91" s="3" t="s">
        <v>162</v>
      </c>
      <c r="CA91" s="3">
        <f t="shared" si="65"/>
        <v>0</v>
      </c>
      <c r="CB91" s="3">
        <f t="shared" si="66"/>
        <v>0</v>
      </c>
      <c r="CC91" s="3">
        <f t="shared" si="67"/>
        <v>0</v>
      </c>
      <c r="CD91" s="3">
        <f t="shared" si="68"/>
        <v>0</v>
      </c>
      <c r="CE91" s="22">
        <f t="shared" si="74"/>
        <v>0</v>
      </c>
      <c r="CF91" s="1">
        <f t="shared" si="69"/>
        <v>0</v>
      </c>
      <c r="CG91" s="1">
        <f t="shared" si="75"/>
        <v>0</v>
      </c>
      <c r="CH91" s="3" t="s">
        <v>162</v>
      </c>
      <c r="CI91" s="1">
        <f t="shared" si="76"/>
        <v>0</v>
      </c>
      <c r="CJ91" s="1">
        <f t="shared" si="77"/>
        <v>0</v>
      </c>
      <c r="CK91" s="1">
        <f t="shared" si="78"/>
        <v>0</v>
      </c>
      <c r="CL91" s="1">
        <f t="shared" si="79"/>
        <v>0</v>
      </c>
      <c r="CM91" s="2">
        <f t="shared" si="80"/>
        <v>0</v>
      </c>
      <c r="CN91" s="1">
        <f t="shared" si="81"/>
        <v>0</v>
      </c>
      <c r="CO91" s="1">
        <f t="shared" si="82"/>
        <v>0</v>
      </c>
      <c r="CP91" s="3" t="s">
        <v>162</v>
      </c>
      <c r="CQ91" s="1">
        <f t="shared" si="83"/>
        <v>0</v>
      </c>
      <c r="CR91" s="1">
        <f t="shared" si="84"/>
        <v>0</v>
      </c>
      <c r="CS91" s="1">
        <f t="shared" si="85"/>
        <v>0</v>
      </c>
      <c r="CT91" s="1">
        <f t="shared" si="86"/>
        <v>0</v>
      </c>
      <c r="CU91" s="2">
        <f t="shared" si="87"/>
        <v>0</v>
      </c>
      <c r="CV91" s="14">
        <f t="shared" si="88"/>
        <v>0</v>
      </c>
      <c r="CW91" s="1">
        <f>ROUND(PPTest!K91,1)</f>
        <v>0</v>
      </c>
      <c r="CX91" s="3">
        <f t="shared" si="70"/>
        <v>0</v>
      </c>
      <c r="CY91" s="3">
        <f t="shared" si="89"/>
        <v>0</v>
      </c>
      <c r="CZ91" s="19">
        <f t="shared" si="90"/>
        <v>0</v>
      </c>
      <c r="DA91" s="19" t="e">
        <f t="shared" si="90"/>
        <v>#DIV/0!</v>
      </c>
      <c r="DB91" s="16">
        <f t="shared" si="91"/>
        <v>0</v>
      </c>
    </row>
    <row r="92" spans="1:106" x14ac:dyDescent="0.2">
      <c r="A92" s="15">
        <f t="shared" si="92"/>
        <v>45744</v>
      </c>
      <c r="B92" s="1">
        <v>87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4"/>
      <c r="AY92" s="12"/>
      <c r="AZ92" s="12"/>
      <c r="BA92" s="16">
        <v>19.97</v>
      </c>
      <c r="BB92" s="41"/>
      <c r="BC92" s="41"/>
      <c r="BD92" s="8" t="e">
        <f t="shared" si="50"/>
        <v>#DIV/0!</v>
      </c>
      <c r="BE92" s="8"/>
      <c r="BF92" s="2">
        <f t="shared" si="71"/>
        <v>0</v>
      </c>
      <c r="BG92" s="2">
        <f t="shared" si="72"/>
        <v>0</v>
      </c>
      <c r="BH92" s="2">
        <f t="shared" si="73"/>
        <v>0</v>
      </c>
      <c r="BI92" s="35">
        <f t="shared" si="51"/>
        <v>0</v>
      </c>
      <c r="BJ92" s="35" t="e">
        <f t="shared" si="52"/>
        <v>#DIV/0!</v>
      </c>
      <c r="BL92" s="3">
        <f t="shared" si="53"/>
        <v>0</v>
      </c>
      <c r="BM92" s="19" t="e">
        <f t="shared" si="54"/>
        <v>#DIV/0!</v>
      </c>
      <c r="BN92" s="19" t="e">
        <f t="shared" si="55"/>
        <v>#DIV/0!</v>
      </c>
      <c r="BO92" s="19" t="e">
        <f t="shared" si="56"/>
        <v>#DIV/0!</v>
      </c>
      <c r="BP92" s="19" t="e">
        <f t="shared" si="57"/>
        <v>#DIV/0!</v>
      </c>
      <c r="BQ92" s="19" t="e">
        <f t="shared" si="58"/>
        <v>#DIV/0!</v>
      </c>
      <c r="BR92" s="19" t="e">
        <f t="shared" si="59"/>
        <v>#DIV/0!</v>
      </c>
      <c r="BS92" s="19" t="e">
        <f t="shared" si="60"/>
        <v>#DIV/0!</v>
      </c>
      <c r="BT92" s="19" t="e">
        <f t="shared" si="61"/>
        <v>#DIV/0!</v>
      </c>
      <c r="BV92" s="16">
        <f t="shared" si="62"/>
        <v>0</v>
      </c>
      <c r="BW92" s="16">
        <f t="shared" si="63"/>
        <v>0</v>
      </c>
      <c r="BX92" s="3">
        <f t="shared" si="64"/>
        <v>0</v>
      </c>
      <c r="BY92" s="3">
        <f t="shared" si="93"/>
        <v>0</v>
      </c>
      <c r="BZ92" s="3" t="s">
        <v>162</v>
      </c>
      <c r="CA92" s="3">
        <f t="shared" si="65"/>
        <v>0</v>
      </c>
      <c r="CB92" s="3">
        <f t="shared" si="66"/>
        <v>0</v>
      </c>
      <c r="CC92" s="3">
        <f t="shared" si="67"/>
        <v>0</v>
      </c>
      <c r="CD92" s="3">
        <f t="shared" si="68"/>
        <v>0</v>
      </c>
      <c r="CE92" s="22">
        <f t="shared" si="74"/>
        <v>0</v>
      </c>
      <c r="CF92" s="1">
        <f t="shared" si="69"/>
        <v>0</v>
      </c>
      <c r="CG92" s="1">
        <f t="shared" si="75"/>
        <v>0</v>
      </c>
      <c r="CH92" s="3" t="s">
        <v>162</v>
      </c>
      <c r="CI92" s="1">
        <f t="shared" si="76"/>
        <v>0</v>
      </c>
      <c r="CJ92" s="1">
        <f t="shared" si="77"/>
        <v>0</v>
      </c>
      <c r="CK92" s="1">
        <f t="shared" si="78"/>
        <v>0</v>
      </c>
      <c r="CL92" s="1">
        <f t="shared" si="79"/>
        <v>0</v>
      </c>
      <c r="CM92" s="2">
        <f t="shared" si="80"/>
        <v>0</v>
      </c>
      <c r="CN92" s="1">
        <f t="shared" si="81"/>
        <v>0</v>
      </c>
      <c r="CO92" s="1">
        <f t="shared" si="82"/>
        <v>0</v>
      </c>
      <c r="CP92" s="3" t="s">
        <v>162</v>
      </c>
      <c r="CQ92" s="1">
        <f t="shared" si="83"/>
        <v>0</v>
      </c>
      <c r="CR92" s="1">
        <f t="shared" si="84"/>
        <v>0</v>
      </c>
      <c r="CS92" s="1">
        <f t="shared" si="85"/>
        <v>0</v>
      </c>
      <c r="CT92" s="1">
        <f t="shared" si="86"/>
        <v>0</v>
      </c>
      <c r="CU92" s="2">
        <f t="shared" si="87"/>
        <v>0</v>
      </c>
      <c r="CV92" s="14">
        <f t="shared" si="88"/>
        <v>0</v>
      </c>
      <c r="CW92" s="1">
        <f>ROUND(PPTest!K92,1)</f>
        <v>0</v>
      </c>
      <c r="CX92" s="3">
        <f t="shared" si="70"/>
        <v>0</v>
      </c>
      <c r="CY92" s="3">
        <f t="shared" si="89"/>
        <v>0</v>
      </c>
      <c r="CZ92" s="19">
        <f t="shared" si="90"/>
        <v>0</v>
      </c>
      <c r="DA92" s="19" t="e">
        <f t="shared" si="90"/>
        <v>#DIV/0!</v>
      </c>
      <c r="DB92" s="16">
        <f t="shared" si="91"/>
        <v>0</v>
      </c>
    </row>
    <row r="93" spans="1:106" x14ac:dyDescent="0.2">
      <c r="A93" s="15">
        <f t="shared" si="92"/>
        <v>45745</v>
      </c>
      <c r="B93" s="1">
        <v>88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4"/>
      <c r="AY93" s="12"/>
      <c r="AZ93" s="12"/>
      <c r="BA93" s="16">
        <v>20.239999999999998</v>
      </c>
      <c r="BB93" s="41"/>
      <c r="BC93" s="41"/>
      <c r="BD93" s="8" t="e">
        <f t="shared" si="50"/>
        <v>#DIV/0!</v>
      </c>
      <c r="BE93" s="8"/>
      <c r="BF93" s="2">
        <f t="shared" si="71"/>
        <v>0</v>
      </c>
      <c r="BG93" s="2">
        <f t="shared" si="72"/>
        <v>0</v>
      </c>
      <c r="BH93" s="2">
        <f t="shared" si="73"/>
        <v>0</v>
      </c>
      <c r="BI93" s="35">
        <f t="shared" si="51"/>
        <v>0</v>
      </c>
      <c r="BJ93" s="35" t="e">
        <f t="shared" si="52"/>
        <v>#DIV/0!</v>
      </c>
      <c r="BL93" s="3">
        <f t="shared" si="53"/>
        <v>0</v>
      </c>
      <c r="BM93" s="19" t="e">
        <f t="shared" si="54"/>
        <v>#DIV/0!</v>
      </c>
      <c r="BN93" s="19" t="e">
        <f t="shared" si="55"/>
        <v>#DIV/0!</v>
      </c>
      <c r="BO93" s="19" t="e">
        <f t="shared" si="56"/>
        <v>#DIV/0!</v>
      </c>
      <c r="BP93" s="19" t="e">
        <f t="shared" si="57"/>
        <v>#DIV/0!</v>
      </c>
      <c r="BQ93" s="19" t="e">
        <f t="shared" si="58"/>
        <v>#DIV/0!</v>
      </c>
      <c r="BR93" s="19" t="e">
        <f t="shared" si="59"/>
        <v>#DIV/0!</v>
      </c>
      <c r="BS93" s="19" t="e">
        <f t="shared" si="60"/>
        <v>#DIV/0!</v>
      </c>
      <c r="BT93" s="19" t="e">
        <f t="shared" si="61"/>
        <v>#DIV/0!</v>
      </c>
      <c r="BV93" s="16">
        <f t="shared" si="62"/>
        <v>0</v>
      </c>
      <c r="BW93" s="16">
        <f t="shared" si="63"/>
        <v>0</v>
      </c>
      <c r="BX93" s="3">
        <f t="shared" si="64"/>
        <v>0</v>
      </c>
      <c r="BY93" s="3">
        <f t="shared" si="93"/>
        <v>0</v>
      </c>
      <c r="BZ93" s="3" t="s">
        <v>162</v>
      </c>
      <c r="CA93" s="3">
        <f t="shared" si="65"/>
        <v>0</v>
      </c>
      <c r="CB93" s="3">
        <f t="shared" si="66"/>
        <v>0</v>
      </c>
      <c r="CC93" s="3">
        <f t="shared" si="67"/>
        <v>0</v>
      </c>
      <c r="CD93" s="3">
        <f t="shared" si="68"/>
        <v>0</v>
      </c>
      <c r="CE93" s="22">
        <f t="shared" si="74"/>
        <v>0</v>
      </c>
      <c r="CF93" s="1">
        <f t="shared" si="69"/>
        <v>0</v>
      </c>
      <c r="CG93" s="1">
        <f t="shared" si="75"/>
        <v>0</v>
      </c>
      <c r="CH93" s="3" t="s">
        <v>162</v>
      </c>
      <c r="CI93" s="1">
        <f t="shared" si="76"/>
        <v>0</v>
      </c>
      <c r="CJ93" s="1">
        <f t="shared" si="77"/>
        <v>0</v>
      </c>
      <c r="CK93" s="1">
        <f t="shared" si="78"/>
        <v>0</v>
      </c>
      <c r="CL93" s="1">
        <f t="shared" si="79"/>
        <v>0</v>
      </c>
      <c r="CM93" s="2">
        <f t="shared" si="80"/>
        <v>0</v>
      </c>
      <c r="CN93" s="1">
        <f t="shared" si="81"/>
        <v>0</v>
      </c>
      <c r="CO93" s="1">
        <f t="shared" si="82"/>
        <v>0</v>
      </c>
      <c r="CP93" s="3" t="s">
        <v>162</v>
      </c>
      <c r="CQ93" s="1">
        <f t="shared" si="83"/>
        <v>0</v>
      </c>
      <c r="CR93" s="1">
        <f t="shared" si="84"/>
        <v>0</v>
      </c>
      <c r="CS93" s="1">
        <f t="shared" si="85"/>
        <v>0</v>
      </c>
      <c r="CT93" s="1">
        <f t="shared" si="86"/>
        <v>0</v>
      </c>
      <c r="CU93" s="2">
        <f t="shared" si="87"/>
        <v>0</v>
      </c>
      <c r="CV93" s="14">
        <f t="shared" si="88"/>
        <v>0</v>
      </c>
      <c r="CW93" s="1">
        <f>ROUND(PPTest!K93,1)</f>
        <v>0</v>
      </c>
      <c r="CX93" s="3">
        <f t="shared" si="70"/>
        <v>0</v>
      </c>
      <c r="CY93" s="3">
        <f t="shared" si="89"/>
        <v>0</v>
      </c>
      <c r="CZ93" s="19">
        <f t="shared" si="90"/>
        <v>0</v>
      </c>
      <c r="DA93" s="19" t="e">
        <f t="shared" si="90"/>
        <v>#DIV/0!</v>
      </c>
      <c r="DB93" s="16">
        <f t="shared" si="91"/>
        <v>0</v>
      </c>
    </row>
    <row r="94" spans="1:106" x14ac:dyDescent="0.2">
      <c r="A94" s="15">
        <f t="shared" si="92"/>
        <v>45746</v>
      </c>
      <c r="B94" s="1">
        <v>89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4"/>
      <c r="AY94" s="12"/>
      <c r="AZ94" s="12"/>
      <c r="BA94" s="16">
        <v>20.5</v>
      </c>
      <c r="BB94" s="41"/>
      <c r="BC94" s="41"/>
      <c r="BD94" s="8" t="e">
        <f t="shared" si="50"/>
        <v>#DIV/0!</v>
      </c>
      <c r="BE94" s="8"/>
      <c r="BF94" s="2">
        <f t="shared" si="71"/>
        <v>0</v>
      </c>
      <c r="BG94" s="2">
        <f t="shared" si="72"/>
        <v>0</v>
      </c>
      <c r="BH94" s="2">
        <f t="shared" si="73"/>
        <v>0</v>
      </c>
      <c r="BI94" s="35">
        <f t="shared" si="51"/>
        <v>0</v>
      </c>
      <c r="BJ94" s="35" t="e">
        <f t="shared" si="52"/>
        <v>#DIV/0!</v>
      </c>
      <c r="BL94" s="3">
        <f t="shared" si="53"/>
        <v>0</v>
      </c>
      <c r="BM94" s="19" t="e">
        <f t="shared" si="54"/>
        <v>#DIV/0!</v>
      </c>
      <c r="BN94" s="19" t="e">
        <f t="shared" si="55"/>
        <v>#DIV/0!</v>
      </c>
      <c r="BO94" s="19" t="e">
        <f t="shared" si="56"/>
        <v>#DIV/0!</v>
      </c>
      <c r="BP94" s="19" t="e">
        <f t="shared" si="57"/>
        <v>#DIV/0!</v>
      </c>
      <c r="BQ94" s="19" t="e">
        <f t="shared" si="58"/>
        <v>#DIV/0!</v>
      </c>
      <c r="BR94" s="19" t="e">
        <f t="shared" si="59"/>
        <v>#DIV/0!</v>
      </c>
      <c r="BS94" s="19" t="e">
        <f t="shared" si="60"/>
        <v>#DIV/0!</v>
      </c>
      <c r="BT94" s="19" t="e">
        <f t="shared" si="61"/>
        <v>#DIV/0!</v>
      </c>
      <c r="BV94" s="16">
        <f t="shared" si="62"/>
        <v>0</v>
      </c>
      <c r="BW94" s="16">
        <f t="shared" si="63"/>
        <v>0</v>
      </c>
      <c r="BX94" s="3">
        <f t="shared" si="64"/>
        <v>0</v>
      </c>
      <c r="BY94" s="3">
        <f t="shared" si="93"/>
        <v>0</v>
      </c>
      <c r="BZ94" s="3" t="s">
        <v>162</v>
      </c>
      <c r="CA94" s="3">
        <f t="shared" si="65"/>
        <v>0</v>
      </c>
      <c r="CB94" s="3">
        <f t="shared" si="66"/>
        <v>0</v>
      </c>
      <c r="CC94" s="3">
        <f t="shared" si="67"/>
        <v>0</v>
      </c>
      <c r="CD94" s="3">
        <f t="shared" si="68"/>
        <v>0</v>
      </c>
      <c r="CE94" s="22">
        <f t="shared" si="74"/>
        <v>0</v>
      </c>
      <c r="CF94" s="1">
        <f t="shared" si="69"/>
        <v>0</v>
      </c>
      <c r="CG94" s="1">
        <f t="shared" si="75"/>
        <v>0</v>
      </c>
      <c r="CH94" s="3" t="s">
        <v>162</v>
      </c>
      <c r="CI94" s="1">
        <f t="shared" si="76"/>
        <v>0</v>
      </c>
      <c r="CJ94" s="1">
        <f t="shared" si="77"/>
        <v>0</v>
      </c>
      <c r="CK94" s="1">
        <f t="shared" si="78"/>
        <v>0</v>
      </c>
      <c r="CL94" s="1">
        <f t="shared" si="79"/>
        <v>0</v>
      </c>
      <c r="CM94" s="2">
        <f t="shared" si="80"/>
        <v>0</v>
      </c>
      <c r="CN94" s="1">
        <f t="shared" si="81"/>
        <v>0</v>
      </c>
      <c r="CO94" s="1">
        <f t="shared" si="82"/>
        <v>0</v>
      </c>
      <c r="CP94" s="3" t="s">
        <v>162</v>
      </c>
      <c r="CQ94" s="1">
        <f t="shared" si="83"/>
        <v>0</v>
      </c>
      <c r="CR94" s="1">
        <f t="shared" si="84"/>
        <v>0</v>
      </c>
      <c r="CS94" s="1">
        <f t="shared" si="85"/>
        <v>0</v>
      </c>
      <c r="CT94" s="1">
        <f t="shared" si="86"/>
        <v>0</v>
      </c>
      <c r="CU94" s="2">
        <f t="shared" si="87"/>
        <v>0</v>
      </c>
      <c r="CV94" s="14">
        <f t="shared" si="88"/>
        <v>0</v>
      </c>
      <c r="CW94" s="1">
        <f>ROUND(PPTest!K94,1)</f>
        <v>0</v>
      </c>
      <c r="CX94" s="3">
        <f t="shared" si="70"/>
        <v>0</v>
      </c>
      <c r="CY94" s="3">
        <f t="shared" si="89"/>
        <v>0</v>
      </c>
      <c r="CZ94" s="19">
        <f t="shared" si="90"/>
        <v>0</v>
      </c>
      <c r="DA94" s="19" t="e">
        <f t="shared" si="90"/>
        <v>#DIV/0!</v>
      </c>
      <c r="DB94" s="16">
        <f t="shared" si="91"/>
        <v>0</v>
      </c>
    </row>
    <row r="95" spans="1:106" x14ac:dyDescent="0.2">
      <c r="A95" s="15">
        <f t="shared" si="92"/>
        <v>45747</v>
      </c>
      <c r="B95" s="1">
        <v>90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4"/>
      <c r="AY95" s="12"/>
      <c r="AZ95" s="12"/>
      <c r="BA95" s="16">
        <v>20.77</v>
      </c>
      <c r="BB95" s="41"/>
      <c r="BC95" s="41"/>
      <c r="BD95" s="8" t="e">
        <f t="shared" si="50"/>
        <v>#DIV/0!</v>
      </c>
      <c r="BE95" s="8"/>
      <c r="BF95" s="2">
        <f t="shared" si="71"/>
        <v>0</v>
      </c>
      <c r="BG95" s="2">
        <f t="shared" si="72"/>
        <v>0</v>
      </c>
      <c r="BH95" s="2">
        <f t="shared" si="73"/>
        <v>0</v>
      </c>
      <c r="BI95" s="35">
        <f t="shared" si="51"/>
        <v>0</v>
      </c>
      <c r="BJ95" s="35" t="e">
        <f t="shared" si="52"/>
        <v>#DIV/0!</v>
      </c>
      <c r="BL95" s="3">
        <f t="shared" si="53"/>
        <v>0</v>
      </c>
      <c r="BM95" s="19" t="e">
        <f t="shared" si="54"/>
        <v>#DIV/0!</v>
      </c>
      <c r="BN95" s="19" t="e">
        <f t="shared" si="55"/>
        <v>#DIV/0!</v>
      </c>
      <c r="BO95" s="19" t="e">
        <f t="shared" si="56"/>
        <v>#DIV/0!</v>
      </c>
      <c r="BP95" s="19" t="e">
        <f t="shared" si="57"/>
        <v>#DIV/0!</v>
      </c>
      <c r="BQ95" s="19" t="e">
        <f t="shared" si="58"/>
        <v>#DIV/0!</v>
      </c>
      <c r="BR95" s="19" t="e">
        <f t="shared" si="59"/>
        <v>#DIV/0!</v>
      </c>
      <c r="BS95" s="19" t="e">
        <f t="shared" si="60"/>
        <v>#DIV/0!</v>
      </c>
      <c r="BT95" s="19" t="e">
        <f t="shared" si="61"/>
        <v>#DIV/0!</v>
      </c>
      <c r="BV95" s="16">
        <f t="shared" si="62"/>
        <v>0</v>
      </c>
      <c r="BW95" s="16">
        <f t="shared" si="63"/>
        <v>0</v>
      </c>
      <c r="BX95" s="3">
        <f t="shared" si="64"/>
        <v>0</v>
      </c>
      <c r="BY95" s="3">
        <f t="shared" si="93"/>
        <v>0</v>
      </c>
      <c r="BZ95" s="3" t="s">
        <v>162</v>
      </c>
      <c r="CA95" s="3">
        <f t="shared" si="65"/>
        <v>0</v>
      </c>
      <c r="CB95" s="3">
        <f t="shared" si="66"/>
        <v>0</v>
      </c>
      <c r="CC95" s="3">
        <f t="shared" si="67"/>
        <v>0</v>
      </c>
      <c r="CD95" s="3">
        <f t="shared" si="68"/>
        <v>0</v>
      </c>
      <c r="CE95" s="22">
        <f t="shared" si="74"/>
        <v>0</v>
      </c>
      <c r="CF95" s="1">
        <f t="shared" si="69"/>
        <v>0</v>
      </c>
      <c r="CG95" s="1">
        <f t="shared" si="75"/>
        <v>0</v>
      </c>
      <c r="CH95" s="3" t="s">
        <v>162</v>
      </c>
      <c r="CI95" s="1">
        <f t="shared" si="76"/>
        <v>0</v>
      </c>
      <c r="CJ95" s="1">
        <f t="shared" si="77"/>
        <v>0</v>
      </c>
      <c r="CK95" s="1">
        <f t="shared" si="78"/>
        <v>0</v>
      </c>
      <c r="CL95" s="1">
        <f t="shared" si="79"/>
        <v>0</v>
      </c>
      <c r="CM95" s="2">
        <f t="shared" si="80"/>
        <v>0</v>
      </c>
      <c r="CN95" s="1">
        <f t="shared" si="81"/>
        <v>0</v>
      </c>
      <c r="CO95" s="1">
        <f t="shared" si="82"/>
        <v>0</v>
      </c>
      <c r="CP95" s="3" t="s">
        <v>162</v>
      </c>
      <c r="CQ95" s="1">
        <f t="shared" si="83"/>
        <v>0</v>
      </c>
      <c r="CR95" s="1">
        <f t="shared" si="84"/>
        <v>0</v>
      </c>
      <c r="CS95" s="1">
        <f t="shared" si="85"/>
        <v>0</v>
      </c>
      <c r="CT95" s="1">
        <f t="shared" si="86"/>
        <v>0</v>
      </c>
      <c r="CU95" s="2">
        <f t="shared" si="87"/>
        <v>0</v>
      </c>
      <c r="CV95" s="14">
        <f t="shared" si="88"/>
        <v>0</v>
      </c>
      <c r="CW95" s="1">
        <f>ROUND(PPTest!K95,1)</f>
        <v>0</v>
      </c>
      <c r="CX95" s="3">
        <f t="shared" si="70"/>
        <v>0</v>
      </c>
      <c r="CY95" s="3">
        <f t="shared" si="89"/>
        <v>0</v>
      </c>
      <c r="CZ95" s="19">
        <f t="shared" si="90"/>
        <v>0</v>
      </c>
      <c r="DA95" s="19" t="e">
        <f t="shared" si="90"/>
        <v>#DIV/0!</v>
      </c>
      <c r="DB95" s="16">
        <f t="shared" si="91"/>
        <v>0</v>
      </c>
    </row>
    <row r="96" spans="1:106" x14ac:dyDescent="0.2">
      <c r="A96" s="15">
        <f t="shared" si="92"/>
        <v>45748</v>
      </c>
      <c r="B96" s="1">
        <v>91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4"/>
      <c r="AY96" s="12"/>
      <c r="AZ96" s="12"/>
      <c r="BA96" s="16">
        <v>21.03</v>
      </c>
      <c r="BB96" s="41"/>
      <c r="BC96" s="41"/>
      <c r="BD96" s="8" t="e">
        <f t="shared" si="50"/>
        <v>#DIV/0!</v>
      </c>
      <c r="BE96" s="8"/>
      <c r="BF96" s="2">
        <f t="shared" si="71"/>
        <v>0</v>
      </c>
      <c r="BG96" s="2">
        <f t="shared" si="72"/>
        <v>0</v>
      </c>
      <c r="BH96" s="2">
        <f t="shared" si="73"/>
        <v>0</v>
      </c>
      <c r="BI96" s="35">
        <f t="shared" si="51"/>
        <v>0</v>
      </c>
      <c r="BJ96" s="35" t="e">
        <f t="shared" si="52"/>
        <v>#DIV/0!</v>
      </c>
      <c r="BL96" s="3">
        <f t="shared" si="53"/>
        <v>0</v>
      </c>
      <c r="BM96" s="19" t="e">
        <f t="shared" si="54"/>
        <v>#DIV/0!</v>
      </c>
      <c r="BN96" s="19" t="e">
        <f t="shared" si="55"/>
        <v>#DIV/0!</v>
      </c>
      <c r="BO96" s="19" t="e">
        <f t="shared" si="56"/>
        <v>#DIV/0!</v>
      </c>
      <c r="BP96" s="19" t="e">
        <f t="shared" si="57"/>
        <v>#DIV/0!</v>
      </c>
      <c r="BQ96" s="19" t="e">
        <f t="shared" si="58"/>
        <v>#DIV/0!</v>
      </c>
      <c r="BR96" s="19" t="e">
        <f t="shared" si="59"/>
        <v>#DIV/0!</v>
      </c>
      <c r="BS96" s="19" t="e">
        <f t="shared" si="60"/>
        <v>#DIV/0!</v>
      </c>
      <c r="BT96" s="19" t="e">
        <f t="shared" si="61"/>
        <v>#DIV/0!</v>
      </c>
      <c r="BV96" s="16">
        <f t="shared" si="62"/>
        <v>0</v>
      </c>
      <c r="BW96" s="16">
        <f t="shared" si="63"/>
        <v>0</v>
      </c>
      <c r="BX96" s="3">
        <f t="shared" si="64"/>
        <v>0</v>
      </c>
      <c r="BY96" s="3">
        <f t="shared" si="93"/>
        <v>0</v>
      </c>
      <c r="BZ96" s="3" t="s">
        <v>162</v>
      </c>
      <c r="CA96" s="3">
        <f t="shared" si="65"/>
        <v>0</v>
      </c>
      <c r="CB96" s="3">
        <f t="shared" si="66"/>
        <v>0</v>
      </c>
      <c r="CC96" s="3">
        <f t="shared" si="67"/>
        <v>0</v>
      </c>
      <c r="CD96" s="3">
        <f t="shared" si="68"/>
        <v>0</v>
      </c>
      <c r="CE96" s="22">
        <f t="shared" si="74"/>
        <v>0</v>
      </c>
      <c r="CF96" s="1">
        <f t="shared" si="69"/>
        <v>0</v>
      </c>
      <c r="CG96" s="1">
        <f t="shared" si="75"/>
        <v>0</v>
      </c>
      <c r="CH96" s="3" t="s">
        <v>162</v>
      </c>
      <c r="CI96" s="1">
        <f t="shared" si="76"/>
        <v>0</v>
      </c>
      <c r="CJ96" s="1">
        <f t="shared" si="77"/>
        <v>0</v>
      </c>
      <c r="CK96" s="1">
        <f t="shared" si="78"/>
        <v>0</v>
      </c>
      <c r="CL96" s="1">
        <f t="shared" si="79"/>
        <v>0</v>
      </c>
      <c r="CM96" s="2">
        <f t="shared" si="80"/>
        <v>0</v>
      </c>
      <c r="CN96" s="1">
        <f t="shared" si="81"/>
        <v>0</v>
      </c>
      <c r="CO96" s="1">
        <f t="shared" si="82"/>
        <v>0</v>
      </c>
      <c r="CP96" s="3" t="s">
        <v>162</v>
      </c>
      <c r="CQ96" s="1">
        <f t="shared" si="83"/>
        <v>0</v>
      </c>
      <c r="CR96" s="1">
        <f t="shared" si="84"/>
        <v>0</v>
      </c>
      <c r="CS96" s="1">
        <f t="shared" si="85"/>
        <v>0</v>
      </c>
      <c r="CT96" s="1">
        <f t="shared" si="86"/>
        <v>0</v>
      </c>
      <c r="CU96" s="2">
        <f t="shared" si="87"/>
        <v>0</v>
      </c>
      <c r="CV96" s="14">
        <f t="shared" si="88"/>
        <v>0</v>
      </c>
      <c r="CW96" s="1">
        <f>ROUND(PPTest!K96,1)</f>
        <v>0</v>
      </c>
      <c r="CX96" s="3">
        <f t="shared" si="70"/>
        <v>0</v>
      </c>
      <c r="CY96" s="3">
        <f t="shared" si="89"/>
        <v>0</v>
      </c>
      <c r="CZ96" s="19">
        <f t="shared" si="90"/>
        <v>0</v>
      </c>
      <c r="DA96" s="19" t="e">
        <f t="shared" si="90"/>
        <v>#DIV/0!</v>
      </c>
      <c r="DB96" s="16">
        <f t="shared" si="91"/>
        <v>0</v>
      </c>
    </row>
    <row r="97" spans="1:106" x14ac:dyDescent="0.2">
      <c r="A97" s="15">
        <f t="shared" si="92"/>
        <v>45749</v>
      </c>
      <c r="B97" s="1">
        <v>92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4"/>
      <c r="AY97" s="12"/>
      <c r="AZ97" s="12"/>
      <c r="BA97" s="16">
        <v>21.3</v>
      </c>
      <c r="BB97" s="41"/>
      <c r="BC97" s="41"/>
      <c r="BD97" s="8" t="e">
        <f t="shared" si="50"/>
        <v>#DIV/0!</v>
      </c>
      <c r="BE97" s="8"/>
      <c r="BF97" s="2">
        <f t="shared" si="71"/>
        <v>0</v>
      </c>
      <c r="BG97" s="2">
        <f t="shared" si="72"/>
        <v>0</v>
      </c>
      <c r="BH97" s="2">
        <f t="shared" si="73"/>
        <v>0</v>
      </c>
      <c r="BI97" s="35">
        <f t="shared" si="51"/>
        <v>0</v>
      </c>
      <c r="BJ97" s="35" t="e">
        <f t="shared" si="52"/>
        <v>#DIV/0!</v>
      </c>
      <c r="BL97" s="3">
        <f t="shared" si="53"/>
        <v>0</v>
      </c>
      <c r="BM97" s="19" t="e">
        <f t="shared" si="54"/>
        <v>#DIV/0!</v>
      </c>
      <c r="BN97" s="19" t="e">
        <f t="shared" si="55"/>
        <v>#DIV/0!</v>
      </c>
      <c r="BO97" s="19" t="e">
        <f t="shared" si="56"/>
        <v>#DIV/0!</v>
      </c>
      <c r="BP97" s="19" t="e">
        <f t="shared" si="57"/>
        <v>#DIV/0!</v>
      </c>
      <c r="BQ97" s="19" t="e">
        <f t="shared" si="58"/>
        <v>#DIV/0!</v>
      </c>
      <c r="BR97" s="19" t="e">
        <f t="shared" si="59"/>
        <v>#DIV/0!</v>
      </c>
      <c r="BS97" s="19" t="e">
        <f t="shared" si="60"/>
        <v>#DIV/0!</v>
      </c>
      <c r="BT97" s="19" t="e">
        <f t="shared" si="61"/>
        <v>#DIV/0!</v>
      </c>
      <c r="BV97" s="16">
        <f t="shared" si="62"/>
        <v>0</v>
      </c>
      <c r="BW97" s="16">
        <f t="shared" si="63"/>
        <v>0</v>
      </c>
      <c r="BX97" s="3">
        <f t="shared" si="64"/>
        <v>0</v>
      </c>
      <c r="BY97" s="3">
        <f t="shared" si="93"/>
        <v>0</v>
      </c>
      <c r="BZ97" s="3" t="s">
        <v>162</v>
      </c>
      <c r="CA97" s="3">
        <f t="shared" si="65"/>
        <v>0</v>
      </c>
      <c r="CB97" s="3">
        <f t="shared" si="66"/>
        <v>0</v>
      </c>
      <c r="CC97" s="3">
        <f t="shared" si="67"/>
        <v>0</v>
      </c>
      <c r="CD97" s="3">
        <f t="shared" si="68"/>
        <v>0</v>
      </c>
      <c r="CE97" s="22">
        <f t="shared" si="74"/>
        <v>0</v>
      </c>
      <c r="CF97" s="1">
        <f t="shared" si="69"/>
        <v>0</v>
      </c>
      <c r="CG97" s="1">
        <f t="shared" si="75"/>
        <v>0</v>
      </c>
      <c r="CH97" s="3" t="s">
        <v>162</v>
      </c>
      <c r="CI97" s="1">
        <f t="shared" si="76"/>
        <v>0</v>
      </c>
      <c r="CJ97" s="1">
        <f t="shared" si="77"/>
        <v>0</v>
      </c>
      <c r="CK97" s="1">
        <f t="shared" si="78"/>
        <v>0</v>
      </c>
      <c r="CL97" s="1">
        <f t="shared" si="79"/>
        <v>0</v>
      </c>
      <c r="CM97" s="2">
        <f t="shared" si="80"/>
        <v>0</v>
      </c>
      <c r="CN97" s="1">
        <f t="shared" si="81"/>
        <v>0</v>
      </c>
      <c r="CO97" s="1">
        <f t="shared" si="82"/>
        <v>0</v>
      </c>
      <c r="CP97" s="3" t="s">
        <v>162</v>
      </c>
      <c r="CQ97" s="1">
        <f t="shared" si="83"/>
        <v>0</v>
      </c>
      <c r="CR97" s="1">
        <f t="shared" si="84"/>
        <v>0</v>
      </c>
      <c r="CS97" s="1">
        <f t="shared" si="85"/>
        <v>0</v>
      </c>
      <c r="CT97" s="1">
        <f t="shared" si="86"/>
        <v>0</v>
      </c>
      <c r="CU97" s="2">
        <f t="shared" si="87"/>
        <v>0</v>
      </c>
      <c r="CV97" s="14">
        <f t="shared" si="88"/>
        <v>0</v>
      </c>
      <c r="CW97" s="1">
        <f>ROUND(PPTest!K97,1)</f>
        <v>0</v>
      </c>
      <c r="CX97" s="3">
        <f t="shared" si="70"/>
        <v>0</v>
      </c>
      <c r="CY97" s="3">
        <f t="shared" si="89"/>
        <v>0</v>
      </c>
      <c r="CZ97" s="19">
        <f t="shared" si="90"/>
        <v>0</v>
      </c>
      <c r="DA97" s="19" t="e">
        <f t="shared" si="90"/>
        <v>#DIV/0!</v>
      </c>
      <c r="DB97" s="16">
        <f t="shared" si="91"/>
        <v>0</v>
      </c>
    </row>
    <row r="98" spans="1:106" x14ac:dyDescent="0.2">
      <c r="A98" s="15">
        <f t="shared" si="92"/>
        <v>45750</v>
      </c>
      <c r="B98" s="1">
        <v>93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4"/>
      <c r="AY98" s="12"/>
      <c r="AZ98" s="12"/>
      <c r="BA98" s="16">
        <v>21.56</v>
      </c>
      <c r="BB98" s="41"/>
      <c r="BC98" s="41"/>
      <c r="BD98" s="8" t="e">
        <f t="shared" si="50"/>
        <v>#DIV/0!</v>
      </c>
      <c r="BE98" s="8"/>
      <c r="BF98" s="2">
        <f t="shared" si="71"/>
        <v>0</v>
      </c>
      <c r="BG98" s="2">
        <f t="shared" si="72"/>
        <v>0</v>
      </c>
      <c r="BH98" s="2">
        <f t="shared" si="73"/>
        <v>0</v>
      </c>
      <c r="BI98" s="35">
        <f t="shared" si="51"/>
        <v>0</v>
      </c>
      <c r="BJ98" s="35" t="e">
        <f t="shared" si="52"/>
        <v>#DIV/0!</v>
      </c>
      <c r="BL98" s="3">
        <f t="shared" si="53"/>
        <v>0</v>
      </c>
      <c r="BM98" s="19" t="e">
        <f t="shared" si="54"/>
        <v>#DIV/0!</v>
      </c>
      <c r="BN98" s="19" t="e">
        <f t="shared" si="55"/>
        <v>#DIV/0!</v>
      </c>
      <c r="BO98" s="19" t="e">
        <f t="shared" si="56"/>
        <v>#DIV/0!</v>
      </c>
      <c r="BP98" s="19" t="e">
        <f t="shared" si="57"/>
        <v>#DIV/0!</v>
      </c>
      <c r="BQ98" s="19" t="e">
        <f t="shared" si="58"/>
        <v>#DIV/0!</v>
      </c>
      <c r="BR98" s="19" t="e">
        <f t="shared" si="59"/>
        <v>#DIV/0!</v>
      </c>
      <c r="BS98" s="19" t="e">
        <f t="shared" si="60"/>
        <v>#DIV/0!</v>
      </c>
      <c r="BT98" s="19" t="e">
        <f t="shared" si="61"/>
        <v>#DIV/0!</v>
      </c>
      <c r="BV98" s="16">
        <f t="shared" si="62"/>
        <v>0</v>
      </c>
      <c r="BW98" s="16">
        <f t="shared" si="63"/>
        <v>0</v>
      </c>
      <c r="BX98" s="3">
        <f t="shared" si="64"/>
        <v>0</v>
      </c>
      <c r="BY98" s="3">
        <f t="shared" si="93"/>
        <v>0</v>
      </c>
      <c r="BZ98" s="3" t="s">
        <v>162</v>
      </c>
      <c r="CA98" s="3">
        <f t="shared" si="65"/>
        <v>0</v>
      </c>
      <c r="CB98" s="3">
        <f t="shared" si="66"/>
        <v>0</v>
      </c>
      <c r="CC98" s="3">
        <f t="shared" si="67"/>
        <v>0</v>
      </c>
      <c r="CD98" s="3">
        <f t="shared" si="68"/>
        <v>0</v>
      </c>
      <c r="CE98" s="22">
        <f t="shared" si="74"/>
        <v>0</v>
      </c>
      <c r="CF98" s="1">
        <f t="shared" si="69"/>
        <v>0</v>
      </c>
      <c r="CG98" s="1">
        <f t="shared" si="75"/>
        <v>0</v>
      </c>
      <c r="CH98" s="3" t="s">
        <v>162</v>
      </c>
      <c r="CI98" s="1">
        <f t="shared" si="76"/>
        <v>0</v>
      </c>
      <c r="CJ98" s="1">
        <f t="shared" si="77"/>
        <v>0</v>
      </c>
      <c r="CK98" s="1">
        <f t="shared" si="78"/>
        <v>0</v>
      </c>
      <c r="CL98" s="1">
        <f t="shared" si="79"/>
        <v>0</v>
      </c>
      <c r="CM98" s="2">
        <f t="shared" si="80"/>
        <v>0</v>
      </c>
      <c r="CN98" s="1">
        <f t="shared" si="81"/>
        <v>0</v>
      </c>
      <c r="CO98" s="1">
        <f t="shared" si="82"/>
        <v>0</v>
      </c>
      <c r="CP98" s="3" t="s">
        <v>162</v>
      </c>
      <c r="CQ98" s="1">
        <f t="shared" si="83"/>
        <v>0</v>
      </c>
      <c r="CR98" s="1">
        <f t="shared" si="84"/>
        <v>0</v>
      </c>
      <c r="CS98" s="1">
        <f t="shared" si="85"/>
        <v>0</v>
      </c>
      <c r="CT98" s="1">
        <f t="shared" si="86"/>
        <v>0</v>
      </c>
      <c r="CU98" s="2">
        <f t="shared" si="87"/>
        <v>0</v>
      </c>
      <c r="CV98" s="14">
        <f t="shared" si="88"/>
        <v>0</v>
      </c>
      <c r="CW98" s="1">
        <f>ROUND(PPTest!K98,1)</f>
        <v>0</v>
      </c>
      <c r="CX98" s="3">
        <f t="shared" si="70"/>
        <v>0</v>
      </c>
      <c r="CY98" s="3">
        <f t="shared" si="89"/>
        <v>0</v>
      </c>
      <c r="CZ98" s="19">
        <f t="shared" si="90"/>
        <v>0</v>
      </c>
      <c r="DA98" s="19" t="e">
        <f t="shared" si="90"/>
        <v>#DIV/0!</v>
      </c>
      <c r="DB98" s="16">
        <f t="shared" si="91"/>
        <v>0</v>
      </c>
    </row>
    <row r="99" spans="1:106" x14ac:dyDescent="0.2">
      <c r="A99" s="15">
        <f t="shared" si="92"/>
        <v>45751</v>
      </c>
      <c r="B99" s="1">
        <v>94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4"/>
      <c r="AY99" s="12"/>
      <c r="AZ99" s="12"/>
      <c r="BA99" s="16">
        <v>21.82</v>
      </c>
      <c r="BB99" s="41"/>
      <c r="BC99" s="41"/>
      <c r="BD99" s="8" t="e">
        <f t="shared" si="50"/>
        <v>#DIV/0!</v>
      </c>
      <c r="BE99" s="8"/>
      <c r="BF99" s="2">
        <f t="shared" si="71"/>
        <v>0</v>
      </c>
      <c r="BG99" s="2">
        <f t="shared" si="72"/>
        <v>0</v>
      </c>
      <c r="BH99" s="2">
        <f t="shared" si="73"/>
        <v>0</v>
      </c>
      <c r="BI99" s="35">
        <f t="shared" si="51"/>
        <v>0</v>
      </c>
      <c r="BJ99" s="35" t="e">
        <f t="shared" si="52"/>
        <v>#DIV/0!</v>
      </c>
      <c r="BL99" s="3">
        <f t="shared" si="53"/>
        <v>0</v>
      </c>
      <c r="BM99" s="19" t="e">
        <f t="shared" si="54"/>
        <v>#DIV/0!</v>
      </c>
      <c r="BN99" s="19" t="e">
        <f t="shared" si="55"/>
        <v>#DIV/0!</v>
      </c>
      <c r="BO99" s="19" t="e">
        <f t="shared" si="56"/>
        <v>#DIV/0!</v>
      </c>
      <c r="BP99" s="19" t="e">
        <f t="shared" si="57"/>
        <v>#DIV/0!</v>
      </c>
      <c r="BQ99" s="19" t="e">
        <f t="shared" si="58"/>
        <v>#DIV/0!</v>
      </c>
      <c r="BR99" s="19" t="e">
        <f t="shared" si="59"/>
        <v>#DIV/0!</v>
      </c>
      <c r="BS99" s="19" t="e">
        <f t="shared" si="60"/>
        <v>#DIV/0!</v>
      </c>
      <c r="BT99" s="19" t="e">
        <f t="shared" si="61"/>
        <v>#DIV/0!</v>
      </c>
      <c r="BV99" s="16">
        <f t="shared" si="62"/>
        <v>0</v>
      </c>
      <c r="BW99" s="16">
        <f t="shared" si="63"/>
        <v>0</v>
      </c>
      <c r="BX99" s="3">
        <f t="shared" si="64"/>
        <v>0</v>
      </c>
      <c r="BY99" s="3">
        <f t="shared" si="93"/>
        <v>0</v>
      </c>
      <c r="BZ99" s="3" t="s">
        <v>162</v>
      </c>
      <c r="CA99" s="3">
        <f t="shared" si="65"/>
        <v>0</v>
      </c>
      <c r="CB99" s="3">
        <f t="shared" si="66"/>
        <v>0</v>
      </c>
      <c r="CC99" s="3">
        <f t="shared" si="67"/>
        <v>0</v>
      </c>
      <c r="CD99" s="3">
        <f t="shared" si="68"/>
        <v>0</v>
      </c>
      <c r="CE99" s="22">
        <f t="shared" si="74"/>
        <v>0</v>
      </c>
      <c r="CF99" s="1">
        <f t="shared" si="69"/>
        <v>0</v>
      </c>
      <c r="CG99" s="1">
        <f t="shared" si="75"/>
        <v>0</v>
      </c>
      <c r="CH99" s="3" t="s">
        <v>162</v>
      </c>
      <c r="CI99" s="1">
        <f t="shared" si="76"/>
        <v>0</v>
      </c>
      <c r="CJ99" s="1">
        <f t="shared" si="77"/>
        <v>0</v>
      </c>
      <c r="CK99" s="1">
        <f t="shared" si="78"/>
        <v>0</v>
      </c>
      <c r="CL99" s="1">
        <f t="shared" si="79"/>
        <v>0</v>
      </c>
      <c r="CM99" s="2">
        <f t="shared" si="80"/>
        <v>0</v>
      </c>
      <c r="CN99" s="1">
        <f t="shared" si="81"/>
        <v>0</v>
      </c>
      <c r="CO99" s="1">
        <f t="shared" si="82"/>
        <v>0</v>
      </c>
      <c r="CP99" s="3" t="s">
        <v>162</v>
      </c>
      <c r="CQ99" s="1">
        <f t="shared" si="83"/>
        <v>0</v>
      </c>
      <c r="CR99" s="1">
        <f t="shared" si="84"/>
        <v>0</v>
      </c>
      <c r="CS99" s="1">
        <f t="shared" si="85"/>
        <v>0</v>
      </c>
      <c r="CT99" s="1">
        <f t="shared" si="86"/>
        <v>0</v>
      </c>
      <c r="CU99" s="2">
        <f t="shared" si="87"/>
        <v>0</v>
      </c>
      <c r="CV99" s="14">
        <f t="shared" si="88"/>
        <v>0</v>
      </c>
      <c r="CW99" s="1">
        <f>ROUND(PPTest!K99,1)</f>
        <v>0</v>
      </c>
      <c r="CX99" s="3">
        <f t="shared" si="70"/>
        <v>0</v>
      </c>
      <c r="CY99" s="3">
        <f t="shared" si="89"/>
        <v>0</v>
      </c>
      <c r="CZ99" s="19">
        <f t="shared" si="90"/>
        <v>0</v>
      </c>
      <c r="DA99" s="19" t="e">
        <f t="shared" si="90"/>
        <v>#DIV/0!</v>
      </c>
      <c r="DB99" s="16">
        <f t="shared" si="91"/>
        <v>0</v>
      </c>
    </row>
    <row r="100" spans="1:106" x14ac:dyDescent="0.2">
      <c r="A100" s="15">
        <f t="shared" si="92"/>
        <v>45752</v>
      </c>
      <c r="B100" s="1">
        <v>95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4"/>
      <c r="AY100" s="12"/>
      <c r="AZ100" s="12"/>
      <c r="BA100" s="16">
        <v>22.08</v>
      </c>
      <c r="BB100" s="41"/>
      <c r="BC100" s="41"/>
      <c r="BD100" s="8" t="e">
        <f t="shared" si="50"/>
        <v>#DIV/0!</v>
      </c>
      <c r="BE100" s="8"/>
      <c r="BF100" s="2">
        <f t="shared" si="71"/>
        <v>0</v>
      </c>
      <c r="BG100" s="2">
        <f t="shared" si="72"/>
        <v>0</v>
      </c>
      <c r="BH100" s="2">
        <f t="shared" si="73"/>
        <v>0</v>
      </c>
      <c r="BI100" s="35">
        <f t="shared" si="51"/>
        <v>0</v>
      </c>
      <c r="BJ100" s="35" t="e">
        <f t="shared" si="52"/>
        <v>#DIV/0!</v>
      </c>
      <c r="BL100" s="3">
        <f t="shared" si="53"/>
        <v>0</v>
      </c>
      <c r="BM100" s="19" t="e">
        <f t="shared" si="54"/>
        <v>#DIV/0!</v>
      </c>
      <c r="BN100" s="19" t="e">
        <f t="shared" si="55"/>
        <v>#DIV/0!</v>
      </c>
      <c r="BO100" s="19" t="e">
        <f t="shared" si="56"/>
        <v>#DIV/0!</v>
      </c>
      <c r="BP100" s="19" t="e">
        <f t="shared" si="57"/>
        <v>#DIV/0!</v>
      </c>
      <c r="BQ100" s="19" t="e">
        <f t="shared" si="58"/>
        <v>#DIV/0!</v>
      </c>
      <c r="BR100" s="19" t="e">
        <f t="shared" si="59"/>
        <v>#DIV/0!</v>
      </c>
      <c r="BS100" s="19" t="e">
        <f t="shared" si="60"/>
        <v>#DIV/0!</v>
      </c>
      <c r="BT100" s="19" t="e">
        <f t="shared" si="61"/>
        <v>#DIV/0!</v>
      </c>
      <c r="BV100" s="16">
        <f t="shared" si="62"/>
        <v>0</v>
      </c>
      <c r="BW100" s="16">
        <f t="shared" si="63"/>
        <v>0</v>
      </c>
      <c r="BX100" s="3">
        <f t="shared" si="64"/>
        <v>0</v>
      </c>
      <c r="BY100" s="3">
        <f t="shared" si="93"/>
        <v>0</v>
      </c>
      <c r="BZ100" s="3" t="s">
        <v>162</v>
      </c>
      <c r="CA100" s="3">
        <f t="shared" si="65"/>
        <v>0</v>
      </c>
      <c r="CB100" s="3">
        <f t="shared" si="66"/>
        <v>0</v>
      </c>
      <c r="CC100" s="3">
        <f t="shared" si="67"/>
        <v>0</v>
      </c>
      <c r="CD100" s="3">
        <f t="shared" si="68"/>
        <v>0</v>
      </c>
      <c r="CE100" s="22">
        <f t="shared" si="74"/>
        <v>0</v>
      </c>
      <c r="CF100" s="1">
        <f t="shared" si="69"/>
        <v>0</v>
      </c>
      <c r="CG100" s="1">
        <f t="shared" si="75"/>
        <v>0</v>
      </c>
      <c r="CH100" s="3" t="s">
        <v>162</v>
      </c>
      <c r="CI100" s="1">
        <f t="shared" si="76"/>
        <v>0</v>
      </c>
      <c r="CJ100" s="1">
        <f t="shared" si="77"/>
        <v>0</v>
      </c>
      <c r="CK100" s="1">
        <f t="shared" si="78"/>
        <v>0</v>
      </c>
      <c r="CL100" s="1">
        <f t="shared" si="79"/>
        <v>0</v>
      </c>
      <c r="CM100" s="2">
        <f t="shared" si="80"/>
        <v>0</v>
      </c>
      <c r="CN100" s="1">
        <f t="shared" si="81"/>
        <v>0</v>
      </c>
      <c r="CO100" s="1">
        <f t="shared" si="82"/>
        <v>0</v>
      </c>
      <c r="CP100" s="3" t="s">
        <v>162</v>
      </c>
      <c r="CQ100" s="1">
        <f t="shared" si="83"/>
        <v>0</v>
      </c>
      <c r="CR100" s="1">
        <f t="shared" si="84"/>
        <v>0</v>
      </c>
      <c r="CS100" s="1">
        <f t="shared" si="85"/>
        <v>0</v>
      </c>
      <c r="CT100" s="1">
        <f t="shared" si="86"/>
        <v>0</v>
      </c>
      <c r="CU100" s="2">
        <f t="shared" si="87"/>
        <v>0</v>
      </c>
      <c r="CV100" s="14">
        <f t="shared" si="88"/>
        <v>0</v>
      </c>
      <c r="CW100" s="1">
        <f>ROUND(PPTest!K100,1)</f>
        <v>0</v>
      </c>
      <c r="CX100" s="3">
        <f t="shared" si="70"/>
        <v>0</v>
      </c>
      <c r="CY100" s="3">
        <f t="shared" si="89"/>
        <v>0</v>
      </c>
      <c r="CZ100" s="19">
        <f t="shared" si="90"/>
        <v>0</v>
      </c>
      <c r="DA100" s="19" t="e">
        <f t="shared" si="90"/>
        <v>#DIV/0!</v>
      </c>
      <c r="DB100" s="16">
        <f t="shared" si="91"/>
        <v>0</v>
      </c>
    </row>
    <row r="101" spans="1:106" x14ac:dyDescent="0.2">
      <c r="A101" s="15">
        <f t="shared" si="92"/>
        <v>45753</v>
      </c>
      <c r="B101" s="1">
        <v>96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4"/>
      <c r="AY101" s="12"/>
      <c r="AZ101" s="12"/>
      <c r="BA101" s="16">
        <v>22.34</v>
      </c>
      <c r="BB101" s="41"/>
      <c r="BC101" s="41"/>
      <c r="BD101" s="8" t="e">
        <f t="shared" si="50"/>
        <v>#DIV/0!</v>
      </c>
      <c r="BE101" s="8"/>
      <c r="BF101" s="2">
        <f t="shared" si="71"/>
        <v>0</v>
      </c>
      <c r="BG101" s="2">
        <f t="shared" si="72"/>
        <v>0</v>
      </c>
      <c r="BH101" s="2">
        <f t="shared" si="73"/>
        <v>0</v>
      </c>
      <c r="BI101" s="35">
        <f t="shared" si="51"/>
        <v>0</v>
      </c>
      <c r="BJ101" s="35" t="e">
        <f t="shared" si="52"/>
        <v>#DIV/0!</v>
      </c>
      <c r="BL101" s="3">
        <f t="shared" si="53"/>
        <v>0</v>
      </c>
      <c r="BM101" s="19" t="e">
        <f t="shared" si="54"/>
        <v>#DIV/0!</v>
      </c>
      <c r="BN101" s="19" t="e">
        <f t="shared" si="55"/>
        <v>#DIV/0!</v>
      </c>
      <c r="BO101" s="19" t="e">
        <f t="shared" si="56"/>
        <v>#DIV/0!</v>
      </c>
      <c r="BP101" s="19" t="e">
        <f t="shared" si="57"/>
        <v>#DIV/0!</v>
      </c>
      <c r="BQ101" s="19" t="e">
        <f t="shared" si="58"/>
        <v>#DIV/0!</v>
      </c>
      <c r="BR101" s="19" t="e">
        <f t="shared" si="59"/>
        <v>#DIV/0!</v>
      </c>
      <c r="BS101" s="19" t="e">
        <f t="shared" si="60"/>
        <v>#DIV/0!</v>
      </c>
      <c r="BT101" s="19" t="e">
        <f t="shared" si="61"/>
        <v>#DIV/0!</v>
      </c>
      <c r="BV101" s="16">
        <f t="shared" si="62"/>
        <v>0</v>
      </c>
      <c r="BW101" s="16">
        <f t="shared" si="63"/>
        <v>0</v>
      </c>
      <c r="BX101" s="3">
        <f t="shared" si="64"/>
        <v>0</v>
      </c>
      <c r="BY101" s="3">
        <f t="shared" si="93"/>
        <v>0</v>
      </c>
      <c r="BZ101" s="3" t="s">
        <v>162</v>
      </c>
      <c r="CA101" s="3">
        <f t="shared" si="65"/>
        <v>0</v>
      </c>
      <c r="CB101" s="3">
        <f t="shared" si="66"/>
        <v>0</v>
      </c>
      <c r="CC101" s="3">
        <f t="shared" si="67"/>
        <v>0</v>
      </c>
      <c r="CD101" s="3">
        <f t="shared" si="68"/>
        <v>0</v>
      </c>
      <c r="CE101" s="22">
        <f t="shared" si="74"/>
        <v>0</v>
      </c>
      <c r="CF101" s="1">
        <f t="shared" si="69"/>
        <v>0</v>
      </c>
      <c r="CG101" s="1">
        <f t="shared" si="75"/>
        <v>0</v>
      </c>
      <c r="CH101" s="3" t="s">
        <v>162</v>
      </c>
      <c r="CI101" s="1">
        <f t="shared" si="76"/>
        <v>0</v>
      </c>
      <c r="CJ101" s="1">
        <f t="shared" si="77"/>
        <v>0</v>
      </c>
      <c r="CK101" s="1">
        <f t="shared" si="78"/>
        <v>0</v>
      </c>
      <c r="CL101" s="1">
        <f t="shared" si="79"/>
        <v>0</v>
      </c>
      <c r="CM101" s="2">
        <f t="shared" si="80"/>
        <v>0</v>
      </c>
      <c r="CN101" s="1">
        <f t="shared" si="81"/>
        <v>0</v>
      </c>
      <c r="CO101" s="1">
        <f t="shared" si="82"/>
        <v>0</v>
      </c>
      <c r="CP101" s="3" t="s">
        <v>162</v>
      </c>
      <c r="CQ101" s="1">
        <f t="shared" si="83"/>
        <v>0</v>
      </c>
      <c r="CR101" s="1">
        <f t="shared" si="84"/>
        <v>0</v>
      </c>
      <c r="CS101" s="1">
        <f t="shared" si="85"/>
        <v>0</v>
      </c>
      <c r="CT101" s="1">
        <f t="shared" si="86"/>
        <v>0</v>
      </c>
      <c r="CU101" s="2">
        <f t="shared" si="87"/>
        <v>0</v>
      </c>
      <c r="CV101" s="14">
        <f t="shared" si="88"/>
        <v>0</v>
      </c>
      <c r="CW101" s="1">
        <f>ROUND(PPTest!K101,1)</f>
        <v>0</v>
      </c>
      <c r="CX101" s="3">
        <f t="shared" si="70"/>
        <v>0</v>
      </c>
      <c r="CY101" s="3">
        <f t="shared" si="89"/>
        <v>0</v>
      </c>
      <c r="CZ101" s="19">
        <f t="shared" si="90"/>
        <v>0</v>
      </c>
      <c r="DA101" s="19" t="e">
        <f t="shared" si="90"/>
        <v>#DIV/0!</v>
      </c>
      <c r="DB101" s="16">
        <f t="shared" si="91"/>
        <v>0</v>
      </c>
    </row>
    <row r="102" spans="1:106" x14ac:dyDescent="0.2">
      <c r="A102" s="15">
        <f t="shared" si="92"/>
        <v>45754</v>
      </c>
      <c r="B102" s="1">
        <v>97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4"/>
      <c r="AY102" s="12"/>
      <c r="AZ102" s="12"/>
      <c r="BA102" s="16">
        <v>22.6</v>
      </c>
      <c r="BB102" s="41"/>
      <c r="BC102" s="41"/>
      <c r="BD102" s="8" t="e">
        <f t="shared" si="50"/>
        <v>#DIV/0!</v>
      </c>
      <c r="BE102" s="8"/>
      <c r="BF102" s="2">
        <f t="shared" si="71"/>
        <v>0</v>
      </c>
      <c r="BG102" s="2">
        <f t="shared" si="72"/>
        <v>0</v>
      </c>
      <c r="BH102" s="2">
        <f t="shared" si="73"/>
        <v>0</v>
      </c>
      <c r="BI102" s="35">
        <f t="shared" si="51"/>
        <v>0</v>
      </c>
      <c r="BJ102" s="35" t="e">
        <f t="shared" si="52"/>
        <v>#DIV/0!</v>
      </c>
      <c r="BL102" s="3">
        <f t="shared" si="53"/>
        <v>0</v>
      </c>
      <c r="BM102" s="19" t="e">
        <f t="shared" si="54"/>
        <v>#DIV/0!</v>
      </c>
      <c r="BN102" s="19" t="e">
        <f t="shared" si="55"/>
        <v>#DIV/0!</v>
      </c>
      <c r="BO102" s="19" t="e">
        <f t="shared" si="56"/>
        <v>#DIV/0!</v>
      </c>
      <c r="BP102" s="19" t="e">
        <f t="shared" si="57"/>
        <v>#DIV/0!</v>
      </c>
      <c r="BQ102" s="19" t="e">
        <f t="shared" si="58"/>
        <v>#DIV/0!</v>
      </c>
      <c r="BR102" s="19" t="e">
        <f t="shared" si="59"/>
        <v>#DIV/0!</v>
      </c>
      <c r="BS102" s="19" t="e">
        <f t="shared" si="60"/>
        <v>#DIV/0!</v>
      </c>
      <c r="BT102" s="19" t="e">
        <f t="shared" si="61"/>
        <v>#DIV/0!</v>
      </c>
      <c r="BV102" s="16">
        <f t="shared" si="62"/>
        <v>0</v>
      </c>
      <c r="BW102" s="16">
        <f t="shared" si="63"/>
        <v>0</v>
      </c>
      <c r="BX102" s="3">
        <f t="shared" si="64"/>
        <v>0</v>
      </c>
      <c r="BY102" s="3">
        <f t="shared" si="93"/>
        <v>0</v>
      </c>
      <c r="BZ102" s="3" t="s">
        <v>162</v>
      </c>
      <c r="CA102" s="3">
        <f t="shared" si="65"/>
        <v>0</v>
      </c>
      <c r="CB102" s="3">
        <f t="shared" si="66"/>
        <v>0</v>
      </c>
      <c r="CC102" s="3">
        <f t="shared" si="67"/>
        <v>0</v>
      </c>
      <c r="CD102" s="3">
        <f t="shared" si="68"/>
        <v>0</v>
      </c>
      <c r="CE102" s="22">
        <f t="shared" si="74"/>
        <v>0</v>
      </c>
      <c r="CF102" s="1">
        <f t="shared" si="69"/>
        <v>0</v>
      </c>
      <c r="CG102" s="1">
        <f t="shared" si="75"/>
        <v>0</v>
      </c>
      <c r="CH102" s="3" t="s">
        <v>162</v>
      </c>
      <c r="CI102" s="1">
        <f t="shared" si="76"/>
        <v>0</v>
      </c>
      <c r="CJ102" s="1">
        <f t="shared" si="77"/>
        <v>0</v>
      </c>
      <c r="CK102" s="1">
        <f t="shared" si="78"/>
        <v>0</v>
      </c>
      <c r="CL102" s="1">
        <f t="shared" si="79"/>
        <v>0</v>
      </c>
      <c r="CM102" s="2">
        <f t="shared" si="80"/>
        <v>0</v>
      </c>
      <c r="CN102" s="1">
        <f t="shared" si="81"/>
        <v>0</v>
      </c>
      <c r="CO102" s="1">
        <f t="shared" si="82"/>
        <v>0</v>
      </c>
      <c r="CP102" s="3" t="s">
        <v>162</v>
      </c>
      <c r="CQ102" s="1">
        <f t="shared" si="83"/>
        <v>0</v>
      </c>
      <c r="CR102" s="1">
        <f t="shared" si="84"/>
        <v>0</v>
      </c>
      <c r="CS102" s="1">
        <f t="shared" si="85"/>
        <v>0</v>
      </c>
      <c r="CT102" s="1">
        <f t="shared" si="86"/>
        <v>0</v>
      </c>
      <c r="CU102" s="2">
        <f t="shared" si="87"/>
        <v>0</v>
      </c>
      <c r="CV102" s="14">
        <f t="shared" si="88"/>
        <v>0</v>
      </c>
      <c r="CW102" s="1">
        <f>ROUND(PPTest!K102,1)</f>
        <v>0</v>
      </c>
      <c r="CX102" s="3">
        <f t="shared" si="70"/>
        <v>0</v>
      </c>
      <c r="CY102" s="3">
        <f t="shared" si="89"/>
        <v>0</v>
      </c>
      <c r="CZ102" s="19">
        <f t="shared" si="90"/>
        <v>0</v>
      </c>
      <c r="DA102" s="19" t="e">
        <f t="shared" si="90"/>
        <v>#DIV/0!</v>
      </c>
      <c r="DB102" s="16">
        <f t="shared" si="91"/>
        <v>0</v>
      </c>
    </row>
    <row r="103" spans="1:106" x14ac:dyDescent="0.2">
      <c r="A103" s="15">
        <f t="shared" si="92"/>
        <v>45755</v>
      </c>
      <c r="B103" s="1">
        <v>98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4"/>
      <c r="AY103" s="12"/>
      <c r="AZ103" s="12"/>
      <c r="BA103" s="16">
        <v>22.86</v>
      </c>
      <c r="BB103" s="41"/>
      <c r="BC103" s="41"/>
      <c r="BD103" s="8" t="e">
        <f t="shared" si="50"/>
        <v>#DIV/0!</v>
      </c>
      <c r="BE103" s="8"/>
      <c r="BF103" s="2">
        <f t="shared" si="71"/>
        <v>0</v>
      </c>
      <c r="BG103" s="2">
        <f t="shared" si="72"/>
        <v>0</v>
      </c>
      <c r="BH103" s="2">
        <f t="shared" si="73"/>
        <v>0</v>
      </c>
      <c r="BI103" s="35">
        <f t="shared" si="51"/>
        <v>0</v>
      </c>
      <c r="BJ103" s="35" t="e">
        <f t="shared" si="52"/>
        <v>#DIV/0!</v>
      </c>
      <c r="BL103" s="3">
        <f t="shared" si="53"/>
        <v>0</v>
      </c>
      <c r="BM103" s="19" t="e">
        <f t="shared" si="54"/>
        <v>#DIV/0!</v>
      </c>
      <c r="BN103" s="19" t="e">
        <f t="shared" si="55"/>
        <v>#DIV/0!</v>
      </c>
      <c r="BO103" s="19" t="e">
        <f t="shared" si="56"/>
        <v>#DIV/0!</v>
      </c>
      <c r="BP103" s="19" t="e">
        <f t="shared" si="57"/>
        <v>#DIV/0!</v>
      </c>
      <c r="BQ103" s="19" t="e">
        <f t="shared" si="58"/>
        <v>#DIV/0!</v>
      </c>
      <c r="BR103" s="19" t="e">
        <f t="shared" si="59"/>
        <v>#DIV/0!</v>
      </c>
      <c r="BS103" s="19" t="e">
        <f t="shared" si="60"/>
        <v>#DIV/0!</v>
      </c>
      <c r="BT103" s="19" t="e">
        <f t="shared" si="61"/>
        <v>#DIV/0!</v>
      </c>
      <c r="BV103" s="16">
        <f t="shared" si="62"/>
        <v>0</v>
      </c>
      <c r="BW103" s="16">
        <f t="shared" si="63"/>
        <v>0</v>
      </c>
      <c r="BX103" s="3">
        <f t="shared" si="64"/>
        <v>0</v>
      </c>
      <c r="BY103" s="3">
        <f t="shared" si="93"/>
        <v>0</v>
      </c>
      <c r="BZ103" s="3" t="s">
        <v>162</v>
      </c>
      <c r="CA103" s="3">
        <f t="shared" si="65"/>
        <v>0</v>
      </c>
      <c r="CB103" s="3">
        <f t="shared" si="66"/>
        <v>0</v>
      </c>
      <c r="CC103" s="3">
        <f t="shared" si="67"/>
        <v>0</v>
      </c>
      <c r="CD103" s="3">
        <f t="shared" si="68"/>
        <v>0</v>
      </c>
      <c r="CE103" s="22">
        <f t="shared" si="74"/>
        <v>0</v>
      </c>
      <c r="CF103" s="1">
        <f t="shared" si="69"/>
        <v>0</v>
      </c>
      <c r="CG103" s="1">
        <f t="shared" si="75"/>
        <v>0</v>
      </c>
      <c r="CH103" s="3" t="s">
        <v>162</v>
      </c>
      <c r="CI103" s="1">
        <f t="shared" si="76"/>
        <v>0</v>
      </c>
      <c r="CJ103" s="1">
        <f t="shared" si="77"/>
        <v>0</v>
      </c>
      <c r="CK103" s="1">
        <f t="shared" si="78"/>
        <v>0</v>
      </c>
      <c r="CL103" s="1">
        <f t="shared" si="79"/>
        <v>0</v>
      </c>
      <c r="CM103" s="2">
        <f t="shared" si="80"/>
        <v>0</v>
      </c>
      <c r="CN103" s="1">
        <f t="shared" si="81"/>
        <v>0</v>
      </c>
      <c r="CO103" s="1">
        <f t="shared" si="82"/>
        <v>0</v>
      </c>
      <c r="CP103" s="3" t="s">
        <v>162</v>
      </c>
      <c r="CQ103" s="1">
        <f t="shared" si="83"/>
        <v>0</v>
      </c>
      <c r="CR103" s="1">
        <f t="shared" si="84"/>
        <v>0</v>
      </c>
      <c r="CS103" s="1">
        <f t="shared" si="85"/>
        <v>0</v>
      </c>
      <c r="CT103" s="1">
        <f t="shared" si="86"/>
        <v>0</v>
      </c>
      <c r="CU103" s="2">
        <f t="shared" si="87"/>
        <v>0</v>
      </c>
      <c r="CV103" s="14">
        <f t="shared" si="88"/>
        <v>0</v>
      </c>
      <c r="CW103" s="1">
        <f>ROUND(PPTest!K103,1)</f>
        <v>0</v>
      </c>
      <c r="CX103" s="3">
        <f t="shared" si="70"/>
        <v>0</v>
      </c>
      <c r="CY103" s="3">
        <f t="shared" si="89"/>
        <v>0</v>
      </c>
      <c r="CZ103" s="19">
        <f t="shared" si="90"/>
        <v>0</v>
      </c>
      <c r="DA103" s="19" t="e">
        <f t="shared" si="90"/>
        <v>#DIV/0!</v>
      </c>
      <c r="DB103" s="16">
        <f t="shared" si="91"/>
        <v>0</v>
      </c>
    </row>
    <row r="104" spans="1:106" x14ac:dyDescent="0.2">
      <c r="A104" s="15">
        <f t="shared" si="92"/>
        <v>45756</v>
      </c>
      <c r="B104" s="1">
        <v>99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4"/>
      <c r="AY104" s="12"/>
      <c r="AZ104" s="12"/>
      <c r="BA104" s="16">
        <v>23.11</v>
      </c>
      <c r="BB104" s="41"/>
      <c r="BC104" s="41"/>
      <c r="BD104" s="8" t="e">
        <f t="shared" si="50"/>
        <v>#DIV/0!</v>
      </c>
      <c r="BE104" s="8"/>
      <c r="BF104" s="2">
        <f t="shared" si="71"/>
        <v>0</v>
      </c>
      <c r="BG104" s="2">
        <f t="shared" si="72"/>
        <v>0</v>
      </c>
      <c r="BH104" s="2">
        <f t="shared" si="73"/>
        <v>0</v>
      </c>
      <c r="BI104" s="35">
        <f t="shared" si="51"/>
        <v>0</v>
      </c>
      <c r="BJ104" s="35" t="e">
        <f t="shared" si="52"/>
        <v>#DIV/0!</v>
      </c>
      <c r="BL104" s="3">
        <f t="shared" si="53"/>
        <v>0</v>
      </c>
      <c r="BM104" s="19" t="e">
        <f t="shared" si="54"/>
        <v>#DIV/0!</v>
      </c>
      <c r="BN104" s="19" t="e">
        <f t="shared" si="55"/>
        <v>#DIV/0!</v>
      </c>
      <c r="BO104" s="19" t="e">
        <f t="shared" si="56"/>
        <v>#DIV/0!</v>
      </c>
      <c r="BP104" s="19" t="e">
        <f t="shared" si="57"/>
        <v>#DIV/0!</v>
      </c>
      <c r="BQ104" s="19" t="e">
        <f t="shared" si="58"/>
        <v>#DIV/0!</v>
      </c>
      <c r="BR104" s="19" t="e">
        <f t="shared" si="59"/>
        <v>#DIV/0!</v>
      </c>
      <c r="BS104" s="19" t="e">
        <f t="shared" si="60"/>
        <v>#DIV/0!</v>
      </c>
      <c r="BT104" s="19" t="e">
        <f t="shared" si="61"/>
        <v>#DIV/0!</v>
      </c>
      <c r="BV104" s="16">
        <f t="shared" si="62"/>
        <v>0</v>
      </c>
      <c r="BW104" s="16">
        <f t="shared" si="63"/>
        <v>0</v>
      </c>
      <c r="BX104" s="3">
        <f t="shared" si="64"/>
        <v>0</v>
      </c>
      <c r="BY104" s="3">
        <f t="shared" si="93"/>
        <v>0</v>
      </c>
      <c r="BZ104" s="3" t="s">
        <v>162</v>
      </c>
      <c r="CA104" s="3">
        <f t="shared" si="65"/>
        <v>0</v>
      </c>
      <c r="CB104" s="3">
        <f t="shared" si="66"/>
        <v>0</v>
      </c>
      <c r="CC104" s="3">
        <f t="shared" si="67"/>
        <v>0</v>
      </c>
      <c r="CD104" s="3">
        <f t="shared" si="68"/>
        <v>0</v>
      </c>
      <c r="CE104" s="22">
        <f t="shared" si="74"/>
        <v>0</v>
      </c>
      <c r="CF104" s="1">
        <f t="shared" si="69"/>
        <v>0</v>
      </c>
      <c r="CG104" s="1">
        <f t="shared" si="75"/>
        <v>0</v>
      </c>
      <c r="CH104" s="3" t="s">
        <v>162</v>
      </c>
      <c r="CI104" s="1">
        <f t="shared" si="76"/>
        <v>0</v>
      </c>
      <c r="CJ104" s="1">
        <f t="shared" si="77"/>
        <v>0</v>
      </c>
      <c r="CK104" s="1">
        <f t="shared" si="78"/>
        <v>0</v>
      </c>
      <c r="CL104" s="1">
        <f t="shared" si="79"/>
        <v>0</v>
      </c>
      <c r="CM104" s="2">
        <f t="shared" si="80"/>
        <v>0</v>
      </c>
      <c r="CN104" s="1">
        <f t="shared" si="81"/>
        <v>0</v>
      </c>
      <c r="CO104" s="1">
        <f t="shared" si="82"/>
        <v>0</v>
      </c>
      <c r="CP104" s="3" t="s">
        <v>162</v>
      </c>
      <c r="CQ104" s="1">
        <f t="shared" si="83"/>
        <v>0</v>
      </c>
      <c r="CR104" s="1">
        <f t="shared" si="84"/>
        <v>0</v>
      </c>
      <c r="CS104" s="1">
        <f t="shared" si="85"/>
        <v>0</v>
      </c>
      <c r="CT104" s="1">
        <f t="shared" si="86"/>
        <v>0</v>
      </c>
      <c r="CU104" s="2">
        <f t="shared" si="87"/>
        <v>0</v>
      </c>
      <c r="CV104" s="14">
        <f t="shared" si="88"/>
        <v>0</v>
      </c>
      <c r="CW104" s="1">
        <f>ROUND(PPTest!K104,1)</f>
        <v>0</v>
      </c>
      <c r="CX104" s="3">
        <f t="shared" si="70"/>
        <v>0</v>
      </c>
      <c r="CY104" s="3">
        <f t="shared" si="89"/>
        <v>0</v>
      </c>
      <c r="CZ104" s="19">
        <f t="shared" si="90"/>
        <v>0</v>
      </c>
      <c r="DA104" s="19" t="e">
        <f t="shared" si="90"/>
        <v>#DIV/0!</v>
      </c>
      <c r="DB104" s="16">
        <f t="shared" si="91"/>
        <v>0</v>
      </c>
    </row>
    <row r="105" spans="1:106" x14ac:dyDescent="0.2">
      <c r="A105" s="15">
        <f t="shared" si="92"/>
        <v>45757</v>
      </c>
      <c r="B105" s="1">
        <v>100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4"/>
      <c r="AY105" s="12"/>
      <c r="AZ105" s="12"/>
      <c r="BA105" s="16">
        <v>23.37</v>
      </c>
      <c r="BB105" s="41"/>
      <c r="BC105" s="41"/>
      <c r="BD105" s="8" t="e">
        <f t="shared" si="50"/>
        <v>#DIV/0!</v>
      </c>
      <c r="BE105" s="8"/>
      <c r="BF105" s="2">
        <f t="shared" si="71"/>
        <v>0</v>
      </c>
      <c r="BG105" s="2">
        <f t="shared" si="72"/>
        <v>0</v>
      </c>
      <c r="BH105" s="2">
        <f t="shared" si="73"/>
        <v>0</v>
      </c>
      <c r="BI105" s="35">
        <f t="shared" si="51"/>
        <v>0</v>
      </c>
      <c r="BJ105" s="35" t="e">
        <f t="shared" si="52"/>
        <v>#DIV/0!</v>
      </c>
      <c r="BL105" s="3">
        <f t="shared" si="53"/>
        <v>0</v>
      </c>
      <c r="BM105" s="19" t="e">
        <f t="shared" si="54"/>
        <v>#DIV/0!</v>
      </c>
      <c r="BN105" s="19" t="e">
        <f t="shared" si="55"/>
        <v>#DIV/0!</v>
      </c>
      <c r="BO105" s="19" t="e">
        <f t="shared" si="56"/>
        <v>#DIV/0!</v>
      </c>
      <c r="BP105" s="19" t="e">
        <f t="shared" si="57"/>
        <v>#DIV/0!</v>
      </c>
      <c r="BQ105" s="19" t="e">
        <f t="shared" si="58"/>
        <v>#DIV/0!</v>
      </c>
      <c r="BR105" s="19" t="e">
        <f t="shared" si="59"/>
        <v>#DIV/0!</v>
      </c>
      <c r="BS105" s="19" t="e">
        <f t="shared" si="60"/>
        <v>#DIV/0!</v>
      </c>
      <c r="BT105" s="19" t="e">
        <f t="shared" si="61"/>
        <v>#DIV/0!</v>
      </c>
      <c r="BV105" s="16">
        <f t="shared" si="62"/>
        <v>0</v>
      </c>
      <c r="BW105" s="16">
        <f t="shared" si="63"/>
        <v>0</v>
      </c>
      <c r="BX105" s="3">
        <f t="shared" si="64"/>
        <v>0</v>
      </c>
      <c r="BY105" s="3">
        <f t="shared" si="93"/>
        <v>0</v>
      </c>
      <c r="BZ105" s="3" t="s">
        <v>162</v>
      </c>
      <c r="CA105" s="3">
        <f t="shared" si="65"/>
        <v>0</v>
      </c>
      <c r="CB105" s="3">
        <f t="shared" si="66"/>
        <v>0</v>
      </c>
      <c r="CC105" s="3">
        <f t="shared" si="67"/>
        <v>0</v>
      </c>
      <c r="CD105" s="3">
        <f t="shared" si="68"/>
        <v>0</v>
      </c>
      <c r="CE105" s="22">
        <f t="shared" si="74"/>
        <v>0</v>
      </c>
      <c r="CF105" s="1">
        <f t="shared" si="69"/>
        <v>0</v>
      </c>
      <c r="CG105" s="1">
        <f t="shared" si="75"/>
        <v>0</v>
      </c>
      <c r="CH105" s="3" t="s">
        <v>162</v>
      </c>
      <c r="CI105" s="1">
        <f t="shared" si="76"/>
        <v>0</v>
      </c>
      <c r="CJ105" s="1">
        <f t="shared" si="77"/>
        <v>0</v>
      </c>
      <c r="CK105" s="1">
        <f t="shared" si="78"/>
        <v>0</v>
      </c>
      <c r="CL105" s="1">
        <f t="shared" si="79"/>
        <v>0</v>
      </c>
      <c r="CM105" s="2">
        <f t="shared" si="80"/>
        <v>0</v>
      </c>
      <c r="CN105" s="1">
        <f t="shared" si="81"/>
        <v>0</v>
      </c>
      <c r="CO105" s="1">
        <f t="shared" si="82"/>
        <v>0</v>
      </c>
      <c r="CP105" s="3" t="s">
        <v>162</v>
      </c>
      <c r="CQ105" s="1">
        <f t="shared" si="83"/>
        <v>0</v>
      </c>
      <c r="CR105" s="1">
        <f t="shared" si="84"/>
        <v>0</v>
      </c>
      <c r="CS105" s="1">
        <f t="shared" si="85"/>
        <v>0</v>
      </c>
      <c r="CT105" s="1">
        <f t="shared" si="86"/>
        <v>0</v>
      </c>
      <c r="CU105" s="2">
        <f t="shared" si="87"/>
        <v>0</v>
      </c>
      <c r="CV105" s="14">
        <f t="shared" si="88"/>
        <v>0</v>
      </c>
      <c r="CW105" s="1">
        <f>ROUND(PPTest!K105,1)</f>
        <v>0</v>
      </c>
      <c r="CX105" s="3">
        <f t="shared" si="70"/>
        <v>0</v>
      </c>
      <c r="CY105" s="3">
        <f t="shared" si="89"/>
        <v>0</v>
      </c>
      <c r="CZ105" s="19">
        <f t="shared" si="90"/>
        <v>0</v>
      </c>
      <c r="DA105" s="19" t="e">
        <f t="shared" si="90"/>
        <v>#DIV/0!</v>
      </c>
      <c r="DB105" s="16">
        <f t="shared" si="91"/>
        <v>0</v>
      </c>
    </row>
    <row r="106" spans="1:106" x14ac:dyDescent="0.2">
      <c r="A106" s="15">
        <f t="shared" si="92"/>
        <v>45758</v>
      </c>
      <c r="B106" s="1">
        <v>101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4"/>
      <c r="AY106" s="12"/>
      <c r="AZ106" s="12"/>
      <c r="BA106" s="16">
        <v>23.61</v>
      </c>
      <c r="BB106" s="41"/>
      <c r="BC106" s="41"/>
      <c r="BD106" s="8" t="e">
        <f t="shared" si="50"/>
        <v>#DIV/0!</v>
      </c>
      <c r="BE106" s="8"/>
      <c r="BF106" s="2">
        <f t="shared" si="71"/>
        <v>0</v>
      </c>
      <c r="BG106" s="2">
        <f t="shared" si="72"/>
        <v>0</v>
      </c>
      <c r="BH106" s="2">
        <f t="shared" si="73"/>
        <v>0</v>
      </c>
      <c r="BI106" s="35">
        <f t="shared" si="51"/>
        <v>0</v>
      </c>
      <c r="BJ106" s="35" t="e">
        <f t="shared" si="52"/>
        <v>#DIV/0!</v>
      </c>
      <c r="BL106" s="3">
        <f t="shared" si="53"/>
        <v>0</v>
      </c>
      <c r="BM106" s="19" t="e">
        <f t="shared" si="54"/>
        <v>#DIV/0!</v>
      </c>
      <c r="BN106" s="19" t="e">
        <f t="shared" si="55"/>
        <v>#DIV/0!</v>
      </c>
      <c r="BO106" s="19" t="e">
        <f t="shared" si="56"/>
        <v>#DIV/0!</v>
      </c>
      <c r="BP106" s="19" t="e">
        <f t="shared" si="57"/>
        <v>#DIV/0!</v>
      </c>
      <c r="BQ106" s="19" t="e">
        <f t="shared" si="58"/>
        <v>#DIV/0!</v>
      </c>
      <c r="BR106" s="19" t="e">
        <f t="shared" si="59"/>
        <v>#DIV/0!</v>
      </c>
      <c r="BS106" s="19" t="e">
        <f t="shared" si="60"/>
        <v>#DIV/0!</v>
      </c>
      <c r="BT106" s="19" t="e">
        <f t="shared" si="61"/>
        <v>#DIV/0!</v>
      </c>
      <c r="BV106" s="16">
        <f t="shared" si="62"/>
        <v>0</v>
      </c>
      <c r="BW106" s="16">
        <f t="shared" si="63"/>
        <v>0</v>
      </c>
      <c r="BX106" s="3">
        <f t="shared" si="64"/>
        <v>0</v>
      </c>
      <c r="BY106" s="3">
        <f t="shared" si="93"/>
        <v>0</v>
      </c>
      <c r="BZ106" s="3" t="s">
        <v>162</v>
      </c>
      <c r="CA106" s="3">
        <f t="shared" si="65"/>
        <v>0</v>
      </c>
      <c r="CB106" s="3">
        <f t="shared" si="66"/>
        <v>0</v>
      </c>
      <c r="CC106" s="3">
        <f t="shared" si="67"/>
        <v>0</v>
      </c>
      <c r="CD106" s="3">
        <f t="shared" si="68"/>
        <v>0</v>
      </c>
      <c r="CE106" s="22">
        <f t="shared" si="74"/>
        <v>0</v>
      </c>
      <c r="CF106" s="1">
        <f t="shared" si="69"/>
        <v>0</v>
      </c>
      <c r="CG106" s="1">
        <f t="shared" si="75"/>
        <v>0</v>
      </c>
      <c r="CH106" s="3" t="s">
        <v>162</v>
      </c>
      <c r="CI106" s="1">
        <f t="shared" si="76"/>
        <v>0</v>
      </c>
      <c r="CJ106" s="1">
        <f t="shared" si="77"/>
        <v>0</v>
      </c>
      <c r="CK106" s="1">
        <f t="shared" si="78"/>
        <v>0</v>
      </c>
      <c r="CL106" s="1">
        <f t="shared" si="79"/>
        <v>0</v>
      </c>
      <c r="CM106" s="2">
        <f t="shared" si="80"/>
        <v>0</v>
      </c>
      <c r="CN106" s="1">
        <f t="shared" si="81"/>
        <v>0</v>
      </c>
      <c r="CO106" s="1">
        <f t="shared" si="82"/>
        <v>0</v>
      </c>
      <c r="CP106" s="3" t="s">
        <v>162</v>
      </c>
      <c r="CQ106" s="1">
        <f t="shared" si="83"/>
        <v>0</v>
      </c>
      <c r="CR106" s="1">
        <f t="shared" si="84"/>
        <v>0</v>
      </c>
      <c r="CS106" s="1">
        <f t="shared" si="85"/>
        <v>0</v>
      </c>
      <c r="CT106" s="1">
        <f t="shared" si="86"/>
        <v>0</v>
      </c>
      <c r="CU106" s="2">
        <f t="shared" si="87"/>
        <v>0</v>
      </c>
      <c r="CV106" s="14">
        <f t="shared" si="88"/>
        <v>0</v>
      </c>
      <c r="CW106" s="1">
        <f>ROUND(PPTest!K106,1)</f>
        <v>0</v>
      </c>
      <c r="CX106" s="3">
        <f t="shared" si="70"/>
        <v>0</v>
      </c>
      <c r="CY106" s="3">
        <f t="shared" si="89"/>
        <v>0</v>
      </c>
      <c r="CZ106" s="19">
        <f t="shared" si="90"/>
        <v>0</v>
      </c>
      <c r="DA106" s="19" t="e">
        <f t="shared" si="90"/>
        <v>#DIV/0!</v>
      </c>
      <c r="DB106" s="16">
        <f t="shared" si="91"/>
        <v>0</v>
      </c>
    </row>
    <row r="107" spans="1:106" x14ac:dyDescent="0.2">
      <c r="A107" s="15">
        <f t="shared" si="92"/>
        <v>45759</v>
      </c>
      <c r="B107" s="1">
        <v>102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4"/>
      <c r="AY107" s="12"/>
      <c r="AZ107" s="12"/>
      <c r="BA107" s="16">
        <v>23.88</v>
      </c>
      <c r="BB107" s="41"/>
      <c r="BC107" s="41"/>
      <c r="BD107" s="8" t="e">
        <f t="shared" si="50"/>
        <v>#DIV/0!</v>
      </c>
      <c r="BE107" s="8"/>
      <c r="BF107" s="2">
        <f t="shared" si="71"/>
        <v>0</v>
      </c>
      <c r="BG107" s="2">
        <f t="shared" si="72"/>
        <v>0</v>
      </c>
      <c r="BH107" s="2">
        <f t="shared" si="73"/>
        <v>0</v>
      </c>
      <c r="BI107" s="35">
        <f t="shared" si="51"/>
        <v>0</v>
      </c>
      <c r="BJ107" s="35" t="e">
        <f t="shared" si="52"/>
        <v>#DIV/0!</v>
      </c>
      <c r="BL107" s="3">
        <f t="shared" si="53"/>
        <v>0</v>
      </c>
      <c r="BM107" s="19" t="e">
        <f t="shared" si="54"/>
        <v>#DIV/0!</v>
      </c>
      <c r="BN107" s="19" t="e">
        <f t="shared" si="55"/>
        <v>#DIV/0!</v>
      </c>
      <c r="BO107" s="19" t="e">
        <f t="shared" si="56"/>
        <v>#DIV/0!</v>
      </c>
      <c r="BP107" s="19" t="e">
        <f t="shared" si="57"/>
        <v>#DIV/0!</v>
      </c>
      <c r="BQ107" s="19" t="e">
        <f t="shared" si="58"/>
        <v>#DIV/0!</v>
      </c>
      <c r="BR107" s="19" t="e">
        <f t="shared" si="59"/>
        <v>#DIV/0!</v>
      </c>
      <c r="BS107" s="19" t="e">
        <f t="shared" si="60"/>
        <v>#DIV/0!</v>
      </c>
      <c r="BT107" s="19" t="e">
        <f t="shared" si="61"/>
        <v>#DIV/0!</v>
      </c>
      <c r="BV107" s="16">
        <f t="shared" si="62"/>
        <v>0</v>
      </c>
      <c r="BW107" s="16">
        <f t="shared" si="63"/>
        <v>0</v>
      </c>
      <c r="BX107" s="3">
        <f t="shared" si="64"/>
        <v>0</v>
      </c>
      <c r="BY107" s="3">
        <f t="shared" si="93"/>
        <v>0</v>
      </c>
      <c r="BZ107" s="3" t="s">
        <v>162</v>
      </c>
      <c r="CA107" s="3">
        <f t="shared" si="65"/>
        <v>0</v>
      </c>
      <c r="CB107" s="3">
        <f t="shared" si="66"/>
        <v>0</v>
      </c>
      <c r="CC107" s="3">
        <f t="shared" si="67"/>
        <v>0</v>
      </c>
      <c r="CD107" s="3">
        <f t="shared" si="68"/>
        <v>0</v>
      </c>
      <c r="CE107" s="22">
        <f t="shared" si="74"/>
        <v>0</v>
      </c>
      <c r="CF107" s="1">
        <f t="shared" si="69"/>
        <v>0</v>
      </c>
      <c r="CG107" s="1">
        <f t="shared" si="75"/>
        <v>0</v>
      </c>
      <c r="CH107" s="3" t="s">
        <v>162</v>
      </c>
      <c r="CI107" s="1">
        <f t="shared" si="76"/>
        <v>0</v>
      </c>
      <c r="CJ107" s="1">
        <f t="shared" si="77"/>
        <v>0</v>
      </c>
      <c r="CK107" s="1">
        <f t="shared" si="78"/>
        <v>0</v>
      </c>
      <c r="CL107" s="1">
        <f t="shared" si="79"/>
        <v>0</v>
      </c>
      <c r="CM107" s="2">
        <f t="shared" si="80"/>
        <v>0</v>
      </c>
      <c r="CN107" s="1">
        <f t="shared" si="81"/>
        <v>0</v>
      </c>
      <c r="CO107" s="1">
        <f t="shared" si="82"/>
        <v>0</v>
      </c>
      <c r="CP107" s="3" t="s">
        <v>162</v>
      </c>
      <c r="CQ107" s="1">
        <f t="shared" si="83"/>
        <v>0</v>
      </c>
      <c r="CR107" s="1">
        <f t="shared" si="84"/>
        <v>0</v>
      </c>
      <c r="CS107" s="1">
        <f t="shared" si="85"/>
        <v>0</v>
      </c>
      <c r="CT107" s="1">
        <f t="shared" si="86"/>
        <v>0</v>
      </c>
      <c r="CU107" s="2">
        <f t="shared" si="87"/>
        <v>0</v>
      </c>
      <c r="CV107" s="14">
        <f t="shared" si="88"/>
        <v>0</v>
      </c>
      <c r="CW107" s="1">
        <f>ROUND(PPTest!K107,1)</f>
        <v>0</v>
      </c>
      <c r="CX107" s="3">
        <f t="shared" si="70"/>
        <v>0</v>
      </c>
      <c r="CY107" s="3">
        <f t="shared" si="89"/>
        <v>0</v>
      </c>
      <c r="CZ107" s="19">
        <f t="shared" si="90"/>
        <v>0</v>
      </c>
      <c r="DA107" s="19" t="e">
        <f t="shared" si="90"/>
        <v>#DIV/0!</v>
      </c>
      <c r="DB107" s="16">
        <f t="shared" si="91"/>
        <v>0</v>
      </c>
    </row>
    <row r="108" spans="1:106" x14ac:dyDescent="0.2">
      <c r="A108" s="15">
        <f t="shared" si="92"/>
        <v>45760</v>
      </c>
      <c r="B108" s="1">
        <v>103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4"/>
      <c r="AY108" s="12"/>
      <c r="AZ108" s="12"/>
      <c r="BA108" s="16">
        <v>24.12</v>
      </c>
      <c r="BB108" s="41"/>
      <c r="BC108" s="41"/>
      <c r="BD108" s="8" t="e">
        <f t="shared" si="50"/>
        <v>#DIV/0!</v>
      </c>
      <c r="BE108" s="8"/>
      <c r="BF108" s="2">
        <f t="shared" si="71"/>
        <v>0</v>
      </c>
      <c r="BG108" s="2">
        <f t="shared" si="72"/>
        <v>0</v>
      </c>
      <c r="BH108" s="2">
        <f t="shared" si="73"/>
        <v>0</v>
      </c>
      <c r="BI108" s="35">
        <f t="shared" si="51"/>
        <v>0</v>
      </c>
      <c r="BJ108" s="35" t="e">
        <f t="shared" si="52"/>
        <v>#DIV/0!</v>
      </c>
      <c r="BL108" s="3">
        <f t="shared" si="53"/>
        <v>0</v>
      </c>
      <c r="BM108" s="19" t="e">
        <f t="shared" si="54"/>
        <v>#DIV/0!</v>
      </c>
      <c r="BN108" s="19" t="e">
        <f t="shared" si="55"/>
        <v>#DIV/0!</v>
      </c>
      <c r="BO108" s="19" t="e">
        <f t="shared" si="56"/>
        <v>#DIV/0!</v>
      </c>
      <c r="BP108" s="19" t="e">
        <f t="shared" si="57"/>
        <v>#DIV/0!</v>
      </c>
      <c r="BQ108" s="19" t="e">
        <f t="shared" si="58"/>
        <v>#DIV/0!</v>
      </c>
      <c r="BR108" s="19" t="e">
        <f t="shared" si="59"/>
        <v>#DIV/0!</v>
      </c>
      <c r="BS108" s="19" t="e">
        <f t="shared" si="60"/>
        <v>#DIV/0!</v>
      </c>
      <c r="BT108" s="19" t="e">
        <f t="shared" si="61"/>
        <v>#DIV/0!</v>
      </c>
      <c r="BV108" s="16">
        <f t="shared" si="62"/>
        <v>0</v>
      </c>
      <c r="BW108" s="16">
        <f t="shared" si="63"/>
        <v>0</v>
      </c>
      <c r="BX108" s="3">
        <f t="shared" si="64"/>
        <v>0</v>
      </c>
      <c r="BY108" s="3">
        <f t="shared" si="93"/>
        <v>0</v>
      </c>
      <c r="BZ108" s="3" t="s">
        <v>162</v>
      </c>
      <c r="CA108" s="3">
        <f t="shared" si="65"/>
        <v>0</v>
      </c>
      <c r="CB108" s="3">
        <f t="shared" si="66"/>
        <v>0</v>
      </c>
      <c r="CC108" s="3">
        <f t="shared" si="67"/>
        <v>0</v>
      </c>
      <c r="CD108" s="3">
        <f t="shared" si="68"/>
        <v>0</v>
      </c>
      <c r="CE108" s="22">
        <f t="shared" si="74"/>
        <v>0</v>
      </c>
      <c r="CF108" s="1">
        <f t="shared" si="69"/>
        <v>0</v>
      </c>
      <c r="CG108" s="1">
        <f t="shared" si="75"/>
        <v>0</v>
      </c>
      <c r="CH108" s="3" t="s">
        <v>162</v>
      </c>
      <c r="CI108" s="1">
        <f t="shared" si="76"/>
        <v>0</v>
      </c>
      <c r="CJ108" s="1">
        <f t="shared" si="77"/>
        <v>0</v>
      </c>
      <c r="CK108" s="1">
        <f t="shared" si="78"/>
        <v>0</v>
      </c>
      <c r="CL108" s="1">
        <f t="shared" si="79"/>
        <v>0</v>
      </c>
      <c r="CM108" s="2">
        <f t="shared" si="80"/>
        <v>0</v>
      </c>
      <c r="CN108" s="1">
        <f t="shared" si="81"/>
        <v>0</v>
      </c>
      <c r="CO108" s="1">
        <f t="shared" si="82"/>
        <v>0</v>
      </c>
      <c r="CP108" s="3" t="s">
        <v>162</v>
      </c>
      <c r="CQ108" s="1">
        <f t="shared" si="83"/>
        <v>0</v>
      </c>
      <c r="CR108" s="1">
        <f t="shared" si="84"/>
        <v>0</v>
      </c>
      <c r="CS108" s="1">
        <f t="shared" si="85"/>
        <v>0</v>
      </c>
      <c r="CT108" s="1">
        <f t="shared" si="86"/>
        <v>0</v>
      </c>
      <c r="CU108" s="2">
        <f t="shared" si="87"/>
        <v>0</v>
      </c>
      <c r="CV108" s="14">
        <f t="shared" si="88"/>
        <v>0</v>
      </c>
      <c r="CW108" s="1">
        <f>ROUND(PPTest!K108,1)</f>
        <v>0</v>
      </c>
      <c r="CX108" s="3">
        <f t="shared" si="70"/>
        <v>0</v>
      </c>
      <c r="CY108" s="3">
        <f t="shared" si="89"/>
        <v>0</v>
      </c>
      <c r="CZ108" s="19">
        <f t="shared" si="90"/>
        <v>0</v>
      </c>
      <c r="DA108" s="19" t="e">
        <f t="shared" si="90"/>
        <v>#DIV/0!</v>
      </c>
      <c r="DB108" s="16">
        <f t="shared" si="91"/>
        <v>0</v>
      </c>
    </row>
    <row r="109" spans="1:106" x14ac:dyDescent="0.2">
      <c r="A109" s="15">
        <f t="shared" si="92"/>
        <v>45761</v>
      </c>
      <c r="B109" s="1">
        <v>104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4"/>
      <c r="AY109" s="12"/>
      <c r="AZ109" s="12"/>
      <c r="BA109" s="16">
        <v>24.37</v>
      </c>
      <c r="BB109" s="41"/>
      <c r="BC109" s="41"/>
      <c r="BD109" s="8" t="e">
        <f t="shared" si="50"/>
        <v>#DIV/0!</v>
      </c>
      <c r="BE109" s="8"/>
      <c r="BF109" s="2">
        <f t="shared" si="71"/>
        <v>0</v>
      </c>
      <c r="BG109" s="2">
        <f t="shared" si="72"/>
        <v>0</v>
      </c>
      <c r="BH109" s="2">
        <f t="shared" si="73"/>
        <v>0</v>
      </c>
      <c r="BI109" s="35">
        <f t="shared" si="51"/>
        <v>0</v>
      </c>
      <c r="BJ109" s="35" t="e">
        <f t="shared" si="52"/>
        <v>#DIV/0!</v>
      </c>
      <c r="BL109" s="3">
        <f t="shared" si="53"/>
        <v>0</v>
      </c>
      <c r="BM109" s="19" t="e">
        <f t="shared" si="54"/>
        <v>#DIV/0!</v>
      </c>
      <c r="BN109" s="19" t="e">
        <f t="shared" si="55"/>
        <v>#DIV/0!</v>
      </c>
      <c r="BO109" s="19" t="e">
        <f t="shared" si="56"/>
        <v>#DIV/0!</v>
      </c>
      <c r="BP109" s="19" t="e">
        <f t="shared" si="57"/>
        <v>#DIV/0!</v>
      </c>
      <c r="BQ109" s="19" t="e">
        <f t="shared" si="58"/>
        <v>#DIV/0!</v>
      </c>
      <c r="BR109" s="19" t="e">
        <f t="shared" si="59"/>
        <v>#DIV/0!</v>
      </c>
      <c r="BS109" s="19" t="e">
        <f t="shared" si="60"/>
        <v>#DIV/0!</v>
      </c>
      <c r="BT109" s="19" t="e">
        <f t="shared" si="61"/>
        <v>#DIV/0!</v>
      </c>
      <c r="BV109" s="16">
        <f t="shared" si="62"/>
        <v>0</v>
      </c>
      <c r="BW109" s="16">
        <f t="shared" si="63"/>
        <v>0</v>
      </c>
      <c r="BX109" s="3">
        <f t="shared" si="64"/>
        <v>0</v>
      </c>
      <c r="BY109" s="3">
        <f t="shared" si="93"/>
        <v>0</v>
      </c>
      <c r="BZ109" s="3" t="s">
        <v>162</v>
      </c>
      <c r="CA109" s="3">
        <f t="shared" si="65"/>
        <v>0</v>
      </c>
      <c r="CB109" s="3">
        <f t="shared" si="66"/>
        <v>0</v>
      </c>
      <c r="CC109" s="3">
        <f t="shared" si="67"/>
        <v>0</v>
      </c>
      <c r="CD109" s="3">
        <f t="shared" si="68"/>
        <v>0</v>
      </c>
      <c r="CE109" s="22">
        <f t="shared" si="74"/>
        <v>0</v>
      </c>
      <c r="CF109" s="1">
        <f t="shared" si="69"/>
        <v>0</v>
      </c>
      <c r="CG109" s="1">
        <f t="shared" si="75"/>
        <v>0</v>
      </c>
      <c r="CH109" s="3" t="s">
        <v>162</v>
      </c>
      <c r="CI109" s="1">
        <f t="shared" si="76"/>
        <v>0</v>
      </c>
      <c r="CJ109" s="1">
        <f t="shared" si="77"/>
        <v>0</v>
      </c>
      <c r="CK109" s="1">
        <f t="shared" si="78"/>
        <v>0</v>
      </c>
      <c r="CL109" s="1">
        <f t="shared" si="79"/>
        <v>0</v>
      </c>
      <c r="CM109" s="2">
        <f t="shared" si="80"/>
        <v>0</v>
      </c>
      <c r="CN109" s="1">
        <f t="shared" si="81"/>
        <v>0</v>
      </c>
      <c r="CO109" s="1">
        <f t="shared" si="82"/>
        <v>0</v>
      </c>
      <c r="CP109" s="3" t="s">
        <v>162</v>
      </c>
      <c r="CQ109" s="1">
        <f t="shared" si="83"/>
        <v>0</v>
      </c>
      <c r="CR109" s="1">
        <f t="shared" si="84"/>
        <v>0</v>
      </c>
      <c r="CS109" s="1">
        <f t="shared" si="85"/>
        <v>0</v>
      </c>
      <c r="CT109" s="1">
        <f t="shared" si="86"/>
        <v>0</v>
      </c>
      <c r="CU109" s="2">
        <f t="shared" si="87"/>
        <v>0</v>
      </c>
      <c r="CV109" s="14">
        <f t="shared" si="88"/>
        <v>0</v>
      </c>
      <c r="CW109" s="1">
        <f>ROUND(PPTest!K109,1)</f>
        <v>0</v>
      </c>
      <c r="CX109" s="3">
        <f t="shared" si="70"/>
        <v>0</v>
      </c>
      <c r="CY109" s="3">
        <f t="shared" si="89"/>
        <v>0</v>
      </c>
      <c r="CZ109" s="19">
        <f t="shared" si="90"/>
        <v>0</v>
      </c>
      <c r="DA109" s="19" t="e">
        <f t="shared" si="90"/>
        <v>#DIV/0!</v>
      </c>
      <c r="DB109" s="16">
        <f t="shared" si="91"/>
        <v>0</v>
      </c>
    </row>
    <row r="110" spans="1:106" x14ac:dyDescent="0.2">
      <c r="A110" s="15">
        <f t="shared" si="92"/>
        <v>45762</v>
      </c>
      <c r="B110" s="1">
        <v>105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4"/>
      <c r="AY110" s="12"/>
      <c r="AZ110" s="12"/>
      <c r="BA110" s="16">
        <v>24.61</v>
      </c>
      <c r="BB110" s="41"/>
      <c r="BC110" s="41"/>
      <c r="BD110" s="8" t="e">
        <f t="shared" si="50"/>
        <v>#DIV/0!</v>
      </c>
      <c r="BE110" s="8"/>
      <c r="BF110" s="2">
        <f t="shared" si="71"/>
        <v>0</v>
      </c>
      <c r="BG110" s="2">
        <f t="shared" si="72"/>
        <v>0</v>
      </c>
      <c r="BH110" s="2">
        <f t="shared" si="73"/>
        <v>0</v>
      </c>
      <c r="BI110" s="35">
        <f t="shared" si="51"/>
        <v>0</v>
      </c>
      <c r="BJ110" s="35" t="e">
        <f t="shared" si="52"/>
        <v>#DIV/0!</v>
      </c>
      <c r="BL110" s="3">
        <f t="shared" si="53"/>
        <v>0</v>
      </c>
      <c r="BM110" s="19" t="e">
        <f t="shared" si="54"/>
        <v>#DIV/0!</v>
      </c>
      <c r="BN110" s="19" t="e">
        <f t="shared" si="55"/>
        <v>#DIV/0!</v>
      </c>
      <c r="BO110" s="19" t="e">
        <f t="shared" si="56"/>
        <v>#DIV/0!</v>
      </c>
      <c r="BP110" s="19" t="e">
        <f t="shared" si="57"/>
        <v>#DIV/0!</v>
      </c>
      <c r="BQ110" s="19" t="e">
        <f t="shared" si="58"/>
        <v>#DIV/0!</v>
      </c>
      <c r="BR110" s="19" t="e">
        <f t="shared" si="59"/>
        <v>#DIV/0!</v>
      </c>
      <c r="BS110" s="19" t="e">
        <f t="shared" si="60"/>
        <v>#DIV/0!</v>
      </c>
      <c r="BT110" s="19" t="e">
        <f t="shared" si="61"/>
        <v>#DIV/0!</v>
      </c>
      <c r="BV110" s="16">
        <f t="shared" si="62"/>
        <v>0</v>
      </c>
      <c r="BW110" s="16">
        <f t="shared" si="63"/>
        <v>0</v>
      </c>
      <c r="BX110" s="3">
        <f t="shared" si="64"/>
        <v>0</v>
      </c>
      <c r="BY110" s="3">
        <f t="shared" si="93"/>
        <v>0</v>
      </c>
      <c r="BZ110" s="3" t="s">
        <v>162</v>
      </c>
      <c r="CA110" s="3">
        <f t="shared" si="65"/>
        <v>0</v>
      </c>
      <c r="CB110" s="3">
        <f t="shared" si="66"/>
        <v>0</v>
      </c>
      <c r="CC110" s="3">
        <f t="shared" si="67"/>
        <v>0</v>
      </c>
      <c r="CD110" s="3">
        <f t="shared" si="68"/>
        <v>0</v>
      </c>
      <c r="CE110" s="22">
        <f t="shared" si="74"/>
        <v>0</v>
      </c>
      <c r="CF110" s="1">
        <f t="shared" si="69"/>
        <v>0</v>
      </c>
      <c r="CG110" s="1">
        <f t="shared" si="75"/>
        <v>0</v>
      </c>
      <c r="CH110" s="3" t="s">
        <v>162</v>
      </c>
      <c r="CI110" s="1">
        <f t="shared" si="76"/>
        <v>0</v>
      </c>
      <c r="CJ110" s="1">
        <f t="shared" si="77"/>
        <v>0</v>
      </c>
      <c r="CK110" s="1">
        <f t="shared" si="78"/>
        <v>0</v>
      </c>
      <c r="CL110" s="1">
        <f t="shared" si="79"/>
        <v>0</v>
      </c>
      <c r="CM110" s="2">
        <f t="shared" si="80"/>
        <v>0</v>
      </c>
      <c r="CN110" s="1">
        <f t="shared" si="81"/>
        <v>0</v>
      </c>
      <c r="CO110" s="1">
        <f t="shared" si="82"/>
        <v>0</v>
      </c>
      <c r="CP110" s="3" t="s">
        <v>162</v>
      </c>
      <c r="CQ110" s="1">
        <f t="shared" si="83"/>
        <v>0</v>
      </c>
      <c r="CR110" s="1">
        <f t="shared" si="84"/>
        <v>0</v>
      </c>
      <c r="CS110" s="1">
        <f t="shared" si="85"/>
        <v>0</v>
      </c>
      <c r="CT110" s="1">
        <f t="shared" si="86"/>
        <v>0</v>
      </c>
      <c r="CU110" s="2">
        <f t="shared" si="87"/>
        <v>0</v>
      </c>
      <c r="CV110" s="14">
        <f t="shared" si="88"/>
        <v>0</v>
      </c>
      <c r="CW110" s="1">
        <f>ROUND(PPTest!K110,1)</f>
        <v>0</v>
      </c>
      <c r="CX110" s="3">
        <f t="shared" si="70"/>
        <v>0</v>
      </c>
      <c r="CY110" s="3">
        <f t="shared" si="89"/>
        <v>0</v>
      </c>
      <c r="CZ110" s="19">
        <f t="shared" si="90"/>
        <v>0</v>
      </c>
      <c r="DA110" s="19" t="e">
        <f t="shared" si="90"/>
        <v>#DIV/0!</v>
      </c>
      <c r="DB110" s="16">
        <f t="shared" si="91"/>
        <v>0</v>
      </c>
    </row>
    <row r="111" spans="1:106" x14ac:dyDescent="0.2">
      <c r="A111" s="15">
        <f t="shared" si="92"/>
        <v>45763</v>
      </c>
      <c r="B111" s="1">
        <v>106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4"/>
      <c r="AY111" s="12"/>
      <c r="AZ111" s="12"/>
      <c r="BA111" s="16">
        <v>24.86</v>
      </c>
      <c r="BB111" s="41"/>
      <c r="BC111" s="41"/>
      <c r="BD111" s="8" t="e">
        <f t="shared" si="50"/>
        <v>#DIV/0!</v>
      </c>
      <c r="BE111" s="8"/>
      <c r="BF111" s="2">
        <f t="shared" si="71"/>
        <v>0</v>
      </c>
      <c r="BG111" s="2">
        <f t="shared" si="72"/>
        <v>0</v>
      </c>
      <c r="BH111" s="2">
        <f t="shared" si="73"/>
        <v>0</v>
      </c>
      <c r="BI111" s="35">
        <f t="shared" si="51"/>
        <v>0</v>
      </c>
      <c r="BJ111" s="35" t="e">
        <f t="shared" si="52"/>
        <v>#DIV/0!</v>
      </c>
      <c r="BL111" s="3">
        <f t="shared" si="53"/>
        <v>0</v>
      </c>
      <c r="BM111" s="19" t="e">
        <f t="shared" si="54"/>
        <v>#DIV/0!</v>
      </c>
      <c r="BN111" s="19" t="e">
        <f t="shared" si="55"/>
        <v>#DIV/0!</v>
      </c>
      <c r="BO111" s="19" t="e">
        <f t="shared" si="56"/>
        <v>#DIV/0!</v>
      </c>
      <c r="BP111" s="19" t="e">
        <f t="shared" si="57"/>
        <v>#DIV/0!</v>
      </c>
      <c r="BQ111" s="19" t="e">
        <f t="shared" si="58"/>
        <v>#DIV/0!</v>
      </c>
      <c r="BR111" s="19" t="e">
        <f t="shared" si="59"/>
        <v>#DIV/0!</v>
      </c>
      <c r="BS111" s="19" t="e">
        <f t="shared" si="60"/>
        <v>#DIV/0!</v>
      </c>
      <c r="BT111" s="19" t="e">
        <f t="shared" si="61"/>
        <v>#DIV/0!</v>
      </c>
      <c r="BV111" s="16">
        <f t="shared" si="62"/>
        <v>0</v>
      </c>
      <c r="BW111" s="16">
        <f t="shared" si="63"/>
        <v>0</v>
      </c>
      <c r="BX111" s="3">
        <f t="shared" si="64"/>
        <v>0</v>
      </c>
      <c r="BY111" s="3">
        <f t="shared" si="93"/>
        <v>0</v>
      </c>
      <c r="BZ111" s="3" t="s">
        <v>162</v>
      </c>
      <c r="CA111" s="3">
        <f t="shared" si="65"/>
        <v>0</v>
      </c>
      <c r="CB111" s="3">
        <f t="shared" si="66"/>
        <v>0</v>
      </c>
      <c r="CC111" s="3">
        <f t="shared" si="67"/>
        <v>0</v>
      </c>
      <c r="CD111" s="3">
        <f t="shared" si="68"/>
        <v>0</v>
      </c>
      <c r="CE111" s="22">
        <f t="shared" si="74"/>
        <v>0</v>
      </c>
      <c r="CF111" s="1">
        <f t="shared" si="69"/>
        <v>0</v>
      </c>
      <c r="CG111" s="1">
        <f t="shared" si="75"/>
        <v>0</v>
      </c>
      <c r="CH111" s="3" t="s">
        <v>162</v>
      </c>
      <c r="CI111" s="1">
        <f t="shared" si="76"/>
        <v>0</v>
      </c>
      <c r="CJ111" s="1">
        <f t="shared" si="77"/>
        <v>0</v>
      </c>
      <c r="CK111" s="1">
        <f t="shared" si="78"/>
        <v>0</v>
      </c>
      <c r="CL111" s="1">
        <f t="shared" si="79"/>
        <v>0</v>
      </c>
      <c r="CM111" s="2">
        <f t="shared" si="80"/>
        <v>0</v>
      </c>
      <c r="CN111" s="1">
        <f t="shared" si="81"/>
        <v>0</v>
      </c>
      <c r="CO111" s="1">
        <f t="shared" si="82"/>
        <v>0</v>
      </c>
      <c r="CP111" s="3" t="s">
        <v>162</v>
      </c>
      <c r="CQ111" s="1">
        <f t="shared" si="83"/>
        <v>0</v>
      </c>
      <c r="CR111" s="1">
        <f t="shared" si="84"/>
        <v>0</v>
      </c>
      <c r="CS111" s="1">
        <f t="shared" si="85"/>
        <v>0</v>
      </c>
      <c r="CT111" s="1">
        <f t="shared" si="86"/>
        <v>0</v>
      </c>
      <c r="CU111" s="2">
        <f t="shared" si="87"/>
        <v>0</v>
      </c>
      <c r="CV111" s="14">
        <f t="shared" si="88"/>
        <v>0</v>
      </c>
      <c r="CW111" s="1">
        <f>ROUND(PPTest!K111,1)</f>
        <v>0</v>
      </c>
      <c r="CX111" s="3">
        <f t="shared" si="70"/>
        <v>0</v>
      </c>
      <c r="CY111" s="3">
        <f t="shared" si="89"/>
        <v>0</v>
      </c>
      <c r="CZ111" s="19">
        <f t="shared" si="90"/>
        <v>0</v>
      </c>
      <c r="DA111" s="19" t="e">
        <f t="shared" si="90"/>
        <v>#DIV/0!</v>
      </c>
      <c r="DB111" s="16">
        <f t="shared" si="91"/>
        <v>0</v>
      </c>
    </row>
    <row r="112" spans="1:106" x14ac:dyDescent="0.2">
      <c r="A112" s="15">
        <f t="shared" si="92"/>
        <v>45764</v>
      </c>
      <c r="B112" s="1">
        <v>107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4"/>
      <c r="AY112" s="12"/>
      <c r="AZ112" s="12"/>
      <c r="BA112" s="16">
        <v>25.1</v>
      </c>
      <c r="BB112" s="41"/>
      <c r="BC112" s="41"/>
      <c r="BD112" s="8" t="e">
        <f t="shared" si="50"/>
        <v>#DIV/0!</v>
      </c>
      <c r="BE112" s="8"/>
      <c r="BF112" s="2">
        <f t="shared" si="71"/>
        <v>0</v>
      </c>
      <c r="BG112" s="2">
        <f t="shared" si="72"/>
        <v>0</v>
      </c>
      <c r="BH112" s="2">
        <f t="shared" si="73"/>
        <v>0</v>
      </c>
      <c r="BI112" s="35">
        <f t="shared" si="51"/>
        <v>0</v>
      </c>
      <c r="BJ112" s="35" t="e">
        <f t="shared" si="52"/>
        <v>#DIV/0!</v>
      </c>
      <c r="BL112" s="3">
        <f t="shared" si="53"/>
        <v>0</v>
      </c>
      <c r="BM112" s="19" t="e">
        <f t="shared" si="54"/>
        <v>#DIV/0!</v>
      </c>
      <c r="BN112" s="19" t="e">
        <f t="shared" si="55"/>
        <v>#DIV/0!</v>
      </c>
      <c r="BO112" s="19" t="e">
        <f t="shared" si="56"/>
        <v>#DIV/0!</v>
      </c>
      <c r="BP112" s="19" t="e">
        <f t="shared" si="57"/>
        <v>#DIV/0!</v>
      </c>
      <c r="BQ112" s="19" t="e">
        <f t="shared" si="58"/>
        <v>#DIV/0!</v>
      </c>
      <c r="BR112" s="19" t="e">
        <f t="shared" si="59"/>
        <v>#DIV/0!</v>
      </c>
      <c r="BS112" s="19" t="e">
        <f t="shared" si="60"/>
        <v>#DIV/0!</v>
      </c>
      <c r="BT112" s="19" t="e">
        <f t="shared" si="61"/>
        <v>#DIV/0!</v>
      </c>
      <c r="BV112" s="16">
        <f t="shared" si="62"/>
        <v>0</v>
      </c>
      <c r="BW112" s="16">
        <f t="shared" si="63"/>
        <v>0</v>
      </c>
      <c r="BX112" s="3">
        <f t="shared" si="64"/>
        <v>0</v>
      </c>
      <c r="BY112" s="3">
        <f t="shared" si="93"/>
        <v>0</v>
      </c>
      <c r="BZ112" s="3" t="s">
        <v>162</v>
      </c>
      <c r="CA112" s="3">
        <f t="shared" si="65"/>
        <v>0</v>
      </c>
      <c r="CB112" s="3">
        <f t="shared" si="66"/>
        <v>0</v>
      </c>
      <c r="CC112" s="3">
        <f t="shared" si="67"/>
        <v>0</v>
      </c>
      <c r="CD112" s="3">
        <f t="shared" si="68"/>
        <v>0</v>
      </c>
      <c r="CE112" s="22">
        <f t="shared" si="74"/>
        <v>0</v>
      </c>
      <c r="CF112" s="1">
        <f t="shared" si="69"/>
        <v>0</v>
      </c>
      <c r="CG112" s="1">
        <f t="shared" si="75"/>
        <v>0</v>
      </c>
      <c r="CH112" s="3" t="s">
        <v>162</v>
      </c>
      <c r="CI112" s="1">
        <f t="shared" si="76"/>
        <v>0</v>
      </c>
      <c r="CJ112" s="1">
        <f t="shared" si="77"/>
        <v>0</v>
      </c>
      <c r="CK112" s="1">
        <f t="shared" si="78"/>
        <v>0</v>
      </c>
      <c r="CL112" s="1">
        <f t="shared" si="79"/>
        <v>0</v>
      </c>
      <c r="CM112" s="2">
        <f t="shared" si="80"/>
        <v>0</v>
      </c>
      <c r="CN112" s="1">
        <f t="shared" si="81"/>
        <v>0</v>
      </c>
      <c r="CO112" s="1">
        <f t="shared" si="82"/>
        <v>0</v>
      </c>
      <c r="CP112" s="3" t="s">
        <v>162</v>
      </c>
      <c r="CQ112" s="1">
        <f t="shared" si="83"/>
        <v>0</v>
      </c>
      <c r="CR112" s="1">
        <f t="shared" si="84"/>
        <v>0</v>
      </c>
      <c r="CS112" s="1">
        <f t="shared" si="85"/>
        <v>0</v>
      </c>
      <c r="CT112" s="1">
        <f t="shared" si="86"/>
        <v>0</v>
      </c>
      <c r="CU112" s="2">
        <f t="shared" si="87"/>
        <v>0</v>
      </c>
      <c r="CV112" s="14">
        <f t="shared" si="88"/>
        <v>0</v>
      </c>
      <c r="CW112" s="1">
        <f>ROUND(PPTest!K112,1)</f>
        <v>0</v>
      </c>
      <c r="CX112" s="3">
        <f t="shared" si="70"/>
        <v>0</v>
      </c>
      <c r="CY112" s="3">
        <f t="shared" si="89"/>
        <v>0</v>
      </c>
      <c r="CZ112" s="19">
        <f t="shared" si="90"/>
        <v>0</v>
      </c>
      <c r="DA112" s="19" t="e">
        <f t="shared" si="90"/>
        <v>#DIV/0!</v>
      </c>
      <c r="DB112" s="16">
        <f t="shared" si="91"/>
        <v>0</v>
      </c>
    </row>
    <row r="113" spans="1:106" x14ac:dyDescent="0.2">
      <c r="A113" s="15">
        <f t="shared" si="92"/>
        <v>45765</v>
      </c>
      <c r="B113" s="1">
        <v>108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4"/>
      <c r="AY113" s="12"/>
      <c r="AZ113" s="12"/>
      <c r="BA113" s="16">
        <v>25.34</v>
      </c>
      <c r="BB113" s="41"/>
      <c r="BC113" s="41"/>
      <c r="BD113" s="8" t="e">
        <f t="shared" si="50"/>
        <v>#DIV/0!</v>
      </c>
      <c r="BE113" s="8"/>
      <c r="BF113" s="2">
        <f t="shared" si="71"/>
        <v>0</v>
      </c>
      <c r="BG113" s="2">
        <f t="shared" si="72"/>
        <v>0</v>
      </c>
      <c r="BH113" s="2">
        <f t="shared" si="73"/>
        <v>0</v>
      </c>
      <c r="BI113" s="35">
        <f t="shared" si="51"/>
        <v>0</v>
      </c>
      <c r="BJ113" s="35" t="e">
        <f t="shared" si="52"/>
        <v>#DIV/0!</v>
      </c>
      <c r="BL113" s="3">
        <f t="shared" si="53"/>
        <v>0</v>
      </c>
      <c r="BM113" s="19" t="e">
        <f t="shared" si="54"/>
        <v>#DIV/0!</v>
      </c>
      <c r="BN113" s="19" t="e">
        <f t="shared" si="55"/>
        <v>#DIV/0!</v>
      </c>
      <c r="BO113" s="19" t="e">
        <f t="shared" si="56"/>
        <v>#DIV/0!</v>
      </c>
      <c r="BP113" s="19" t="e">
        <f t="shared" si="57"/>
        <v>#DIV/0!</v>
      </c>
      <c r="BQ113" s="19" t="e">
        <f t="shared" si="58"/>
        <v>#DIV/0!</v>
      </c>
      <c r="BR113" s="19" t="e">
        <f t="shared" si="59"/>
        <v>#DIV/0!</v>
      </c>
      <c r="BS113" s="19" t="e">
        <f t="shared" si="60"/>
        <v>#DIV/0!</v>
      </c>
      <c r="BT113" s="19" t="e">
        <f t="shared" si="61"/>
        <v>#DIV/0!</v>
      </c>
      <c r="BV113" s="16">
        <f t="shared" si="62"/>
        <v>0</v>
      </c>
      <c r="BW113" s="16">
        <f t="shared" si="63"/>
        <v>0</v>
      </c>
      <c r="BX113" s="3">
        <f t="shared" si="64"/>
        <v>0</v>
      </c>
      <c r="BY113" s="3">
        <f t="shared" si="93"/>
        <v>0</v>
      </c>
      <c r="BZ113" s="3" t="s">
        <v>162</v>
      </c>
      <c r="CA113" s="3">
        <f t="shared" si="65"/>
        <v>0</v>
      </c>
      <c r="CB113" s="3">
        <f t="shared" si="66"/>
        <v>0</v>
      </c>
      <c r="CC113" s="3">
        <f t="shared" si="67"/>
        <v>0</v>
      </c>
      <c r="CD113" s="3">
        <f t="shared" si="68"/>
        <v>0</v>
      </c>
      <c r="CE113" s="22">
        <f t="shared" si="74"/>
        <v>0</v>
      </c>
      <c r="CF113" s="1">
        <f t="shared" si="69"/>
        <v>0</v>
      </c>
      <c r="CG113" s="1">
        <f t="shared" si="75"/>
        <v>0</v>
      </c>
      <c r="CH113" s="3" t="s">
        <v>162</v>
      </c>
      <c r="CI113" s="1">
        <f t="shared" si="76"/>
        <v>0</v>
      </c>
      <c r="CJ113" s="1">
        <f t="shared" si="77"/>
        <v>0</v>
      </c>
      <c r="CK113" s="1">
        <f t="shared" si="78"/>
        <v>0</v>
      </c>
      <c r="CL113" s="1">
        <f t="shared" si="79"/>
        <v>0</v>
      </c>
      <c r="CM113" s="2">
        <f t="shared" si="80"/>
        <v>0</v>
      </c>
      <c r="CN113" s="1">
        <f t="shared" si="81"/>
        <v>0</v>
      </c>
      <c r="CO113" s="1">
        <f t="shared" si="82"/>
        <v>0</v>
      </c>
      <c r="CP113" s="3" t="s">
        <v>162</v>
      </c>
      <c r="CQ113" s="1">
        <f t="shared" si="83"/>
        <v>0</v>
      </c>
      <c r="CR113" s="1">
        <f t="shared" si="84"/>
        <v>0</v>
      </c>
      <c r="CS113" s="1">
        <f t="shared" si="85"/>
        <v>0</v>
      </c>
      <c r="CT113" s="1">
        <f t="shared" si="86"/>
        <v>0</v>
      </c>
      <c r="CU113" s="2">
        <f t="shared" si="87"/>
        <v>0</v>
      </c>
      <c r="CV113" s="14">
        <f t="shared" si="88"/>
        <v>0</v>
      </c>
      <c r="CW113" s="1">
        <f>ROUND(PPTest!K113,1)</f>
        <v>0</v>
      </c>
      <c r="CX113" s="3">
        <f t="shared" si="70"/>
        <v>0</v>
      </c>
      <c r="CY113" s="3">
        <f t="shared" si="89"/>
        <v>0</v>
      </c>
      <c r="CZ113" s="19">
        <f t="shared" si="90"/>
        <v>0</v>
      </c>
      <c r="DA113" s="19" t="e">
        <f t="shared" si="90"/>
        <v>#DIV/0!</v>
      </c>
      <c r="DB113" s="16">
        <f t="shared" si="91"/>
        <v>0</v>
      </c>
    </row>
    <row r="114" spans="1:106" x14ac:dyDescent="0.2">
      <c r="A114" s="15">
        <f t="shared" si="92"/>
        <v>45766</v>
      </c>
      <c r="B114" s="1">
        <v>109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4"/>
      <c r="AY114" s="12"/>
      <c r="AZ114" s="12"/>
      <c r="BA114" s="16">
        <v>25.58</v>
      </c>
      <c r="BB114" s="41"/>
      <c r="BC114" s="41"/>
      <c r="BD114" s="8" t="e">
        <f t="shared" si="50"/>
        <v>#DIV/0!</v>
      </c>
      <c r="BE114" s="8"/>
      <c r="BF114" s="2">
        <f t="shared" si="71"/>
        <v>0</v>
      </c>
      <c r="BG114" s="2">
        <f t="shared" si="72"/>
        <v>0</v>
      </c>
      <c r="BH114" s="2">
        <f t="shared" si="73"/>
        <v>0</v>
      </c>
      <c r="BI114" s="35">
        <f t="shared" si="51"/>
        <v>0</v>
      </c>
      <c r="BJ114" s="35" t="e">
        <f t="shared" si="52"/>
        <v>#DIV/0!</v>
      </c>
      <c r="BL114" s="3">
        <f t="shared" si="53"/>
        <v>0</v>
      </c>
      <c r="BM114" s="19" t="e">
        <f t="shared" si="54"/>
        <v>#DIV/0!</v>
      </c>
      <c r="BN114" s="19" t="e">
        <f t="shared" si="55"/>
        <v>#DIV/0!</v>
      </c>
      <c r="BO114" s="19" t="e">
        <f t="shared" si="56"/>
        <v>#DIV/0!</v>
      </c>
      <c r="BP114" s="19" t="e">
        <f t="shared" si="57"/>
        <v>#DIV/0!</v>
      </c>
      <c r="BQ114" s="19" t="e">
        <f t="shared" si="58"/>
        <v>#DIV/0!</v>
      </c>
      <c r="BR114" s="19" t="e">
        <f t="shared" si="59"/>
        <v>#DIV/0!</v>
      </c>
      <c r="BS114" s="19" t="e">
        <f t="shared" si="60"/>
        <v>#DIV/0!</v>
      </c>
      <c r="BT114" s="19" t="e">
        <f t="shared" si="61"/>
        <v>#DIV/0!</v>
      </c>
      <c r="BV114" s="16">
        <f t="shared" si="62"/>
        <v>0</v>
      </c>
      <c r="BW114" s="16">
        <f t="shared" si="63"/>
        <v>0</v>
      </c>
      <c r="BX114" s="3">
        <f t="shared" si="64"/>
        <v>0</v>
      </c>
      <c r="BY114" s="3">
        <f t="shared" si="93"/>
        <v>0</v>
      </c>
      <c r="BZ114" s="3" t="s">
        <v>162</v>
      </c>
      <c r="CA114" s="3">
        <f t="shared" si="65"/>
        <v>0</v>
      </c>
      <c r="CB114" s="3">
        <f t="shared" si="66"/>
        <v>0</v>
      </c>
      <c r="CC114" s="3">
        <f t="shared" si="67"/>
        <v>0</v>
      </c>
      <c r="CD114" s="3">
        <f t="shared" si="68"/>
        <v>0</v>
      </c>
      <c r="CE114" s="22">
        <f t="shared" si="74"/>
        <v>0</v>
      </c>
      <c r="CF114" s="1">
        <f t="shared" si="69"/>
        <v>0</v>
      </c>
      <c r="CG114" s="1">
        <f t="shared" si="75"/>
        <v>0</v>
      </c>
      <c r="CH114" s="3" t="s">
        <v>162</v>
      </c>
      <c r="CI114" s="1">
        <f t="shared" si="76"/>
        <v>0</v>
      </c>
      <c r="CJ114" s="1">
        <f t="shared" si="77"/>
        <v>0</v>
      </c>
      <c r="CK114" s="1">
        <f t="shared" si="78"/>
        <v>0</v>
      </c>
      <c r="CL114" s="1">
        <f t="shared" si="79"/>
        <v>0</v>
      </c>
      <c r="CM114" s="2">
        <f t="shared" si="80"/>
        <v>0</v>
      </c>
      <c r="CN114" s="1">
        <f t="shared" si="81"/>
        <v>0</v>
      </c>
      <c r="CO114" s="1">
        <f t="shared" si="82"/>
        <v>0</v>
      </c>
      <c r="CP114" s="3" t="s">
        <v>162</v>
      </c>
      <c r="CQ114" s="1">
        <f t="shared" si="83"/>
        <v>0</v>
      </c>
      <c r="CR114" s="1">
        <f t="shared" si="84"/>
        <v>0</v>
      </c>
      <c r="CS114" s="1">
        <f t="shared" si="85"/>
        <v>0</v>
      </c>
      <c r="CT114" s="1">
        <f t="shared" si="86"/>
        <v>0</v>
      </c>
      <c r="CU114" s="2">
        <f t="shared" si="87"/>
        <v>0</v>
      </c>
      <c r="CV114" s="14">
        <f t="shared" si="88"/>
        <v>0</v>
      </c>
      <c r="CW114" s="1">
        <f>ROUND(PPTest!K114,1)</f>
        <v>0</v>
      </c>
      <c r="CX114" s="3">
        <f t="shared" si="70"/>
        <v>0</v>
      </c>
      <c r="CY114" s="3">
        <f t="shared" si="89"/>
        <v>0</v>
      </c>
      <c r="CZ114" s="19">
        <f t="shared" si="90"/>
        <v>0</v>
      </c>
      <c r="DA114" s="19" t="e">
        <f t="shared" si="90"/>
        <v>#DIV/0!</v>
      </c>
      <c r="DB114" s="16">
        <f t="shared" si="91"/>
        <v>0</v>
      </c>
    </row>
    <row r="115" spans="1:106" x14ac:dyDescent="0.2">
      <c r="A115" s="15">
        <f t="shared" si="92"/>
        <v>45767</v>
      </c>
      <c r="B115" s="1">
        <v>110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4"/>
      <c r="AY115" s="12"/>
      <c r="AZ115" s="12"/>
      <c r="BA115" s="16">
        <v>25.81</v>
      </c>
      <c r="BB115" s="41"/>
      <c r="BC115" s="41"/>
      <c r="BD115" s="8" t="e">
        <f t="shared" si="50"/>
        <v>#DIV/0!</v>
      </c>
      <c r="BE115" s="8"/>
      <c r="BF115" s="2">
        <f t="shared" si="71"/>
        <v>0</v>
      </c>
      <c r="BG115" s="2">
        <f t="shared" si="72"/>
        <v>0</v>
      </c>
      <c r="BH115" s="2">
        <f t="shared" si="73"/>
        <v>0</v>
      </c>
      <c r="BI115" s="35">
        <f t="shared" si="51"/>
        <v>0</v>
      </c>
      <c r="BJ115" s="35" t="e">
        <f t="shared" si="52"/>
        <v>#DIV/0!</v>
      </c>
      <c r="BL115" s="3">
        <f t="shared" si="53"/>
        <v>0</v>
      </c>
      <c r="BM115" s="19" t="e">
        <f t="shared" si="54"/>
        <v>#DIV/0!</v>
      </c>
      <c r="BN115" s="19" t="e">
        <f t="shared" si="55"/>
        <v>#DIV/0!</v>
      </c>
      <c r="BO115" s="19" t="e">
        <f t="shared" si="56"/>
        <v>#DIV/0!</v>
      </c>
      <c r="BP115" s="19" t="e">
        <f t="shared" si="57"/>
        <v>#DIV/0!</v>
      </c>
      <c r="BQ115" s="19" t="e">
        <f t="shared" si="58"/>
        <v>#DIV/0!</v>
      </c>
      <c r="BR115" s="19" t="e">
        <f t="shared" si="59"/>
        <v>#DIV/0!</v>
      </c>
      <c r="BS115" s="19" t="e">
        <f t="shared" si="60"/>
        <v>#DIV/0!</v>
      </c>
      <c r="BT115" s="19" t="e">
        <f t="shared" si="61"/>
        <v>#DIV/0!</v>
      </c>
      <c r="BV115" s="16">
        <f t="shared" si="62"/>
        <v>0</v>
      </c>
      <c r="BW115" s="16">
        <f t="shared" si="63"/>
        <v>0</v>
      </c>
      <c r="BX115" s="3">
        <f t="shared" si="64"/>
        <v>0</v>
      </c>
      <c r="BY115" s="3">
        <f t="shared" si="93"/>
        <v>0</v>
      </c>
      <c r="BZ115" s="3" t="s">
        <v>162</v>
      </c>
      <c r="CA115" s="3">
        <f t="shared" si="65"/>
        <v>0</v>
      </c>
      <c r="CB115" s="3">
        <f t="shared" si="66"/>
        <v>0</v>
      </c>
      <c r="CC115" s="3">
        <f t="shared" si="67"/>
        <v>0</v>
      </c>
      <c r="CD115" s="3">
        <f t="shared" si="68"/>
        <v>0</v>
      </c>
      <c r="CE115" s="22">
        <f t="shared" si="74"/>
        <v>0</v>
      </c>
      <c r="CF115" s="1">
        <f t="shared" si="69"/>
        <v>0</v>
      </c>
      <c r="CG115" s="1">
        <f t="shared" si="75"/>
        <v>0</v>
      </c>
      <c r="CH115" s="3" t="s">
        <v>162</v>
      </c>
      <c r="CI115" s="1">
        <f t="shared" si="76"/>
        <v>0</v>
      </c>
      <c r="CJ115" s="1">
        <f t="shared" si="77"/>
        <v>0</v>
      </c>
      <c r="CK115" s="1">
        <f t="shared" si="78"/>
        <v>0</v>
      </c>
      <c r="CL115" s="1">
        <f t="shared" si="79"/>
        <v>0</v>
      </c>
      <c r="CM115" s="2">
        <f t="shared" si="80"/>
        <v>0</v>
      </c>
      <c r="CN115" s="1">
        <f t="shared" si="81"/>
        <v>0</v>
      </c>
      <c r="CO115" s="1">
        <f t="shared" si="82"/>
        <v>0</v>
      </c>
      <c r="CP115" s="3" t="s">
        <v>162</v>
      </c>
      <c r="CQ115" s="1">
        <f t="shared" si="83"/>
        <v>0</v>
      </c>
      <c r="CR115" s="1">
        <f t="shared" si="84"/>
        <v>0</v>
      </c>
      <c r="CS115" s="1">
        <f t="shared" si="85"/>
        <v>0</v>
      </c>
      <c r="CT115" s="1">
        <f t="shared" si="86"/>
        <v>0</v>
      </c>
      <c r="CU115" s="2">
        <f t="shared" si="87"/>
        <v>0</v>
      </c>
      <c r="CV115" s="14">
        <f t="shared" si="88"/>
        <v>0</v>
      </c>
      <c r="CW115" s="1">
        <f>ROUND(PPTest!K115,1)</f>
        <v>0</v>
      </c>
      <c r="CX115" s="3">
        <f t="shared" si="70"/>
        <v>0</v>
      </c>
      <c r="CY115" s="3">
        <f t="shared" si="89"/>
        <v>0</v>
      </c>
      <c r="CZ115" s="19">
        <f t="shared" si="90"/>
        <v>0</v>
      </c>
      <c r="DA115" s="19" t="e">
        <f t="shared" si="90"/>
        <v>#DIV/0!</v>
      </c>
      <c r="DB115" s="16">
        <f t="shared" si="91"/>
        <v>0</v>
      </c>
    </row>
    <row r="116" spans="1:106" x14ac:dyDescent="0.2">
      <c r="A116" s="15">
        <f t="shared" si="92"/>
        <v>45768</v>
      </c>
      <c r="B116" s="1">
        <v>111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4"/>
      <c r="AY116" s="12"/>
      <c r="AZ116" s="12"/>
      <c r="BA116" s="16">
        <v>26.04</v>
      </c>
      <c r="BB116" s="41"/>
      <c r="BC116" s="41"/>
      <c r="BD116" s="8" t="e">
        <f t="shared" si="50"/>
        <v>#DIV/0!</v>
      </c>
      <c r="BE116" s="8"/>
      <c r="BF116" s="2">
        <f t="shared" si="71"/>
        <v>0</v>
      </c>
      <c r="BG116" s="2">
        <f t="shared" si="72"/>
        <v>0</v>
      </c>
      <c r="BH116" s="2">
        <f t="shared" si="73"/>
        <v>0</v>
      </c>
      <c r="BI116" s="35">
        <f t="shared" si="51"/>
        <v>0</v>
      </c>
      <c r="BJ116" s="35" t="e">
        <f t="shared" si="52"/>
        <v>#DIV/0!</v>
      </c>
      <c r="BL116" s="3">
        <f t="shared" si="53"/>
        <v>0</v>
      </c>
      <c r="BM116" s="19" t="e">
        <f t="shared" si="54"/>
        <v>#DIV/0!</v>
      </c>
      <c r="BN116" s="19" t="e">
        <f t="shared" si="55"/>
        <v>#DIV/0!</v>
      </c>
      <c r="BO116" s="19" t="e">
        <f t="shared" si="56"/>
        <v>#DIV/0!</v>
      </c>
      <c r="BP116" s="19" t="e">
        <f t="shared" si="57"/>
        <v>#DIV/0!</v>
      </c>
      <c r="BQ116" s="19" t="e">
        <f t="shared" si="58"/>
        <v>#DIV/0!</v>
      </c>
      <c r="BR116" s="19" t="e">
        <f t="shared" si="59"/>
        <v>#DIV/0!</v>
      </c>
      <c r="BS116" s="19" t="e">
        <f t="shared" si="60"/>
        <v>#DIV/0!</v>
      </c>
      <c r="BT116" s="19" t="e">
        <f t="shared" si="61"/>
        <v>#DIV/0!</v>
      </c>
      <c r="BV116" s="16">
        <f t="shared" si="62"/>
        <v>0</v>
      </c>
      <c r="BW116" s="16">
        <f t="shared" si="63"/>
        <v>0</v>
      </c>
      <c r="BX116" s="3">
        <f t="shared" si="64"/>
        <v>0</v>
      </c>
      <c r="BY116" s="3">
        <f t="shared" si="93"/>
        <v>0</v>
      </c>
      <c r="BZ116" s="3" t="s">
        <v>162</v>
      </c>
      <c r="CA116" s="3">
        <f t="shared" si="65"/>
        <v>0</v>
      </c>
      <c r="CB116" s="3">
        <f t="shared" si="66"/>
        <v>0</v>
      </c>
      <c r="CC116" s="3">
        <f t="shared" si="67"/>
        <v>0</v>
      </c>
      <c r="CD116" s="3">
        <f t="shared" si="68"/>
        <v>0</v>
      </c>
      <c r="CE116" s="22">
        <f t="shared" si="74"/>
        <v>0</v>
      </c>
      <c r="CF116" s="1">
        <f t="shared" si="69"/>
        <v>0</v>
      </c>
      <c r="CG116" s="1">
        <f t="shared" si="75"/>
        <v>0</v>
      </c>
      <c r="CH116" s="3" t="s">
        <v>162</v>
      </c>
      <c r="CI116" s="1">
        <f t="shared" si="76"/>
        <v>0</v>
      </c>
      <c r="CJ116" s="1">
        <f t="shared" si="77"/>
        <v>0</v>
      </c>
      <c r="CK116" s="1">
        <f t="shared" si="78"/>
        <v>0</v>
      </c>
      <c r="CL116" s="1">
        <f t="shared" si="79"/>
        <v>0</v>
      </c>
      <c r="CM116" s="2">
        <f t="shared" si="80"/>
        <v>0</v>
      </c>
      <c r="CN116" s="1">
        <f t="shared" si="81"/>
        <v>0</v>
      </c>
      <c r="CO116" s="1">
        <f t="shared" si="82"/>
        <v>0</v>
      </c>
      <c r="CP116" s="3" t="s">
        <v>162</v>
      </c>
      <c r="CQ116" s="1">
        <f t="shared" si="83"/>
        <v>0</v>
      </c>
      <c r="CR116" s="1">
        <f t="shared" si="84"/>
        <v>0</v>
      </c>
      <c r="CS116" s="1">
        <f t="shared" si="85"/>
        <v>0</v>
      </c>
      <c r="CT116" s="1">
        <f t="shared" si="86"/>
        <v>0</v>
      </c>
      <c r="CU116" s="2">
        <f t="shared" si="87"/>
        <v>0</v>
      </c>
      <c r="CV116" s="14">
        <f t="shared" si="88"/>
        <v>0</v>
      </c>
      <c r="CW116" s="1">
        <f>ROUND(PPTest!K116,1)</f>
        <v>0</v>
      </c>
      <c r="CX116" s="3">
        <f t="shared" si="70"/>
        <v>0</v>
      </c>
      <c r="CY116" s="3">
        <f t="shared" si="89"/>
        <v>0</v>
      </c>
      <c r="CZ116" s="19">
        <f t="shared" si="90"/>
        <v>0</v>
      </c>
      <c r="DA116" s="19" t="e">
        <f t="shared" si="90"/>
        <v>#DIV/0!</v>
      </c>
      <c r="DB116" s="16">
        <f t="shared" si="91"/>
        <v>0</v>
      </c>
    </row>
    <row r="117" spans="1:106" x14ac:dyDescent="0.2">
      <c r="A117" s="15">
        <f t="shared" si="92"/>
        <v>45769</v>
      </c>
      <c r="B117" s="1">
        <v>112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4"/>
      <c r="AY117" s="12"/>
      <c r="AZ117" s="12"/>
      <c r="BA117" s="16">
        <v>26.27</v>
      </c>
      <c r="BB117" s="41"/>
      <c r="BC117" s="41"/>
      <c r="BD117" s="8" t="e">
        <f t="shared" si="50"/>
        <v>#DIV/0!</v>
      </c>
      <c r="BE117" s="8"/>
      <c r="BF117" s="2">
        <f t="shared" si="71"/>
        <v>0</v>
      </c>
      <c r="BG117" s="2">
        <f t="shared" si="72"/>
        <v>0</v>
      </c>
      <c r="BH117" s="2">
        <f t="shared" si="73"/>
        <v>0</v>
      </c>
      <c r="BI117" s="35">
        <f t="shared" si="51"/>
        <v>0</v>
      </c>
      <c r="BJ117" s="35" t="e">
        <f t="shared" si="52"/>
        <v>#DIV/0!</v>
      </c>
      <c r="BL117" s="3">
        <f t="shared" si="53"/>
        <v>0</v>
      </c>
      <c r="BM117" s="19" t="e">
        <f t="shared" si="54"/>
        <v>#DIV/0!</v>
      </c>
      <c r="BN117" s="19" t="e">
        <f t="shared" si="55"/>
        <v>#DIV/0!</v>
      </c>
      <c r="BO117" s="19" t="e">
        <f t="shared" si="56"/>
        <v>#DIV/0!</v>
      </c>
      <c r="BP117" s="19" t="e">
        <f t="shared" si="57"/>
        <v>#DIV/0!</v>
      </c>
      <c r="BQ117" s="19" t="e">
        <f t="shared" si="58"/>
        <v>#DIV/0!</v>
      </c>
      <c r="BR117" s="19" t="e">
        <f t="shared" si="59"/>
        <v>#DIV/0!</v>
      </c>
      <c r="BS117" s="19" t="e">
        <f t="shared" si="60"/>
        <v>#DIV/0!</v>
      </c>
      <c r="BT117" s="19" t="e">
        <f t="shared" si="61"/>
        <v>#DIV/0!</v>
      </c>
      <c r="BV117" s="16">
        <f t="shared" si="62"/>
        <v>0</v>
      </c>
      <c r="BW117" s="16">
        <f t="shared" si="63"/>
        <v>0</v>
      </c>
      <c r="BX117" s="3">
        <f t="shared" si="64"/>
        <v>0</v>
      </c>
      <c r="BY117" s="3">
        <f t="shared" si="93"/>
        <v>0</v>
      </c>
      <c r="BZ117" s="3" t="s">
        <v>162</v>
      </c>
      <c r="CA117" s="3">
        <f t="shared" si="65"/>
        <v>0</v>
      </c>
      <c r="CB117" s="3">
        <f t="shared" si="66"/>
        <v>0</v>
      </c>
      <c r="CC117" s="3">
        <f t="shared" si="67"/>
        <v>0</v>
      </c>
      <c r="CD117" s="3">
        <f t="shared" si="68"/>
        <v>0</v>
      </c>
      <c r="CE117" s="22">
        <f t="shared" si="74"/>
        <v>0</v>
      </c>
      <c r="CF117" s="1">
        <f t="shared" si="69"/>
        <v>0</v>
      </c>
      <c r="CG117" s="1">
        <f t="shared" si="75"/>
        <v>0</v>
      </c>
      <c r="CH117" s="3" t="s">
        <v>162</v>
      </c>
      <c r="CI117" s="1">
        <f t="shared" si="76"/>
        <v>0</v>
      </c>
      <c r="CJ117" s="1">
        <f t="shared" si="77"/>
        <v>0</v>
      </c>
      <c r="CK117" s="1">
        <f t="shared" si="78"/>
        <v>0</v>
      </c>
      <c r="CL117" s="1">
        <f t="shared" si="79"/>
        <v>0</v>
      </c>
      <c r="CM117" s="2">
        <f t="shared" si="80"/>
        <v>0</v>
      </c>
      <c r="CN117" s="1">
        <f t="shared" si="81"/>
        <v>0</v>
      </c>
      <c r="CO117" s="1">
        <f t="shared" si="82"/>
        <v>0</v>
      </c>
      <c r="CP117" s="3" t="s">
        <v>162</v>
      </c>
      <c r="CQ117" s="1">
        <f t="shared" si="83"/>
        <v>0</v>
      </c>
      <c r="CR117" s="1">
        <f t="shared" si="84"/>
        <v>0</v>
      </c>
      <c r="CS117" s="1">
        <f t="shared" si="85"/>
        <v>0</v>
      </c>
      <c r="CT117" s="1">
        <f t="shared" si="86"/>
        <v>0</v>
      </c>
      <c r="CU117" s="2">
        <f t="shared" si="87"/>
        <v>0</v>
      </c>
      <c r="CV117" s="14">
        <f t="shared" si="88"/>
        <v>0</v>
      </c>
      <c r="CW117" s="1">
        <f>ROUND(PPTest!K117,1)</f>
        <v>0</v>
      </c>
      <c r="CX117" s="3">
        <f t="shared" si="70"/>
        <v>0</v>
      </c>
      <c r="CY117" s="3">
        <f t="shared" si="89"/>
        <v>0</v>
      </c>
      <c r="CZ117" s="19">
        <f t="shared" si="90"/>
        <v>0</v>
      </c>
      <c r="DA117" s="19" t="e">
        <f t="shared" si="90"/>
        <v>#DIV/0!</v>
      </c>
      <c r="DB117" s="16">
        <f t="shared" si="91"/>
        <v>0</v>
      </c>
    </row>
    <row r="118" spans="1:106" x14ac:dyDescent="0.2">
      <c r="A118" s="15">
        <f t="shared" si="92"/>
        <v>45770</v>
      </c>
      <c r="B118" s="1">
        <v>113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4"/>
      <c r="AY118" s="12"/>
      <c r="AZ118" s="12"/>
      <c r="BA118" s="16">
        <v>26.5</v>
      </c>
      <c r="BB118" s="41"/>
      <c r="BC118" s="41"/>
      <c r="BD118" s="8" t="e">
        <f t="shared" si="50"/>
        <v>#DIV/0!</v>
      </c>
      <c r="BE118" s="8"/>
      <c r="BF118" s="2">
        <f t="shared" si="71"/>
        <v>0</v>
      </c>
      <c r="BG118" s="2">
        <f t="shared" si="72"/>
        <v>0</v>
      </c>
      <c r="BH118" s="2">
        <f t="shared" si="73"/>
        <v>0</v>
      </c>
      <c r="BI118" s="35">
        <f t="shared" si="51"/>
        <v>0</v>
      </c>
      <c r="BJ118" s="35" t="e">
        <f t="shared" si="52"/>
        <v>#DIV/0!</v>
      </c>
      <c r="BL118" s="3">
        <f t="shared" si="53"/>
        <v>0</v>
      </c>
      <c r="BM118" s="19" t="e">
        <f t="shared" si="54"/>
        <v>#DIV/0!</v>
      </c>
      <c r="BN118" s="19" t="e">
        <f t="shared" si="55"/>
        <v>#DIV/0!</v>
      </c>
      <c r="BO118" s="19" t="e">
        <f t="shared" si="56"/>
        <v>#DIV/0!</v>
      </c>
      <c r="BP118" s="19" t="e">
        <f t="shared" si="57"/>
        <v>#DIV/0!</v>
      </c>
      <c r="BQ118" s="19" t="e">
        <f t="shared" si="58"/>
        <v>#DIV/0!</v>
      </c>
      <c r="BR118" s="19" t="e">
        <f t="shared" si="59"/>
        <v>#DIV/0!</v>
      </c>
      <c r="BS118" s="19" t="e">
        <f t="shared" si="60"/>
        <v>#DIV/0!</v>
      </c>
      <c r="BT118" s="19" t="e">
        <f t="shared" si="61"/>
        <v>#DIV/0!</v>
      </c>
      <c r="BV118" s="16">
        <f t="shared" si="62"/>
        <v>0</v>
      </c>
      <c r="BW118" s="16">
        <f t="shared" si="63"/>
        <v>0</v>
      </c>
      <c r="BX118" s="3">
        <f t="shared" si="64"/>
        <v>0</v>
      </c>
      <c r="BY118" s="3">
        <f t="shared" si="93"/>
        <v>0</v>
      </c>
      <c r="BZ118" s="3" t="s">
        <v>162</v>
      </c>
      <c r="CA118" s="3">
        <f t="shared" si="65"/>
        <v>0</v>
      </c>
      <c r="CB118" s="3">
        <f t="shared" si="66"/>
        <v>0</v>
      </c>
      <c r="CC118" s="3">
        <f t="shared" si="67"/>
        <v>0</v>
      </c>
      <c r="CD118" s="3">
        <f t="shared" si="68"/>
        <v>0</v>
      </c>
      <c r="CE118" s="22">
        <f t="shared" si="74"/>
        <v>0</v>
      </c>
      <c r="CF118" s="1">
        <f t="shared" si="69"/>
        <v>0</v>
      </c>
      <c r="CG118" s="1">
        <f t="shared" si="75"/>
        <v>0</v>
      </c>
      <c r="CH118" s="3" t="s">
        <v>162</v>
      </c>
      <c r="CI118" s="1">
        <f t="shared" si="76"/>
        <v>0</v>
      </c>
      <c r="CJ118" s="1">
        <f t="shared" si="77"/>
        <v>0</v>
      </c>
      <c r="CK118" s="1">
        <f t="shared" si="78"/>
        <v>0</v>
      </c>
      <c r="CL118" s="1">
        <f t="shared" si="79"/>
        <v>0</v>
      </c>
      <c r="CM118" s="2">
        <f t="shared" si="80"/>
        <v>0</v>
      </c>
      <c r="CN118" s="1">
        <f t="shared" si="81"/>
        <v>0</v>
      </c>
      <c r="CO118" s="1">
        <f t="shared" si="82"/>
        <v>0</v>
      </c>
      <c r="CP118" s="3" t="s">
        <v>162</v>
      </c>
      <c r="CQ118" s="1">
        <f t="shared" si="83"/>
        <v>0</v>
      </c>
      <c r="CR118" s="1">
        <f t="shared" si="84"/>
        <v>0</v>
      </c>
      <c r="CS118" s="1">
        <f t="shared" si="85"/>
        <v>0</v>
      </c>
      <c r="CT118" s="1">
        <f t="shared" si="86"/>
        <v>0</v>
      </c>
      <c r="CU118" s="2">
        <f t="shared" si="87"/>
        <v>0</v>
      </c>
      <c r="CV118" s="14">
        <f t="shared" si="88"/>
        <v>0</v>
      </c>
      <c r="CW118" s="1">
        <f>ROUND(PPTest!K118,1)</f>
        <v>0</v>
      </c>
      <c r="CX118" s="3">
        <f t="shared" si="70"/>
        <v>0</v>
      </c>
      <c r="CY118" s="3">
        <f t="shared" si="89"/>
        <v>0</v>
      </c>
      <c r="CZ118" s="19">
        <f t="shared" si="90"/>
        <v>0</v>
      </c>
      <c r="DA118" s="19" t="e">
        <f t="shared" si="90"/>
        <v>#DIV/0!</v>
      </c>
      <c r="DB118" s="16">
        <f t="shared" si="91"/>
        <v>0</v>
      </c>
    </row>
    <row r="119" spans="1:106" x14ac:dyDescent="0.2">
      <c r="A119" s="15">
        <f t="shared" si="92"/>
        <v>45771</v>
      </c>
      <c r="B119" s="1">
        <v>114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4"/>
      <c r="AY119" s="12"/>
      <c r="AZ119" s="12"/>
      <c r="BA119" s="16">
        <v>26.73</v>
      </c>
      <c r="BB119" s="41"/>
      <c r="BC119" s="41"/>
      <c r="BD119" s="8" t="e">
        <f t="shared" si="50"/>
        <v>#DIV/0!</v>
      </c>
      <c r="BE119" s="8"/>
      <c r="BF119" s="2">
        <f t="shared" si="71"/>
        <v>0</v>
      </c>
      <c r="BG119" s="2">
        <f t="shared" si="72"/>
        <v>0</v>
      </c>
      <c r="BH119" s="2">
        <f t="shared" si="73"/>
        <v>0</v>
      </c>
      <c r="BI119" s="35">
        <f t="shared" si="51"/>
        <v>0</v>
      </c>
      <c r="BJ119" s="35" t="e">
        <f t="shared" si="52"/>
        <v>#DIV/0!</v>
      </c>
      <c r="BL119" s="3">
        <f t="shared" si="53"/>
        <v>0</v>
      </c>
      <c r="BM119" s="19" t="e">
        <f t="shared" si="54"/>
        <v>#DIV/0!</v>
      </c>
      <c r="BN119" s="19" t="e">
        <f t="shared" si="55"/>
        <v>#DIV/0!</v>
      </c>
      <c r="BO119" s="19" t="e">
        <f t="shared" si="56"/>
        <v>#DIV/0!</v>
      </c>
      <c r="BP119" s="19" t="e">
        <f t="shared" si="57"/>
        <v>#DIV/0!</v>
      </c>
      <c r="BQ119" s="19" t="e">
        <f t="shared" si="58"/>
        <v>#DIV/0!</v>
      </c>
      <c r="BR119" s="19" t="e">
        <f t="shared" si="59"/>
        <v>#DIV/0!</v>
      </c>
      <c r="BS119" s="19" t="e">
        <f t="shared" si="60"/>
        <v>#DIV/0!</v>
      </c>
      <c r="BT119" s="19" t="e">
        <f t="shared" si="61"/>
        <v>#DIV/0!</v>
      </c>
      <c r="BV119" s="16">
        <f t="shared" si="62"/>
        <v>0</v>
      </c>
      <c r="BW119" s="16">
        <f t="shared" si="63"/>
        <v>0</v>
      </c>
      <c r="BX119" s="3">
        <f t="shared" si="64"/>
        <v>0</v>
      </c>
      <c r="BY119" s="3">
        <f t="shared" si="93"/>
        <v>0</v>
      </c>
      <c r="BZ119" s="3" t="s">
        <v>162</v>
      </c>
      <c r="CA119" s="3">
        <f t="shared" si="65"/>
        <v>0</v>
      </c>
      <c r="CB119" s="3">
        <f t="shared" si="66"/>
        <v>0</v>
      </c>
      <c r="CC119" s="3">
        <f t="shared" si="67"/>
        <v>0</v>
      </c>
      <c r="CD119" s="3">
        <f t="shared" si="68"/>
        <v>0</v>
      </c>
      <c r="CE119" s="22">
        <f t="shared" si="74"/>
        <v>0</v>
      </c>
      <c r="CF119" s="1">
        <f t="shared" si="69"/>
        <v>0</v>
      </c>
      <c r="CG119" s="1">
        <f t="shared" si="75"/>
        <v>0</v>
      </c>
      <c r="CH119" s="3" t="s">
        <v>162</v>
      </c>
      <c r="CI119" s="1">
        <f t="shared" si="76"/>
        <v>0</v>
      </c>
      <c r="CJ119" s="1">
        <f t="shared" si="77"/>
        <v>0</v>
      </c>
      <c r="CK119" s="1">
        <f t="shared" si="78"/>
        <v>0</v>
      </c>
      <c r="CL119" s="1">
        <f t="shared" si="79"/>
        <v>0</v>
      </c>
      <c r="CM119" s="2">
        <f t="shared" si="80"/>
        <v>0</v>
      </c>
      <c r="CN119" s="1">
        <f t="shared" si="81"/>
        <v>0</v>
      </c>
      <c r="CO119" s="1">
        <f t="shared" si="82"/>
        <v>0</v>
      </c>
      <c r="CP119" s="3" t="s">
        <v>162</v>
      </c>
      <c r="CQ119" s="1">
        <f t="shared" si="83"/>
        <v>0</v>
      </c>
      <c r="CR119" s="1">
        <f t="shared" si="84"/>
        <v>0</v>
      </c>
      <c r="CS119" s="1">
        <f t="shared" si="85"/>
        <v>0</v>
      </c>
      <c r="CT119" s="1">
        <f t="shared" si="86"/>
        <v>0</v>
      </c>
      <c r="CU119" s="2">
        <f t="shared" si="87"/>
        <v>0</v>
      </c>
      <c r="CV119" s="14">
        <f t="shared" si="88"/>
        <v>0</v>
      </c>
      <c r="CW119" s="1">
        <f>ROUND(PPTest!K119,1)</f>
        <v>0</v>
      </c>
      <c r="CX119" s="3">
        <f t="shared" si="70"/>
        <v>0</v>
      </c>
      <c r="CY119" s="3">
        <f t="shared" si="89"/>
        <v>0</v>
      </c>
      <c r="CZ119" s="19">
        <f t="shared" si="90"/>
        <v>0</v>
      </c>
      <c r="DA119" s="19" t="e">
        <f t="shared" si="90"/>
        <v>#DIV/0!</v>
      </c>
      <c r="DB119" s="16">
        <f t="shared" si="91"/>
        <v>0</v>
      </c>
    </row>
    <row r="120" spans="1:106" x14ac:dyDescent="0.2">
      <c r="A120" s="15">
        <f t="shared" si="92"/>
        <v>45772</v>
      </c>
      <c r="B120" s="1">
        <v>115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4"/>
      <c r="AY120" s="12"/>
      <c r="AZ120" s="12"/>
      <c r="BA120" s="16">
        <v>26.95</v>
      </c>
      <c r="BB120" s="41"/>
      <c r="BC120" s="41"/>
      <c r="BD120" s="8" t="e">
        <f t="shared" si="50"/>
        <v>#DIV/0!</v>
      </c>
      <c r="BE120" s="8"/>
      <c r="BF120" s="2">
        <f t="shared" si="71"/>
        <v>0</v>
      </c>
      <c r="BG120" s="2">
        <f t="shared" si="72"/>
        <v>0</v>
      </c>
      <c r="BH120" s="2">
        <f t="shared" si="73"/>
        <v>0</v>
      </c>
      <c r="BI120" s="35">
        <f t="shared" si="51"/>
        <v>0</v>
      </c>
      <c r="BJ120" s="35" t="e">
        <f t="shared" si="52"/>
        <v>#DIV/0!</v>
      </c>
      <c r="BL120" s="3">
        <f t="shared" si="53"/>
        <v>0</v>
      </c>
      <c r="BM120" s="19" t="e">
        <f t="shared" si="54"/>
        <v>#DIV/0!</v>
      </c>
      <c r="BN120" s="19" t="e">
        <f t="shared" si="55"/>
        <v>#DIV/0!</v>
      </c>
      <c r="BO120" s="19" t="e">
        <f t="shared" si="56"/>
        <v>#DIV/0!</v>
      </c>
      <c r="BP120" s="19" t="e">
        <f t="shared" si="57"/>
        <v>#DIV/0!</v>
      </c>
      <c r="BQ120" s="19" t="e">
        <f t="shared" si="58"/>
        <v>#DIV/0!</v>
      </c>
      <c r="BR120" s="19" t="e">
        <f t="shared" si="59"/>
        <v>#DIV/0!</v>
      </c>
      <c r="BS120" s="19" t="e">
        <f t="shared" si="60"/>
        <v>#DIV/0!</v>
      </c>
      <c r="BT120" s="19" t="e">
        <f t="shared" si="61"/>
        <v>#DIV/0!</v>
      </c>
      <c r="BV120" s="16">
        <f t="shared" si="62"/>
        <v>0</v>
      </c>
      <c r="BW120" s="16">
        <f t="shared" si="63"/>
        <v>0</v>
      </c>
      <c r="BX120" s="3">
        <f t="shared" si="64"/>
        <v>0</v>
      </c>
      <c r="BY120" s="3">
        <f t="shared" si="93"/>
        <v>0</v>
      </c>
      <c r="BZ120" s="3" t="s">
        <v>162</v>
      </c>
      <c r="CA120" s="3">
        <f t="shared" si="65"/>
        <v>0</v>
      </c>
      <c r="CB120" s="3">
        <f t="shared" si="66"/>
        <v>0</v>
      </c>
      <c r="CC120" s="3">
        <f t="shared" si="67"/>
        <v>0</v>
      </c>
      <c r="CD120" s="3">
        <f t="shared" si="68"/>
        <v>0</v>
      </c>
      <c r="CE120" s="22">
        <f t="shared" si="74"/>
        <v>0</v>
      </c>
      <c r="CF120" s="1">
        <f t="shared" si="69"/>
        <v>0</v>
      </c>
      <c r="CG120" s="1">
        <f t="shared" si="75"/>
        <v>0</v>
      </c>
      <c r="CH120" s="3" t="s">
        <v>162</v>
      </c>
      <c r="CI120" s="1">
        <f t="shared" si="76"/>
        <v>0</v>
      </c>
      <c r="CJ120" s="1">
        <f t="shared" si="77"/>
        <v>0</v>
      </c>
      <c r="CK120" s="1">
        <f t="shared" si="78"/>
        <v>0</v>
      </c>
      <c r="CL120" s="1">
        <f t="shared" si="79"/>
        <v>0</v>
      </c>
      <c r="CM120" s="2">
        <f t="shared" si="80"/>
        <v>0</v>
      </c>
      <c r="CN120" s="1">
        <f t="shared" si="81"/>
        <v>0</v>
      </c>
      <c r="CO120" s="1">
        <f t="shared" si="82"/>
        <v>0</v>
      </c>
      <c r="CP120" s="3" t="s">
        <v>162</v>
      </c>
      <c r="CQ120" s="1">
        <f t="shared" si="83"/>
        <v>0</v>
      </c>
      <c r="CR120" s="1">
        <f t="shared" si="84"/>
        <v>0</v>
      </c>
      <c r="CS120" s="1">
        <f t="shared" si="85"/>
        <v>0</v>
      </c>
      <c r="CT120" s="1">
        <f t="shared" si="86"/>
        <v>0</v>
      </c>
      <c r="CU120" s="2">
        <f t="shared" si="87"/>
        <v>0</v>
      </c>
      <c r="CV120" s="14">
        <f t="shared" si="88"/>
        <v>0</v>
      </c>
      <c r="CW120" s="1">
        <f>ROUND(PPTest!K120,1)</f>
        <v>0</v>
      </c>
      <c r="CX120" s="3">
        <f t="shared" si="70"/>
        <v>0</v>
      </c>
      <c r="CY120" s="3">
        <f t="shared" si="89"/>
        <v>0</v>
      </c>
      <c r="CZ120" s="19">
        <f t="shared" si="90"/>
        <v>0</v>
      </c>
      <c r="DA120" s="19" t="e">
        <f t="shared" si="90"/>
        <v>#DIV/0!</v>
      </c>
      <c r="DB120" s="16">
        <f t="shared" si="91"/>
        <v>0</v>
      </c>
    </row>
    <row r="121" spans="1:106" x14ac:dyDescent="0.2">
      <c r="A121" s="15">
        <f t="shared" si="92"/>
        <v>45773</v>
      </c>
      <c r="B121" s="1">
        <v>116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4"/>
      <c r="AY121" s="12"/>
      <c r="AZ121" s="12"/>
      <c r="BA121" s="16">
        <v>27.17</v>
      </c>
      <c r="BB121" s="41"/>
      <c r="BC121" s="41"/>
      <c r="BD121" s="8" t="e">
        <f t="shared" si="50"/>
        <v>#DIV/0!</v>
      </c>
      <c r="BE121" s="8"/>
      <c r="BF121" s="2">
        <f t="shared" si="71"/>
        <v>0</v>
      </c>
      <c r="BG121" s="2">
        <f t="shared" si="72"/>
        <v>0</v>
      </c>
      <c r="BH121" s="2">
        <f t="shared" si="73"/>
        <v>0</v>
      </c>
      <c r="BI121" s="35">
        <f t="shared" si="51"/>
        <v>0</v>
      </c>
      <c r="BJ121" s="35" t="e">
        <f t="shared" si="52"/>
        <v>#DIV/0!</v>
      </c>
      <c r="BL121" s="3">
        <f t="shared" si="53"/>
        <v>0</v>
      </c>
      <c r="BM121" s="19" t="e">
        <f t="shared" si="54"/>
        <v>#DIV/0!</v>
      </c>
      <c r="BN121" s="19" t="e">
        <f t="shared" si="55"/>
        <v>#DIV/0!</v>
      </c>
      <c r="BO121" s="19" t="e">
        <f t="shared" si="56"/>
        <v>#DIV/0!</v>
      </c>
      <c r="BP121" s="19" t="e">
        <f t="shared" si="57"/>
        <v>#DIV/0!</v>
      </c>
      <c r="BQ121" s="19" t="e">
        <f t="shared" si="58"/>
        <v>#DIV/0!</v>
      </c>
      <c r="BR121" s="19" t="e">
        <f t="shared" si="59"/>
        <v>#DIV/0!</v>
      </c>
      <c r="BS121" s="19" t="e">
        <f t="shared" si="60"/>
        <v>#DIV/0!</v>
      </c>
      <c r="BT121" s="19" t="e">
        <f t="shared" si="61"/>
        <v>#DIV/0!</v>
      </c>
      <c r="BV121" s="16">
        <f t="shared" si="62"/>
        <v>0</v>
      </c>
      <c r="BW121" s="16">
        <f t="shared" si="63"/>
        <v>0</v>
      </c>
      <c r="BX121" s="3">
        <f t="shared" si="64"/>
        <v>0</v>
      </c>
      <c r="BY121" s="3">
        <f t="shared" si="93"/>
        <v>0</v>
      </c>
      <c r="BZ121" s="3" t="s">
        <v>162</v>
      </c>
      <c r="CA121" s="3">
        <f t="shared" si="65"/>
        <v>0</v>
      </c>
      <c r="CB121" s="3">
        <f t="shared" si="66"/>
        <v>0</v>
      </c>
      <c r="CC121" s="3">
        <f t="shared" si="67"/>
        <v>0</v>
      </c>
      <c r="CD121" s="3">
        <f t="shared" si="68"/>
        <v>0</v>
      </c>
      <c r="CE121" s="22">
        <f t="shared" si="74"/>
        <v>0</v>
      </c>
      <c r="CF121" s="1">
        <f t="shared" si="69"/>
        <v>0</v>
      </c>
      <c r="CG121" s="1">
        <f t="shared" si="75"/>
        <v>0</v>
      </c>
      <c r="CH121" s="3" t="s">
        <v>162</v>
      </c>
      <c r="CI121" s="1">
        <f t="shared" si="76"/>
        <v>0</v>
      </c>
      <c r="CJ121" s="1">
        <f t="shared" si="77"/>
        <v>0</v>
      </c>
      <c r="CK121" s="1">
        <f t="shared" si="78"/>
        <v>0</v>
      </c>
      <c r="CL121" s="1">
        <f t="shared" si="79"/>
        <v>0</v>
      </c>
      <c r="CM121" s="2">
        <f t="shared" si="80"/>
        <v>0</v>
      </c>
      <c r="CN121" s="1">
        <f t="shared" si="81"/>
        <v>0</v>
      </c>
      <c r="CO121" s="1">
        <f t="shared" si="82"/>
        <v>0</v>
      </c>
      <c r="CP121" s="3" t="s">
        <v>162</v>
      </c>
      <c r="CQ121" s="1">
        <f t="shared" si="83"/>
        <v>0</v>
      </c>
      <c r="CR121" s="1">
        <f t="shared" si="84"/>
        <v>0</v>
      </c>
      <c r="CS121" s="1">
        <f t="shared" si="85"/>
        <v>0</v>
      </c>
      <c r="CT121" s="1">
        <f t="shared" si="86"/>
        <v>0</v>
      </c>
      <c r="CU121" s="2">
        <f t="shared" si="87"/>
        <v>0</v>
      </c>
      <c r="CV121" s="14">
        <f t="shared" si="88"/>
        <v>0</v>
      </c>
      <c r="CW121" s="1">
        <f>ROUND(PPTest!K121,1)</f>
        <v>0</v>
      </c>
      <c r="CX121" s="3">
        <f t="shared" si="70"/>
        <v>0</v>
      </c>
      <c r="CY121" s="3">
        <f t="shared" si="89"/>
        <v>0</v>
      </c>
      <c r="CZ121" s="19">
        <f t="shared" si="90"/>
        <v>0</v>
      </c>
      <c r="DA121" s="19" t="e">
        <f t="shared" si="90"/>
        <v>#DIV/0!</v>
      </c>
      <c r="DB121" s="16">
        <f t="shared" si="91"/>
        <v>0</v>
      </c>
    </row>
    <row r="122" spans="1:106" x14ac:dyDescent="0.2">
      <c r="A122" s="15">
        <f t="shared" si="92"/>
        <v>45774</v>
      </c>
      <c r="B122" s="1">
        <v>117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4"/>
      <c r="AY122" s="12"/>
      <c r="AZ122" s="12"/>
      <c r="BA122" s="16">
        <v>27.38</v>
      </c>
      <c r="BB122" s="41"/>
      <c r="BC122" s="41"/>
      <c r="BD122" s="8" t="e">
        <f t="shared" si="50"/>
        <v>#DIV/0!</v>
      </c>
      <c r="BE122" s="8"/>
      <c r="BF122" s="2">
        <f t="shared" si="71"/>
        <v>0</v>
      </c>
      <c r="BG122" s="2">
        <f t="shared" si="72"/>
        <v>0</v>
      </c>
      <c r="BH122" s="2">
        <f t="shared" si="73"/>
        <v>0</v>
      </c>
      <c r="BI122" s="35">
        <f t="shared" si="51"/>
        <v>0</v>
      </c>
      <c r="BJ122" s="35" t="e">
        <f t="shared" si="52"/>
        <v>#DIV/0!</v>
      </c>
      <c r="BL122" s="3">
        <f t="shared" si="53"/>
        <v>0</v>
      </c>
      <c r="BM122" s="19" t="e">
        <f t="shared" si="54"/>
        <v>#DIV/0!</v>
      </c>
      <c r="BN122" s="19" t="e">
        <f t="shared" si="55"/>
        <v>#DIV/0!</v>
      </c>
      <c r="BO122" s="19" t="e">
        <f t="shared" si="56"/>
        <v>#DIV/0!</v>
      </c>
      <c r="BP122" s="19" t="e">
        <f t="shared" si="57"/>
        <v>#DIV/0!</v>
      </c>
      <c r="BQ122" s="19" t="e">
        <f t="shared" si="58"/>
        <v>#DIV/0!</v>
      </c>
      <c r="BR122" s="19" t="e">
        <f t="shared" si="59"/>
        <v>#DIV/0!</v>
      </c>
      <c r="BS122" s="19" t="e">
        <f t="shared" si="60"/>
        <v>#DIV/0!</v>
      </c>
      <c r="BT122" s="19" t="e">
        <f t="shared" si="61"/>
        <v>#DIV/0!</v>
      </c>
      <c r="BV122" s="16">
        <f t="shared" si="62"/>
        <v>0</v>
      </c>
      <c r="BW122" s="16">
        <f t="shared" si="63"/>
        <v>0</v>
      </c>
      <c r="BX122" s="3">
        <f t="shared" si="64"/>
        <v>0</v>
      </c>
      <c r="BY122" s="3">
        <f t="shared" si="93"/>
        <v>0</v>
      </c>
      <c r="BZ122" s="3" t="s">
        <v>162</v>
      </c>
      <c r="CA122" s="3">
        <f t="shared" si="65"/>
        <v>0</v>
      </c>
      <c r="CB122" s="3">
        <f t="shared" si="66"/>
        <v>0</v>
      </c>
      <c r="CC122" s="3">
        <f t="shared" si="67"/>
        <v>0</v>
      </c>
      <c r="CD122" s="3">
        <f t="shared" si="68"/>
        <v>0</v>
      </c>
      <c r="CE122" s="22">
        <f t="shared" si="74"/>
        <v>0</v>
      </c>
      <c r="CF122" s="1">
        <f t="shared" si="69"/>
        <v>0</v>
      </c>
      <c r="CG122" s="1">
        <f t="shared" si="75"/>
        <v>0</v>
      </c>
      <c r="CH122" s="3" t="s">
        <v>162</v>
      </c>
      <c r="CI122" s="1">
        <f t="shared" si="76"/>
        <v>0</v>
      </c>
      <c r="CJ122" s="1">
        <f t="shared" si="77"/>
        <v>0</v>
      </c>
      <c r="CK122" s="1">
        <f t="shared" si="78"/>
        <v>0</v>
      </c>
      <c r="CL122" s="1">
        <f t="shared" si="79"/>
        <v>0</v>
      </c>
      <c r="CM122" s="2">
        <f t="shared" si="80"/>
        <v>0</v>
      </c>
      <c r="CN122" s="1">
        <f t="shared" si="81"/>
        <v>0</v>
      </c>
      <c r="CO122" s="1">
        <f t="shared" si="82"/>
        <v>0</v>
      </c>
      <c r="CP122" s="3" t="s">
        <v>162</v>
      </c>
      <c r="CQ122" s="1">
        <f t="shared" si="83"/>
        <v>0</v>
      </c>
      <c r="CR122" s="1">
        <f t="shared" si="84"/>
        <v>0</v>
      </c>
      <c r="CS122" s="1">
        <f t="shared" si="85"/>
        <v>0</v>
      </c>
      <c r="CT122" s="1">
        <f t="shared" si="86"/>
        <v>0</v>
      </c>
      <c r="CU122" s="2">
        <f t="shared" si="87"/>
        <v>0</v>
      </c>
      <c r="CV122" s="14">
        <f t="shared" si="88"/>
        <v>0</v>
      </c>
      <c r="CW122" s="1">
        <f>ROUND(PPTest!K122,1)</f>
        <v>0</v>
      </c>
      <c r="CX122" s="3">
        <f t="shared" si="70"/>
        <v>0</v>
      </c>
      <c r="CY122" s="3">
        <f t="shared" si="89"/>
        <v>0</v>
      </c>
      <c r="CZ122" s="19">
        <f t="shared" si="90"/>
        <v>0</v>
      </c>
      <c r="DA122" s="19" t="e">
        <f t="shared" si="90"/>
        <v>#DIV/0!</v>
      </c>
      <c r="DB122" s="16">
        <f t="shared" si="91"/>
        <v>0</v>
      </c>
    </row>
    <row r="123" spans="1:106" x14ac:dyDescent="0.2">
      <c r="A123" s="15">
        <f t="shared" si="92"/>
        <v>45775</v>
      </c>
      <c r="B123" s="1">
        <v>118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4"/>
      <c r="AY123" s="12"/>
      <c r="AZ123" s="12"/>
      <c r="BA123" s="16">
        <v>27.6</v>
      </c>
      <c r="BB123" s="41"/>
      <c r="BC123" s="41"/>
      <c r="BD123" s="8" t="e">
        <f t="shared" si="50"/>
        <v>#DIV/0!</v>
      </c>
      <c r="BE123" s="8"/>
      <c r="BF123" s="2">
        <f t="shared" si="71"/>
        <v>0</v>
      </c>
      <c r="BG123" s="2">
        <f t="shared" si="72"/>
        <v>0</v>
      </c>
      <c r="BH123" s="2">
        <f t="shared" si="73"/>
        <v>0</v>
      </c>
      <c r="BI123" s="35">
        <f t="shared" si="51"/>
        <v>0</v>
      </c>
      <c r="BJ123" s="35" t="e">
        <f t="shared" si="52"/>
        <v>#DIV/0!</v>
      </c>
      <c r="BL123" s="3">
        <f t="shared" si="53"/>
        <v>0</v>
      </c>
      <c r="BM123" s="19" t="e">
        <f t="shared" si="54"/>
        <v>#DIV/0!</v>
      </c>
      <c r="BN123" s="19" t="e">
        <f t="shared" si="55"/>
        <v>#DIV/0!</v>
      </c>
      <c r="BO123" s="19" t="e">
        <f t="shared" si="56"/>
        <v>#DIV/0!</v>
      </c>
      <c r="BP123" s="19" t="e">
        <f t="shared" si="57"/>
        <v>#DIV/0!</v>
      </c>
      <c r="BQ123" s="19" t="e">
        <f t="shared" si="58"/>
        <v>#DIV/0!</v>
      </c>
      <c r="BR123" s="19" t="e">
        <f t="shared" si="59"/>
        <v>#DIV/0!</v>
      </c>
      <c r="BS123" s="19" t="e">
        <f t="shared" si="60"/>
        <v>#DIV/0!</v>
      </c>
      <c r="BT123" s="19" t="e">
        <f t="shared" si="61"/>
        <v>#DIV/0!</v>
      </c>
      <c r="BV123" s="16">
        <f t="shared" si="62"/>
        <v>0</v>
      </c>
      <c r="BW123" s="16">
        <f t="shared" si="63"/>
        <v>0</v>
      </c>
      <c r="BX123" s="3">
        <f t="shared" si="64"/>
        <v>0</v>
      </c>
      <c r="BY123" s="3">
        <f t="shared" si="93"/>
        <v>0</v>
      </c>
      <c r="BZ123" s="3" t="s">
        <v>162</v>
      </c>
      <c r="CA123" s="3">
        <f t="shared" si="65"/>
        <v>0</v>
      </c>
      <c r="CB123" s="3">
        <f t="shared" si="66"/>
        <v>0</v>
      </c>
      <c r="CC123" s="3">
        <f t="shared" si="67"/>
        <v>0</v>
      </c>
      <c r="CD123" s="3">
        <f t="shared" si="68"/>
        <v>0</v>
      </c>
      <c r="CE123" s="22">
        <f t="shared" si="74"/>
        <v>0</v>
      </c>
      <c r="CF123" s="1">
        <f t="shared" si="69"/>
        <v>0</v>
      </c>
      <c r="CG123" s="1">
        <f t="shared" si="75"/>
        <v>0</v>
      </c>
      <c r="CH123" s="3" t="s">
        <v>162</v>
      </c>
      <c r="CI123" s="1">
        <f t="shared" si="76"/>
        <v>0</v>
      </c>
      <c r="CJ123" s="1">
        <f t="shared" si="77"/>
        <v>0</v>
      </c>
      <c r="CK123" s="1">
        <f t="shared" si="78"/>
        <v>0</v>
      </c>
      <c r="CL123" s="1">
        <f t="shared" si="79"/>
        <v>0</v>
      </c>
      <c r="CM123" s="2">
        <f t="shared" si="80"/>
        <v>0</v>
      </c>
      <c r="CN123" s="1">
        <f t="shared" si="81"/>
        <v>0</v>
      </c>
      <c r="CO123" s="1">
        <f t="shared" si="82"/>
        <v>0</v>
      </c>
      <c r="CP123" s="3" t="s">
        <v>162</v>
      </c>
      <c r="CQ123" s="1">
        <f t="shared" si="83"/>
        <v>0</v>
      </c>
      <c r="CR123" s="1">
        <f t="shared" si="84"/>
        <v>0</v>
      </c>
      <c r="CS123" s="1">
        <f t="shared" si="85"/>
        <v>0</v>
      </c>
      <c r="CT123" s="1">
        <f t="shared" si="86"/>
        <v>0</v>
      </c>
      <c r="CU123" s="2">
        <f t="shared" si="87"/>
        <v>0</v>
      </c>
      <c r="CV123" s="14">
        <f t="shared" si="88"/>
        <v>0</v>
      </c>
      <c r="CW123" s="1">
        <f>ROUND(PPTest!K123,1)</f>
        <v>0</v>
      </c>
      <c r="CX123" s="3">
        <f t="shared" si="70"/>
        <v>0</v>
      </c>
      <c r="CY123" s="3">
        <f t="shared" si="89"/>
        <v>0</v>
      </c>
      <c r="CZ123" s="19">
        <f t="shared" si="90"/>
        <v>0</v>
      </c>
      <c r="DA123" s="19" t="e">
        <f t="shared" si="90"/>
        <v>#DIV/0!</v>
      </c>
      <c r="DB123" s="16">
        <f t="shared" si="91"/>
        <v>0</v>
      </c>
    </row>
    <row r="124" spans="1:106" x14ac:dyDescent="0.2">
      <c r="A124" s="15">
        <f t="shared" si="92"/>
        <v>45776</v>
      </c>
      <c r="B124" s="1">
        <v>119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4"/>
      <c r="AY124" s="12"/>
      <c r="AZ124" s="12"/>
      <c r="BA124" s="16">
        <v>27.81</v>
      </c>
      <c r="BB124" s="41"/>
      <c r="BC124" s="41"/>
      <c r="BD124" s="8" t="e">
        <f t="shared" si="50"/>
        <v>#DIV/0!</v>
      </c>
      <c r="BE124" s="8"/>
      <c r="BF124" s="2">
        <f t="shared" si="71"/>
        <v>0</v>
      </c>
      <c r="BG124" s="2">
        <f t="shared" si="72"/>
        <v>0</v>
      </c>
      <c r="BH124" s="2">
        <f t="shared" si="73"/>
        <v>0</v>
      </c>
      <c r="BI124" s="35">
        <f t="shared" si="51"/>
        <v>0</v>
      </c>
      <c r="BJ124" s="35" t="e">
        <f t="shared" si="52"/>
        <v>#DIV/0!</v>
      </c>
      <c r="BL124" s="3">
        <f t="shared" si="53"/>
        <v>0</v>
      </c>
      <c r="BM124" s="19" t="e">
        <f t="shared" si="54"/>
        <v>#DIV/0!</v>
      </c>
      <c r="BN124" s="19" t="e">
        <f t="shared" si="55"/>
        <v>#DIV/0!</v>
      </c>
      <c r="BO124" s="19" t="e">
        <f t="shared" si="56"/>
        <v>#DIV/0!</v>
      </c>
      <c r="BP124" s="19" t="e">
        <f t="shared" si="57"/>
        <v>#DIV/0!</v>
      </c>
      <c r="BQ124" s="19" t="e">
        <f t="shared" si="58"/>
        <v>#DIV/0!</v>
      </c>
      <c r="BR124" s="19" t="e">
        <f t="shared" si="59"/>
        <v>#DIV/0!</v>
      </c>
      <c r="BS124" s="19" t="e">
        <f t="shared" si="60"/>
        <v>#DIV/0!</v>
      </c>
      <c r="BT124" s="19" t="e">
        <f t="shared" si="61"/>
        <v>#DIV/0!</v>
      </c>
      <c r="BV124" s="16">
        <f t="shared" si="62"/>
        <v>0</v>
      </c>
      <c r="BW124" s="16">
        <f t="shared" si="63"/>
        <v>0</v>
      </c>
      <c r="BX124" s="3">
        <f t="shared" si="64"/>
        <v>0</v>
      </c>
      <c r="BY124" s="3">
        <f t="shared" si="93"/>
        <v>0</v>
      </c>
      <c r="BZ124" s="3" t="s">
        <v>162</v>
      </c>
      <c r="CA124" s="3">
        <f t="shared" si="65"/>
        <v>0</v>
      </c>
      <c r="CB124" s="3">
        <f t="shared" si="66"/>
        <v>0</v>
      </c>
      <c r="CC124" s="3">
        <f t="shared" si="67"/>
        <v>0</v>
      </c>
      <c r="CD124" s="3">
        <f t="shared" si="68"/>
        <v>0</v>
      </c>
      <c r="CE124" s="22">
        <f t="shared" si="74"/>
        <v>0</v>
      </c>
      <c r="CF124" s="1">
        <f t="shared" si="69"/>
        <v>0</v>
      </c>
      <c r="CG124" s="1">
        <f t="shared" si="75"/>
        <v>0</v>
      </c>
      <c r="CH124" s="3" t="s">
        <v>162</v>
      </c>
      <c r="CI124" s="1">
        <f t="shared" si="76"/>
        <v>0</v>
      </c>
      <c r="CJ124" s="1">
        <f t="shared" si="77"/>
        <v>0</v>
      </c>
      <c r="CK124" s="1">
        <f t="shared" si="78"/>
        <v>0</v>
      </c>
      <c r="CL124" s="1">
        <f t="shared" si="79"/>
        <v>0</v>
      </c>
      <c r="CM124" s="2">
        <f t="shared" si="80"/>
        <v>0</v>
      </c>
      <c r="CN124" s="1">
        <f t="shared" si="81"/>
        <v>0</v>
      </c>
      <c r="CO124" s="1">
        <f t="shared" si="82"/>
        <v>0</v>
      </c>
      <c r="CP124" s="3" t="s">
        <v>162</v>
      </c>
      <c r="CQ124" s="1">
        <f t="shared" si="83"/>
        <v>0</v>
      </c>
      <c r="CR124" s="1">
        <f t="shared" si="84"/>
        <v>0</v>
      </c>
      <c r="CS124" s="1">
        <f t="shared" si="85"/>
        <v>0</v>
      </c>
      <c r="CT124" s="1">
        <f t="shared" si="86"/>
        <v>0</v>
      </c>
      <c r="CU124" s="2">
        <f t="shared" si="87"/>
        <v>0</v>
      </c>
      <c r="CV124" s="14">
        <f t="shared" si="88"/>
        <v>0</v>
      </c>
      <c r="CW124" s="1">
        <f>ROUND(PPTest!K124,1)</f>
        <v>0</v>
      </c>
      <c r="CX124" s="3">
        <f t="shared" si="70"/>
        <v>0</v>
      </c>
      <c r="CY124" s="3">
        <f t="shared" si="89"/>
        <v>0</v>
      </c>
      <c r="CZ124" s="19">
        <f t="shared" si="90"/>
        <v>0</v>
      </c>
      <c r="DA124" s="19" t="e">
        <f t="shared" si="90"/>
        <v>#DIV/0!</v>
      </c>
      <c r="DB124" s="16">
        <f t="shared" si="91"/>
        <v>0</v>
      </c>
    </row>
    <row r="125" spans="1:106" x14ac:dyDescent="0.2">
      <c r="A125" s="15">
        <f t="shared" si="92"/>
        <v>45777</v>
      </c>
      <c r="B125" s="1">
        <v>120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4"/>
      <c r="AY125" s="12"/>
      <c r="AZ125" s="12"/>
      <c r="BA125" s="16">
        <v>28.02</v>
      </c>
      <c r="BB125" s="41"/>
      <c r="BC125" s="41"/>
      <c r="BD125" s="8" t="e">
        <f t="shared" si="50"/>
        <v>#DIV/0!</v>
      </c>
      <c r="BE125" s="8"/>
      <c r="BF125" s="2">
        <f t="shared" si="71"/>
        <v>0</v>
      </c>
      <c r="BG125" s="2">
        <f t="shared" si="72"/>
        <v>0</v>
      </c>
      <c r="BH125" s="2">
        <f t="shared" si="73"/>
        <v>0</v>
      </c>
      <c r="BI125" s="35">
        <f t="shared" si="51"/>
        <v>0</v>
      </c>
      <c r="BJ125" s="35" t="e">
        <f t="shared" si="52"/>
        <v>#DIV/0!</v>
      </c>
      <c r="BL125" s="3">
        <f t="shared" si="53"/>
        <v>0</v>
      </c>
      <c r="BM125" s="19" t="e">
        <f t="shared" si="54"/>
        <v>#DIV/0!</v>
      </c>
      <c r="BN125" s="19" t="e">
        <f t="shared" si="55"/>
        <v>#DIV/0!</v>
      </c>
      <c r="BO125" s="19" t="e">
        <f t="shared" si="56"/>
        <v>#DIV/0!</v>
      </c>
      <c r="BP125" s="19" t="e">
        <f t="shared" si="57"/>
        <v>#DIV/0!</v>
      </c>
      <c r="BQ125" s="19" t="e">
        <f t="shared" si="58"/>
        <v>#DIV/0!</v>
      </c>
      <c r="BR125" s="19" t="e">
        <f t="shared" si="59"/>
        <v>#DIV/0!</v>
      </c>
      <c r="BS125" s="19" t="e">
        <f t="shared" si="60"/>
        <v>#DIV/0!</v>
      </c>
      <c r="BT125" s="19" t="e">
        <f t="shared" si="61"/>
        <v>#DIV/0!</v>
      </c>
      <c r="BV125" s="16">
        <f t="shared" si="62"/>
        <v>0</v>
      </c>
      <c r="BW125" s="16">
        <f t="shared" si="63"/>
        <v>0</v>
      </c>
      <c r="BX125" s="3">
        <f t="shared" si="64"/>
        <v>0</v>
      </c>
      <c r="BY125" s="3">
        <f t="shared" si="93"/>
        <v>0</v>
      </c>
      <c r="BZ125" s="3" t="s">
        <v>162</v>
      </c>
      <c r="CA125" s="3">
        <f t="shared" si="65"/>
        <v>0</v>
      </c>
      <c r="CB125" s="3">
        <f t="shared" si="66"/>
        <v>0</v>
      </c>
      <c r="CC125" s="3">
        <f t="shared" si="67"/>
        <v>0</v>
      </c>
      <c r="CD125" s="3">
        <f t="shared" si="68"/>
        <v>0</v>
      </c>
      <c r="CE125" s="22">
        <f t="shared" si="74"/>
        <v>0</v>
      </c>
      <c r="CF125" s="1">
        <f t="shared" si="69"/>
        <v>0</v>
      </c>
      <c r="CG125" s="1">
        <f t="shared" si="75"/>
        <v>0</v>
      </c>
      <c r="CH125" s="3" t="s">
        <v>162</v>
      </c>
      <c r="CI125" s="1">
        <f t="shared" si="76"/>
        <v>0</v>
      </c>
      <c r="CJ125" s="1">
        <f t="shared" si="77"/>
        <v>0</v>
      </c>
      <c r="CK125" s="1">
        <f t="shared" si="78"/>
        <v>0</v>
      </c>
      <c r="CL125" s="1">
        <f t="shared" si="79"/>
        <v>0</v>
      </c>
      <c r="CM125" s="2">
        <f t="shared" si="80"/>
        <v>0</v>
      </c>
      <c r="CN125" s="1">
        <f t="shared" si="81"/>
        <v>0</v>
      </c>
      <c r="CO125" s="1">
        <f t="shared" si="82"/>
        <v>0</v>
      </c>
      <c r="CP125" s="3" t="s">
        <v>162</v>
      </c>
      <c r="CQ125" s="1">
        <f t="shared" si="83"/>
        <v>0</v>
      </c>
      <c r="CR125" s="1">
        <f t="shared" si="84"/>
        <v>0</v>
      </c>
      <c r="CS125" s="1">
        <f t="shared" si="85"/>
        <v>0</v>
      </c>
      <c r="CT125" s="1">
        <f t="shared" si="86"/>
        <v>0</v>
      </c>
      <c r="CU125" s="2">
        <f t="shared" si="87"/>
        <v>0</v>
      </c>
      <c r="CV125" s="14">
        <f t="shared" si="88"/>
        <v>0</v>
      </c>
      <c r="CW125" s="1">
        <f>ROUND(PPTest!K125,1)</f>
        <v>0</v>
      </c>
      <c r="CX125" s="3">
        <f t="shared" si="70"/>
        <v>0</v>
      </c>
      <c r="CY125" s="3">
        <f t="shared" si="89"/>
        <v>0</v>
      </c>
      <c r="CZ125" s="19">
        <f t="shared" si="90"/>
        <v>0</v>
      </c>
      <c r="DA125" s="19" t="e">
        <f t="shared" si="90"/>
        <v>#DIV/0!</v>
      </c>
      <c r="DB125" s="16">
        <f t="shared" si="91"/>
        <v>0</v>
      </c>
    </row>
    <row r="126" spans="1:106" x14ac:dyDescent="0.2">
      <c r="A126" s="15">
        <f t="shared" si="92"/>
        <v>45778</v>
      </c>
      <c r="B126" s="1">
        <v>121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4"/>
      <c r="AY126" s="12"/>
      <c r="AZ126" s="12"/>
      <c r="BA126" s="16">
        <v>28.22</v>
      </c>
      <c r="BB126" s="41"/>
      <c r="BC126" s="41"/>
      <c r="BD126" s="8" t="e">
        <f t="shared" si="50"/>
        <v>#DIV/0!</v>
      </c>
      <c r="BE126" s="8"/>
      <c r="BF126" s="2">
        <f t="shared" si="71"/>
        <v>0</v>
      </c>
      <c r="BG126" s="2">
        <f t="shared" si="72"/>
        <v>0</v>
      </c>
      <c r="BH126" s="2">
        <f t="shared" si="73"/>
        <v>0</v>
      </c>
      <c r="BI126" s="35">
        <f t="shared" si="51"/>
        <v>0</v>
      </c>
      <c r="BJ126" s="35" t="e">
        <f t="shared" si="52"/>
        <v>#DIV/0!</v>
      </c>
      <c r="BL126" s="3">
        <f t="shared" si="53"/>
        <v>0</v>
      </c>
      <c r="BM126" s="19" t="e">
        <f t="shared" si="54"/>
        <v>#DIV/0!</v>
      </c>
      <c r="BN126" s="19" t="e">
        <f t="shared" si="55"/>
        <v>#DIV/0!</v>
      </c>
      <c r="BO126" s="19" t="e">
        <f t="shared" si="56"/>
        <v>#DIV/0!</v>
      </c>
      <c r="BP126" s="19" t="e">
        <f t="shared" si="57"/>
        <v>#DIV/0!</v>
      </c>
      <c r="BQ126" s="19" t="e">
        <f t="shared" si="58"/>
        <v>#DIV/0!</v>
      </c>
      <c r="BR126" s="19" t="e">
        <f t="shared" si="59"/>
        <v>#DIV/0!</v>
      </c>
      <c r="BS126" s="19" t="e">
        <f t="shared" si="60"/>
        <v>#DIV/0!</v>
      </c>
      <c r="BT126" s="19" t="e">
        <f t="shared" si="61"/>
        <v>#DIV/0!</v>
      </c>
      <c r="BV126" s="16">
        <f t="shared" si="62"/>
        <v>0</v>
      </c>
      <c r="BW126" s="16">
        <f t="shared" si="63"/>
        <v>0</v>
      </c>
      <c r="BX126" s="3">
        <f t="shared" si="64"/>
        <v>0</v>
      </c>
      <c r="BY126" s="3">
        <f t="shared" si="93"/>
        <v>0</v>
      </c>
      <c r="BZ126" s="3" t="s">
        <v>162</v>
      </c>
      <c r="CA126" s="3">
        <f t="shared" si="65"/>
        <v>0</v>
      </c>
      <c r="CB126" s="3">
        <f t="shared" si="66"/>
        <v>0</v>
      </c>
      <c r="CC126" s="3">
        <f t="shared" si="67"/>
        <v>0</v>
      </c>
      <c r="CD126" s="3">
        <f t="shared" si="68"/>
        <v>0</v>
      </c>
      <c r="CE126" s="22">
        <f t="shared" si="74"/>
        <v>0</v>
      </c>
      <c r="CF126" s="1">
        <f t="shared" si="69"/>
        <v>0</v>
      </c>
      <c r="CG126" s="1">
        <f t="shared" si="75"/>
        <v>0</v>
      </c>
      <c r="CH126" s="3" t="s">
        <v>162</v>
      </c>
      <c r="CI126" s="1">
        <f t="shared" si="76"/>
        <v>0</v>
      </c>
      <c r="CJ126" s="1">
        <f t="shared" si="77"/>
        <v>0</v>
      </c>
      <c r="CK126" s="1">
        <f t="shared" si="78"/>
        <v>0</v>
      </c>
      <c r="CL126" s="1">
        <f t="shared" si="79"/>
        <v>0</v>
      </c>
      <c r="CM126" s="2">
        <f t="shared" si="80"/>
        <v>0</v>
      </c>
      <c r="CN126" s="1">
        <f t="shared" si="81"/>
        <v>0</v>
      </c>
      <c r="CO126" s="1">
        <f t="shared" si="82"/>
        <v>0</v>
      </c>
      <c r="CP126" s="3" t="s">
        <v>162</v>
      </c>
      <c r="CQ126" s="1">
        <f t="shared" si="83"/>
        <v>0</v>
      </c>
      <c r="CR126" s="1">
        <f t="shared" si="84"/>
        <v>0</v>
      </c>
      <c r="CS126" s="1">
        <f t="shared" si="85"/>
        <v>0</v>
      </c>
      <c r="CT126" s="1">
        <f t="shared" si="86"/>
        <v>0</v>
      </c>
      <c r="CU126" s="2">
        <f t="shared" si="87"/>
        <v>0</v>
      </c>
      <c r="CV126" s="14">
        <f t="shared" si="88"/>
        <v>0</v>
      </c>
      <c r="CW126" s="1">
        <f>ROUND(PPTest!K126,1)</f>
        <v>0</v>
      </c>
      <c r="CX126" s="3">
        <f t="shared" si="70"/>
        <v>0</v>
      </c>
      <c r="CY126" s="3">
        <f t="shared" si="89"/>
        <v>0</v>
      </c>
      <c r="CZ126" s="19">
        <f t="shared" si="90"/>
        <v>0</v>
      </c>
      <c r="DA126" s="19" t="e">
        <f t="shared" si="90"/>
        <v>#DIV/0!</v>
      </c>
      <c r="DB126" s="16">
        <f t="shared" si="91"/>
        <v>0</v>
      </c>
    </row>
    <row r="127" spans="1:106" x14ac:dyDescent="0.2">
      <c r="A127" s="15">
        <f t="shared" si="92"/>
        <v>45779</v>
      </c>
      <c r="B127" s="1">
        <v>122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4"/>
      <c r="AY127" s="12"/>
      <c r="AZ127" s="12"/>
      <c r="BA127" s="16">
        <v>28.42</v>
      </c>
      <c r="BB127" s="41"/>
      <c r="BC127" s="41"/>
      <c r="BD127" s="8" t="e">
        <f t="shared" ref="BD127:BD156" si="94">BC127/BB127</f>
        <v>#DIV/0!</v>
      </c>
      <c r="BE127" s="8"/>
      <c r="BF127" s="2">
        <f t="shared" si="71"/>
        <v>0</v>
      </c>
      <c r="BG127" s="2">
        <f t="shared" si="72"/>
        <v>0</v>
      </c>
      <c r="BH127" s="2">
        <f t="shared" si="73"/>
        <v>0</v>
      </c>
      <c r="BI127" s="35">
        <f t="shared" ref="BI127:BI156" si="95">ROUND((0.6105*(EXP((17.273*P127)/(P127+237.3))))*BH127/100,3)</f>
        <v>0</v>
      </c>
      <c r="BJ127" s="35" t="e">
        <f t="shared" si="52"/>
        <v>#DIV/0!</v>
      </c>
      <c r="BL127" s="3">
        <f t="shared" si="53"/>
        <v>0</v>
      </c>
      <c r="BM127" s="19" t="e">
        <f t="shared" si="54"/>
        <v>#DIV/0!</v>
      </c>
      <c r="BN127" s="19" t="e">
        <f t="shared" si="55"/>
        <v>#DIV/0!</v>
      </c>
      <c r="BO127" s="19" t="e">
        <f t="shared" si="56"/>
        <v>#DIV/0!</v>
      </c>
      <c r="BP127" s="19" t="e">
        <f t="shared" si="57"/>
        <v>#DIV/0!</v>
      </c>
      <c r="BQ127" s="19" t="e">
        <f t="shared" si="58"/>
        <v>#DIV/0!</v>
      </c>
      <c r="BR127" s="19" t="e">
        <f t="shared" si="59"/>
        <v>#DIV/0!</v>
      </c>
      <c r="BS127" s="19" t="e">
        <f t="shared" si="60"/>
        <v>#DIV/0!</v>
      </c>
      <c r="BT127" s="19" t="e">
        <f t="shared" si="61"/>
        <v>#DIV/0!</v>
      </c>
      <c r="BV127" s="16">
        <f t="shared" si="62"/>
        <v>0</v>
      </c>
      <c r="BW127" s="16">
        <f t="shared" si="63"/>
        <v>0</v>
      </c>
      <c r="BX127" s="3">
        <f t="shared" si="64"/>
        <v>0</v>
      </c>
      <c r="BY127" s="3">
        <f t="shared" si="93"/>
        <v>0</v>
      </c>
      <c r="BZ127" s="3" t="s">
        <v>162</v>
      </c>
      <c r="CA127" s="3">
        <f t="shared" si="65"/>
        <v>0</v>
      </c>
      <c r="CB127" s="3">
        <f t="shared" si="66"/>
        <v>0</v>
      </c>
      <c r="CC127" s="3">
        <f t="shared" si="67"/>
        <v>0</v>
      </c>
      <c r="CD127" s="3">
        <f t="shared" si="68"/>
        <v>0</v>
      </c>
      <c r="CE127" s="22">
        <f t="shared" si="74"/>
        <v>0</v>
      </c>
      <c r="CF127" s="1">
        <f t="shared" si="69"/>
        <v>0</v>
      </c>
      <c r="CG127" s="1">
        <f t="shared" si="75"/>
        <v>0</v>
      </c>
      <c r="CH127" s="3" t="s">
        <v>162</v>
      </c>
      <c r="CI127" s="1">
        <f t="shared" si="76"/>
        <v>0</v>
      </c>
      <c r="CJ127" s="1">
        <f t="shared" si="77"/>
        <v>0</v>
      </c>
      <c r="CK127" s="1">
        <f t="shared" si="78"/>
        <v>0</v>
      </c>
      <c r="CL127" s="1">
        <f t="shared" si="79"/>
        <v>0</v>
      </c>
      <c r="CM127" s="2">
        <f t="shared" si="80"/>
        <v>0</v>
      </c>
      <c r="CN127" s="1">
        <f t="shared" si="81"/>
        <v>0</v>
      </c>
      <c r="CO127" s="1">
        <f t="shared" si="82"/>
        <v>0</v>
      </c>
      <c r="CP127" s="3" t="s">
        <v>162</v>
      </c>
      <c r="CQ127" s="1">
        <f t="shared" si="83"/>
        <v>0</v>
      </c>
      <c r="CR127" s="1">
        <f t="shared" si="84"/>
        <v>0</v>
      </c>
      <c r="CS127" s="1">
        <f t="shared" si="85"/>
        <v>0</v>
      </c>
      <c r="CT127" s="1">
        <f t="shared" si="86"/>
        <v>0</v>
      </c>
      <c r="CU127" s="2">
        <f t="shared" si="87"/>
        <v>0</v>
      </c>
      <c r="CV127" s="14">
        <f t="shared" si="88"/>
        <v>0</v>
      </c>
      <c r="CW127" s="1">
        <f>ROUND(PPTest!K127,1)</f>
        <v>0</v>
      </c>
      <c r="CX127" s="3">
        <f t="shared" si="70"/>
        <v>0</v>
      </c>
      <c r="CY127" s="3">
        <f t="shared" si="89"/>
        <v>0</v>
      </c>
      <c r="CZ127" s="19">
        <f t="shared" si="90"/>
        <v>0</v>
      </c>
      <c r="DA127" s="19" t="e">
        <f t="shared" si="90"/>
        <v>#DIV/0!</v>
      </c>
      <c r="DB127" s="16">
        <f t="shared" si="91"/>
        <v>0</v>
      </c>
    </row>
    <row r="128" spans="1:106" x14ac:dyDescent="0.2">
      <c r="A128" s="15">
        <f t="shared" si="92"/>
        <v>45780</v>
      </c>
      <c r="B128" s="1">
        <v>123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4"/>
      <c r="AY128" s="12"/>
      <c r="AZ128" s="12"/>
      <c r="BA128" s="16">
        <v>28.61</v>
      </c>
      <c r="BB128" s="41"/>
      <c r="BC128" s="41"/>
      <c r="BD128" s="8" t="e">
        <f t="shared" si="94"/>
        <v>#DIV/0!</v>
      </c>
      <c r="BE128" s="8"/>
      <c r="BF128" s="2">
        <f t="shared" si="71"/>
        <v>0</v>
      </c>
      <c r="BG128" s="2">
        <f t="shared" si="72"/>
        <v>0</v>
      </c>
      <c r="BH128" s="2">
        <f t="shared" si="73"/>
        <v>0</v>
      </c>
      <c r="BI128" s="35">
        <f t="shared" si="95"/>
        <v>0</v>
      </c>
      <c r="BJ128" s="35" t="e">
        <f t="shared" si="52"/>
        <v>#DIV/0!</v>
      </c>
      <c r="BL128" s="3">
        <f t="shared" si="53"/>
        <v>0</v>
      </c>
      <c r="BM128" s="19" t="e">
        <f t="shared" si="54"/>
        <v>#DIV/0!</v>
      </c>
      <c r="BN128" s="19" t="e">
        <f t="shared" si="55"/>
        <v>#DIV/0!</v>
      </c>
      <c r="BO128" s="19" t="e">
        <f t="shared" si="56"/>
        <v>#DIV/0!</v>
      </c>
      <c r="BP128" s="19" t="e">
        <f t="shared" si="57"/>
        <v>#DIV/0!</v>
      </c>
      <c r="BQ128" s="19" t="e">
        <f t="shared" si="58"/>
        <v>#DIV/0!</v>
      </c>
      <c r="BR128" s="19" t="e">
        <f t="shared" si="59"/>
        <v>#DIV/0!</v>
      </c>
      <c r="BS128" s="19" t="e">
        <f t="shared" si="60"/>
        <v>#DIV/0!</v>
      </c>
      <c r="BT128" s="19" t="e">
        <f t="shared" si="61"/>
        <v>#DIV/0!</v>
      </c>
      <c r="BV128" s="16">
        <f t="shared" si="62"/>
        <v>0</v>
      </c>
      <c r="BW128" s="16">
        <f t="shared" si="63"/>
        <v>0</v>
      </c>
      <c r="BX128" s="3">
        <f t="shared" si="64"/>
        <v>0</v>
      </c>
      <c r="BY128" s="3">
        <f t="shared" si="93"/>
        <v>0</v>
      </c>
      <c r="BZ128" s="3" t="s">
        <v>162</v>
      </c>
      <c r="CA128" s="3">
        <f t="shared" si="65"/>
        <v>0</v>
      </c>
      <c r="CB128" s="3">
        <f t="shared" si="66"/>
        <v>0</v>
      </c>
      <c r="CC128" s="3">
        <f t="shared" si="67"/>
        <v>0</v>
      </c>
      <c r="CD128" s="3">
        <f t="shared" si="68"/>
        <v>0</v>
      </c>
      <c r="CE128" s="22">
        <f t="shared" si="74"/>
        <v>0</v>
      </c>
      <c r="CF128" s="1">
        <f t="shared" si="69"/>
        <v>0</v>
      </c>
      <c r="CG128" s="1">
        <f t="shared" si="75"/>
        <v>0</v>
      </c>
      <c r="CH128" s="3" t="s">
        <v>162</v>
      </c>
      <c r="CI128" s="1">
        <f t="shared" si="76"/>
        <v>0</v>
      </c>
      <c r="CJ128" s="1">
        <f t="shared" si="77"/>
        <v>0</v>
      </c>
      <c r="CK128" s="1">
        <f t="shared" si="78"/>
        <v>0</v>
      </c>
      <c r="CL128" s="1">
        <f t="shared" si="79"/>
        <v>0</v>
      </c>
      <c r="CM128" s="2">
        <f t="shared" si="80"/>
        <v>0</v>
      </c>
      <c r="CN128" s="1">
        <f t="shared" si="81"/>
        <v>0</v>
      </c>
      <c r="CO128" s="1">
        <f t="shared" si="82"/>
        <v>0</v>
      </c>
      <c r="CP128" s="3" t="s">
        <v>162</v>
      </c>
      <c r="CQ128" s="1">
        <f t="shared" si="83"/>
        <v>0</v>
      </c>
      <c r="CR128" s="1">
        <f t="shared" si="84"/>
        <v>0</v>
      </c>
      <c r="CS128" s="1">
        <f t="shared" si="85"/>
        <v>0</v>
      </c>
      <c r="CT128" s="1">
        <f t="shared" si="86"/>
        <v>0</v>
      </c>
      <c r="CU128" s="2">
        <f t="shared" si="87"/>
        <v>0</v>
      </c>
      <c r="CV128" s="14">
        <f t="shared" si="88"/>
        <v>0</v>
      </c>
      <c r="CW128" s="1">
        <f>ROUND(PPTest!K128,1)</f>
        <v>0</v>
      </c>
      <c r="CX128" s="3">
        <f t="shared" si="70"/>
        <v>0</v>
      </c>
      <c r="CY128" s="3">
        <f t="shared" si="89"/>
        <v>0</v>
      </c>
      <c r="CZ128" s="19">
        <f t="shared" si="90"/>
        <v>0</v>
      </c>
      <c r="DA128" s="19" t="e">
        <f t="shared" si="90"/>
        <v>#DIV/0!</v>
      </c>
      <c r="DB128" s="16">
        <f t="shared" si="91"/>
        <v>0</v>
      </c>
    </row>
    <row r="129" spans="1:106" x14ac:dyDescent="0.2">
      <c r="A129" s="15">
        <f t="shared" si="92"/>
        <v>45781</v>
      </c>
      <c r="B129" s="1">
        <v>124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4"/>
      <c r="AY129" s="12"/>
      <c r="AZ129" s="12"/>
      <c r="BA129" s="16">
        <v>28.8</v>
      </c>
      <c r="BB129" s="41"/>
      <c r="BC129" s="41"/>
      <c r="BD129" s="8" t="e">
        <f t="shared" si="94"/>
        <v>#DIV/0!</v>
      </c>
      <c r="BE129" s="8"/>
      <c r="BF129" s="2">
        <f t="shared" si="71"/>
        <v>0</v>
      </c>
      <c r="BG129" s="2">
        <f t="shared" si="72"/>
        <v>0</v>
      </c>
      <c r="BH129" s="2">
        <f t="shared" si="73"/>
        <v>0</v>
      </c>
      <c r="BI129" s="35">
        <f t="shared" si="95"/>
        <v>0</v>
      </c>
      <c r="BJ129" s="35" t="e">
        <f t="shared" si="52"/>
        <v>#DIV/0!</v>
      </c>
      <c r="BL129" s="3">
        <f t="shared" si="53"/>
        <v>0</v>
      </c>
      <c r="BM129" s="19" t="e">
        <f t="shared" si="54"/>
        <v>#DIV/0!</v>
      </c>
      <c r="BN129" s="19" t="e">
        <f t="shared" si="55"/>
        <v>#DIV/0!</v>
      </c>
      <c r="BO129" s="19" t="e">
        <f t="shared" si="56"/>
        <v>#DIV/0!</v>
      </c>
      <c r="BP129" s="19" t="e">
        <f t="shared" si="57"/>
        <v>#DIV/0!</v>
      </c>
      <c r="BQ129" s="19" t="e">
        <f t="shared" si="58"/>
        <v>#DIV/0!</v>
      </c>
      <c r="BR129" s="19" t="e">
        <f t="shared" si="59"/>
        <v>#DIV/0!</v>
      </c>
      <c r="BS129" s="19" t="e">
        <f t="shared" si="60"/>
        <v>#DIV/0!</v>
      </c>
      <c r="BT129" s="19" t="e">
        <f t="shared" si="61"/>
        <v>#DIV/0!</v>
      </c>
      <c r="BV129" s="16">
        <f t="shared" si="62"/>
        <v>0</v>
      </c>
      <c r="BW129" s="16">
        <f t="shared" si="63"/>
        <v>0</v>
      </c>
      <c r="BX129" s="3">
        <f t="shared" si="64"/>
        <v>0</v>
      </c>
      <c r="BY129" s="3">
        <f t="shared" si="93"/>
        <v>0</v>
      </c>
      <c r="BZ129" s="3" t="s">
        <v>162</v>
      </c>
      <c r="CA129" s="3">
        <f t="shared" si="65"/>
        <v>0</v>
      </c>
      <c r="CB129" s="3">
        <f t="shared" si="66"/>
        <v>0</v>
      </c>
      <c r="CC129" s="3">
        <f t="shared" si="67"/>
        <v>0</v>
      </c>
      <c r="CD129" s="3">
        <f t="shared" si="68"/>
        <v>0</v>
      </c>
      <c r="CE129" s="22">
        <f t="shared" si="74"/>
        <v>0</v>
      </c>
      <c r="CF129" s="1">
        <f t="shared" si="69"/>
        <v>0</v>
      </c>
      <c r="CG129" s="1">
        <f t="shared" si="75"/>
        <v>0</v>
      </c>
      <c r="CH129" s="3" t="s">
        <v>162</v>
      </c>
      <c r="CI129" s="1">
        <f t="shared" si="76"/>
        <v>0</v>
      </c>
      <c r="CJ129" s="1">
        <f t="shared" si="77"/>
        <v>0</v>
      </c>
      <c r="CK129" s="1">
        <f t="shared" si="78"/>
        <v>0</v>
      </c>
      <c r="CL129" s="1">
        <f t="shared" si="79"/>
        <v>0</v>
      </c>
      <c r="CM129" s="2">
        <f t="shared" si="80"/>
        <v>0</v>
      </c>
      <c r="CN129" s="1">
        <f t="shared" si="81"/>
        <v>0</v>
      </c>
      <c r="CO129" s="1">
        <f t="shared" si="82"/>
        <v>0</v>
      </c>
      <c r="CP129" s="3" t="s">
        <v>162</v>
      </c>
      <c r="CQ129" s="1">
        <f t="shared" si="83"/>
        <v>0</v>
      </c>
      <c r="CR129" s="1">
        <f t="shared" si="84"/>
        <v>0</v>
      </c>
      <c r="CS129" s="1">
        <f t="shared" si="85"/>
        <v>0</v>
      </c>
      <c r="CT129" s="1">
        <f t="shared" si="86"/>
        <v>0</v>
      </c>
      <c r="CU129" s="2">
        <f t="shared" si="87"/>
        <v>0</v>
      </c>
      <c r="CV129" s="14">
        <f t="shared" si="88"/>
        <v>0</v>
      </c>
      <c r="CW129" s="1">
        <f>ROUND(PPTest!K129,1)</f>
        <v>0</v>
      </c>
      <c r="CX129" s="3">
        <f t="shared" si="70"/>
        <v>0</v>
      </c>
      <c r="CY129" s="3">
        <f t="shared" si="89"/>
        <v>0</v>
      </c>
      <c r="CZ129" s="19">
        <f t="shared" si="90"/>
        <v>0</v>
      </c>
      <c r="DA129" s="19" t="e">
        <f t="shared" si="90"/>
        <v>#DIV/0!</v>
      </c>
      <c r="DB129" s="16">
        <f t="shared" si="91"/>
        <v>0</v>
      </c>
    </row>
    <row r="130" spans="1:106" x14ac:dyDescent="0.2">
      <c r="A130" s="15">
        <f t="shared" si="92"/>
        <v>45782</v>
      </c>
      <c r="B130" s="1">
        <v>125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4"/>
      <c r="AY130" s="12"/>
      <c r="AZ130" s="12"/>
      <c r="BA130" s="16">
        <v>28.99</v>
      </c>
      <c r="BB130" s="41"/>
      <c r="BC130" s="41"/>
      <c r="BD130" s="8" t="e">
        <f t="shared" si="94"/>
        <v>#DIV/0!</v>
      </c>
      <c r="BE130" s="8"/>
      <c r="BF130" s="2">
        <f t="shared" si="71"/>
        <v>0</v>
      </c>
      <c r="BG130" s="2">
        <f t="shared" si="72"/>
        <v>0</v>
      </c>
      <c r="BH130" s="2">
        <f t="shared" si="73"/>
        <v>0</v>
      </c>
      <c r="BI130" s="35">
        <f t="shared" si="95"/>
        <v>0</v>
      </c>
      <c r="BJ130" s="35" t="e">
        <f t="shared" si="52"/>
        <v>#DIV/0!</v>
      </c>
      <c r="BL130" s="3">
        <f t="shared" si="53"/>
        <v>0</v>
      </c>
      <c r="BM130" s="19" t="e">
        <f t="shared" si="54"/>
        <v>#DIV/0!</v>
      </c>
      <c r="BN130" s="19" t="e">
        <f t="shared" si="55"/>
        <v>#DIV/0!</v>
      </c>
      <c r="BO130" s="19" t="e">
        <f t="shared" si="56"/>
        <v>#DIV/0!</v>
      </c>
      <c r="BP130" s="19" t="e">
        <f t="shared" si="57"/>
        <v>#DIV/0!</v>
      </c>
      <c r="BQ130" s="19" t="e">
        <f t="shared" si="58"/>
        <v>#DIV/0!</v>
      </c>
      <c r="BR130" s="19" t="e">
        <f t="shared" si="59"/>
        <v>#DIV/0!</v>
      </c>
      <c r="BS130" s="19" t="e">
        <f t="shared" si="60"/>
        <v>#DIV/0!</v>
      </c>
      <c r="BT130" s="19" t="e">
        <f t="shared" si="61"/>
        <v>#DIV/0!</v>
      </c>
      <c r="BV130" s="16">
        <f t="shared" si="62"/>
        <v>0</v>
      </c>
      <c r="BW130" s="16">
        <f t="shared" si="63"/>
        <v>0</v>
      </c>
      <c r="BX130" s="3">
        <f t="shared" si="64"/>
        <v>0</v>
      </c>
      <c r="BY130" s="3">
        <f t="shared" si="93"/>
        <v>0</v>
      </c>
      <c r="BZ130" s="3" t="s">
        <v>162</v>
      </c>
      <c r="CA130" s="3">
        <f t="shared" si="65"/>
        <v>0</v>
      </c>
      <c r="CB130" s="3">
        <f t="shared" si="66"/>
        <v>0</v>
      </c>
      <c r="CC130" s="3">
        <f t="shared" si="67"/>
        <v>0</v>
      </c>
      <c r="CD130" s="3">
        <f t="shared" si="68"/>
        <v>0</v>
      </c>
      <c r="CE130" s="22">
        <f t="shared" si="74"/>
        <v>0</v>
      </c>
      <c r="CF130" s="1">
        <f t="shared" si="69"/>
        <v>0</v>
      </c>
      <c r="CG130" s="1">
        <f t="shared" si="75"/>
        <v>0</v>
      </c>
      <c r="CH130" s="3" t="s">
        <v>162</v>
      </c>
      <c r="CI130" s="1">
        <f t="shared" si="76"/>
        <v>0</v>
      </c>
      <c r="CJ130" s="1">
        <f t="shared" si="77"/>
        <v>0</v>
      </c>
      <c r="CK130" s="1">
        <f t="shared" si="78"/>
        <v>0</v>
      </c>
      <c r="CL130" s="1">
        <f t="shared" si="79"/>
        <v>0</v>
      </c>
      <c r="CM130" s="2">
        <f t="shared" si="80"/>
        <v>0</v>
      </c>
      <c r="CN130" s="1">
        <f t="shared" si="81"/>
        <v>0</v>
      </c>
      <c r="CO130" s="1">
        <f t="shared" si="82"/>
        <v>0</v>
      </c>
      <c r="CP130" s="3" t="s">
        <v>162</v>
      </c>
      <c r="CQ130" s="1">
        <f t="shared" si="83"/>
        <v>0</v>
      </c>
      <c r="CR130" s="1">
        <f t="shared" si="84"/>
        <v>0</v>
      </c>
      <c r="CS130" s="1">
        <f t="shared" si="85"/>
        <v>0</v>
      </c>
      <c r="CT130" s="1">
        <f t="shared" si="86"/>
        <v>0</v>
      </c>
      <c r="CU130" s="2">
        <f t="shared" si="87"/>
        <v>0</v>
      </c>
      <c r="CV130" s="14">
        <f t="shared" si="88"/>
        <v>0</v>
      </c>
      <c r="CW130" s="1">
        <f>ROUND(PPTest!K130,1)</f>
        <v>0</v>
      </c>
      <c r="CX130" s="3">
        <f t="shared" si="70"/>
        <v>0</v>
      </c>
      <c r="CY130" s="3">
        <f t="shared" si="89"/>
        <v>0</v>
      </c>
      <c r="CZ130" s="19">
        <f t="shared" si="90"/>
        <v>0</v>
      </c>
      <c r="DA130" s="19" t="e">
        <f t="shared" si="90"/>
        <v>#DIV/0!</v>
      </c>
      <c r="DB130" s="16">
        <f t="shared" si="91"/>
        <v>0</v>
      </c>
    </row>
    <row r="131" spans="1:106" x14ac:dyDescent="0.2">
      <c r="A131" s="15">
        <f t="shared" si="92"/>
        <v>45783</v>
      </c>
      <c r="B131" s="1">
        <v>126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4"/>
      <c r="AY131" s="12"/>
      <c r="AZ131" s="12"/>
      <c r="BA131" s="16">
        <v>29.17</v>
      </c>
      <c r="BB131" s="41"/>
      <c r="BC131" s="41"/>
      <c r="BD131" s="8" t="e">
        <f t="shared" si="94"/>
        <v>#DIV/0!</v>
      </c>
      <c r="BE131" s="8"/>
      <c r="BF131" s="2">
        <f t="shared" si="71"/>
        <v>0</v>
      </c>
      <c r="BG131" s="2">
        <f t="shared" si="72"/>
        <v>0</v>
      </c>
      <c r="BH131" s="2">
        <f t="shared" si="73"/>
        <v>0</v>
      </c>
      <c r="BI131" s="35">
        <f t="shared" si="95"/>
        <v>0</v>
      </c>
      <c r="BJ131" s="35" t="e">
        <f t="shared" si="52"/>
        <v>#DIV/0!</v>
      </c>
      <c r="BL131" s="3">
        <f t="shared" si="53"/>
        <v>0</v>
      </c>
      <c r="BM131" s="19" t="e">
        <f t="shared" si="54"/>
        <v>#DIV/0!</v>
      </c>
      <c r="BN131" s="19" t="e">
        <f t="shared" si="55"/>
        <v>#DIV/0!</v>
      </c>
      <c r="BO131" s="19" t="e">
        <f t="shared" si="56"/>
        <v>#DIV/0!</v>
      </c>
      <c r="BP131" s="19" t="e">
        <f t="shared" si="57"/>
        <v>#DIV/0!</v>
      </c>
      <c r="BQ131" s="19" t="e">
        <f t="shared" si="58"/>
        <v>#DIV/0!</v>
      </c>
      <c r="BR131" s="19" t="e">
        <f t="shared" si="59"/>
        <v>#DIV/0!</v>
      </c>
      <c r="BS131" s="19" t="e">
        <f t="shared" si="60"/>
        <v>#DIV/0!</v>
      </c>
      <c r="BT131" s="19" t="e">
        <f t="shared" si="61"/>
        <v>#DIV/0!</v>
      </c>
      <c r="BV131" s="16">
        <f t="shared" si="62"/>
        <v>0</v>
      </c>
      <c r="BW131" s="16">
        <f t="shared" si="63"/>
        <v>0</v>
      </c>
      <c r="BX131" s="3">
        <f t="shared" si="64"/>
        <v>0</v>
      </c>
      <c r="BY131" s="3">
        <f t="shared" si="93"/>
        <v>0</v>
      </c>
      <c r="BZ131" s="3" t="s">
        <v>162</v>
      </c>
      <c r="CA131" s="3">
        <f t="shared" si="65"/>
        <v>0</v>
      </c>
      <c r="CB131" s="3">
        <f t="shared" si="66"/>
        <v>0</v>
      </c>
      <c r="CC131" s="3">
        <f t="shared" si="67"/>
        <v>0</v>
      </c>
      <c r="CD131" s="3">
        <f t="shared" si="68"/>
        <v>0</v>
      </c>
      <c r="CE131" s="22">
        <f t="shared" si="74"/>
        <v>0</v>
      </c>
      <c r="CF131" s="1">
        <f t="shared" si="69"/>
        <v>0</v>
      </c>
      <c r="CG131" s="1">
        <f t="shared" si="75"/>
        <v>0</v>
      </c>
      <c r="CH131" s="3" t="s">
        <v>162</v>
      </c>
      <c r="CI131" s="1">
        <f t="shared" si="76"/>
        <v>0</v>
      </c>
      <c r="CJ131" s="1">
        <f t="shared" si="77"/>
        <v>0</v>
      </c>
      <c r="CK131" s="1">
        <f t="shared" si="78"/>
        <v>0</v>
      </c>
      <c r="CL131" s="1">
        <f t="shared" si="79"/>
        <v>0</v>
      </c>
      <c r="CM131" s="2">
        <f t="shared" si="80"/>
        <v>0</v>
      </c>
      <c r="CN131" s="1">
        <f t="shared" si="81"/>
        <v>0</v>
      </c>
      <c r="CO131" s="1">
        <f t="shared" si="82"/>
        <v>0</v>
      </c>
      <c r="CP131" s="3" t="s">
        <v>162</v>
      </c>
      <c r="CQ131" s="1">
        <f t="shared" si="83"/>
        <v>0</v>
      </c>
      <c r="CR131" s="1">
        <f t="shared" si="84"/>
        <v>0</v>
      </c>
      <c r="CS131" s="1">
        <f t="shared" si="85"/>
        <v>0</v>
      </c>
      <c r="CT131" s="1">
        <f t="shared" si="86"/>
        <v>0</v>
      </c>
      <c r="CU131" s="2">
        <f t="shared" si="87"/>
        <v>0</v>
      </c>
      <c r="CV131" s="14">
        <f t="shared" si="88"/>
        <v>0</v>
      </c>
      <c r="CW131" s="1">
        <f>ROUND(PPTest!K131,1)</f>
        <v>0</v>
      </c>
      <c r="CX131" s="3">
        <f t="shared" si="70"/>
        <v>0</v>
      </c>
      <c r="CY131" s="3">
        <f t="shared" si="89"/>
        <v>0</v>
      </c>
      <c r="CZ131" s="19">
        <f t="shared" si="90"/>
        <v>0</v>
      </c>
      <c r="DA131" s="19" t="e">
        <f t="shared" si="90"/>
        <v>#DIV/0!</v>
      </c>
      <c r="DB131" s="16">
        <f t="shared" si="91"/>
        <v>0</v>
      </c>
    </row>
    <row r="132" spans="1:106" x14ac:dyDescent="0.2">
      <c r="A132" s="15">
        <f t="shared" si="92"/>
        <v>45784</v>
      </c>
      <c r="B132" s="1">
        <v>127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4"/>
      <c r="AY132" s="12"/>
      <c r="AZ132" s="12"/>
      <c r="BA132" s="16">
        <v>29.35</v>
      </c>
      <c r="BB132" s="41"/>
      <c r="BC132" s="41"/>
      <c r="BD132" s="8" t="e">
        <f t="shared" si="94"/>
        <v>#DIV/0!</v>
      </c>
      <c r="BE132" s="8"/>
      <c r="BF132" s="2">
        <f t="shared" si="71"/>
        <v>0</v>
      </c>
      <c r="BG132" s="2">
        <f t="shared" si="72"/>
        <v>0</v>
      </c>
      <c r="BH132" s="2">
        <f t="shared" si="73"/>
        <v>0</v>
      </c>
      <c r="BI132" s="35">
        <f t="shared" si="95"/>
        <v>0</v>
      </c>
      <c r="BJ132" s="35" t="e">
        <f t="shared" si="52"/>
        <v>#DIV/0!</v>
      </c>
      <c r="BL132" s="3">
        <f t="shared" si="53"/>
        <v>0</v>
      </c>
      <c r="BM132" s="19" t="e">
        <f t="shared" si="54"/>
        <v>#DIV/0!</v>
      </c>
      <c r="BN132" s="19" t="e">
        <f t="shared" si="55"/>
        <v>#DIV/0!</v>
      </c>
      <c r="BO132" s="19" t="e">
        <f t="shared" si="56"/>
        <v>#DIV/0!</v>
      </c>
      <c r="BP132" s="19" t="e">
        <f t="shared" si="57"/>
        <v>#DIV/0!</v>
      </c>
      <c r="BQ132" s="19" t="e">
        <f t="shared" si="58"/>
        <v>#DIV/0!</v>
      </c>
      <c r="BR132" s="19" t="e">
        <f t="shared" si="59"/>
        <v>#DIV/0!</v>
      </c>
      <c r="BS132" s="19" t="e">
        <f t="shared" si="60"/>
        <v>#DIV/0!</v>
      </c>
      <c r="BT132" s="19" t="e">
        <f t="shared" si="61"/>
        <v>#DIV/0!</v>
      </c>
      <c r="BV132" s="16">
        <f t="shared" si="62"/>
        <v>0</v>
      </c>
      <c r="BW132" s="16">
        <f t="shared" si="63"/>
        <v>0</v>
      </c>
      <c r="BX132" s="3">
        <f t="shared" si="64"/>
        <v>0</v>
      </c>
      <c r="BY132" s="3">
        <f t="shared" si="93"/>
        <v>0</v>
      </c>
      <c r="BZ132" s="3" t="s">
        <v>162</v>
      </c>
      <c r="CA132" s="3">
        <f t="shared" si="65"/>
        <v>0</v>
      </c>
      <c r="CB132" s="3">
        <f t="shared" si="66"/>
        <v>0</v>
      </c>
      <c r="CC132" s="3">
        <f t="shared" si="67"/>
        <v>0</v>
      </c>
      <c r="CD132" s="3">
        <f t="shared" si="68"/>
        <v>0</v>
      </c>
      <c r="CE132" s="22">
        <f t="shared" si="74"/>
        <v>0</v>
      </c>
      <c r="CF132" s="1">
        <f t="shared" si="69"/>
        <v>0</v>
      </c>
      <c r="CG132" s="1">
        <f t="shared" si="75"/>
        <v>0</v>
      </c>
      <c r="CH132" s="3" t="s">
        <v>162</v>
      </c>
      <c r="CI132" s="1">
        <f t="shared" si="76"/>
        <v>0</v>
      </c>
      <c r="CJ132" s="1">
        <f t="shared" si="77"/>
        <v>0</v>
      </c>
      <c r="CK132" s="1">
        <f t="shared" si="78"/>
        <v>0</v>
      </c>
      <c r="CL132" s="1">
        <f t="shared" si="79"/>
        <v>0</v>
      </c>
      <c r="CM132" s="2">
        <f t="shared" si="80"/>
        <v>0</v>
      </c>
      <c r="CN132" s="1">
        <f t="shared" si="81"/>
        <v>0</v>
      </c>
      <c r="CO132" s="1">
        <f t="shared" si="82"/>
        <v>0</v>
      </c>
      <c r="CP132" s="3" t="s">
        <v>162</v>
      </c>
      <c r="CQ132" s="1">
        <f t="shared" si="83"/>
        <v>0</v>
      </c>
      <c r="CR132" s="1">
        <f t="shared" si="84"/>
        <v>0</v>
      </c>
      <c r="CS132" s="1">
        <f t="shared" si="85"/>
        <v>0</v>
      </c>
      <c r="CT132" s="1">
        <f t="shared" si="86"/>
        <v>0</v>
      </c>
      <c r="CU132" s="2">
        <f t="shared" si="87"/>
        <v>0</v>
      </c>
      <c r="CV132" s="14">
        <f t="shared" si="88"/>
        <v>0</v>
      </c>
      <c r="CW132" s="1">
        <f>ROUND(PPTest!K132,1)</f>
        <v>0</v>
      </c>
      <c r="CX132" s="3">
        <f t="shared" si="70"/>
        <v>0</v>
      </c>
      <c r="CY132" s="3">
        <f t="shared" si="89"/>
        <v>0</v>
      </c>
      <c r="CZ132" s="19">
        <f t="shared" si="90"/>
        <v>0</v>
      </c>
      <c r="DA132" s="19" t="e">
        <f t="shared" si="90"/>
        <v>#DIV/0!</v>
      </c>
      <c r="DB132" s="16">
        <f t="shared" si="91"/>
        <v>0</v>
      </c>
    </row>
    <row r="133" spans="1:106" x14ac:dyDescent="0.2">
      <c r="A133" s="15">
        <f t="shared" si="92"/>
        <v>45785</v>
      </c>
      <c r="B133" s="1">
        <v>128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4"/>
      <c r="AY133" s="12"/>
      <c r="AZ133" s="12"/>
      <c r="BA133" s="16">
        <v>29.53</v>
      </c>
      <c r="BB133" s="41"/>
      <c r="BC133" s="41"/>
      <c r="BD133" s="8" t="e">
        <f t="shared" si="94"/>
        <v>#DIV/0!</v>
      </c>
      <c r="BE133" s="8"/>
      <c r="BF133" s="2">
        <f t="shared" si="71"/>
        <v>0</v>
      </c>
      <c r="BG133" s="2">
        <f t="shared" si="72"/>
        <v>0</v>
      </c>
      <c r="BH133" s="2">
        <f t="shared" si="73"/>
        <v>0</v>
      </c>
      <c r="BI133" s="35">
        <f t="shared" si="95"/>
        <v>0</v>
      </c>
      <c r="BJ133" s="35" t="e">
        <f t="shared" si="52"/>
        <v>#DIV/0!</v>
      </c>
      <c r="BL133" s="3">
        <f t="shared" si="53"/>
        <v>0</v>
      </c>
      <c r="BM133" s="19" t="e">
        <f t="shared" si="54"/>
        <v>#DIV/0!</v>
      </c>
      <c r="BN133" s="19" t="e">
        <f t="shared" si="55"/>
        <v>#DIV/0!</v>
      </c>
      <c r="BO133" s="19" t="e">
        <f t="shared" si="56"/>
        <v>#DIV/0!</v>
      </c>
      <c r="BP133" s="19" t="e">
        <f t="shared" si="57"/>
        <v>#DIV/0!</v>
      </c>
      <c r="BQ133" s="19" t="e">
        <f t="shared" si="58"/>
        <v>#DIV/0!</v>
      </c>
      <c r="BR133" s="19" t="e">
        <f t="shared" si="59"/>
        <v>#DIV/0!</v>
      </c>
      <c r="BS133" s="19" t="e">
        <f t="shared" si="60"/>
        <v>#DIV/0!</v>
      </c>
      <c r="BT133" s="19" t="e">
        <f t="shared" si="61"/>
        <v>#DIV/0!</v>
      </c>
      <c r="BV133" s="16">
        <f t="shared" si="62"/>
        <v>0</v>
      </c>
      <c r="BW133" s="16">
        <f t="shared" si="63"/>
        <v>0</v>
      </c>
      <c r="BX133" s="3">
        <f t="shared" si="64"/>
        <v>0</v>
      </c>
      <c r="BY133" s="3">
        <f t="shared" si="93"/>
        <v>0</v>
      </c>
      <c r="BZ133" s="3" t="s">
        <v>162</v>
      </c>
      <c r="CA133" s="3">
        <f t="shared" si="65"/>
        <v>0</v>
      </c>
      <c r="CB133" s="3">
        <f t="shared" si="66"/>
        <v>0</v>
      </c>
      <c r="CC133" s="3">
        <f t="shared" si="67"/>
        <v>0</v>
      </c>
      <c r="CD133" s="3">
        <f t="shared" si="68"/>
        <v>0</v>
      </c>
      <c r="CE133" s="22">
        <f t="shared" si="74"/>
        <v>0</v>
      </c>
      <c r="CF133" s="1">
        <f t="shared" si="69"/>
        <v>0</v>
      </c>
      <c r="CG133" s="1">
        <f t="shared" si="75"/>
        <v>0</v>
      </c>
      <c r="CH133" s="3" t="s">
        <v>162</v>
      </c>
      <c r="CI133" s="1">
        <f t="shared" si="76"/>
        <v>0</v>
      </c>
      <c r="CJ133" s="1">
        <f t="shared" si="77"/>
        <v>0</v>
      </c>
      <c r="CK133" s="1">
        <f t="shared" si="78"/>
        <v>0</v>
      </c>
      <c r="CL133" s="1">
        <f t="shared" si="79"/>
        <v>0</v>
      </c>
      <c r="CM133" s="2">
        <f t="shared" si="80"/>
        <v>0</v>
      </c>
      <c r="CN133" s="1">
        <f t="shared" si="81"/>
        <v>0</v>
      </c>
      <c r="CO133" s="1">
        <f t="shared" si="82"/>
        <v>0</v>
      </c>
      <c r="CP133" s="3" t="s">
        <v>162</v>
      </c>
      <c r="CQ133" s="1">
        <f t="shared" si="83"/>
        <v>0</v>
      </c>
      <c r="CR133" s="1">
        <f t="shared" si="84"/>
        <v>0</v>
      </c>
      <c r="CS133" s="1">
        <f t="shared" si="85"/>
        <v>0</v>
      </c>
      <c r="CT133" s="1">
        <f t="shared" si="86"/>
        <v>0</v>
      </c>
      <c r="CU133" s="2">
        <f t="shared" si="87"/>
        <v>0</v>
      </c>
      <c r="CV133" s="14">
        <f t="shared" si="88"/>
        <v>0</v>
      </c>
      <c r="CW133" s="1">
        <f>ROUND(PPTest!K133,1)</f>
        <v>0</v>
      </c>
      <c r="CX133" s="3">
        <f t="shared" si="70"/>
        <v>0</v>
      </c>
      <c r="CY133" s="3">
        <f t="shared" si="89"/>
        <v>0</v>
      </c>
      <c r="CZ133" s="19">
        <f t="shared" si="90"/>
        <v>0</v>
      </c>
      <c r="DA133" s="19" t="e">
        <f t="shared" si="90"/>
        <v>#DIV/0!</v>
      </c>
      <c r="DB133" s="16">
        <f t="shared" si="91"/>
        <v>0</v>
      </c>
    </row>
    <row r="134" spans="1:106" x14ac:dyDescent="0.2">
      <c r="A134" s="15">
        <f t="shared" si="92"/>
        <v>45786</v>
      </c>
      <c r="B134" s="1">
        <v>129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4"/>
      <c r="AY134" s="12"/>
      <c r="AZ134" s="12"/>
      <c r="BA134" s="16">
        <v>29.69</v>
      </c>
      <c r="BB134" s="41"/>
      <c r="BC134" s="41"/>
      <c r="BD134" s="8" t="e">
        <f t="shared" si="94"/>
        <v>#DIV/0!</v>
      </c>
      <c r="BE134" s="8"/>
      <c r="BF134" s="2">
        <f t="shared" si="71"/>
        <v>0</v>
      </c>
      <c r="BG134" s="2">
        <f t="shared" si="72"/>
        <v>0</v>
      </c>
      <c r="BH134" s="2">
        <f t="shared" si="73"/>
        <v>0</v>
      </c>
      <c r="BI134" s="35">
        <f t="shared" si="95"/>
        <v>0</v>
      </c>
      <c r="BJ134" s="35" t="e">
        <f t="shared" ref="BJ134:BJ197" si="96">ROUND(BI134/BH134*(100-BH134),3)</f>
        <v>#DIV/0!</v>
      </c>
      <c r="BL134" s="3">
        <f t="shared" ref="BL134:BL197" si="97">SUM(AG134:AN134)</f>
        <v>0</v>
      </c>
      <c r="BM134" s="19" t="e">
        <f t="shared" ref="BM134:BM197" si="98">ROUND(AG134/$BL134,3)</f>
        <v>#DIV/0!</v>
      </c>
      <c r="BN134" s="19" t="e">
        <f t="shared" ref="BN134:BN197" si="99">ROUND(AH134/$BL134,3)</f>
        <v>#DIV/0!</v>
      </c>
      <c r="BO134" s="19" t="e">
        <f t="shared" ref="BO134:BO197" si="100">ROUND(AI134/$BL134,3)</f>
        <v>#DIV/0!</v>
      </c>
      <c r="BP134" s="19" t="e">
        <f t="shared" ref="BP134:BP197" si="101">ROUND(AJ134/$BL134,3)</f>
        <v>#DIV/0!</v>
      </c>
      <c r="BQ134" s="19" t="e">
        <f t="shared" ref="BQ134:BQ197" si="102">ROUND(AK134/$BL134,3)</f>
        <v>#DIV/0!</v>
      </c>
      <c r="BR134" s="19" t="e">
        <f t="shared" ref="BR134:BR197" si="103">ROUND(AL134/$BL134,3)</f>
        <v>#DIV/0!</v>
      </c>
      <c r="BS134" s="19" t="e">
        <f t="shared" ref="BS134:BS197" si="104">ROUND(AM134/$BL134,3)</f>
        <v>#DIV/0!</v>
      </c>
      <c r="BT134" s="19" t="e">
        <f t="shared" ref="BT134:BT197" si="105">ROUND(AN134/$BL134,3)</f>
        <v>#DIV/0!</v>
      </c>
      <c r="BV134" s="16">
        <f t="shared" ref="BV134:BV197" si="106">BB134</f>
        <v>0</v>
      </c>
      <c r="BW134" s="16">
        <f t="shared" ref="BW134:BW197" si="107">BC134</f>
        <v>0</v>
      </c>
      <c r="BX134" s="3">
        <f t="shared" ref="BX134:BX197" si="108">ROUND(E134,1)</f>
        <v>0</v>
      </c>
      <c r="BY134" s="3">
        <f t="shared" si="93"/>
        <v>0</v>
      </c>
      <c r="BZ134" s="3" t="s">
        <v>162</v>
      </c>
      <c r="CA134" s="3">
        <f t="shared" ref="CA134:CA197" si="109">ROUND(I134,1)</f>
        <v>0</v>
      </c>
      <c r="CB134" s="3">
        <f t="shared" ref="CB134:CB197" si="110">ROUND(J134,1)</f>
        <v>0</v>
      </c>
      <c r="CC134" s="3">
        <f t="shared" ref="CC134:CC197" si="111">ROUND(K134,1)</f>
        <v>0</v>
      </c>
      <c r="CD134" s="3">
        <f t="shared" ref="CD134:CD197" si="112">ROUND(L134,1)</f>
        <v>0</v>
      </c>
      <c r="CE134" s="22">
        <f t="shared" si="74"/>
        <v>0</v>
      </c>
      <c r="CF134" s="1">
        <f t="shared" ref="CF134:CF197" si="113">ROUND(P134,1)</f>
        <v>0</v>
      </c>
      <c r="CG134" s="1">
        <f t="shared" si="75"/>
        <v>0</v>
      </c>
      <c r="CH134" s="3" t="s">
        <v>162</v>
      </c>
      <c r="CI134" s="1">
        <f t="shared" si="76"/>
        <v>0</v>
      </c>
      <c r="CJ134" s="1">
        <f t="shared" si="77"/>
        <v>0</v>
      </c>
      <c r="CK134" s="1">
        <f t="shared" si="78"/>
        <v>0</v>
      </c>
      <c r="CL134" s="1">
        <f t="shared" si="79"/>
        <v>0</v>
      </c>
      <c r="CM134" s="2">
        <f t="shared" si="80"/>
        <v>0</v>
      </c>
      <c r="CN134" s="1">
        <f t="shared" si="81"/>
        <v>0</v>
      </c>
      <c r="CO134" s="1">
        <f t="shared" si="82"/>
        <v>0</v>
      </c>
      <c r="CP134" s="3" t="s">
        <v>162</v>
      </c>
      <c r="CQ134" s="1">
        <f t="shared" si="83"/>
        <v>0</v>
      </c>
      <c r="CR134" s="1">
        <f t="shared" si="84"/>
        <v>0</v>
      </c>
      <c r="CS134" s="1">
        <f t="shared" si="85"/>
        <v>0</v>
      </c>
      <c r="CT134" s="1">
        <f t="shared" si="86"/>
        <v>0</v>
      </c>
      <c r="CU134" s="2">
        <f t="shared" si="87"/>
        <v>0</v>
      </c>
      <c r="CV134" s="14">
        <f t="shared" si="88"/>
        <v>0</v>
      </c>
      <c r="CW134" s="1">
        <f>ROUND(PPTest!K134,1)</f>
        <v>0</v>
      </c>
      <c r="CX134" s="3">
        <f t="shared" ref="CX134:CX197" si="114">ROUND(M134,2)</f>
        <v>0</v>
      </c>
      <c r="CY134" s="3">
        <f t="shared" si="89"/>
        <v>0</v>
      </c>
      <c r="CZ134" s="19">
        <f t="shared" si="90"/>
        <v>0</v>
      </c>
      <c r="DA134" s="19" t="e">
        <f t="shared" si="90"/>
        <v>#DIV/0!</v>
      </c>
      <c r="DB134" s="16">
        <f t="shared" si="91"/>
        <v>0</v>
      </c>
    </row>
    <row r="135" spans="1:106" x14ac:dyDescent="0.2">
      <c r="A135" s="15">
        <f t="shared" si="92"/>
        <v>45787</v>
      </c>
      <c r="B135" s="1">
        <v>130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4"/>
      <c r="AY135" s="12"/>
      <c r="AZ135" s="12"/>
      <c r="BA135" s="16">
        <v>29.87</v>
      </c>
      <c r="BB135" s="41"/>
      <c r="BC135" s="41"/>
      <c r="BD135" s="8" t="e">
        <f t="shared" si="94"/>
        <v>#DIV/0!</v>
      </c>
      <c r="BE135" s="8"/>
      <c r="BF135" s="2">
        <f t="shared" ref="BF135:BF198" si="115">ROUND(Q135-BF$2,1)</f>
        <v>0</v>
      </c>
      <c r="BG135" s="2">
        <f t="shared" ref="BG135:BG198" si="116">ROUND(F135-BG$2,1)</f>
        <v>0</v>
      </c>
      <c r="BH135" s="2">
        <f t="shared" ref="BH135:BH198" si="117">ROUND(Z135-BH$2,1)</f>
        <v>0</v>
      </c>
      <c r="BI135" s="35">
        <f t="shared" si="95"/>
        <v>0</v>
      </c>
      <c r="BJ135" s="35" t="e">
        <f t="shared" si="96"/>
        <v>#DIV/0!</v>
      </c>
      <c r="BL135" s="3">
        <f t="shared" si="97"/>
        <v>0</v>
      </c>
      <c r="BM135" s="19" t="e">
        <f t="shared" si="98"/>
        <v>#DIV/0!</v>
      </c>
      <c r="BN135" s="19" t="e">
        <f t="shared" si="99"/>
        <v>#DIV/0!</v>
      </c>
      <c r="BO135" s="19" t="e">
        <f t="shared" si="100"/>
        <v>#DIV/0!</v>
      </c>
      <c r="BP135" s="19" t="e">
        <f t="shared" si="101"/>
        <v>#DIV/0!</v>
      </c>
      <c r="BQ135" s="19" t="e">
        <f t="shared" si="102"/>
        <v>#DIV/0!</v>
      </c>
      <c r="BR135" s="19" t="e">
        <f t="shared" si="103"/>
        <v>#DIV/0!</v>
      </c>
      <c r="BS135" s="19" t="e">
        <f t="shared" si="104"/>
        <v>#DIV/0!</v>
      </c>
      <c r="BT135" s="19" t="e">
        <f t="shared" si="105"/>
        <v>#DIV/0!</v>
      </c>
      <c r="BV135" s="16">
        <f t="shared" si="106"/>
        <v>0</v>
      </c>
      <c r="BW135" s="16">
        <f t="shared" si="107"/>
        <v>0</v>
      </c>
      <c r="BX135" s="3">
        <f t="shared" si="108"/>
        <v>0</v>
      </c>
      <c r="BY135" s="3">
        <f t="shared" si="93"/>
        <v>0</v>
      </c>
      <c r="BZ135" s="3" t="s">
        <v>162</v>
      </c>
      <c r="CA135" s="3">
        <f t="shared" si="109"/>
        <v>0</v>
      </c>
      <c r="CB135" s="3">
        <f t="shared" si="110"/>
        <v>0</v>
      </c>
      <c r="CC135" s="3">
        <f t="shared" si="111"/>
        <v>0</v>
      </c>
      <c r="CD135" s="3">
        <f t="shared" si="112"/>
        <v>0</v>
      </c>
      <c r="CE135" s="22">
        <f t="shared" ref="CE135:CE198" si="118">ROUND(BG135,1)</f>
        <v>0</v>
      </c>
      <c r="CF135" s="1">
        <f t="shared" si="113"/>
        <v>0</v>
      </c>
      <c r="CG135" s="1">
        <f t="shared" ref="CG135:CG198" si="119">ROUND(R135,1)</f>
        <v>0</v>
      </c>
      <c r="CH135" s="3" t="s">
        <v>162</v>
      </c>
      <c r="CI135" s="1">
        <f t="shared" ref="CI135:CI198" si="120">ROUND(T135,1)</f>
        <v>0</v>
      </c>
      <c r="CJ135" s="1">
        <f t="shared" ref="CJ135:CJ198" si="121">ROUND(U135,1)</f>
        <v>0</v>
      </c>
      <c r="CK135" s="1">
        <f t="shared" ref="CK135:CK198" si="122">ROUND(V135,1)</f>
        <v>0</v>
      </c>
      <c r="CL135" s="1">
        <f t="shared" ref="CL135:CL198" si="123">ROUND(W135,1)</f>
        <v>0</v>
      </c>
      <c r="CM135" s="2">
        <f t="shared" ref="CM135:CM198" si="124">ROUND(BF135,1)</f>
        <v>0</v>
      </c>
      <c r="CN135" s="1">
        <f t="shared" ref="CN135:CN198" si="125">ROUND(Y135,1)</f>
        <v>0</v>
      </c>
      <c r="CO135" s="1">
        <f t="shared" ref="CO135:CO198" si="126">ROUND(AA135,1)</f>
        <v>0</v>
      </c>
      <c r="CP135" s="3" t="s">
        <v>162</v>
      </c>
      <c r="CQ135" s="1">
        <f t="shared" ref="CQ135:CQ198" si="127">ROUND(AC135,1)</f>
        <v>0</v>
      </c>
      <c r="CR135" s="1">
        <f t="shared" ref="CR135:CR198" si="128">ROUND(AD135,1)</f>
        <v>0</v>
      </c>
      <c r="CS135" s="1">
        <f t="shared" ref="CS135:CS198" si="129">ROUND(AE135,1)</f>
        <v>0</v>
      </c>
      <c r="CT135" s="1">
        <f t="shared" ref="CT135:CT198" si="130">ROUND(AF135,1)</f>
        <v>0</v>
      </c>
      <c r="CU135" s="2">
        <f t="shared" ref="CU135:CU198" si="131">ROUND(BH135,1)</f>
        <v>0</v>
      </c>
      <c r="CV135" s="14">
        <f t="shared" ref="CV135:CV198" si="132">AY135</f>
        <v>0</v>
      </c>
      <c r="CW135" s="1">
        <f>ROUND(PPTest!K135,1)</f>
        <v>0</v>
      </c>
      <c r="CX135" s="3">
        <f t="shared" si="114"/>
        <v>0</v>
      </c>
      <c r="CY135" s="3">
        <f t="shared" ref="CY135:CY198" si="133">ROUND(X135,2)</f>
        <v>0</v>
      </c>
      <c r="CZ135" s="19">
        <f t="shared" ref="CZ135:DA198" si="134">BI135</f>
        <v>0</v>
      </c>
      <c r="DA135" s="19" t="e">
        <f t="shared" si="134"/>
        <v>#DIV/0!</v>
      </c>
      <c r="DB135" s="16">
        <f t="shared" ref="DB135:DB198" si="135">AV135</f>
        <v>0</v>
      </c>
    </row>
    <row r="136" spans="1:106" x14ac:dyDescent="0.2">
      <c r="A136" s="15">
        <f t="shared" ref="A136:A199" si="136">A135+1</f>
        <v>45788</v>
      </c>
      <c r="B136" s="1">
        <v>131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4"/>
      <c r="AY136" s="12"/>
      <c r="AZ136" s="12"/>
      <c r="BA136" s="16">
        <v>30.03</v>
      </c>
      <c r="BB136" s="41"/>
      <c r="BC136" s="41"/>
      <c r="BD136" s="8" t="e">
        <f t="shared" si="94"/>
        <v>#DIV/0!</v>
      </c>
      <c r="BE136" s="8"/>
      <c r="BF136" s="2">
        <f t="shared" si="115"/>
        <v>0</v>
      </c>
      <c r="BG136" s="2">
        <f t="shared" si="116"/>
        <v>0</v>
      </c>
      <c r="BH136" s="2">
        <f t="shared" si="117"/>
        <v>0</v>
      </c>
      <c r="BI136" s="35">
        <f t="shared" si="95"/>
        <v>0</v>
      </c>
      <c r="BJ136" s="35" t="e">
        <f t="shared" si="96"/>
        <v>#DIV/0!</v>
      </c>
      <c r="BL136" s="3">
        <f t="shared" si="97"/>
        <v>0</v>
      </c>
      <c r="BM136" s="19" t="e">
        <f t="shared" si="98"/>
        <v>#DIV/0!</v>
      </c>
      <c r="BN136" s="19" t="e">
        <f t="shared" si="99"/>
        <v>#DIV/0!</v>
      </c>
      <c r="BO136" s="19" t="e">
        <f t="shared" si="100"/>
        <v>#DIV/0!</v>
      </c>
      <c r="BP136" s="19" t="e">
        <f t="shared" si="101"/>
        <v>#DIV/0!</v>
      </c>
      <c r="BQ136" s="19" t="e">
        <f t="shared" si="102"/>
        <v>#DIV/0!</v>
      </c>
      <c r="BR136" s="19" t="e">
        <f t="shared" si="103"/>
        <v>#DIV/0!</v>
      </c>
      <c r="BS136" s="19" t="e">
        <f t="shared" si="104"/>
        <v>#DIV/0!</v>
      </c>
      <c r="BT136" s="19" t="e">
        <f t="shared" si="105"/>
        <v>#DIV/0!</v>
      </c>
      <c r="BV136" s="16">
        <f t="shared" si="106"/>
        <v>0</v>
      </c>
      <c r="BW136" s="16">
        <f t="shared" si="107"/>
        <v>0</v>
      </c>
      <c r="BX136" s="3">
        <f t="shared" si="108"/>
        <v>0</v>
      </c>
      <c r="BY136" s="3">
        <f t="shared" si="93"/>
        <v>0</v>
      </c>
      <c r="BZ136" s="3" t="s">
        <v>162</v>
      </c>
      <c r="CA136" s="3">
        <f t="shared" si="109"/>
        <v>0</v>
      </c>
      <c r="CB136" s="3">
        <f t="shared" si="110"/>
        <v>0</v>
      </c>
      <c r="CC136" s="3">
        <f t="shared" si="111"/>
        <v>0</v>
      </c>
      <c r="CD136" s="3">
        <f t="shared" si="112"/>
        <v>0</v>
      </c>
      <c r="CE136" s="22">
        <f t="shared" si="118"/>
        <v>0</v>
      </c>
      <c r="CF136" s="1">
        <f t="shared" si="113"/>
        <v>0</v>
      </c>
      <c r="CG136" s="1">
        <f t="shared" si="119"/>
        <v>0</v>
      </c>
      <c r="CH136" s="3" t="s">
        <v>162</v>
      </c>
      <c r="CI136" s="1">
        <f t="shared" si="120"/>
        <v>0</v>
      </c>
      <c r="CJ136" s="1">
        <f t="shared" si="121"/>
        <v>0</v>
      </c>
      <c r="CK136" s="1">
        <f t="shared" si="122"/>
        <v>0</v>
      </c>
      <c r="CL136" s="1">
        <f t="shared" si="123"/>
        <v>0</v>
      </c>
      <c r="CM136" s="2">
        <f t="shared" si="124"/>
        <v>0</v>
      </c>
      <c r="CN136" s="1">
        <f t="shared" si="125"/>
        <v>0</v>
      </c>
      <c r="CO136" s="1">
        <f t="shared" si="126"/>
        <v>0</v>
      </c>
      <c r="CP136" s="3" t="s">
        <v>162</v>
      </c>
      <c r="CQ136" s="1">
        <f t="shared" si="127"/>
        <v>0</v>
      </c>
      <c r="CR136" s="1">
        <f t="shared" si="128"/>
        <v>0</v>
      </c>
      <c r="CS136" s="1">
        <f t="shared" si="129"/>
        <v>0</v>
      </c>
      <c r="CT136" s="1">
        <f t="shared" si="130"/>
        <v>0</v>
      </c>
      <c r="CU136" s="2">
        <f t="shared" si="131"/>
        <v>0</v>
      </c>
      <c r="CV136" s="14">
        <f t="shared" si="132"/>
        <v>0</v>
      </c>
      <c r="CW136" s="1">
        <f>ROUND(PPTest!K136,1)</f>
        <v>0</v>
      </c>
      <c r="CX136" s="3">
        <f t="shared" si="114"/>
        <v>0</v>
      </c>
      <c r="CY136" s="3">
        <f t="shared" si="133"/>
        <v>0</v>
      </c>
      <c r="CZ136" s="19">
        <f t="shared" si="134"/>
        <v>0</v>
      </c>
      <c r="DA136" s="19" t="e">
        <f t="shared" si="134"/>
        <v>#DIV/0!</v>
      </c>
      <c r="DB136" s="16">
        <f t="shared" si="135"/>
        <v>0</v>
      </c>
    </row>
    <row r="137" spans="1:106" x14ac:dyDescent="0.2">
      <c r="A137" s="15">
        <f t="shared" si="136"/>
        <v>45789</v>
      </c>
      <c r="B137" s="1">
        <v>132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4"/>
      <c r="AY137" s="12"/>
      <c r="AZ137" s="12"/>
      <c r="BA137" s="16">
        <v>30.19</v>
      </c>
      <c r="BB137" s="41"/>
      <c r="BC137" s="41"/>
      <c r="BD137" s="8" t="e">
        <f t="shared" si="94"/>
        <v>#DIV/0!</v>
      </c>
      <c r="BE137" s="8"/>
      <c r="BF137" s="2">
        <f t="shared" si="115"/>
        <v>0</v>
      </c>
      <c r="BG137" s="2">
        <f t="shared" si="116"/>
        <v>0</v>
      </c>
      <c r="BH137" s="2">
        <f t="shared" si="117"/>
        <v>0</v>
      </c>
      <c r="BI137" s="35">
        <f t="shared" si="95"/>
        <v>0</v>
      </c>
      <c r="BJ137" s="35" t="e">
        <f t="shared" si="96"/>
        <v>#DIV/0!</v>
      </c>
      <c r="BL137" s="3">
        <f t="shared" si="97"/>
        <v>0</v>
      </c>
      <c r="BM137" s="19" t="e">
        <f t="shared" si="98"/>
        <v>#DIV/0!</v>
      </c>
      <c r="BN137" s="19" t="e">
        <f t="shared" si="99"/>
        <v>#DIV/0!</v>
      </c>
      <c r="BO137" s="19" t="e">
        <f t="shared" si="100"/>
        <v>#DIV/0!</v>
      </c>
      <c r="BP137" s="19" t="e">
        <f t="shared" si="101"/>
        <v>#DIV/0!</v>
      </c>
      <c r="BQ137" s="19" t="e">
        <f t="shared" si="102"/>
        <v>#DIV/0!</v>
      </c>
      <c r="BR137" s="19" t="e">
        <f t="shared" si="103"/>
        <v>#DIV/0!</v>
      </c>
      <c r="BS137" s="19" t="e">
        <f t="shared" si="104"/>
        <v>#DIV/0!</v>
      </c>
      <c r="BT137" s="19" t="e">
        <f t="shared" si="105"/>
        <v>#DIV/0!</v>
      </c>
      <c r="BV137" s="16">
        <f t="shared" si="106"/>
        <v>0</v>
      </c>
      <c r="BW137" s="16">
        <f t="shared" si="107"/>
        <v>0</v>
      </c>
      <c r="BX137" s="3">
        <f t="shared" si="108"/>
        <v>0</v>
      </c>
      <c r="BY137" s="3">
        <f t="shared" ref="BY137:BY200" si="137">ROUND(G137,1)</f>
        <v>0</v>
      </c>
      <c r="BZ137" s="3" t="s">
        <v>162</v>
      </c>
      <c r="CA137" s="3">
        <f t="shared" si="109"/>
        <v>0</v>
      </c>
      <c r="CB137" s="3">
        <f t="shared" si="110"/>
        <v>0</v>
      </c>
      <c r="CC137" s="3">
        <f t="shared" si="111"/>
        <v>0</v>
      </c>
      <c r="CD137" s="3">
        <f t="shared" si="112"/>
        <v>0</v>
      </c>
      <c r="CE137" s="22">
        <f t="shared" si="118"/>
        <v>0</v>
      </c>
      <c r="CF137" s="1">
        <f t="shared" si="113"/>
        <v>0</v>
      </c>
      <c r="CG137" s="1">
        <f t="shared" si="119"/>
        <v>0</v>
      </c>
      <c r="CH137" s="3" t="s">
        <v>162</v>
      </c>
      <c r="CI137" s="1">
        <f t="shared" si="120"/>
        <v>0</v>
      </c>
      <c r="CJ137" s="1">
        <f t="shared" si="121"/>
        <v>0</v>
      </c>
      <c r="CK137" s="1">
        <f t="shared" si="122"/>
        <v>0</v>
      </c>
      <c r="CL137" s="1">
        <f t="shared" si="123"/>
        <v>0</v>
      </c>
      <c r="CM137" s="2">
        <f t="shared" si="124"/>
        <v>0</v>
      </c>
      <c r="CN137" s="1">
        <f t="shared" si="125"/>
        <v>0</v>
      </c>
      <c r="CO137" s="1">
        <f t="shared" si="126"/>
        <v>0</v>
      </c>
      <c r="CP137" s="3" t="s">
        <v>162</v>
      </c>
      <c r="CQ137" s="1">
        <f t="shared" si="127"/>
        <v>0</v>
      </c>
      <c r="CR137" s="1">
        <f t="shared" si="128"/>
        <v>0</v>
      </c>
      <c r="CS137" s="1">
        <f t="shared" si="129"/>
        <v>0</v>
      </c>
      <c r="CT137" s="1">
        <f t="shared" si="130"/>
        <v>0</v>
      </c>
      <c r="CU137" s="2">
        <f t="shared" si="131"/>
        <v>0</v>
      </c>
      <c r="CV137" s="14">
        <f t="shared" si="132"/>
        <v>0</v>
      </c>
      <c r="CW137" s="1">
        <f>ROUND(PPTest!K137,1)</f>
        <v>0</v>
      </c>
      <c r="CX137" s="3">
        <f t="shared" si="114"/>
        <v>0</v>
      </c>
      <c r="CY137" s="3">
        <f t="shared" si="133"/>
        <v>0</v>
      </c>
      <c r="CZ137" s="19">
        <f t="shared" si="134"/>
        <v>0</v>
      </c>
      <c r="DA137" s="19" t="e">
        <f t="shared" si="134"/>
        <v>#DIV/0!</v>
      </c>
      <c r="DB137" s="16">
        <f t="shared" si="135"/>
        <v>0</v>
      </c>
    </row>
    <row r="138" spans="1:106" x14ac:dyDescent="0.2">
      <c r="A138" s="15">
        <f t="shared" si="136"/>
        <v>45790</v>
      </c>
      <c r="B138" s="1">
        <v>133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4"/>
      <c r="AY138" s="12"/>
      <c r="AZ138" s="12"/>
      <c r="BA138" s="16">
        <v>30.35</v>
      </c>
      <c r="BB138" s="41"/>
      <c r="BC138" s="41"/>
      <c r="BD138" s="8" t="e">
        <f t="shared" si="94"/>
        <v>#DIV/0!</v>
      </c>
      <c r="BE138" s="8"/>
      <c r="BF138" s="2">
        <f t="shared" si="115"/>
        <v>0</v>
      </c>
      <c r="BG138" s="2">
        <f t="shared" si="116"/>
        <v>0</v>
      </c>
      <c r="BH138" s="2">
        <f t="shared" si="117"/>
        <v>0</v>
      </c>
      <c r="BI138" s="35">
        <f t="shared" si="95"/>
        <v>0</v>
      </c>
      <c r="BJ138" s="35" t="e">
        <f t="shared" si="96"/>
        <v>#DIV/0!</v>
      </c>
      <c r="BL138" s="3">
        <f t="shared" si="97"/>
        <v>0</v>
      </c>
      <c r="BM138" s="19" t="e">
        <f t="shared" si="98"/>
        <v>#DIV/0!</v>
      </c>
      <c r="BN138" s="19" t="e">
        <f t="shared" si="99"/>
        <v>#DIV/0!</v>
      </c>
      <c r="BO138" s="19" t="e">
        <f t="shared" si="100"/>
        <v>#DIV/0!</v>
      </c>
      <c r="BP138" s="19" t="e">
        <f t="shared" si="101"/>
        <v>#DIV/0!</v>
      </c>
      <c r="BQ138" s="19" t="e">
        <f t="shared" si="102"/>
        <v>#DIV/0!</v>
      </c>
      <c r="BR138" s="19" t="e">
        <f t="shared" si="103"/>
        <v>#DIV/0!</v>
      </c>
      <c r="BS138" s="19" t="e">
        <f t="shared" si="104"/>
        <v>#DIV/0!</v>
      </c>
      <c r="BT138" s="19" t="e">
        <f t="shared" si="105"/>
        <v>#DIV/0!</v>
      </c>
      <c r="BV138" s="16">
        <f t="shared" si="106"/>
        <v>0</v>
      </c>
      <c r="BW138" s="16">
        <f t="shared" si="107"/>
        <v>0</v>
      </c>
      <c r="BX138" s="3">
        <f t="shared" si="108"/>
        <v>0</v>
      </c>
      <c r="BY138" s="3">
        <f t="shared" si="137"/>
        <v>0</v>
      </c>
      <c r="BZ138" s="3" t="s">
        <v>162</v>
      </c>
      <c r="CA138" s="3">
        <f t="shared" si="109"/>
        <v>0</v>
      </c>
      <c r="CB138" s="3">
        <f t="shared" si="110"/>
        <v>0</v>
      </c>
      <c r="CC138" s="3">
        <f t="shared" si="111"/>
        <v>0</v>
      </c>
      <c r="CD138" s="3">
        <f t="shared" si="112"/>
        <v>0</v>
      </c>
      <c r="CE138" s="22">
        <f t="shared" si="118"/>
        <v>0</v>
      </c>
      <c r="CF138" s="1">
        <f t="shared" si="113"/>
        <v>0</v>
      </c>
      <c r="CG138" s="1">
        <f t="shared" si="119"/>
        <v>0</v>
      </c>
      <c r="CH138" s="3" t="s">
        <v>162</v>
      </c>
      <c r="CI138" s="1">
        <f t="shared" si="120"/>
        <v>0</v>
      </c>
      <c r="CJ138" s="1">
        <f t="shared" si="121"/>
        <v>0</v>
      </c>
      <c r="CK138" s="1">
        <f t="shared" si="122"/>
        <v>0</v>
      </c>
      <c r="CL138" s="1">
        <f t="shared" si="123"/>
        <v>0</v>
      </c>
      <c r="CM138" s="2">
        <f t="shared" si="124"/>
        <v>0</v>
      </c>
      <c r="CN138" s="1">
        <f t="shared" si="125"/>
        <v>0</v>
      </c>
      <c r="CO138" s="1">
        <f t="shared" si="126"/>
        <v>0</v>
      </c>
      <c r="CP138" s="3" t="s">
        <v>162</v>
      </c>
      <c r="CQ138" s="1">
        <f t="shared" si="127"/>
        <v>0</v>
      </c>
      <c r="CR138" s="1">
        <f t="shared" si="128"/>
        <v>0</v>
      </c>
      <c r="CS138" s="1">
        <f t="shared" si="129"/>
        <v>0</v>
      </c>
      <c r="CT138" s="1">
        <f t="shared" si="130"/>
        <v>0</v>
      </c>
      <c r="CU138" s="2">
        <f t="shared" si="131"/>
        <v>0</v>
      </c>
      <c r="CV138" s="14">
        <f t="shared" si="132"/>
        <v>0</v>
      </c>
      <c r="CW138" s="1">
        <f>ROUND(PPTest!K138,1)</f>
        <v>0</v>
      </c>
      <c r="CX138" s="3">
        <f t="shared" si="114"/>
        <v>0</v>
      </c>
      <c r="CY138" s="3">
        <f t="shared" si="133"/>
        <v>0</v>
      </c>
      <c r="CZ138" s="19">
        <f t="shared" si="134"/>
        <v>0</v>
      </c>
      <c r="DA138" s="19" t="e">
        <f t="shared" si="134"/>
        <v>#DIV/0!</v>
      </c>
      <c r="DB138" s="16">
        <f t="shared" si="135"/>
        <v>0</v>
      </c>
    </row>
    <row r="139" spans="1:106" x14ac:dyDescent="0.2">
      <c r="A139" s="15">
        <f t="shared" si="136"/>
        <v>45791</v>
      </c>
      <c r="B139" s="1">
        <v>134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4"/>
      <c r="AY139" s="12"/>
      <c r="AZ139" s="12"/>
      <c r="BA139" s="16">
        <v>30.5</v>
      </c>
      <c r="BB139" s="41"/>
      <c r="BC139" s="41"/>
      <c r="BD139" s="8" t="e">
        <f t="shared" si="94"/>
        <v>#DIV/0!</v>
      </c>
      <c r="BE139" s="8"/>
      <c r="BF139" s="2">
        <f t="shared" si="115"/>
        <v>0</v>
      </c>
      <c r="BG139" s="2">
        <f t="shared" si="116"/>
        <v>0</v>
      </c>
      <c r="BH139" s="2">
        <f t="shared" si="117"/>
        <v>0</v>
      </c>
      <c r="BI139" s="35">
        <f t="shared" si="95"/>
        <v>0</v>
      </c>
      <c r="BJ139" s="35" t="e">
        <f t="shared" si="96"/>
        <v>#DIV/0!</v>
      </c>
      <c r="BL139" s="3">
        <f t="shared" si="97"/>
        <v>0</v>
      </c>
      <c r="BM139" s="19" t="e">
        <f t="shared" si="98"/>
        <v>#DIV/0!</v>
      </c>
      <c r="BN139" s="19" t="e">
        <f t="shared" si="99"/>
        <v>#DIV/0!</v>
      </c>
      <c r="BO139" s="19" t="e">
        <f t="shared" si="100"/>
        <v>#DIV/0!</v>
      </c>
      <c r="BP139" s="19" t="e">
        <f t="shared" si="101"/>
        <v>#DIV/0!</v>
      </c>
      <c r="BQ139" s="19" t="e">
        <f t="shared" si="102"/>
        <v>#DIV/0!</v>
      </c>
      <c r="BR139" s="19" t="e">
        <f t="shared" si="103"/>
        <v>#DIV/0!</v>
      </c>
      <c r="BS139" s="19" t="e">
        <f t="shared" si="104"/>
        <v>#DIV/0!</v>
      </c>
      <c r="BT139" s="19" t="e">
        <f t="shared" si="105"/>
        <v>#DIV/0!</v>
      </c>
      <c r="BV139" s="16">
        <f t="shared" si="106"/>
        <v>0</v>
      </c>
      <c r="BW139" s="16">
        <f t="shared" si="107"/>
        <v>0</v>
      </c>
      <c r="BX139" s="3">
        <f t="shared" si="108"/>
        <v>0</v>
      </c>
      <c r="BY139" s="3">
        <f t="shared" si="137"/>
        <v>0</v>
      </c>
      <c r="BZ139" s="3" t="s">
        <v>162</v>
      </c>
      <c r="CA139" s="3">
        <f t="shared" si="109"/>
        <v>0</v>
      </c>
      <c r="CB139" s="3">
        <f t="shared" si="110"/>
        <v>0</v>
      </c>
      <c r="CC139" s="3">
        <f t="shared" si="111"/>
        <v>0</v>
      </c>
      <c r="CD139" s="3">
        <f t="shared" si="112"/>
        <v>0</v>
      </c>
      <c r="CE139" s="22">
        <f t="shared" si="118"/>
        <v>0</v>
      </c>
      <c r="CF139" s="1">
        <f t="shared" si="113"/>
        <v>0</v>
      </c>
      <c r="CG139" s="1">
        <f t="shared" si="119"/>
        <v>0</v>
      </c>
      <c r="CH139" s="3" t="s">
        <v>162</v>
      </c>
      <c r="CI139" s="1">
        <f t="shared" si="120"/>
        <v>0</v>
      </c>
      <c r="CJ139" s="1">
        <f t="shared" si="121"/>
        <v>0</v>
      </c>
      <c r="CK139" s="1">
        <f t="shared" si="122"/>
        <v>0</v>
      </c>
      <c r="CL139" s="1">
        <f t="shared" si="123"/>
        <v>0</v>
      </c>
      <c r="CM139" s="2">
        <f t="shared" si="124"/>
        <v>0</v>
      </c>
      <c r="CN139" s="1">
        <f t="shared" si="125"/>
        <v>0</v>
      </c>
      <c r="CO139" s="1">
        <f t="shared" si="126"/>
        <v>0</v>
      </c>
      <c r="CP139" s="3" t="s">
        <v>162</v>
      </c>
      <c r="CQ139" s="1">
        <f t="shared" si="127"/>
        <v>0</v>
      </c>
      <c r="CR139" s="1">
        <f t="shared" si="128"/>
        <v>0</v>
      </c>
      <c r="CS139" s="1">
        <f t="shared" si="129"/>
        <v>0</v>
      </c>
      <c r="CT139" s="1">
        <f t="shared" si="130"/>
        <v>0</v>
      </c>
      <c r="CU139" s="2">
        <f t="shared" si="131"/>
        <v>0</v>
      </c>
      <c r="CV139" s="14">
        <f t="shared" si="132"/>
        <v>0</v>
      </c>
      <c r="CW139" s="1">
        <f>ROUND(PPTest!K139,1)</f>
        <v>0</v>
      </c>
      <c r="CX139" s="3">
        <f t="shared" si="114"/>
        <v>0</v>
      </c>
      <c r="CY139" s="3">
        <f t="shared" si="133"/>
        <v>0</v>
      </c>
      <c r="CZ139" s="19">
        <f t="shared" si="134"/>
        <v>0</v>
      </c>
      <c r="DA139" s="19" t="e">
        <f t="shared" si="134"/>
        <v>#DIV/0!</v>
      </c>
      <c r="DB139" s="16">
        <f t="shared" si="135"/>
        <v>0</v>
      </c>
    </row>
    <row r="140" spans="1:106" x14ac:dyDescent="0.2">
      <c r="A140" s="15">
        <f t="shared" si="136"/>
        <v>45792</v>
      </c>
      <c r="B140" s="1">
        <v>135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4"/>
      <c r="AY140" s="12"/>
      <c r="AZ140" s="12"/>
      <c r="BA140" s="16">
        <v>30.66</v>
      </c>
      <c r="BB140" s="41"/>
      <c r="BC140" s="41"/>
      <c r="BD140" s="8" t="e">
        <f t="shared" si="94"/>
        <v>#DIV/0!</v>
      </c>
      <c r="BE140" s="8"/>
      <c r="BF140" s="2">
        <f t="shared" si="115"/>
        <v>0</v>
      </c>
      <c r="BG140" s="2">
        <f t="shared" si="116"/>
        <v>0</v>
      </c>
      <c r="BH140" s="2">
        <f t="shared" si="117"/>
        <v>0</v>
      </c>
      <c r="BI140" s="35">
        <f t="shared" si="95"/>
        <v>0</v>
      </c>
      <c r="BJ140" s="35" t="e">
        <f t="shared" si="96"/>
        <v>#DIV/0!</v>
      </c>
      <c r="BL140" s="3">
        <f t="shared" si="97"/>
        <v>0</v>
      </c>
      <c r="BM140" s="19" t="e">
        <f t="shared" si="98"/>
        <v>#DIV/0!</v>
      </c>
      <c r="BN140" s="19" t="e">
        <f t="shared" si="99"/>
        <v>#DIV/0!</v>
      </c>
      <c r="BO140" s="19" t="e">
        <f t="shared" si="100"/>
        <v>#DIV/0!</v>
      </c>
      <c r="BP140" s="19" t="e">
        <f t="shared" si="101"/>
        <v>#DIV/0!</v>
      </c>
      <c r="BQ140" s="19" t="e">
        <f t="shared" si="102"/>
        <v>#DIV/0!</v>
      </c>
      <c r="BR140" s="19" t="e">
        <f t="shared" si="103"/>
        <v>#DIV/0!</v>
      </c>
      <c r="BS140" s="19" t="e">
        <f t="shared" si="104"/>
        <v>#DIV/0!</v>
      </c>
      <c r="BT140" s="19" t="e">
        <f t="shared" si="105"/>
        <v>#DIV/0!</v>
      </c>
      <c r="BV140" s="16">
        <f t="shared" si="106"/>
        <v>0</v>
      </c>
      <c r="BW140" s="16">
        <f t="shared" si="107"/>
        <v>0</v>
      </c>
      <c r="BX140" s="3">
        <f t="shared" si="108"/>
        <v>0</v>
      </c>
      <c r="BY140" s="3">
        <f t="shared" si="137"/>
        <v>0</v>
      </c>
      <c r="BZ140" s="3" t="s">
        <v>162</v>
      </c>
      <c r="CA140" s="3">
        <f t="shared" si="109"/>
        <v>0</v>
      </c>
      <c r="CB140" s="3">
        <f t="shared" si="110"/>
        <v>0</v>
      </c>
      <c r="CC140" s="3">
        <f t="shared" si="111"/>
        <v>0</v>
      </c>
      <c r="CD140" s="3">
        <f t="shared" si="112"/>
        <v>0</v>
      </c>
      <c r="CE140" s="22">
        <f t="shared" si="118"/>
        <v>0</v>
      </c>
      <c r="CF140" s="1">
        <f t="shared" si="113"/>
        <v>0</v>
      </c>
      <c r="CG140" s="1">
        <f t="shared" si="119"/>
        <v>0</v>
      </c>
      <c r="CH140" s="3" t="s">
        <v>162</v>
      </c>
      <c r="CI140" s="1">
        <f t="shared" si="120"/>
        <v>0</v>
      </c>
      <c r="CJ140" s="1">
        <f t="shared" si="121"/>
        <v>0</v>
      </c>
      <c r="CK140" s="1">
        <f t="shared" si="122"/>
        <v>0</v>
      </c>
      <c r="CL140" s="1">
        <f t="shared" si="123"/>
        <v>0</v>
      </c>
      <c r="CM140" s="2">
        <f t="shared" si="124"/>
        <v>0</v>
      </c>
      <c r="CN140" s="1">
        <f t="shared" si="125"/>
        <v>0</v>
      </c>
      <c r="CO140" s="1">
        <f t="shared" si="126"/>
        <v>0</v>
      </c>
      <c r="CP140" s="3" t="s">
        <v>162</v>
      </c>
      <c r="CQ140" s="1">
        <f t="shared" si="127"/>
        <v>0</v>
      </c>
      <c r="CR140" s="1">
        <f t="shared" si="128"/>
        <v>0</v>
      </c>
      <c r="CS140" s="1">
        <f t="shared" si="129"/>
        <v>0</v>
      </c>
      <c r="CT140" s="1">
        <f t="shared" si="130"/>
        <v>0</v>
      </c>
      <c r="CU140" s="2">
        <f t="shared" si="131"/>
        <v>0</v>
      </c>
      <c r="CV140" s="14">
        <f t="shared" si="132"/>
        <v>0</v>
      </c>
      <c r="CW140" s="1">
        <f>ROUND(PPTest!K140,1)</f>
        <v>0</v>
      </c>
      <c r="CX140" s="3">
        <f t="shared" si="114"/>
        <v>0</v>
      </c>
      <c r="CY140" s="3">
        <f t="shared" si="133"/>
        <v>0</v>
      </c>
      <c r="CZ140" s="19">
        <f t="shared" si="134"/>
        <v>0</v>
      </c>
      <c r="DA140" s="19" t="e">
        <f t="shared" si="134"/>
        <v>#DIV/0!</v>
      </c>
      <c r="DB140" s="16">
        <f t="shared" si="135"/>
        <v>0</v>
      </c>
    </row>
    <row r="141" spans="1:106" x14ac:dyDescent="0.2">
      <c r="A141" s="15">
        <f t="shared" si="136"/>
        <v>45793</v>
      </c>
      <c r="B141" s="1">
        <v>136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4"/>
      <c r="AY141" s="12"/>
      <c r="AZ141" s="12"/>
      <c r="BA141" s="16">
        <v>30.8</v>
      </c>
      <c r="BB141" s="41"/>
      <c r="BC141" s="41"/>
      <c r="BD141" s="8" t="e">
        <f t="shared" si="94"/>
        <v>#DIV/0!</v>
      </c>
      <c r="BE141" s="8"/>
      <c r="BF141" s="2">
        <f t="shared" si="115"/>
        <v>0</v>
      </c>
      <c r="BG141" s="2">
        <f t="shared" si="116"/>
        <v>0</v>
      </c>
      <c r="BH141" s="2">
        <f t="shared" si="117"/>
        <v>0</v>
      </c>
      <c r="BI141" s="35">
        <f t="shared" si="95"/>
        <v>0</v>
      </c>
      <c r="BJ141" s="35" t="e">
        <f t="shared" si="96"/>
        <v>#DIV/0!</v>
      </c>
      <c r="BL141" s="3">
        <f t="shared" si="97"/>
        <v>0</v>
      </c>
      <c r="BM141" s="19" t="e">
        <f t="shared" si="98"/>
        <v>#DIV/0!</v>
      </c>
      <c r="BN141" s="19" t="e">
        <f t="shared" si="99"/>
        <v>#DIV/0!</v>
      </c>
      <c r="BO141" s="19" t="e">
        <f t="shared" si="100"/>
        <v>#DIV/0!</v>
      </c>
      <c r="BP141" s="19" t="e">
        <f t="shared" si="101"/>
        <v>#DIV/0!</v>
      </c>
      <c r="BQ141" s="19" t="e">
        <f t="shared" si="102"/>
        <v>#DIV/0!</v>
      </c>
      <c r="BR141" s="19" t="e">
        <f t="shared" si="103"/>
        <v>#DIV/0!</v>
      </c>
      <c r="BS141" s="19" t="e">
        <f t="shared" si="104"/>
        <v>#DIV/0!</v>
      </c>
      <c r="BT141" s="19" t="e">
        <f t="shared" si="105"/>
        <v>#DIV/0!</v>
      </c>
      <c r="BV141" s="16">
        <f t="shared" si="106"/>
        <v>0</v>
      </c>
      <c r="BW141" s="16">
        <f t="shared" si="107"/>
        <v>0</v>
      </c>
      <c r="BX141" s="3">
        <f t="shared" si="108"/>
        <v>0</v>
      </c>
      <c r="BY141" s="3">
        <f t="shared" si="137"/>
        <v>0</v>
      </c>
      <c r="BZ141" s="3" t="s">
        <v>162</v>
      </c>
      <c r="CA141" s="3">
        <f t="shared" si="109"/>
        <v>0</v>
      </c>
      <c r="CB141" s="3">
        <f t="shared" si="110"/>
        <v>0</v>
      </c>
      <c r="CC141" s="3">
        <f t="shared" si="111"/>
        <v>0</v>
      </c>
      <c r="CD141" s="3">
        <f t="shared" si="112"/>
        <v>0</v>
      </c>
      <c r="CE141" s="22">
        <f t="shared" si="118"/>
        <v>0</v>
      </c>
      <c r="CF141" s="1">
        <f t="shared" si="113"/>
        <v>0</v>
      </c>
      <c r="CG141" s="1">
        <f t="shared" si="119"/>
        <v>0</v>
      </c>
      <c r="CH141" s="3" t="s">
        <v>162</v>
      </c>
      <c r="CI141" s="1">
        <f t="shared" si="120"/>
        <v>0</v>
      </c>
      <c r="CJ141" s="1">
        <f t="shared" si="121"/>
        <v>0</v>
      </c>
      <c r="CK141" s="1">
        <f t="shared" si="122"/>
        <v>0</v>
      </c>
      <c r="CL141" s="1">
        <f t="shared" si="123"/>
        <v>0</v>
      </c>
      <c r="CM141" s="2">
        <f t="shared" si="124"/>
        <v>0</v>
      </c>
      <c r="CN141" s="1">
        <f t="shared" si="125"/>
        <v>0</v>
      </c>
      <c r="CO141" s="1">
        <f t="shared" si="126"/>
        <v>0</v>
      </c>
      <c r="CP141" s="3" t="s">
        <v>162</v>
      </c>
      <c r="CQ141" s="1">
        <f t="shared" si="127"/>
        <v>0</v>
      </c>
      <c r="CR141" s="1">
        <f t="shared" si="128"/>
        <v>0</v>
      </c>
      <c r="CS141" s="1">
        <f t="shared" si="129"/>
        <v>0</v>
      </c>
      <c r="CT141" s="1">
        <f t="shared" si="130"/>
        <v>0</v>
      </c>
      <c r="CU141" s="2">
        <f t="shared" si="131"/>
        <v>0</v>
      </c>
      <c r="CV141" s="14">
        <f t="shared" si="132"/>
        <v>0</v>
      </c>
      <c r="CW141" s="1">
        <f>ROUND(PPTest!K141,1)</f>
        <v>0</v>
      </c>
      <c r="CX141" s="3">
        <f t="shared" si="114"/>
        <v>0</v>
      </c>
      <c r="CY141" s="3">
        <f t="shared" si="133"/>
        <v>0</v>
      </c>
      <c r="CZ141" s="19">
        <f t="shared" si="134"/>
        <v>0</v>
      </c>
      <c r="DA141" s="19" t="e">
        <f t="shared" si="134"/>
        <v>#DIV/0!</v>
      </c>
      <c r="DB141" s="16">
        <f t="shared" si="135"/>
        <v>0</v>
      </c>
    </row>
    <row r="142" spans="1:106" x14ac:dyDescent="0.2">
      <c r="A142" s="15">
        <f t="shared" si="136"/>
        <v>45794</v>
      </c>
      <c r="B142" s="1">
        <v>137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4"/>
      <c r="AY142" s="12"/>
      <c r="AZ142" s="12"/>
      <c r="BA142" s="16">
        <v>30.94</v>
      </c>
      <c r="BB142" s="41"/>
      <c r="BC142" s="41"/>
      <c r="BD142" s="8" t="e">
        <f t="shared" si="94"/>
        <v>#DIV/0!</v>
      </c>
      <c r="BE142" s="8"/>
      <c r="BF142" s="2">
        <f t="shared" si="115"/>
        <v>0</v>
      </c>
      <c r="BG142" s="2">
        <f t="shared" si="116"/>
        <v>0</v>
      </c>
      <c r="BH142" s="2">
        <f t="shared" si="117"/>
        <v>0</v>
      </c>
      <c r="BI142" s="35">
        <f t="shared" si="95"/>
        <v>0</v>
      </c>
      <c r="BJ142" s="35" t="e">
        <f t="shared" si="96"/>
        <v>#DIV/0!</v>
      </c>
      <c r="BL142" s="3">
        <f t="shared" si="97"/>
        <v>0</v>
      </c>
      <c r="BM142" s="19" t="e">
        <f t="shared" si="98"/>
        <v>#DIV/0!</v>
      </c>
      <c r="BN142" s="19" t="e">
        <f t="shared" si="99"/>
        <v>#DIV/0!</v>
      </c>
      <c r="BO142" s="19" t="e">
        <f t="shared" si="100"/>
        <v>#DIV/0!</v>
      </c>
      <c r="BP142" s="19" t="e">
        <f t="shared" si="101"/>
        <v>#DIV/0!</v>
      </c>
      <c r="BQ142" s="19" t="e">
        <f t="shared" si="102"/>
        <v>#DIV/0!</v>
      </c>
      <c r="BR142" s="19" t="e">
        <f t="shared" si="103"/>
        <v>#DIV/0!</v>
      </c>
      <c r="BS142" s="19" t="e">
        <f t="shared" si="104"/>
        <v>#DIV/0!</v>
      </c>
      <c r="BT142" s="19" t="e">
        <f t="shared" si="105"/>
        <v>#DIV/0!</v>
      </c>
      <c r="BV142" s="16">
        <f t="shared" si="106"/>
        <v>0</v>
      </c>
      <c r="BW142" s="16">
        <f t="shared" si="107"/>
        <v>0</v>
      </c>
      <c r="BX142" s="3">
        <f t="shared" si="108"/>
        <v>0</v>
      </c>
      <c r="BY142" s="3">
        <f t="shared" si="137"/>
        <v>0</v>
      </c>
      <c r="BZ142" s="3" t="s">
        <v>162</v>
      </c>
      <c r="CA142" s="3">
        <f t="shared" si="109"/>
        <v>0</v>
      </c>
      <c r="CB142" s="3">
        <f t="shared" si="110"/>
        <v>0</v>
      </c>
      <c r="CC142" s="3">
        <f t="shared" si="111"/>
        <v>0</v>
      </c>
      <c r="CD142" s="3">
        <f t="shared" si="112"/>
        <v>0</v>
      </c>
      <c r="CE142" s="22">
        <f t="shared" si="118"/>
        <v>0</v>
      </c>
      <c r="CF142" s="1">
        <f t="shared" si="113"/>
        <v>0</v>
      </c>
      <c r="CG142" s="1">
        <f t="shared" si="119"/>
        <v>0</v>
      </c>
      <c r="CH142" s="3" t="s">
        <v>162</v>
      </c>
      <c r="CI142" s="1">
        <f t="shared" si="120"/>
        <v>0</v>
      </c>
      <c r="CJ142" s="1">
        <f t="shared" si="121"/>
        <v>0</v>
      </c>
      <c r="CK142" s="1">
        <f t="shared" si="122"/>
        <v>0</v>
      </c>
      <c r="CL142" s="1">
        <f t="shared" si="123"/>
        <v>0</v>
      </c>
      <c r="CM142" s="2">
        <f t="shared" si="124"/>
        <v>0</v>
      </c>
      <c r="CN142" s="1">
        <f t="shared" si="125"/>
        <v>0</v>
      </c>
      <c r="CO142" s="1">
        <f t="shared" si="126"/>
        <v>0</v>
      </c>
      <c r="CP142" s="3" t="s">
        <v>162</v>
      </c>
      <c r="CQ142" s="1">
        <f t="shared" si="127"/>
        <v>0</v>
      </c>
      <c r="CR142" s="1">
        <f t="shared" si="128"/>
        <v>0</v>
      </c>
      <c r="CS142" s="1">
        <f t="shared" si="129"/>
        <v>0</v>
      </c>
      <c r="CT142" s="1">
        <f t="shared" si="130"/>
        <v>0</v>
      </c>
      <c r="CU142" s="2">
        <f t="shared" si="131"/>
        <v>0</v>
      </c>
      <c r="CV142" s="14">
        <f t="shared" si="132"/>
        <v>0</v>
      </c>
      <c r="CW142" s="1">
        <f>ROUND(PPTest!K142,1)</f>
        <v>0</v>
      </c>
      <c r="CX142" s="3">
        <f t="shared" si="114"/>
        <v>0</v>
      </c>
      <c r="CY142" s="3">
        <f t="shared" si="133"/>
        <v>0</v>
      </c>
      <c r="CZ142" s="19">
        <f t="shared" si="134"/>
        <v>0</v>
      </c>
      <c r="DA142" s="19" t="e">
        <f t="shared" si="134"/>
        <v>#DIV/0!</v>
      </c>
      <c r="DB142" s="16">
        <f t="shared" si="135"/>
        <v>0</v>
      </c>
    </row>
    <row r="143" spans="1:106" x14ac:dyDescent="0.2">
      <c r="A143" s="15">
        <f t="shared" si="136"/>
        <v>45795</v>
      </c>
      <c r="B143" s="1">
        <v>138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4"/>
      <c r="AY143" s="12"/>
      <c r="AZ143" s="12"/>
      <c r="BA143" s="16">
        <v>31.08</v>
      </c>
      <c r="BB143" s="41"/>
      <c r="BC143" s="41"/>
      <c r="BD143" s="8" t="e">
        <f t="shared" si="94"/>
        <v>#DIV/0!</v>
      </c>
      <c r="BE143" s="8"/>
      <c r="BF143" s="2">
        <f t="shared" si="115"/>
        <v>0</v>
      </c>
      <c r="BG143" s="2">
        <f t="shared" si="116"/>
        <v>0</v>
      </c>
      <c r="BH143" s="2">
        <f t="shared" si="117"/>
        <v>0</v>
      </c>
      <c r="BI143" s="35">
        <f t="shared" si="95"/>
        <v>0</v>
      </c>
      <c r="BJ143" s="35" t="e">
        <f t="shared" si="96"/>
        <v>#DIV/0!</v>
      </c>
      <c r="BL143" s="3">
        <f t="shared" si="97"/>
        <v>0</v>
      </c>
      <c r="BM143" s="19" t="e">
        <f t="shared" si="98"/>
        <v>#DIV/0!</v>
      </c>
      <c r="BN143" s="19" t="e">
        <f t="shared" si="99"/>
        <v>#DIV/0!</v>
      </c>
      <c r="BO143" s="19" t="e">
        <f t="shared" si="100"/>
        <v>#DIV/0!</v>
      </c>
      <c r="BP143" s="19" t="e">
        <f t="shared" si="101"/>
        <v>#DIV/0!</v>
      </c>
      <c r="BQ143" s="19" t="e">
        <f t="shared" si="102"/>
        <v>#DIV/0!</v>
      </c>
      <c r="BR143" s="19" t="e">
        <f t="shared" si="103"/>
        <v>#DIV/0!</v>
      </c>
      <c r="BS143" s="19" t="e">
        <f t="shared" si="104"/>
        <v>#DIV/0!</v>
      </c>
      <c r="BT143" s="19" t="e">
        <f t="shared" si="105"/>
        <v>#DIV/0!</v>
      </c>
      <c r="BV143" s="16">
        <f t="shared" si="106"/>
        <v>0</v>
      </c>
      <c r="BW143" s="16">
        <f t="shared" si="107"/>
        <v>0</v>
      </c>
      <c r="BX143" s="3">
        <f t="shared" si="108"/>
        <v>0</v>
      </c>
      <c r="BY143" s="3">
        <f t="shared" si="137"/>
        <v>0</v>
      </c>
      <c r="BZ143" s="3" t="s">
        <v>162</v>
      </c>
      <c r="CA143" s="3">
        <f t="shared" si="109"/>
        <v>0</v>
      </c>
      <c r="CB143" s="3">
        <f t="shared" si="110"/>
        <v>0</v>
      </c>
      <c r="CC143" s="3">
        <f t="shared" si="111"/>
        <v>0</v>
      </c>
      <c r="CD143" s="3">
        <f t="shared" si="112"/>
        <v>0</v>
      </c>
      <c r="CE143" s="22">
        <f t="shared" si="118"/>
        <v>0</v>
      </c>
      <c r="CF143" s="1">
        <f t="shared" si="113"/>
        <v>0</v>
      </c>
      <c r="CG143" s="1">
        <f t="shared" si="119"/>
        <v>0</v>
      </c>
      <c r="CH143" s="3" t="s">
        <v>162</v>
      </c>
      <c r="CI143" s="1">
        <f t="shared" si="120"/>
        <v>0</v>
      </c>
      <c r="CJ143" s="1">
        <f t="shared" si="121"/>
        <v>0</v>
      </c>
      <c r="CK143" s="1">
        <f t="shared" si="122"/>
        <v>0</v>
      </c>
      <c r="CL143" s="1">
        <f t="shared" si="123"/>
        <v>0</v>
      </c>
      <c r="CM143" s="2">
        <f t="shared" si="124"/>
        <v>0</v>
      </c>
      <c r="CN143" s="1">
        <f t="shared" si="125"/>
        <v>0</v>
      </c>
      <c r="CO143" s="1">
        <f t="shared" si="126"/>
        <v>0</v>
      </c>
      <c r="CP143" s="3" t="s">
        <v>162</v>
      </c>
      <c r="CQ143" s="1">
        <f t="shared" si="127"/>
        <v>0</v>
      </c>
      <c r="CR143" s="1">
        <f t="shared" si="128"/>
        <v>0</v>
      </c>
      <c r="CS143" s="1">
        <f t="shared" si="129"/>
        <v>0</v>
      </c>
      <c r="CT143" s="1">
        <f t="shared" si="130"/>
        <v>0</v>
      </c>
      <c r="CU143" s="2">
        <f t="shared" si="131"/>
        <v>0</v>
      </c>
      <c r="CV143" s="14">
        <f t="shared" si="132"/>
        <v>0</v>
      </c>
      <c r="CW143" s="1">
        <f>ROUND(PPTest!K143,1)</f>
        <v>0</v>
      </c>
      <c r="CX143" s="3">
        <f t="shared" si="114"/>
        <v>0</v>
      </c>
      <c r="CY143" s="3">
        <f t="shared" si="133"/>
        <v>0</v>
      </c>
      <c r="CZ143" s="19">
        <f t="shared" si="134"/>
        <v>0</v>
      </c>
      <c r="DA143" s="19" t="e">
        <f t="shared" si="134"/>
        <v>#DIV/0!</v>
      </c>
      <c r="DB143" s="16">
        <f t="shared" si="135"/>
        <v>0</v>
      </c>
    </row>
    <row r="144" spans="1:106" x14ac:dyDescent="0.2">
      <c r="A144" s="15">
        <f t="shared" si="136"/>
        <v>45796</v>
      </c>
      <c r="B144" s="1">
        <v>139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4"/>
      <c r="AY144" s="12"/>
      <c r="AZ144" s="12"/>
      <c r="BA144" s="16">
        <v>31.21</v>
      </c>
      <c r="BB144" s="41"/>
      <c r="BC144" s="41"/>
      <c r="BD144" s="8" t="e">
        <f t="shared" si="94"/>
        <v>#DIV/0!</v>
      </c>
      <c r="BE144" s="8"/>
      <c r="BF144" s="2">
        <f t="shared" si="115"/>
        <v>0</v>
      </c>
      <c r="BG144" s="2">
        <f t="shared" si="116"/>
        <v>0</v>
      </c>
      <c r="BH144" s="2">
        <f t="shared" si="117"/>
        <v>0</v>
      </c>
      <c r="BI144" s="35">
        <f t="shared" si="95"/>
        <v>0</v>
      </c>
      <c r="BJ144" s="35" t="e">
        <f t="shared" si="96"/>
        <v>#DIV/0!</v>
      </c>
      <c r="BL144" s="3">
        <f t="shared" si="97"/>
        <v>0</v>
      </c>
      <c r="BM144" s="19" t="e">
        <f t="shared" si="98"/>
        <v>#DIV/0!</v>
      </c>
      <c r="BN144" s="19" t="e">
        <f t="shared" si="99"/>
        <v>#DIV/0!</v>
      </c>
      <c r="BO144" s="19" t="e">
        <f t="shared" si="100"/>
        <v>#DIV/0!</v>
      </c>
      <c r="BP144" s="19" t="e">
        <f t="shared" si="101"/>
        <v>#DIV/0!</v>
      </c>
      <c r="BQ144" s="19" t="e">
        <f t="shared" si="102"/>
        <v>#DIV/0!</v>
      </c>
      <c r="BR144" s="19" t="e">
        <f t="shared" si="103"/>
        <v>#DIV/0!</v>
      </c>
      <c r="BS144" s="19" t="e">
        <f t="shared" si="104"/>
        <v>#DIV/0!</v>
      </c>
      <c r="BT144" s="19" t="e">
        <f t="shared" si="105"/>
        <v>#DIV/0!</v>
      </c>
      <c r="BV144" s="16">
        <f t="shared" si="106"/>
        <v>0</v>
      </c>
      <c r="BW144" s="16">
        <f t="shared" si="107"/>
        <v>0</v>
      </c>
      <c r="BX144" s="3">
        <f t="shared" si="108"/>
        <v>0</v>
      </c>
      <c r="BY144" s="3">
        <f t="shared" si="137"/>
        <v>0</v>
      </c>
      <c r="BZ144" s="3" t="s">
        <v>162</v>
      </c>
      <c r="CA144" s="3">
        <f t="shared" si="109"/>
        <v>0</v>
      </c>
      <c r="CB144" s="3">
        <f t="shared" si="110"/>
        <v>0</v>
      </c>
      <c r="CC144" s="3">
        <f t="shared" si="111"/>
        <v>0</v>
      </c>
      <c r="CD144" s="3">
        <f t="shared" si="112"/>
        <v>0</v>
      </c>
      <c r="CE144" s="22">
        <f t="shared" si="118"/>
        <v>0</v>
      </c>
      <c r="CF144" s="1">
        <f t="shared" si="113"/>
        <v>0</v>
      </c>
      <c r="CG144" s="1">
        <f t="shared" si="119"/>
        <v>0</v>
      </c>
      <c r="CH144" s="3" t="s">
        <v>162</v>
      </c>
      <c r="CI144" s="1">
        <f t="shared" si="120"/>
        <v>0</v>
      </c>
      <c r="CJ144" s="1">
        <f t="shared" si="121"/>
        <v>0</v>
      </c>
      <c r="CK144" s="1">
        <f t="shared" si="122"/>
        <v>0</v>
      </c>
      <c r="CL144" s="1">
        <f t="shared" si="123"/>
        <v>0</v>
      </c>
      <c r="CM144" s="2">
        <f t="shared" si="124"/>
        <v>0</v>
      </c>
      <c r="CN144" s="1">
        <f t="shared" si="125"/>
        <v>0</v>
      </c>
      <c r="CO144" s="1">
        <f t="shared" si="126"/>
        <v>0</v>
      </c>
      <c r="CP144" s="3" t="s">
        <v>162</v>
      </c>
      <c r="CQ144" s="1">
        <f t="shared" si="127"/>
        <v>0</v>
      </c>
      <c r="CR144" s="1">
        <f t="shared" si="128"/>
        <v>0</v>
      </c>
      <c r="CS144" s="1">
        <f t="shared" si="129"/>
        <v>0</v>
      </c>
      <c r="CT144" s="1">
        <f t="shared" si="130"/>
        <v>0</v>
      </c>
      <c r="CU144" s="2">
        <f t="shared" si="131"/>
        <v>0</v>
      </c>
      <c r="CV144" s="14">
        <f t="shared" si="132"/>
        <v>0</v>
      </c>
      <c r="CW144" s="1">
        <f>ROUND(PPTest!K144,1)</f>
        <v>0</v>
      </c>
      <c r="CX144" s="3">
        <f t="shared" si="114"/>
        <v>0</v>
      </c>
      <c r="CY144" s="3">
        <f t="shared" si="133"/>
        <v>0</v>
      </c>
      <c r="CZ144" s="19">
        <f t="shared" si="134"/>
        <v>0</v>
      </c>
      <c r="DA144" s="19" t="e">
        <f t="shared" si="134"/>
        <v>#DIV/0!</v>
      </c>
      <c r="DB144" s="16">
        <f t="shared" si="135"/>
        <v>0</v>
      </c>
    </row>
    <row r="145" spans="1:106" x14ac:dyDescent="0.2">
      <c r="A145" s="15">
        <f t="shared" si="136"/>
        <v>45797</v>
      </c>
      <c r="B145" s="1">
        <v>140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4"/>
      <c r="AY145" s="12"/>
      <c r="AZ145" s="12"/>
      <c r="BA145" s="16">
        <v>31.34</v>
      </c>
      <c r="BB145" s="41"/>
      <c r="BC145" s="41"/>
      <c r="BD145" s="8" t="e">
        <f t="shared" si="94"/>
        <v>#DIV/0!</v>
      </c>
      <c r="BE145" s="8"/>
      <c r="BF145" s="2">
        <f t="shared" si="115"/>
        <v>0</v>
      </c>
      <c r="BG145" s="2">
        <f t="shared" si="116"/>
        <v>0</v>
      </c>
      <c r="BH145" s="2">
        <f t="shared" si="117"/>
        <v>0</v>
      </c>
      <c r="BI145" s="35">
        <f t="shared" si="95"/>
        <v>0</v>
      </c>
      <c r="BJ145" s="35" t="e">
        <f t="shared" si="96"/>
        <v>#DIV/0!</v>
      </c>
      <c r="BL145" s="3">
        <f t="shared" si="97"/>
        <v>0</v>
      </c>
      <c r="BM145" s="19" t="e">
        <f t="shared" si="98"/>
        <v>#DIV/0!</v>
      </c>
      <c r="BN145" s="19" t="e">
        <f t="shared" si="99"/>
        <v>#DIV/0!</v>
      </c>
      <c r="BO145" s="19" t="e">
        <f t="shared" si="100"/>
        <v>#DIV/0!</v>
      </c>
      <c r="BP145" s="19" t="e">
        <f t="shared" si="101"/>
        <v>#DIV/0!</v>
      </c>
      <c r="BQ145" s="19" t="e">
        <f t="shared" si="102"/>
        <v>#DIV/0!</v>
      </c>
      <c r="BR145" s="19" t="e">
        <f t="shared" si="103"/>
        <v>#DIV/0!</v>
      </c>
      <c r="BS145" s="19" t="e">
        <f t="shared" si="104"/>
        <v>#DIV/0!</v>
      </c>
      <c r="BT145" s="19" t="e">
        <f t="shared" si="105"/>
        <v>#DIV/0!</v>
      </c>
      <c r="BV145" s="16">
        <f t="shared" si="106"/>
        <v>0</v>
      </c>
      <c r="BW145" s="16">
        <f t="shared" si="107"/>
        <v>0</v>
      </c>
      <c r="BX145" s="3">
        <f t="shared" si="108"/>
        <v>0</v>
      </c>
      <c r="BY145" s="3">
        <f t="shared" si="137"/>
        <v>0</v>
      </c>
      <c r="BZ145" s="3" t="s">
        <v>162</v>
      </c>
      <c r="CA145" s="3">
        <f t="shared" si="109"/>
        <v>0</v>
      </c>
      <c r="CB145" s="3">
        <f t="shared" si="110"/>
        <v>0</v>
      </c>
      <c r="CC145" s="3">
        <f t="shared" si="111"/>
        <v>0</v>
      </c>
      <c r="CD145" s="3">
        <f t="shared" si="112"/>
        <v>0</v>
      </c>
      <c r="CE145" s="22">
        <f t="shared" si="118"/>
        <v>0</v>
      </c>
      <c r="CF145" s="1">
        <f t="shared" si="113"/>
        <v>0</v>
      </c>
      <c r="CG145" s="1">
        <f t="shared" si="119"/>
        <v>0</v>
      </c>
      <c r="CH145" s="3" t="s">
        <v>162</v>
      </c>
      <c r="CI145" s="1">
        <f t="shared" si="120"/>
        <v>0</v>
      </c>
      <c r="CJ145" s="1">
        <f t="shared" si="121"/>
        <v>0</v>
      </c>
      <c r="CK145" s="1">
        <f t="shared" si="122"/>
        <v>0</v>
      </c>
      <c r="CL145" s="1">
        <f t="shared" si="123"/>
        <v>0</v>
      </c>
      <c r="CM145" s="2">
        <f t="shared" si="124"/>
        <v>0</v>
      </c>
      <c r="CN145" s="1">
        <f t="shared" si="125"/>
        <v>0</v>
      </c>
      <c r="CO145" s="1">
        <f t="shared" si="126"/>
        <v>0</v>
      </c>
      <c r="CP145" s="3" t="s">
        <v>162</v>
      </c>
      <c r="CQ145" s="1">
        <f t="shared" si="127"/>
        <v>0</v>
      </c>
      <c r="CR145" s="1">
        <f t="shared" si="128"/>
        <v>0</v>
      </c>
      <c r="CS145" s="1">
        <f t="shared" si="129"/>
        <v>0</v>
      </c>
      <c r="CT145" s="1">
        <f t="shared" si="130"/>
        <v>0</v>
      </c>
      <c r="CU145" s="2">
        <f t="shared" si="131"/>
        <v>0</v>
      </c>
      <c r="CV145" s="14">
        <f t="shared" si="132"/>
        <v>0</v>
      </c>
      <c r="CW145" s="1">
        <f>ROUND(PPTest!K145,1)</f>
        <v>0</v>
      </c>
      <c r="CX145" s="3">
        <f t="shared" si="114"/>
        <v>0</v>
      </c>
      <c r="CY145" s="3">
        <f t="shared" si="133"/>
        <v>0</v>
      </c>
      <c r="CZ145" s="19">
        <f t="shared" si="134"/>
        <v>0</v>
      </c>
      <c r="DA145" s="19" t="e">
        <f t="shared" si="134"/>
        <v>#DIV/0!</v>
      </c>
      <c r="DB145" s="16">
        <f t="shared" si="135"/>
        <v>0</v>
      </c>
    </row>
    <row r="146" spans="1:106" x14ac:dyDescent="0.2">
      <c r="A146" s="15">
        <f t="shared" si="136"/>
        <v>45798</v>
      </c>
      <c r="B146" s="1">
        <v>141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4"/>
      <c r="AY146" s="12"/>
      <c r="AZ146" s="12"/>
      <c r="BA146" s="16">
        <v>31.47</v>
      </c>
      <c r="BB146" s="41"/>
      <c r="BC146" s="41"/>
      <c r="BD146" s="8" t="e">
        <f t="shared" si="94"/>
        <v>#DIV/0!</v>
      </c>
      <c r="BE146" s="8"/>
      <c r="BF146" s="2">
        <f t="shared" si="115"/>
        <v>0</v>
      </c>
      <c r="BG146" s="2">
        <f t="shared" si="116"/>
        <v>0</v>
      </c>
      <c r="BH146" s="2">
        <f t="shared" si="117"/>
        <v>0</v>
      </c>
      <c r="BI146" s="35">
        <f t="shared" si="95"/>
        <v>0</v>
      </c>
      <c r="BJ146" s="35" t="e">
        <f t="shared" si="96"/>
        <v>#DIV/0!</v>
      </c>
      <c r="BL146" s="3">
        <f t="shared" si="97"/>
        <v>0</v>
      </c>
      <c r="BM146" s="19" t="e">
        <f t="shared" si="98"/>
        <v>#DIV/0!</v>
      </c>
      <c r="BN146" s="19" t="e">
        <f t="shared" si="99"/>
        <v>#DIV/0!</v>
      </c>
      <c r="BO146" s="19" t="e">
        <f t="shared" si="100"/>
        <v>#DIV/0!</v>
      </c>
      <c r="BP146" s="19" t="e">
        <f t="shared" si="101"/>
        <v>#DIV/0!</v>
      </c>
      <c r="BQ146" s="19" t="e">
        <f t="shared" si="102"/>
        <v>#DIV/0!</v>
      </c>
      <c r="BR146" s="19" t="e">
        <f t="shared" si="103"/>
        <v>#DIV/0!</v>
      </c>
      <c r="BS146" s="19" t="e">
        <f t="shared" si="104"/>
        <v>#DIV/0!</v>
      </c>
      <c r="BT146" s="19" t="e">
        <f t="shared" si="105"/>
        <v>#DIV/0!</v>
      </c>
      <c r="BV146" s="16">
        <f t="shared" si="106"/>
        <v>0</v>
      </c>
      <c r="BW146" s="16">
        <f t="shared" si="107"/>
        <v>0</v>
      </c>
      <c r="BX146" s="3">
        <f t="shared" si="108"/>
        <v>0</v>
      </c>
      <c r="BY146" s="3">
        <f t="shared" si="137"/>
        <v>0</v>
      </c>
      <c r="BZ146" s="3" t="s">
        <v>162</v>
      </c>
      <c r="CA146" s="3">
        <f t="shared" si="109"/>
        <v>0</v>
      </c>
      <c r="CB146" s="3">
        <f t="shared" si="110"/>
        <v>0</v>
      </c>
      <c r="CC146" s="3">
        <f t="shared" si="111"/>
        <v>0</v>
      </c>
      <c r="CD146" s="3">
        <f t="shared" si="112"/>
        <v>0</v>
      </c>
      <c r="CE146" s="22">
        <f t="shared" si="118"/>
        <v>0</v>
      </c>
      <c r="CF146" s="1">
        <f t="shared" si="113"/>
        <v>0</v>
      </c>
      <c r="CG146" s="1">
        <f t="shared" si="119"/>
        <v>0</v>
      </c>
      <c r="CH146" s="3" t="s">
        <v>162</v>
      </c>
      <c r="CI146" s="1">
        <f t="shared" si="120"/>
        <v>0</v>
      </c>
      <c r="CJ146" s="1">
        <f t="shared" si="121"/>
        <v>0</v>
      </c>
      <c r="CK146" s="1">
        <f t="shared" si="122"/>
        <v>0</v>
      </c>
      <c r="CL146" s="1">
        <f t="shared" si="123"/>
        <v>0</v>
      </c>
      <c r="CM146" s="2">
        <f t="shared" si="124"/>
        <v>0</v>
      </c>
      <c r="CN146" s="1">
        <f t="shared" si="125"/>
        <v>0</v>
      </c>
      <c r="CO146" s="1">
        <f t="shared" si="126"/>
        <v>0</v>
      </c>
      <c r="CP146" s="3" t="s">
        <v>162</v>
      </c>
      <c r="CQ146" s="1">
        <f t="shared" si="127"/>
        <v>0</v>
      </c>
      <c r="CR146" s="1">
        <f t="shared" si="128"/>
        <v>0</v>
      </c>
      <c r="CS146" s="1">
        <f t="shared" si="129"/>
        <v>0</v>
      </c>
      <c r="CT146" s="1">
        <f t="shared" si="130"/>
        <v>0</v>
      </c>
      <c r="CU146" s="2">
        <f t="shared" si="131"/>
        <v>0</v>
      </c>
      <c r="CV146" s="14">
        <f t="shared" si="132"/>
        <v>0</v>
      </c>
      <c r="CW146" s="1">
        <f>ROUND(PPTest!K146,1)</f>
        <v>0</v>
      </c>
      <c r="CX146" s="3">
        <f t="shared" si="114"/>
        <v>0</v>
      </c>
      <c r="CY146" s="3">
        <f t="shared" si="133"/>
        <v>0</v>
      </c>
      <c r="CZ146" s="19">
        <f t="shared" si="134"/>
        <v>0</v>
      </c>
      <c r="DA146" s="19" t="e">
        <f t="shared" si="134"/>
        <v>#DIV/0!</v>
      </c>
      <c r="DB146" s="16">
        <f t="shared" si="135"/>
        <v>0</v>
      </c>
    </row>
    <row r="147" spans="1:106" x14ac:dyDescent="0.2">
      <c r="A147" s="15">
        <f t="shared" si="136"/>
        <v>45799</v>
      </c>
      <c r="B147" s="1">
        <v>142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4"/>
      <c r="AY147" s="12"/>
      <c r="AZ147" s="12"/>
      <c r="BA147" s="16">
        <v>31.59</v>
      </c>
      <c r="BB147" s="41"/>
      <c r="BC147" s="41"/>
      <c r="BD147" s="8" t="e">
        <f t="shared" si="94"/>
        <v>#DIV/0!</v>
      </c>
      <c r="BE147" s="8"/>
      <c r="BF147" s="2">
        <f t="shared" si="115"/>
        <v>0</v>
      </c>
      <c r="BG147" s="2">
        <f t="shared" si="116"/>
        <v>0</v>
      </c>
      <c r="BH147" s="2">
        <f t="shared" si="117"/>
        <v>0</v>
      </c>
      <c r="BI147" s="35">
        <f t="shared" si="95"/>
        <v>0</v>
      </c>
      <c r="BJ147" s="35" t="e">
        <f t="shared" si="96"/>
        <v>#DIV/0!</v>
      </c>
      <c r="BL147" s="3">
        <f t="shared" si="97"/>
        <v>0</v>
      </c>
      <c r="BM147" s="19" t="e">
        <f t="shared" si="98"/>
        <v>#DIV/0!</v>
      </c>
      <c r="BN147" s="19" t="e">
        <f t="shared" si="99"/>
        <v>#DIV/0!</v>
      </c>
      <c r="BO147" s="19" t="e">
        <f t="shared" si="100"/>
        <v>#DIV/0!</v>
      </c>
      <c r="BP147" s="19" t="e">
        <f t="shared" si="101"/>
        <v>#DIV/0!</v>
      </c>
      <c r="BQ147" s="19" t="e">
        <f t="shared" si="102"/>
        <v>#DIV/0!</v>
      </c>
      <c r="BR147" s="19" t="e">
        <f t="shared" si="103"/>
        <v>#DIV/0!</v>
      </c>
      <c r="BS147" s="19" t="e">
        <f t="shared" si="104"/>
        <v>#DIV/0!</v>
      </c>
      <c r="BT147" s="19" t="e">
        <f t="shared" si="105"/>
        <v>#DIV/0!</v>
      </c>
      <c r="BV147" s="16">
        <f t="shared" si="106"/>
        <v>0</v>
      </c>
      <c r="BW147" s="16">
        <f t="shared" si="107"/>
        <v>0</v>
      </c>
      <c r="BX147" s="3">
        <f t="shared" si="108"/>
        <v>0</v>
      </c>
      <c r="BY147" s="3">
        <f t="shared" si="137"/>
        <v>0</v>
      </c>
      <c r="BZ147" s="3" t="s">
        <v>162</v>
      </c>
      <c r="CA147" s="3">
        <f t="shared" si="109"/>
        <v>0</v>
      </c>
      <c r="CB147" s="3">
        <f t="shared" si="110"/>
        <v>0</v>
      </c>
      <c r="CC147" s="3">
        <f t="shared" si="111"/>
        <v>0</v>
      </c>
      <c r="CD147" s="3">
        <f t="shared" si="112"/>
        <v>0</v>
      </c>
      <c r="CE147" s="22">
        <f t="shared" si="118"/>
        <v>0</v>
      </c>
      <c r="CF147" s="1">
        <f t="shared" si="113"/>
        <v>0</v>
      </c>
      <c r="CG147" s="1">
        <f t="shared" si="119"/>
        <v>0</v>
      </c>
      <c r="CH147" s="3" t="s">
        <v>162</v>
      </c>
      <c r="CI147" s="1">
        <f t="shared" si="120"/>
        <v>0</v>
      </c>
      <c r="CJ147" s="1">
        <f t="shared" si="121"/>
        <v>0</v>
      </c>
      <c r="CK147" s="1">
        <f t="shared" si="122"/>
        <v>0</v>
      </c>
      <c r="CL147" s="1">
        <f t="shared" si="123"/>
        <v>0</v>
      </c>
      <c r="CM147" s="2">
        <f t="shared" si="124"/>
        <v>0</v>
      </c>
      <c r="CN147" s="1">
        <f t="shared" si="125"/>
        <v>0</v>
      </c>
      <c r="CO147" s="1">
        <f t="shared" si="126"/>
        <v>0</v>
      </c>
      <c r="CP147" s="3" t="s">
        <v>162</v>
      </c>
      <c r="CQ147" s="1">
        <f t="shared" si="127"/>
        <v>0</v>
      </c>
      <c r="CR147" s="1">
        <f t="shared" si="128"/>
        <v>0</v>
      </c>
      <c r="CS147" s="1">
        <f t="shared" si="129"/>
        <v>0</v>
      </c>
      <c r="CT147" s="1">
        <f t="shared" si="130"/>
        <v>0</v>
      </c>
      <c r="CU147" s="2">
        <f t="shared" si="131"/>
        <v>0</v>
      </c>
      <c r="CV147" s="14">
        <f t="shared" si="132"/>
        <v>0</v>
      </c>
      <c r="CW147" s="1">
        <f>ROUND(PPTest!K147,1)</f>
        <v>0</v>
      </c>
      <c r="CX147" s="3">
        <f t="shared" si="114"/>
        <v>0</v>
      </c>
      <c r="CY147" s="3">
        <f t="shared" si="133"/>
        <v>0</v>
      </c>
      <c r="CZ147" s="19">
        <f t="shared" si="134"/>
        <v>0</v>
      </c>
      <c r="DA147" s="19" t="e">
        <f t="shared" si="134"/>
        <v>#DIV/0!</v>
      </c>
      <c r="DB147" s="16">
        <f t="shared" si="135"/>
        <v>0</v>
      </c>
    </row>
    <row r="148" spans="1:106" x14ac:dyDescent="0.2">
      <c r="A148" s="15">
        <f t="shared" si="136"/>
        <v>45800</v>
      </c>
      <c r="B148" s="1">
        <v>143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4"/>
      <c r="AY148" s="12"/>
      <c r="AZ148" s="12"/>
      <c r="BA148" s="16">
        <v>31.71</v>
      </c>
      <c r="BB148" s="41"/>
      <c r="BC148" s="41"/>
      <c r="BD148" s="8" t="e">
        <f t="shared" si="94"/>
        <v>#DIV/0!</v>
      </c>
      <c r="BE148" s="8"/>
      <c r="BF148" s="2">
        <f t="shared" si="115"/>
        <v>0</v>
      </c>
      <c r="BG148" s="2">
        <f t="shared" si="116"/>
        <v>0</v>
      </c>
      <c r="BH148" s="2">
        <f t="shared" si="117"/>
        <v>0</v>
      </c>
      <c r="BI148" s="35">
        <f t="shared" si="95"/>
        <v>0</v>
      </c>
      <c r="BJ148" s="35" t="e">
        <f t="shared" si="96"/>
        <v>#DIV/0!</v>
      </c>
      <c r="BL148" s="3">
        <f t="shared" si="97"/>
        <v>0</v>
      </c>
      <c r="BM148" s="19" t="e">
        <f t="shared" si="98"/>
        <v>#DIV/0!</v>
      </c>
      <c r="BN148" s="19" t="e">
        <f t="shared" si="99"/>
        <v>#DIV/0!</v>
      </c>
      <c r="BO148" s="19" t="e">
        <f t="shared" si="100"/>
        <v>#DIV/0!</v>
      </c>
      <c r="BP148" s="19" t="e">
        <f t="shared" si="101"/>
        <v>#DIV/0!</v>
      </c>
      <c r="BQ148" s="19" t="e">
        <f t="shared" si="102"/>
        <v>#DIV/0!</v>
      </c>
      <c r="BR148" s="19" t="e">
        <f t="shared" si="103"/>
        <v>#DIV/0!</v>
      </c>
      <c r="BS148" s="19" t="e">
        <f t="shared" si="104"/>
        <v>#DIV/0!</v>
      </c>
      <c r="BT148" s="19" t="e">
        <f t="shared" si="105"/>
        <v>#DIV/0!</v>
      </c>
      <c r="BV148" s="16">
        <f t="shared" si="106"/>
        <v>0</v>
      </c>
      <c r="BW148" s="16">
        <f t="shared" si="107"/>
        <v>0</v>
      </c>
      <c r="BX148" s="3">
        <f t="shared" si="108"/>
        <v>0</v>
      </c>
      <c r="BY148" s="3">
        <f t="shared" si="137"/>
        <v>0</v>
      </c>
      <c r="BZ148" s="3" t="s">
        <v>162</v>
      </c>
      <c r="CA148" s="3">
        <f t="shared" si="109"/>
        <v>0</v>
      </c>
      <c r="CB148" s="3">
        <f t="shared" si="110"/>
        <v>0</v>
      </c>
      <c r="CC148" s="3">
        <f t="shared" si="111"/>
        <v>0</v>
      </c>
      <c r="CD148" s="3">
        <f t="shared" si="112"/>
        <v>0</v>
      </c>
      <c r="CE148" s="22">
        <f t="shared" si="118"/>
        <v>0</v>
      </c>
      <c r="CF148" s="1">
        <f t="shared" si="113"/>
        <v>0</v>
      </c>
      <c r="CG148" s="1">
        <f t="shared" si="119"/>
        <v>0</v>
      </c>
      <c r="CH148" s="3" t="s">
        <v>162</v>
      </c>
      <c r="CI148" s="1">
        <f t="shared" si="120"/>
        <v>0</v>
      </c>
      <c r="CJ148" s="1">
        <f t="shared" si="121"/>
        <v>0</v>
      </c>
      <c r="CK148" s="1">
        <f t="shared" si="122"/>
        <v>0</v>
      </c>
      <c r="CL148" s="1">
        <f t="shared" si="123"/>
        <v>0</v>
      </c>
      <c r="CM148" s="2">
        <f t="shared" si="124"/>
        <v>0</v>
      </c>
      <c r="CN148" s="1">
        <f t="shared" si="125"/>
        <v>0</v>
      </c>
      <c r="CO148" s="1">
        <f t="shared" si="126"/>
        <v>0</v>
      </c>
      <c r="CP148" s="3" t="s">
        <v>162</v>
      </c>
      <c r="CQ148" s="1">
        <f t="shared" si="127"/>
        <v>0</v>
      </c>
      <c r="CR148" s="1">
        <f t="shared" si="128"/>
        <v>0</v>
      </c>
      <c r="CS148" s="1">
        <f t="shared" si="129"/>
        <v>0</v>
      </c>
      <c r="CT148" s="1">
        <f t="shared" si="130"/>
        <v>0</v>
      </c>
      <c r="CU148" s="2">
        <f t="shared" si="131"/>
        <v>0</v>
      </c>
      <c r="CV148" s="14">
        <f t="shared" si="132"/>
        <v>0</v>
      </c>
      <c r="CW148" s="1">
        <f>ROUND(PPTest!K148,1)</f>
        <v>0</v>
      </c>
      <c r="CX148" s="3">
        <f t="shared" si="114"/>
        <v>0</v>
      </c>
      <c r="CY148" s="3">
        <f t="shared" si="133"/>
        <v>0</v>
      </c>
      <c r="CZ148" s="19">
        <f t="shared" si="134"/>
        <v>0</v>
      </c>
      <c r="DA148" s="19" t="e">
        <f t="shared" si="134"/>
        <v>#DIV/0!</v>
      </c>
      <c r="DB148" s="16">
        <f t="shared" si="135"/>
        <v>0</v>
      </c>
    </row>
    <row r="149" spans="1:106" x14ac:dyDescent="0.2">
      <c r="A149" s="15">
        <f t="shared" si="136"/>
        <v>45801</v>
      </c>
      <c r="B149" s="1">
        <v>144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4"/>
      <c r="AY149" s="12"/>
      <c r="AZ149" s="12"/>
      <c r="BA149" s="16">
        <v>31.82</v>
      </c>
      <c r="BB149" s="41"/>
      <c r="BC149" s="41"/>
      <c r="BD149" s="8" t="e">
        <f t="shared" si="94"/>
        <v>#DIV/0!</v>
      </c>
      <c r="BE149" s="8"/>
      <c r="BF149" s="2">
        <f t="shared" si="115"/>
        <v>0</v>
      </c>
      <c r="BG149" s="2">
        <f t="shared" si="116"/>
        <v>0</v>
      </c>
      <c r="BH149" s="2">
        <f t="shared" si="117"/>
        <v>0</v>
      </c>
      <c r="BI149" s="35">
        <f t="shared" si="95"/>
        <v>0</v>
      </c>
      <c r="BJ149" s="35" t="e">
        <f t="shared" si="96"/>
        <v>#DIV/0!</v>
      </c>
      <c r="BL149" s="3">
        <f t="shared" si="97"/>
        <v>0</v>
      </c>
      <c r="BM149" s="19" t="e">
        <f t="shared" si="98"/>
        <v>#DIV/0!</v>
      </c>
      <c r="BN149" s="19" t="e">
        <f t="shared" si="99"/>
        <v>#DIV/0!</v>
      </c>
      <c r="BO149" s="19" t="e">
        <f t="shared" si="100"/>
        <v>#DIV/0!</v>
      </c>
      <c r="BP149" s="19" t="e">
        <f t="shared" si="101"/>
        <v>#DIV/0!</v>
      </c>
      <c r="BQ149" s="19" t="e">
        <f t="shared" si="102"/>
        <v>#DIV/0!</v>
      </c>
      <c r="BR149" s="19" t="e">
        <f t="shared" si="103"/>
        <v>#DIV/0!</v>
      </c>
      <c r="BS149" s="19" t="e">
        <f t="shared" si="104"/>
        <v>#DIV/0!</v>
      </c>
      <c r="BT149" s="19" t="e">
        <f t="shared" si="105"/>
        <v>#DIV/0!</v>
      </c>
      <c r="BV149" s="16">
        <f t="shared" si="106"/>
        <v>0</v>
      </c>
      <c r="BW149" s="16">
        <f t="shared" si="107"/>
        <v>0</v>
      </c>
      <c r="BX149" s="3">
        <f t="shared" si="108"/>
        <v>0</v>
      </c>
      <c r="BY149" s="3">
        <f t="shared" si="137"/>
        <v>0</v>
      </c>
      <c r="BZ149" s="3" t="s">
        <v>162</v>
      </c>
      <c r="CA149" s="3">
        <f t="shared" si="109"/>
        <v>0</v>
      </c>
      <c r="CB149" s="3">
        <f t="shared" si="110"/>
        <v>0</v>
      </c>
      <c r="CC149" s="3">
        <f t="shared" si="111"/>
        <v>0</v>
      </c>
      <c r="CD149" s="3">
        <f t="shared" si="112"/>
        <v>0</v>
      </c>
      <c r="CE149" s="22">
        <f t="shared" si="118"/>
        <v>0</v>
      </c>
      <c r="CF149" s="1">
        <f t="shared" si="113"/>
        <v>0</v>
      </c>
      <c r="CG149" s="1">
        <f t="shared" si="119"/>
        <v>0</v>
      </c>
      <c r="CH149" s="3" t="s">
        <v>162</v>
      </c>
      <c r="CI149" s="1">
        <f t="shared" si="120"/>
        <v>0</v>
      </c>
      <c r="CJ149" s="1">
        <f t="shared" si="121"/>
        <v>0</v>
      </c>
      <c r="CK149" s="1">
        <f t="shared" si="122"/>
        <v>0</v>
      </c>
      <c r="CL149" s="1">
        <f t="shared" si="123"/>
        <v>0</v>
      </c>
      <c r="CM149" s="2">
        <f t="shared" si="124"/>
        <v>0</v>
      </c>
      <c r="CN149" s="1">
        <f t="shared" si="125"/>
        <v>0</v>
      </c>
      <c r="CO149" s="1">
        <f t="shared" si="126"/>
        <v>0</v>
      </c>
      <c r="CP149" s="3" t="s">
        <v>162</v>
      </c>
      <c r="CQ149" s="1">
        <f t="shared" si="127"/>
        <v>0</v>
      </c>
      <c r="CR149" s="1">
        <f t="shared" si="128"/>
        <v>0</v>
      </c>
      <c r="CS149" s="1">
        <f t="shared" si="129"/>
        <v>0</v>
      </c>
      <c r="CT149" s="1">
        <f t="shared" si="130"/>
        <v>0</v>
      </c>
      <c r="CU149" s="2">
        <f t="shared" si="131"/>
        <v>0</v>
      </c>
      <c r="CV149" s="14">
        <f t="shared" si="132"/>
        <v>0</v>
      </c>
      <c r="CW149" s="1">
        <f>ROUND(PPTest!K149,1)</f>
        <v>0</v>
      </c>
      <c r="CX149" s="3">
        <f t="shared" si="114"/>
        <v>0</v>
      </c>
      <c r="CY149" s="3">
        <f t="shared" si="133"/>
        <v>0</v>
      </c>
      <c r="CZ149" s="19">
        <f t="shared" si="134"/>
        <v>0</v>
      </c>
      <c r="DA149" s="19" t="e">
        <f t="shared" si="134"/>
        <v>#DIV/0!</v>
      </c>
      <c r="DB149" s="16">
        <f t="shared" si="135"/>
        <v>0</v>
      </c>
    </row>
    <row r="150" spans="1:106" x14ac:dyDescent="0.2">
      <c r="A150" s="15">
        <f t="shared" si="136"/>
        <v>45802</v>
      </c>
      <c r="B150" s="1">
        <v>145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4"/>
      <c r="AY150" s="12"/>
      <c r="AZ150" s="12"/>
      <c r="BA150" s="16">
        <v>31.94</v>
      </c>
      <c r="BB150" s="41"/>
      <c r="BC150" s="41"/>
      <c r="BD150" s="8" t="e">
        <f t="shared" si="94"/>
        <v>#DIV/0!</v>
      </c>
      <c r="BE150" s="8"/>
      <c r="BF150" s="2">
        <f t="shared" si="115"/>
        <v>0</v>
      </c>
      <c r="BG150" s="2">
        <f t="shared" si="116"/>
        <v>0</v>
      </c>
      <c r="BH150" s="2">
        <f t="shared" si="117"/>
        <v>0</v>
      </c>
      <c r="BI150" s="35">
        <f t="shared" si="95"/>
        <v>0</v>
      </c>
      <c r="BJ150" s="35" t="e">
        <f t="shared" si="96"/>
        <v>#DIV/0!</v>
      </c>
      <c r="BL150" s="3">
        <f t="shared" si="97"/>
        <v>0</v>
      </c>
      <c r="BM150" s="19" t="e">
        <f t="shared" si="98"/>
        <v>#DIV/0!</v>
      </c>
      <c r="BN150" s="19" t="e">
        <f t="shared" si="99"/>
        <v>#DIV/0!</v>
      </c>
      <c r="BO150" s="19" t="e">
        <f t="shared" si="100"/>
        <v>#DIV/0!</v>
      </c>
      <c r="BP150" s="19" t="e">
        <f t="shared" si="101"/>
        <v>#DIV/0!</v>
      </c>
      <c r="BQ150" s="19" t="e">
        <f t="shared" si="102"/>
        <v>#DIV/0!</v>
      </c>
      <c r="BR150" s="19" t="e">
        <f t="shared" si="103"/>
        <v>#DIV/0!</v>
      </c>
      <c r="BS150" s="19" t="e">
        <f t="shared" si="104"/>
        <v>#DIV/0!</v>
      </c>
      <c r="BT150" s="19" t="e">
        <f t="shared" si="105"/>
        <v>#DIV/0!</v>
      </c>
      <c r="BV150" s="16">
        <f t="shared" si="106"/>
        <v>0</v>
      </c>
      <c r="BW150" s="16">
        <f t="shared" si="107"/>
        <v>0</v>
      </c>
      <c r="BX150" s="3">
        <f t="shared" si="108"/>
        <v>0</v>
      </c>
      <c r="BY150" s="3">
        <f t="shared" si="137"/>
        <v>0</v>
      </c>
      <c r="BZ150" s="3" t="s">
        <v>162</v>
      </c>
      <c r="CA150" s="3">
        <f t="shared" si="109"/>
        <v>0</v>
      </c>
      <c r="CB150" s="3">
        <f t="shared" si="110"/>
        <v>0</v>
      </c>
      <c r="CC150" s="3">
        <f t="shared" si="111"/>
        <v>0</v>
      </c>
      <c r="CD150" s="3">
        <f t="shared" si="112"/>
        <v>0</v>
      </c>
      <c r="CE150" s="22">
        <f t="shared" si="118"/>
        <v>0</v>
      </c>
      <c r="CF150" s="1">
        <f t="shared" si="113"/>
        <v>0</v>
      </c>
      <c r="CG150" s="1">
        <f t="shared" si="119"/>
        <v>0</v>
      </c>
      <c r="CH150" s="3" t="s">
        <v>162</v>
      </c>
      <c r="CI150" s="1">
        <f t="shared" si="120"/>
        <v>0</v>
      </c>
      <c r="CJ150" s="1">
        <f t="shared" si="121"/>
        <v>0</v>
      </c>
      <c r="CK150" s="1">
        <f t="shared" si="122"/>
        <v>0</v>
      </c>
      <c r="CL150" s="1">
        <f t="shared" si="123"/>
        <v>0</v>
      </c>
      <c r="CM150" s="2">
        <f t="shared" si="124"/>
        <v>0</v>
      </c>
      <c r="CN150" s="1">
        <f t="shared" si="125"/>
        <v>0</v>
      </c>
      <c r="CO150" s="1">
        <f t="shared" si="126"/>
        <v>0</v>
      </c>
      <c r="CP150" s="3" t="s">
        <v>162</v>
      </c>
      <c r="CQ150" s="1">
        <f t="shared" si="127"/>
        <v>0</v>
      </c>
      <c r="CR150" s="1">
        <f t="shared" si="128"/>
        <v>0</v>
      </c>
      <c r="CS150" s="1">
        <f t="shared" si="129"/>
        <v>0</v>
      </c>
      <c r="CT150" s="1">
        <f t="shared" si="130"/>
        <v>0</v>
      </c>
      <c r="CU150" s="2">
        <f t="shared" si="131"/>
        <v>0</v>
      </c>
      <c r="CV150" s="14">
        <f t="shared" si="132"/>
        <v>0</v>
      </c>
      <c r="CW150" s="1">
        <f>ROUND(PPTest!K150,1)</f>
        <v>0</v>
      </c>
      <c r="CX150" s="3">
        <f t="shared" si="114"/>
        <v>0</v>
      </c>
      <c r="CY150" s="3">
        <f t="shared" si="133"/>
        <v>0</v>
      </c>
      <c r="CZ150" s="19">
        <f t="shared" si="134"/>
        <v>0</v>
      </c>
      <c r="DA150" s="19" t="e">
        <f t="shared" si="134"/>
        <v>#DIV/0!</v>
      </c>
      <c r="DB150" s="16">
        <f t="shared" si="135"/>
        <v>0</v>
      </c>
    </row>
    <row r="151" spans="1:106" x14ac:dyDescent="0.2">
      <c r="A151" s="15">
        <f t="shared" si="136"/>
        <v>45803</v>
      </c>
      <c r="B151" s="1">
        <v>146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4"/>
      <c r="AY151" s="12"/>
      <c r="AZ151" s="12"/>
      <c r="BA151" s="16">
        <v>32.04</v>
      </c>
      <c r="BB151" s="41"/>
      <c r="BC151" s="41"/>
      <c r="BD151" s="8" t="e">
        <f t="shared" si="94"/>
        <v>#DIV/0!</v>
      </c>
      <c r="BE151" s="8"/>
      <c r="BF151" s="2">
        <f t="shared" si="115"/>
        <v>0</v>
      </c>
      <c r="BG151" s="2">
        <f t="shared" si="116"/>
        <v>0</v>
      </c>
      <c r="BH151" s="2">
        <f t="shared" si="117"/>
        <v>0</v>
      </c>
      <c r="BI151" s="35">
        <f t="shared" si="95"/>
        <v>0</v>
      </c>
      <c r="BJ151" s="35" t="e">
        <f t="shared" si="96"/>
        <v>#DIV/0!</v>
      </c>
      <c r="BL151" s="3">
        <f t="shared" si="97"/>
        <v>0</v>
      </c>
      <c r="BM151" s="19" t="e">
        <f t="shared" si="98"/>
        <v>#DIV/0!</v>
      </c>
      <c r="BN151" s="19" t="e">
        <f t="shared" si="99"/>
        <v>#DIV/0!</v>
      </c>
      <c r="BO151" s="19" t="e">
        <f t="shared" si="100"/>
        <v>#DIV/0!</v>
      </c>
      <c r="BP151" s="19" t="e">
        <f t="shared" si="101"/>
        <v>#DIV/0!</v>
      </c>
      <c r="BQ151" s="19" t="e">
        <f t="shared" si="102"/>
        <v>#DIV/0!</v>
      </c>
      <c r="BR151" s="19" t="e">
        <f t="shared" si="103"/>
        <v>#DIV/0!</v>
      </c>
      <c r="BS151" s="19" t="e">
        <f t="shared" si="104"/>
        <v>#DIV/0!</v>
      </c>
      <c r="BT151" s="19" t="e">
        <f t="shared" si="105"/>
        <v>#DIV/0!</v>
      </c>
      <c r="BV151" s="16">
        <f t="shared" si="106"/>
        <v>0</v>
      </c>
      <c r="BW151" s="16">
        <f t="shared" si="107"/>
        <v>0</v>
      </c>
      <c r="BX151" s="3">
        <f t="shared" si="108"/>
        <v>0</v>
      </c>
      <c r="BY151" s="3">
        <f t="shared" si="137"/>
        <v>0</v>
      </c>
      <c r="BZ151" s="3" t="s">
        <v>162</v>
      </c>
      <c r="CA151" s="3">
        <f t="shared" si="109"/>
        <v>0</v>
      </c>
      <c r="CB151" s="3">
        <f t="shared" si="110"/>
        <v>0</v>
      </c>
      <c r="CC151" s="3">
        <f t="shared" si="111"/>
        <v>0</v>
      </c>
      <c r="CD151" s="3">
        <f t="shared" si="112"/>
        <v>0</v>
      </c>
      <c r="CE151" s="22">
        <f t="shared" si="118"/>
        <v>0</v>
      </c>
      <c r="CF151" s="1">
        <f t="shared" si="113"/>
        <v>0</v>
      </c>
      <c r="CG151" s="1">
        <f t="shared" si="119"/>
        <v>0</v>
      </c>
      <c r="CH151" s="3" t="s">
        <v>162</v>
      </c>
      <c r="CI151" s="1">
        <f t="shared" si="120"/>
        <v>0</v>
      </c>
      <c r="CJ151" s="1">
        <f t="shared" si="121"/>
        <v>0</v>
      </c>
      <c r="CK151" s="1">
        <f t="shared" si="122"/>
        <v>0</v>
      </c>
      <c r="CL151" s="1">
        <f t="shared" si="123"/>
        <v>0</v>
      </c>
      <c r="CM151" s="2">
        <f t="shared" si="124"/>
        <v>0</v>
      </c>
      <c r="CN151" s="1">
        <f t="shared" si="125"/>
        <v>0</v>
      </c>
      <c r="CO151" s="1">
        <f t="shared" si="126"/>
        <v>0</v>
      </c>
      <c r="CP151" s="3" t="s">
        <v>162</v>
      </c>
      <c r="CQ151" s="1">
        <f t="shared" si="127"/>
        <v>0</v>
      </c>
      <c r="CR151" s="1">
        <f t="shared" si="128"/>
        <v>0</v>
      </c>
      <c r="CS151" s="1">
        <f t="shared" si="129"/>
        <v>0</v>
      </c>
      <c r="CT151" s="1">
        <f t="shared" si="130"/>
        <v>0</v>
      </c>
      <c r="CU151" s="2">
        <f t="shared" si="131"/>
        <v>0</v>
      </c>
      <c r="CV151" s="14">
        <f t="shared" si="132"/>
        <v>0</v>
      </c>
      <c r="CW151" s="1">
        <f>ROUND(PPTest!K151,1)</f>
        <v>0</v>
      </c>
      <c r="CX151" s="3">
        <f t="shared" si="114"/>
        <v>0</v>
      </c>
      <c r="CY151" s="3">
        <f t="shared" si="133"/>
        <v>0</v>
      </c>
      <c r="CZ151" s="19">
        <f t="shared" si="134"/>
        <v>0</v>
      </c>
      <c r="DA151" s="19" t="e">
        <f t="shared" si="134"/>
        <v>#DIV/0!</v>
      </c>
      <c r="DB151" s="16">
        <f t="shared" si="135"/>
        <v>0</v>
      </c>
    </row>
    <row r="152" spans="1:106" x14ac:dyDescent="0.2">
      <c r="A152" s="15">
        <f t="shared" si="136"/>
        <v>45804</v>
      </c>
      <c r="B152" s="1">
        <v>147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4"/>
      <c r="AY152" s="12"/>
      <c r="AZ152" s="12"/>
      <c r="BA152" s="16">
        <v>32.14</v>
      </c>
      <c r="BB152" s="41"/>
      <c r="BC152" s="41"/>
      <c r="BD152" s="8" t="e">
        <f t="shared" si="94"/>
        <v>#DIV/0!</v>
      </c>
      <c r="BE152" s="8"/>
      <c r="BF152" s="2">
        <f t="shared" si="115"/>
        <v>0</v>
      </c>
      <c r="BG152" s="2">
        <f t="shared" si="116"/>
        <v>0</v>
      </c>
      <c r="BH152" s="2">
        <f t="shared" si="117"/>
        <v>0</v>
      </c>
      <c r="BI152" s="35">
        <f t="shared" si="95"/>
        <v>0</v>
      </c>
      <c r="BJ152" s="35" t="e">
        <f t="shared" si="96"/>
        <v>#DIV/0!</v>
      </c>
      <c r="BL152" s="3">
        <f t="shared" si="97"/>
        <v>0</v>
      </c>
      <c r="BM152" s="19" t="e">
        <f t="shared" si="98"/>
        <v>#DIV/0!</v>
      </c>
      <c r="BN152" s="19" t="e">
        <f t="shared" si="99"/>
        <v>#DIV/0!</v>
      </c>
      <c r="BO152" s="19" t="e">
        <f t="shared" si="100"/>
        <v>#DIV/0!</v>
      </c>
      <c r="BP152" s="19" t="e">
        <f t="shared" si="101"/>
        <v>#DIV/0!</v>
      </c>
      <c r="BQ152" s="19" t="e">
        <f t="shared" si="102"/>
        <v>#DIV/0!</v>
      </c>
      <c r="BR152" s="19" t="e">
        <f t="shared" si="103"/>
        <v>#DIV/0!</v>
      </c>
      <c r="BS152" s="19" t="e">
        <f t="shared" si="104"/>
        <v>#DIV/0!</v>
      </c>
      <c r="BT152" s="19" t="e">
        <f t="shared" si="105"/>
        <v>#DIV/0!</v>
      </c>
      <c r="BV152" s="16">
        <f t="shared" si="106"/>
        <v>0</v>
      </c>
      <c r="BW152" s="16">
        <f t="shared" si="107"/>
        <v>0</v>
      </c>
      <c r="BX152" s="3">
        <f t="shared" si="108"/>
        <v>0</v>
      </c>
      <c r="BY152" s="3">
        <f t="shared" si="137"/>
        <v>0</v>
      </c>
      <c r="BZ152" s="3" t="s">
        <v>162</v>
      </c>
      <c r="CA152" s="3">
        <f t="shared" si="109"/>
        <v>0</v>
      </c>
      <c r="CB152" s="3">
        <f t="shared" si="110"/>
        <v>0</v>
      </c>
      <c r="CC152" s="3">
        <f t="shared" si="111"/>
        <v>0</v>
      </c>
      <c r="CD152" s="3">
        <f t="shared" si="112"/>
        <v>0</v>
      </c>
      <c r="CE152" s="22">
        <f t="shared" si="118"/>
        <v>0</v>
      </c>
      <c r="CF152" s="1">
        <f t="shared" si="113"/>
        <v>0</v>
      </c>
      <c r="CG152" s="1">
        <f t="shared" si="119"/>
        <v>0</v>
      </c>
      <c r="CH152" s="3" t="s">
        <v>162</v>
      </c>
      <c r="CI152" s="1">
        <f t="shared" si="120"/>
        <v>0</v>
      </c>
      <c r="CJ152" s="1">
        <f t="shared" si="121"/>
        <v>0</v>
      </c>
      <c r="CK152" s="1">
        <f t="shared" si="122"/>
        <v>0</v>
      </c>
      <c r="CL152" s="1">
        <f t="shared" si="123"/>
        <v>0</v>
      </c>
      <c r="CM152" s="2">
        <f t="shared" si="124"/>
        <v>0</v>
      </c>
      <c r="CN152" s="1">
        <f t="shared" si="125"/>
        <v>0</v>
      </c>
      <c r="CO152" s="1">
        <f t="shared" si="126"/>
        <v>0</v>
      </c>
      <c r="CP152" s="3" t="s">
        <v>162</v>
      </c>
      <c r="CQ152" s="1">
        <f t="shared" si="127"/>
        <v>0</v>
      </c>
      <c r="CR152" s="1">
        <f t="shared" si="128"/>
        <v>0</v>
      </c>
      <c r="CS152" s="1">
        <f t="shared" si="129"/>
        <v>0</v>
      </c>
      <c r="CT152" s="1">
        <f t="shared" si="130"/>
        <v>0</v>
      </c>
      <c r="CU152" s="2">
        <f t="shared" si="131"/>
        <v>0</v>
      </c>
      <c r="CV152" s="14">
        <f t="shared" si="132"/>
        <v>0</v>
      </c>
      <c r="CW152" s="1">
        <f>ROUND(PPTest!K152,1)</f>
        <v>0</v>
      </c>
      <c r="CX152" s="3">
        <f t="shared" si="114"/>
        <v>0</v>
      </c>
      <c r="CY152" s="3">
        <f t="shared" si="133"/>
        <v>0</v>
      </c>
      <c r="CZ152" s="19">
        <f t="shared" si="134"/>
        <v>0</v>
      </c>
      <c r="DA152" s="19" t="e">
        <f t="shared" si="134"/>
        <v>#DIV/0!</v>
      </c>
      <c r="DB152" s="16">
        <f t="shared" si="135"/>
        <v>0</v>
      </c>
    </row>
    <row r="153" spans="1:106" x14ac:dyDescent="0.2">
      <c r="A153" s="15">
        <f t="shared" si="136"/>
        <v>45805</v>
      </c>
      <c r="B153" s="1">
        <v>148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4"/>
      <c r="AY153" s="12"/>
      <c r="AZ153" s="12"/>
      <c r="BA153" s="16">
        <v>32.24</v>
      </c>
      <c r="BB153" s="41"/>
      <c r="BC153" s="41"/>
      <c r="BD153" s="8" t="e">
        <f t="shared" si="94"/>
        <v>#DIV/0!</v>
      </c>
      <c r="BE153" s="8"/>
      <c r="BF153" s="2">
        <f t="shared" si="115"/>
        <v>0</v>
      </c>
      <c r="BG153" s="2">
        <f t="shared" si="116"/>
        <v>0</v>
      </c>
      <c r="BH153" s="2">
        <f t="shared" si="117"/>
        <v>0</v>
      </c>
      <c r="BI153" s="35">
        <f t="shared" si="95"/>
        <v>0</v>
      </c>
      <c r="BJ153" s="35" t="e">
        <f t="shared" si="96"/>
        <v>#DIV/0!</v>
      </c>
      <c r="BL153" s="3">
        <f t="shared" si="97"/>
        <v>0</v>
      </c>
      <c r="BM153" s="19" t="e">
        <f t="shared" si="98"/>
        <v>#DIV/0!</v>
      </c>
      <c r="BN153" s="19" t="e">
        <f t="shared" si="99"/>
        <v>#DIV/0!</v>
      </c>
      <c r="BO153" s="19" t="e">
        <f t="shared" si="100"/>
        <v>#DIV/0!</v>
      </c>
      <c r="BP153" s="19" t="e">
        <f t="shared" si="101"/>
        <v>#DIV/0!</v>
      </c>
      <c r="BQ153" s="19" t="e">
        <f t="shared" si="102"/>
        <v>#DIV/0!</v>
      </c>
      <c r="BR153" s="19" t="e">
        <f t="shared" si="103"/>
        <v>#DIV/0!</v>
      </c>
      <c r="BS153" s="19" t="e">
        <f t="shared" si="104"/>
        <v>#DIV/0!</v>
      </c>
      <c r="BT153" s="19" t="e">
        <f t="shared" si="105"/>
        <v>#DIV/0!</v>
      </c>
      <c r="BV153" s="16">
        <f t="shared" si="106"/>
        <v>0</v>
      </c>
      <c r="BW153" s="16">
        <f t="shared" si="107"/>
        <v>0</v>
      </c>
      <c r="BX153" s="3">
        <f t="shared" si="108"/>
        <v>0</v>
      </c>
      <c r="BY153" s="3">
        <f t="shared" si="137"/>
        <v>0</v>
      </c>
      <c r="BZ153" s="3" t="s">
        <v>162</v>
      </c>
      <c r="CA153" s="3">
        <f t="shared" si="109"/>
        <v>0</v>
      </c>
      <c r="CB153" s="3">
        <f t="shared" si="110"/>
        <v>0</v>
      </c>
      <c r="CC153" s="3">
        <f t="shared" si="111"/>
        <v>0</v>
      </c>
      <c r="CD153" s="3">
        <f t="shared" si="112"/>
        <v>0</v>
      </c>
      <c r="CE153" s="22">
        <f t="shared" si="118"/>
        <v>0</v>
      </c>
      <c r="CF153" s="1">
        <f t="shared" si="113"/>
        <v>0</v>
      </c>
      <c r="CG153" s="1">
        <f t="shared" si="119"/>
        <v>0</v>
      </c>
      <c r="CH153" s="3" t="s">
        <v>162</v>
      </c>
      <c r="CI153" s="1">
        <f t="shared" si="120"/>
        <v>0</v>
      </c>
      <c r="CJ153" s="1">
        <f t="shared" si="121"/>
        <v>0</v>
      </c>
      <c r="CK153" s="1">
        <f t="shared" si="122"/>
        <v>0</v>
      </c>
      <c r="CL153" s="1">
        <f t="shared" si="123"/>
        <v>0</v>
      </c>
      <c r="CM153" s="2">
        <f t="shared" si="124"/>
        <v>0</v>
      </c>
      <c r="CN153" s="1">
        <f t="shared" si="125"/>
        <v>0</v>
      </c>
      <c r="CO153" s="1">
        <f t="shared" si="126"/>
        <v>0</v>
      </c>
      <c r="CP153" s="3" t="s">
        <v>162</v>
      </c>
      <c r="CQ153" s="1">
        <f t="shared" si="127"/>
        <v>0</v>
      </c>
      <c r="CR153" s="1">
        <f t="shared" si="128"/>
        <v>0</v>
      </c>
      <c r="CS153" s="1">
        <f t="shared" si="129"/>
        <v>0</v>
      </c>
      <c r="CT153" s="1">
        <f t="shared" si="130"/>
        <v>0</v>
      </c>
      <c r="CU153" s="2">
        <f t="shared" si="131"/>
        <v>0</v>
      </c>
      <c r="CV153" s="14">
        <f t="shared" si="132"/>
        <v>0</v>
      </c>
      <c r="CW153" s="1">
        <f>ROUND(PPTest!K153,1)</f>
        <v>0</v>
      </c>
      <c r="CX153" s="3">
        <f t="shared" si="114"/>
        <v>0</v>
      </c>
      <c r="CY153" s="3">
        <f t="shared" si="133"/>
        <v>0</v>
      </c>
      <c r="CZ153" s="19">
        <f t="shared" si="134"/>
        <v>0</v>
      </c>
      <c r="DA153" s="19" t="e">
        <f t="shared" si="134"/>
        <v>#DIV/0!</v>
      </c>
      <c r="DB153" s="16">
        <f t="shared" si="135"/>
        <v>0</v>
      </c>
    </row>
    <row r="154" spans="1:106" x14ac:dyDescent="0.2">
      <c r="A154" s="15">
        <f t="shared" si="136"/>
        <v>45806</v>
      </c>
      <c r="B154" s="1">
        <v>149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4"/>
      <c r="AY154" s="12"/>
      <c r="AZ154" s="12"/>
      <c r="BA154" s="16">
        <v>32.340000000000003</v>
      </c>
      <c r="BB154" s="41"/>
      <c r="BC154" s="41"/>
      <c r="BD154" s="8" t="e">
        <f t="shared" si="94"/>
        <v>#DIV/0!</v>
      </c>
      <c r="BE154" s="8"/>
      <c r="BF154" s="2">
        <f t="shared" si="115"/>
        <v>0</v>
      </c>
      <c r="BG154" s="2">
        <f t="shared" si="116"/>
        <v>0</v>
      </c>
      <c r="BH154" s="2">
        <f t="shared" si="117"/>
        <v>0</v>
      </c>
      <c r="BI154" s="35">
        <f t="shared" si="95"/>
        <v>0</v>
      </c>
      <c r="BJ154" s="35" t="e">
        <f t="shared" si="96"/>
        <v>#DIV/0!</v>
      </c>
      <c r="BL154" s="3">
        <f t="shared" si="97"/>
        <v>0</v>
      </c>
      <c r="BM154" s="19" t="e">
        <f t="shared" si="98"/>
        <v>#DIV/0!</v>
      </c>
      <c r="BN154" s="19" t="e">
        <f t="shared" si="99"/>
        <v>#DIV/0!</v>
      </c>
      <c r="BO154" s="19" t="e">
        <f t="shared" si="100"/>
        <v>#DIV/0!</v>
      </c>
      <c r="BP154" s="19" t="e">
        <f t="shared" si="101"/>
        <v>#DIV/0!</v>
      </c>
      <c r="BQ154" s="19" t="e">
        <f t="shared" si="102"/>
        <v>#DIV/0!</v>
      </c>
      <c r="BR154" s="19" t="e">
        <f t="shared" si="103"/>
        <v>#DIV/0!</v>
      </c>
      <c r="BS154" s="19" t="e">
        <f t="shared" si="104"/>
        <v>#DIV/0!</v>
      </c>
      <c r="BT154" s="19" t="e">
        <f t="shared" si="105"/>
        <v>#DIV/0!</v>
      </c>
      <c r="BV154" s="16">
        <f t="shared" si="106"/>
        <v>0</v>
      </c>
      <c r="BW154" s="16">
        <f t="shared" si="107"/>
        <v>0</v>
      </c>
      <c r="BX154" s="3">
        <f t="shared" si="108"/>
        <v>0</v>
      </c>
      <c r="BY154" s="3">
        <f t="shared" si="137"/>
        <v>0</v>
      </c>
      <c r="BZ154" s="3" t="s">
        <v>162</v>
      </c>
      <c r="CA154" s="3">
        <f t="shared" si="109"/>
        <v>0</v>
      </c>
      <c r="CB154" s="3">
        <f t="shared" si="110"/>
        <v>0</v>
      </c>
      <c r="CC154" s="3">
        <f t="shared" si="111"/>
        <v>0</v>
      </c>
      <c r="CD154" s="3">
        <f t="shared" si="112"/>
        <v>0</v>
      </c>
      <c r="CE154" s="22">
        <f t="shared" si="118"/>
        <v>0</v>
      </c>
      <c r="CF154" s="1">
        <f t="shared" si="113"/>
        <v>0</v>
      </c>
      <c r="CG154" s="1">
        <f t="shared" si="119"/>
        <v>0</v>
      </c>
      <c r="CH154" s="3" t="s">
        <v>162</v>
      </c>
      <c r="CI154" s="1">
        <f t="shared" si="120"/>
        <v>0</v>
      </c>
      <c r="CJ154" s="1">
        <f t="shared" si="121"/>
        <v>0</v>
      </c>
      <c r="CK154" s="1">
        <f t="shared" si="122"/>
        <v>0</v>
      </c>
      <c r="CL154" s="1">
        <f t="shared" si="123"/>
        <v>0</v>
      </c>
      <c r="CM154" s="2">
        <f t="shared" si="124"/>
        <v>0</v>
      </c>
      <c r="CN154" s="1">
        <f t="shared" si="125"/>
        <v>0</v>
      </c>
      <c r="CO154" s="1">
        <f t="shared" si="126"/>
        <v>0</v>
      </c>
      <c r="CP154" s="3" t="s">
        <v>162</v>
      </c>
      <c r="CQ154" s="1">
        <f t="shared" si="127"/>
        <v>0</v>
      </c>
      <c r="CR154" s="1">
        <f t="shared" si="128"/>
        <v>0</v>
      </c>
      <c r="CS154" s="1">
        <f t="shared" si="129"/>
        <v>0</v>
      </c>
      <c r="CT154" s="1">
        <f t="shared" si="130"/>
        <v>0</v>
      </c>
      <c r="CU154" s="2">
        <f t="shared" si="131"/>
        <v>0</v>
      </c>
      <c r="CV154" s="14">
        <f t="shared" si="132"/>
        <v>0</v>
      </c>
      <c r="CW154" s="1">
        <f>ROUND(PPTest!K154,1)</f>
        <v>0</v>
      </c>
      <c r="CX154" s="3">
        <f t="shared" si="114"/>
        <v>0</v>
      </c>
      <c r="CY154" s="3">
        <f t="shared" si="133"/>
        <v>0</v>
      </c>
      <c r="CZ154" s="19">
        <f t="shared" si="134"/>
        <v>0</v>
      </c>
      <c r="DA154" s="19" t="e">
        <f t="shared" si="134"/>
        <v>#DIV/0!</v>
      </c>
      <c r="DB154" s="16">
        <f t="shared" si="135"/>
        <v>0</v>
      </c>
    </row>
    <row r="155" spans="1:106" x14ac:dyDescent="0.2">
      <c r="A155" s="15">
        <f t="shared" si="136"/>
        <v>45807</v>
      </c>
      <c r="B155" s="1">
        <v>150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4"/>
      <c r="AY155" s="12"/>
      <c r="AZ155" s="12"/>
      <c r="BA155" s="16">
        <v>32.42</v>
      </c>
      <c r="BB155" s="41"/>
      <c r="BC155" s="41"/>
      <c r="BD155" s="8" t="e">
        <f t="shared" si="94"/>
        <v>#DIV/0!</v>
      </c>
      <c r="BE155" s="8"/>
      <c r="BF155" s="2">
        <f t="shared" si="115"/>
        <v>0</v>
      </c>
      <c r="BG155" s="2">
        <f t="shared" si="116"/>
        <v>0</v>
      </c>
      <c r="BH155" s="2">
        <f t="shared" si="117"/>
        <v>0</v>
      </c>
      <c r="BI155" s="35">
        <f t="shared" si="95"/>
        <v>0</v>
      </c>
      <c r="BJ155" s="35" t="e">
        <f t="shared" si="96"/>
        <v>#DIV/0!</v>
      </c>
      <c r="BL155" s="3">
        <f t="shared" si="97"/>
        <v>0</v>
      </c>
      <c r="BM155" s="19" t="e">
        <f t="shared" si="98"/>
        <v>#DIV/0!</v>
      </c>
      <c r="BN155" s="19" t="e">
        <f t="shared" si="99"/>
        <v>#DIV/0!</v>
      </c>
      <c r="BO155" s="19" t="e">
        <f t="shared" si="100"/>
        <v>#DIV/0!</v>
      </c>
      <c r="BP155" s="19" t="e">
        <f t="shared" si="101"/>
        <v>#DIV/0!</v>
      </c>
      <c r="BQ155" s="19" t="e">
        <f t="shared" si="102"/>
        <v>#DIV/0!</v>
      </c>
      <c r="BR155" s="19" t="e">
        <f t="shared" si="103"/>
        <v>#DIV/0!</v>
      </c>
      <c r="BS155" s="19" t="e">
        <f t="shared" si="104"/>
        <v>#DIV/0!</v>
      </c>
      <c r="BT155" s="19" t="e">
        <f t="shared" si="105"/>
        <v>#DIV/0!</v>
      </c>
      <c r="BV155" s="16">
        <f t="shared" si="106"/>
        <v>0</v>
      </c>
      <c r="BW155" s="16">
        <f t="shared" si="107"/>
        <v>0</v>
      </c>
      <c r="BX155" s="3">
        <f t="shared" si="108"/>
        <v>0</v>
      </c>
      <c r="BY155" s="3">
        <f t="shared" si="137"/>
        <v>0</v>
      </c>
      <c r="BZ155" s="3" t="s">
        <v>162</v>
      </c>
      <c r="CA155" s="3">
        <f t="shared" si="109"/>
        <v>0</v>
      </c>
      <c r="CB155" s="3">
        <f t="shared" si="110"/>
        <v>0</v>
      </c>
      <c r="CC155" s="3">
        <f t="shared" si="111"/>
        <v>0</v>
      </c>
      <c r="CD155" s="3">
        <f t="shared" si="112"/>
        <v>0</v>
      </c>
      <c r="CE155" s="22">
        <f t="shared" si="118"/>
        <v>0</v>
      </c>
      <c r="CF155" s="1">
        <f t="shared" si="113"/>
        <v>0</v>
      </c>
      <c r="CG155" s="1">
        <f t="shared" si="119"/>
        <v>0</v>
      </c>
      <c r="CH155" s="3" t="s">
        <v>162</v>
      </c>
      <c r="CI155" s="1">
        <f t="shared" si="120"/>
        <v>0</v>
      </c>
      <c r="CJ155" s="1">
        <f t="shared" si="121"/>
        <v>0</v>
      </c>
      <c r="CK155" s="1">
        <f t="shared" si="122"/>
        <v>0</v>
      </c>
      <c r="CL155" s="1">
        <f t="shared" si="123"/>
        <v>0</v>
      </c>
      <c r="CM155" s="2">
        <f t="shared" si="124"/>
        <v>0</v>
      </c>
      <c r="CN155" s="1">
        <f t="shared" si="125"/>
        <v>0</v>
      </c>
      <c r="CO155" s="1">
        <f t="shared" si="126"/>
        <v>0</v>
      </c>
      <c r="CP155" s="3" t="s">
        <v>162</v>
      </c>
      <c r="CQ155" s="1">
        <f t="shared" si="127"/>
        <v>0</v>
      </c>
      <c r="CR155" s="1">
        <f t="shared" si="128"/>
        <v>0</v>
      </c>
      <c r="CS155" s="1">
        <f t="shared" si="129"/>
        <v>0</v>
      </c>
      <c r="CT155" s="1">
        <f t="shared" si="130"/>
        <v>0</v>
      </c>
      <c r="CU155" s="2">
        <f t="shared" si="131"/>
        <v>0</v>
      </c>
      <c r="CV155" s="14">
        <f t="shared" si="132"/>
        <v>0</v>
      </c>
      <c r="CW155" s="1">
        <f>ROUND(PPTest!K155,1)</f>
        <v>0</v>
      </c>
      <c r="CX155" s="3">
        <f t="shared" si="114"/>
        <v>0</v>
      </c>
      <c r="CY155" s="3">
        <f t="shared" si="133"/>
        <v>0</v>
      </c>
      <c r="CZ155" s="19">
        <f t="shared" si="134"/>
        <v>0</v>
      </c>
      <c r="DA155" s="19" t="e">
        <f t="shared" si="134"/>
        <v>#DIV/0!</v>
      </c>
      <c r="DB155" s="16">
        <f t="shared" si="135"/>
        <v>0</v>
      </c>
    </row>
    <row r="156" spans="1:106" x14ac:dyDescent="0.2">
      <c r="A156" s="15">
        <f t="shared" si="136"/>
        <v>45808</v>
      </c>
      <c r="B156" s="1">
        <v>151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4"/>
      <c r="AY156" s="12"/>
      <c r="AZ156" s="12"/>
      <c r="BA156" s="16">
        <v>32.51</v>
      </c>
      <c r="BB156" s="41"/>
      <c r="BC156" s="41"/>
      <c r="BD156" s="8" t="e">
        <f t="shared" si="94"/>
        <v>#DIV/0!</v>
      </c>
      <c r="BE156" s="8"/>
      <c r="BF156" s="2">
        <f t="shared" si="115"/>
        <v>0</v>
      </c>
      <c r="BG156" s="2">
        <f t="shared" si="116"/>
        <v>0</v>
      </c>
      <c r="BH156" s="2">
        <f t="shared" si="117"/>
        <v>0</v>
      </c>
      <c r="BI156" s="35">
        <f t="shared" si="95"/>
        <v>0</v>
      </c>
      <c r="BJ156" s="35" t="e">
        <f t="shared" si="96"/>
        <v>#DIV/0!</v>
      </c>
      <c r="BL156" s="3">
        <f t="shared" si="97"/>
        <v>0</v>
      </c>
      <c r="BM156" s="19" t="e">
        <f t="shared" si="98"/>
        <v>#DIV/0!</v>
      </c>
      <c r="BN156" s="19" t="e">
        <f t="shared" si="99"/>
        <v>#DIV/0!</v>
      </c>
      <c r="BO156" s="19" t="e">
        <f t="shared" si="100"/>
        <v>#DIV/0!</v>
      </c>
      <c r="BP156" s="19" t="e">
        <f t="shared" si="101"/>
        <v>#DIV/0!</v>
      </c>
      <c r="BQ156" s="19" t="e">
        <f t="shared" si="102"/>
        <v>#DIV/0!</v>
      </c>
      <c r="BR156" s="19" t="e">
        <f t="shared" si="103"/>
        <v>#DIV/0!</v>
      </c>
      <c r="BS156" s="19" t="e">
        <f t="shared" si="104"/>
        <v>#DIV/0!</v>
      </c>
      <c r="BT156" s="19" t="e">
        <f t="shared" si="105"/>
        <v>#DIV/0!</v>
      </c>
      <c r="BV156" s="16">
        <f t="shared" si="106"/>
        <v>0</v>
      </c>
      <c r="BW156" s="16">
        <f t="shared" si="107"/>
        <v>0</v>
      </c>
      <c r="BX156" s="3">
        <f t="shared" si="108"/>
        <v>0</v>
      </c>
      <c r="BY156" s="3">
        <f t="shared" si="137"/>
        <v>0</v>
      </c>
      <c r="BZ156" s="3" t="s">
        <v>162</v>
      </c>
      <c r="CA156" s="3">
        <f t="shared" si="109"/>
        <v>0</v>
      </c>
      <c r="CB156" s="3">
        <f t="shared" si="110"/>
        <v>0</v>
      </c>
      <c r="CC156" s="3">
        <f t="shared" si="111"/>
        <v>0</v>
      </c>
      <c r="CD156" s="3">
        <f t="shared" si="112"/>
        <v>0</v>
      </c>
      <c r="CE156" s="22">
        <f t="shared" si="118"/>
        <v>0</v>
      </c>
      <c r="CF156" s="1">
        <f t="shared" si="113"/>
        <v>0</v>
      </c>
      <c r="CG156" s="1">
        <f t="shared" si="119"/>
        <v>0</v>
      </c>
      <c r="CH156" s="3" t="s">
        <v>162</v>
      </c>
      <c r="CI156" s="1">
        <f t="shared" si="120"/>
        <v>0</v>
      </c>
      <c r="CJ156" s="1">
        <f t="shared" si="121"/>
        <v>0</v>
      </c>
      <c r="CK156" s="1">
        <f t="shared" si="122"/>
        <v>0</v>
      </c>
      <c r="CL156" s="1">
        <f t="shared" si="123"/>
        <v>0</v>
      </c>
      <c r="CM156" s="2">
        <f t="shared" si="124"/>
        <v>0</v>
      </c>
      <c r="CN156" s="1">
        <f t="shared" si="125"/>
        <v>0</v>
      </c>
      <c r="CO156" s="1">
        <f t="shared" si="126"/>
        <v>0</v>
      </c>
      <c r="CP156" s="3" t="s">
        <v>162</v>
      </c>
      <c r="CQ156" s="1">
        <f t="shared" si="127"/>
        <v>0</v>
      </c>
      <c r="CR156" s="1">
        <f t="shared" si="128"/>
        <v>0</v>
      </c>
      <c r="CS156" s="1">
        <f t="shared" si="129"/>
        <v>0</v>
      </c>
      <c r="CT156" s="1">
        <f t="shared" si="130"/>
        <v>0</v>
      </c>
      <c r="CU156" s="2">
        <f t="shared" si="131"/>
        <v>0</v>
      </c>
      <c r="CV156" s="14">
        <f t="shared" si="132"/>
        <v>0</v>
      </c>
      <c r="CW156" s="1">
        <f>ROUND(PPTest!K156,1)</f>
        <v>0</v>
      </c>
      <c r="CX156" s="3">
        <f t="shared" si="114"/>
        <v>0</v>
      </c>
      <c r="CY156" s="3">
        <f t="shared" si="133"/>
        <v>0</v>
      </c>
      <c r="CZ156" s="19">
        <f t="shared" si="134"/>
        <v>0</v>
      </c>
      <c r="DA156" s="19" t="e">
        <f t="shared" si="134"/>
        <v>#DIV/0!</v>
      </c>
      <c r="DB156" s="16">
        <f t="shared" si="135"/>
        <v>0</v>
      </c>
    </row>
    <row r="157" spans="1:106" x14ac:dyDescent="0.2">
      <c r="A157" s="15">
        <f t="shared" si="136"/>
        <v>45809</v>
      </c>
      <c r="B157" s="1">
        <v>152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4"/>
      <c r="AY157" s="12"/>
      <c r="AZ157" s="14"/>
      <c r="BA157" s="16">
        <v>32.590000000000003</v>
      </c>
      <c r="BB157" s="41"/>
      <c r="BC157" s="41"/>
      <c r="BD157" s="8" t="e">
        <f t="shared" ref="BD157:BD197" si="138">BC157/BB157</f>
        <v>#DIV/0!</v>
      </c>
      <c r="BE157" s="8"/>
      <c r="BF157" s="2">
        <f t="shared" si="115"/>
        <v>0</v>
      </c>
      <c r="BG157" s="2">
        <f t="shared" si="116"/>
        <v>0</v>
      </c>
      <c r="BH157" s="2">
        <f t="shared" si="117"/>
        <v>0</v>
      </c>
      <c r="BI157" s="35">
        <f t="shared" ref="BI157:BI196" si="139">ROUND((0.6105*(EXP((17.273*P157)/(P157+237.3))))*BH157/100,3)</f>
        <v>0</v>
      </c>
      <c r="BJ157" s="35" t="e">
        <f t="shared" si="96"/>
        <v>#DIV/0!</v>
      </c>
      <c r="BL157" s="3">
        <f t="shared" si="97"/>
        <v>0</v>
      </c>
      <c r="BM157" s="19" t="e">
        <f t="shared" si="98"/>
        <v>#DIV/0!</v>
      </c>
      <c r="BN157" s="19" t="e">
        <f t="shared" si="99"/>
        <v>#DIV/0!</v>
      </c>
      <c r="BO157" s="19" t="e">
        <f t="shared" si="100"/>
        <v>#DIV/0!</v>
      </c>
      <c r="BP157" s="19" t="e">
        <f t="shared" si="101"/>
        <v>#DIV/0!</v>
      </c>
      <c r="BQ157" s="19" t="e">
        <f t="shared" si="102"/>
        <v>#DIV/0!</v>
      </c>
      <c r="BR157" s="19" t="e">
        <f t="shared" si="103"/>
        <v>#DIV/0!</v>
      </c>
      <c r="BS157" s="19" t="e">
        <f t="shared" si="104"/>
        <v>#DIV/0!</v>
      </c>
      <c r="BT157" s="19" t="e">
        <f t="shared" si="105"/>
        <v>#DIV/0!</v>
      </c>
      <c r="BV157" s="16">
        <f t="shared" si="106"/>
        <v>0</v>
      </c>
      <c r="BW157" s="16">
        <f t="shared" si="107"/>
        <v>0</v>
      </c>
      <c r="BX157" s="3">
        <f t="shared" si="108"/>
        <v>0</v>
      </c>
      <c r="BY157" s="3">
        <f t="shared" si="137"/>
        <v>0</v>
      </c>
      <c r="BZ157" s="3" t="s">
        <v>162</v>
      </c>
      <c r="CA157" s="3">
        <f t="shared" si="109"/>
        <v>0</v>
      </c>
      <c r="CB157" s="3">
        <f t="shared" si="110"/>
        <v>0</v>
      </c>
      <c r="CC157" s="3">
        <f t="shared" si="111"/>
        <v>0</v>
      </c>
      <c r="CD157" s="3">
        <f t="shared" si="112"/>
        <v>0</v>
      </c>
      <c r="CE157" s="22">
        <f t="shared" si="118"/>
        <v>0</v>
      </c>
      <c r="CF157" s="1">
        <f t="shared" si="113"/>
        <v>0</v>
      </c>
      <c r="CG157" s="1">
        <f t="shared" si="119"/>
        <v>0</v>
      </c>
      <c r="CH157" s="3" t="s">
        <v>162</v>
      </c>
      <c r="CI157" s="1">
        <f t="shared" si="120"/>
        <v>0</v>
      </c>
      <c r="CJ157" s="1">
        <f t="shared" si="121"/>
        <v>0</v>
      </c>
      <c r="CK157" s="1">
        <f t="shared" si="122"/>
        <v>0</v>
      </c>
      <c r="CL157" s="1">
        <f t="shared" si="123"/>
        <v>0</v>
      </c>
      <c r="CM157" s="2">
        <f t="shared" si="124"/>
        <v>0</v>
      </c>
      <c r="CN157" s="1">
        <f t="shared" si="125"/>
        <v>0</v>
      </c>
      <c r="CO157" s="1">
        <f t="shared" si="126"/>
        <v>0</v>
      </c>
      <c r="CP157" s="3" t="s">
        <v>162</v>
      </c>
      <c r="CQ157" s="1">
        <f t="shared" si="127"/>
        <v>0</v>
      </c>
      <c r="CR157" s="1">
        <f t="shared" si="128"/>
        <v>0</v>
      </c>
      <c r="CS157" s="1">
        <f t="shared" si="129"/>
        <v>0</v>
      </c>
      <c r="CT157" s="1">
        <f t="shared" si="130"/>
        <v>0</v>
      </c>
      <c r="CU157" s="2">
        <f t="shared" si="131"/>
        <v>0</v>
      </c>
      <c r="CV157" s="14">
        <f t="shared" si="132"/>
        <v>0</v>
      </c>
      <c r="CW157" s="1">
        <f>ROUND(PPTest!K157,1)</f>
        <v>0</v>
      </c>
      <c r="CX157" s="3">
        <f t="shared" si="114"/>
        <v>0</v>
      </c>
      <c r="CY157" s="3">
        <f t="shared" si="133"/>
        <v>0</v>
      </c>
      <c r="CZ157" s="19">
        <f t="shared" si="134"/>
        <v>0</v>
      </c>
      <c r="DA157" s="19" t="e">
        <f t="shared" si="134"/>
        <v>#DIV/0!</v>
      </c>
      <c r="DB157" s="16">
        <f t="shared" si="135"/>
        <v>0</v>
      </c>
    </row>
    <row r="158" spans="1:106" x14ac:dyDescent="0.2">
      <c r="A158" s="15">
        <f t="shared" si="136"/>
        <v>45810</v>
      </c>
      <c r="B158" s="1">
        <v>153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4"/>
      <c r="AY158" s="12"/>
      <c r="AZ158" s="14"/>
      <c r="BA158" s="16">
        <v>32.659999999999997</v>
      </c>
      <c r="BB158" s="41"/>
      <c r="BC158" s="41"/>
      <c r="BD158" s="8" t="e">
        <f t="shared" si="138"/>
        <v>#DIV/0!</v>
      </c>
      <c r="BE158" s="8"/>
      <c r="BF158" s="2">
        <f t="shared" si="115"/>
        <v>0</v>
      </c>
      <c r="BG158" s="2">
        <f t="shared" si="116"/>
        <v>0</v>
      </c>
      <c r="BH158" s="2">
        <f t="shared" si="117"/>
        <v>0</v>
      </c>
      <c r="BI158" s="35">
        <f t="shared" si="139"/>
        <v>0</v>
      </c>
      <c r="BJ158" s="35" t="e">
        <f t="shared" si="96"/>
        <v>#DIV/0!</v>
      </c>
      <c r="BL158" s="3">
        <f t="shared" si="97"/>
        <v>0</v>
      </c>
      <c r="BM158" s="19" t="e">
        <f t="shared" si="98"/>
        <v>#DIV/0!</v>
      </c>
      <c r="BN158" s="19" t="e">
        <f t="shared" si="99"/>
        <v>#DIV/0!</v>
      </c>
      <c r="BO158" s="19" t="e">
        <f t="shared" si="100"/>
        <v>#DIV/0!</v>
      </c>
      <c r="BP158" s="19" t="e">
        <f t="shared" si="101"/>
        <v>#DIV/0!</v>
      </c>
      <c r="BQ158" s="19" t="e">
        <f t="shared" si="102"/>
        <v>#DIV/0!</v>
      </c>
      <c r="BR158" s="19" t="e">
        <f t="shared" si="103"/>
        <v>#DIV/0!</v>
      </c>
      <c r="BS158" s="19" t="e">
        <f t="shared" si="104"/>
        <v>#DIV/0!</v>
      </c>
      <c r="BT158" s="19" t="e">
        <f t="shared" si="105"/>
        <v>#DIV/0!</v>
      </c>
      <c r="BV158" s="16">
        <f t="shared" si="106"/>
        <v>0</v>
      </c>
      <c r="BW158" s="16">
        <f t="shared" si="107"/>
        <v>0</v>
      </c>
      <c r="BX158" s="3">
        <f t="shared" si="108"/>
        <v>0</v>
      </c>
      <c r="BY158" s="3">
        <f t="shared" si="137"/>
        <v>0</v>
      </c>
      <c r="BZ158" s="3" t="s">
        <v>162</v>
      </c>
      <c r="CA158" s="3">
        <f t="shared" si="109"/>
        <v>0</v>
      </c>
      <c r="CB158" s="3">
        <f t="shared" si="110"/>
        <v>0</v>
      </c>
      <c r="CC158" s="3">
        <f t="shared" si="111"/>
        <v>0</v>
      </c>
      <c r="CD158" s="3">
        <f t="shared" si="112"/>
        <v>0</v>
      </c>
      <c r="CE158" s="22">
        <f t="shared" si="118"/>
        <v>0</v>
      </c>
      <c r="CF158" s="1">
        <f t="shared" si="113"/>
        <v>0</v>
      </c>
      <c r="CG158" s="1">
        <f t="shared" si="119"/>
        <v>0</v>
      </c>
      <c r="CH158" s="3" t="s">
        <v>162</v>
      </c>
      <c r="CI158" s="1">
        <f t="shared" si="120"/>
        <v>0</v>
      </c>
      <c r="CJ158" s="1">
        <f t="shared" si="121"/>
        <v>0</v>
      </c>
      <c r="CK158" s="1">
        <f t="shared" si="122"/>
        <v>0</v>
      </c>
      <c r="CL158" s="1">
        <f t="shared" si="123"/>
        <v>0</v>
      </c>
      <c r="CM158" s="2">
        <f t="shared" si="124"/>
        <v>0</v>
      </c>
      <c r="CN158" s="1">
        <f t="shared" si="125"/>
        <v>0</v>
      </c>
      <c r="CO158" s="1">
        <f t="shared" si="126"/>
        <v>0</v>
      </c>
      <c r="CP158" s="3" t="s">
        <v>162</v>
      </c>
      <c r="CQ158" s="1">
        <f t="shared" si="127"/>
        <v>0</v>
      </c>
      <c r="CR158" s="1">
        <f t="shared" si="128"/>
        <v>0</v>
      </c>
      <c r="CS158" s="1">
        <f t="shared" si="129"/>
        <v>0</v>
      </c>
      <c r="CT158" s="1">
        <f t="shared" si="130"/>
        <v>0</v>
      </c>
      <c r="CU158" s="2">
        <f t="shared" si="131"/>
        <v>0</v>
      </c>
      <c r="CV158" s="14">
        <f t="shared" si="132"/>
        <v>0</v>
      </c>
      <c r="CW158" s="1">
        <f>ROUND(PPTest!K158,1)</f>
        <v>0</v>
      </c>
      <c r="CX158" s="3">
        <f t="shared" si="114"/>
        <v>0</v>
      </c>
      <c r="CY158" s="3">
        <f t="shared" si="133"/>
        <v>0</v>
      </c>
      <c r="CZ158" s="19">
        <f t="shared" si="134"/>
        <v>0</v>
      </c>
      <c r="DA158" s="19" t="e">
        <f t="shared" si="134"/>
        <v>#DIV/0!</v>
      </c>
      <c r="DB158" s="16">
        <f t="shared" si="135"/>
        <v>0</v>
      </c>
    </row>
    <row r="159" spans="1:106" x14ac:dyDescent="0.2">
      <c r="A159" s="15">
        <f t="shared" si="136"/>
        <v>45811</v>
      </c>
      <c r="B159" s="1">
        <v>154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4"/>
      <c r="AY159" s="12"/>
      <c r="AZ159" s="14"/>
      <c r="BA159" s="16">
        <v>32.74</v>
      </c>
      <c r="BB159" s="41"/>
      <c r="BC159" s="41"/>
      <c r="BD159" s="8" t="e">
        <f t="shared" si="138"/>
        <v>#DIV/0!</v>
      </c>
      <c r="BE159" s="8"/>
      <c r="BF159" s="2">
        <f t="shared" si="115"/>
        <v>0</v>
      </c>
      <c r="BG159" s="2">
        <f t="shared" si="116"/>
        <v>0</v>
      </c>
      <c r="BH159" s="2">
        <f t="shared" si="117"/>
        <v>0</v>
      </c>
      <c r="BI159" s="35">
        <f t="shared" si="139"/>
        <v>0</v>
      </c>
      <c r="BJ159" s="35" t="e">
        <f t="shared" si="96"/>
        <v>#DIV/0!</v>
      </c>
      <c r="BL159" s="3">
        <f t="shared" si="97"/>
        <v>0</v>
      </c>
      <c r="BM159" s="19" t="e">
        <f t="shared" si="98"/>
        <v>#DIV/0!</v>
      </c>
      <c r="BN159" s="19" t="e">
        <f t="shared" si="99"/>
        <v>#DIV/0!</v>
      </c>
      <c r="BO159" s="19" t="e">
        <f t="shared" si="100"/>
        <v>#DIV/0!</v>
      </c>
      <c r="BP159" s="19" t="e">
        <f t="shared" si="101"/>
        <v>#DIV/0!</v>
      </c>
      <c r="BQ159" s="19" t="e">
        <f t="shared" si="102"/>
        <v>#DIV/0!</v>
      </c>
      <c r="BR159" s="19" t="e">
        <f t="shared" si="103"/>
        <v>#DIV/0!</v>
      </c>
      <c r="BS159" s="19" t="e">
        <f t="shared" si="104"/>
        <v>#DIV/0!</v>
      </c>
      <c r="BT159" s="19" t="e">
        <f t="shared" si="105"/>
        <v>#DIV/0!</v>
      </c>
      <c r="BV159" s="16">
        <f t="shared" si="106"/>
        <v>0</v>
      </c>
      <c r="BW159" s="16">
        <f t="shared" si="107"/>
        <v>0</v>
      </c>
      <c r="BX159" s="3">
        <f t="shared" si="108"/>
        <v>0</v>
      </c>
      <c r="BY159" s="3">
        <f t="shared" si="137"/>
        <v>0</v>
      </c>
      <c r="BZ159" s="3" t="s">
        <v>162</v>
      </c>
      <c r="CA159" s="3">
        <f t="shared" si="109"/>
        <v>0</v>
      </c>
      <c r="CB159" s="3">
        <f t="shared" si="110"/>
        <v>0</v>
      </c>
      <c r="CC159" s="3">
        <f t="shared" si="111"/>
        <v>0</v>
      </c>
      <c r="CD159" s="3">
        <f t="shared" si="112"/>
        <v>0</v>
      </c>
      <c r="CE159" s="22">
        <f t="shared" si="118"/>
        <v>0</v>
      </c>
      <c r="CF159" s="1">
        <f t="shared" si="113"/>
        <v>0</v>
      </c>
      <c r="CG159" s="1">
        <f t="shared" si="119"/>
        <v>0</v>
      </c>
      <c r="CH159" s="3" t="s">
        <v>162</v>
      </c>
      <c r="CI159" s="1">
        <f t="shared" si="120"/>
        <v>0</v>
      </c>
      <c r="CJ159" s="1">
        <f t="shared" si="121"/>
        <v>0</v>
      </c>
      <c r="CK159" s="1">
        <f t="shared" si="122"/>
        <v>0</v>
      </c>
      <c r="CL159" s="1">
        <f t="shared" si="123"/>
        <v>0</v>
      </c>
      <c r="CM159" s="2">
        <f t="shared" si="124"/>
        <v>0</v>
      </c>
      <c r="CN159" s="1">
        <f t="shared" si="125"/>
        <v>0</v>
      </c>
      <c r="CO159" s="1">
        <f t="shared" si="126"/>
        <v>0</v>
      </c>
      <c r="CP159" s="3" t="s">
        <v>162</v>
      </c>
      <c r="CQ159" s="1">
        <f t="shared" si="127"/>
        <v>0</v>
      </c>
      <c r="CR159" s="1">
        <f t="shared" si="128"/>
        <v>0</v>
      </c>
      <c r="CS159" s="1">
        <f t="shared" si="129"/>
        <v>0</v>
      </c>
      <c r="CT159" s="1">
        <f t="shared" si="130"/>
        <v>0</v>
      </c>
      <c r="CU159" s="2">
        <f t="shared" si="131"/>
        <v>0</v>
      </c>
      <c r="CV159" s="14">
        <f t="shared" si="132"/>
        <v>0</v>
      </c>
      <c r="CW159" s="1">
        <f>ROUND(PPTest!K159,1)</f>
        <v>0</v>
      </c>
      <c r="CX159" s="3">
        <f t="shared" si="114"/>
        <v>0</v>
      </c>
      <c r="CY159" s="3">
        <f t="shared" si="133"/>
        <v>0</v>
      </c>
      <c r="CZ159" s="19">
        <f t="shared" si="134"/>
        <v>0</v>
      </c>
      <c r="DA159" s="19" t="e">
        <f t="shared" si="134"/>
        <v>#DIV/0!</v>
      </c>
      <c r="DB159" s="16">
        <f t="shared" si="135"/>
        <v>0</v>
      </c>
    </row>
    <row r="160" spans="1:106" x14ac:dyDescent="0.2">
      <c r="A160" s="15">
        <f t="shared" si="136"/>
        <v>45812</v>
      </c>
      <c r="B160" s="1">
        <v>155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4"/>
      <c r="AY160" s="12"/>
      <c r="AZ160" s="14"/>
      <c r="BA160" s="16">
        <v>32.799999999999997</v>
      </c>
      <c r="BB160" s="41"/>
      <c r="BC160" s="41"/>
      <c r="BD160" s="8" t="e">
        <f t="shared" si="138"/>
        <v>#DIV/0!</v>
      </c>
      <c r="BE160" s="8"/>
      <c r="BF160" s="2">
        <f t="shared" si="115"/>
        <v>0</v>
      </c>
      <c r="BG160" s="2">
        <f t="shared" si="116"/>
        <v>0</v>
      </c>
      <c r="BH160" s="2">
        <f t="shared" si="117"/>
        <v>0</v>
      </c>
      <c r="BI160" s="35">
        <f t="shared" si="139"/>
        <v>0</v>
      </c>
      <c r="BJ160" s="35" t="e">
        <f t="shared" si="96"/>
        <v>#DIV/0!</v>
      </c>
      <c r="BL160" s="3">
        <f t="shared" si="97"/>
        <v>0</v>
      </c>
      <c r="BM160" s="19" t="e">
        <f t="shared" si="98"/>
        <v>#DIV/0!</v>
      </c>
      <c r="BN160" s="19" t="e">
        <f t="shared" si="99"/>
        <v>#DIV/0!</v>
      </c>
      <c r="BO160" s="19" t="e">
        <f t="shared" si="100"/>
        <v>#DIV/0!</v>
      </c>
      <c r="BP160" s="19" t="e">
        <f t="shared" si="101"/>
        <v>#DIV/0!</v>
      </c>
      <c r="BQ160" s="19" t="e">
        <f t="shared" si="102"/>
        <v>#DIV/0!</v>
      </c>
      <c r="BR160" s="19" t="e">
        <f t="shared" si="103"/>
        <v>#DIV/0!</v>
      </c>
      <c r="BS160" s="19" t="e">
        <f t="shared" si="104"/>
        <v>#DIV/0!</v>
      </c>
      <c r="BT160" s="19" t="e">
        <f t="shared" si="105"/>
        <v>#DIV/0!</v>
      </c>
      <c r="BV160" s="16">
        <f t="shared" si="106"/>
        <v>0</v>
      </c>
      <c r="BW160" s="16">
        <f t="shared" si="107"/>
        <v>0</v>
      </c>
      <c r="BX160" s="3">
        <f t="shared" si="108"/>
        <v>0</v>
      </c>
      <c r="BY160" s="3">
        <f t="shared" si="137"/>
        <v>0</v>
      </c>
      <c r="BZ160" s="3" t="s">
        <v>162</v>
      </c>
      <c r="CA160" s="3">
        <f t="shared" si="109"/>
        <v>0</v>
      </c>
      <c r="CB160" s="3">
        <f t="shared" si="110"/>
        <v>0</v>
      </c>
      <c r="CC160" s="3">
        <f t="shared" si="111"/>
        <v>0</v>
      </c>
      <c r="CD160" s="3">
        <f t="shared" si="112"/>
        <v>0</v>
      </c>
      <c r="CE160" s="22">
        <f t="shared" si="118"/>
        <v>0</v>
      </c>
      <c r="CF160" s="1">
        <f t="shared" si="113"/>
        <v>0</v>
      </c>
      <c r="CG160" s="1">
        <f t="shared" si="119"/>
        <v>0</v>
      </c>
      <c r="CH160" s="3" t="s">
        <v>162</v>
      </c>
      <c r="CI160" s="1">
        <f t="shared" si="120"/>
        <v>0</v>
      </c>
      <c r="CJ160" s="1">
        <f t="shared" si="121"/>
        <v>0</v>
      </c>
      <c r="CK160" s="1">
        <f t="shared" si="122"/>
        <v>0</v>
      </c>
      <c r="CL160" s="1">
        <f t="shared" si="123"/>
        <v>0</v>
      </c>
      <c r="CM160" s="2">
        <f t="shared" si="124"/>
        <v>0</v>
      </c>
      <c r="CN160" s="1">
        <f t="shared" si="125"/>
        <v>0</v>
      </c>
      <c r="CO160" s="1">
        <f t="shared" si="126"/>
        <v>0</v>
      </c>
      <c r="CP160" s="3" t="s">
        <v>162</v>
      </c>
      <c r="CQ160" s="1">
        <f t="shared" si="127"/>
        <v>0</v>
      </c>
      <c r="CR160" s="1">
        <f t="shared" si="128"/>
        <v>0</v>
      </c>
      <c r="CS160" s="1">
        <f t="shared" si="129"/>
        <v>0</v>
      </c>
      <c r="CT160" s="1">
        <f t="shared" si="130"/>
        <v>0</v>
      </c>
      <c r="CU160" s="2">
        <f t="shared" si="131"/>
        <v>0</v>
      </c>
      <c r="CV160" s="14">
        <f t="shared" si="132"/>
        <v>0</v>
      </c>
      <c r="CW160" s="1">
        <f>ROUND(PPTest!K160,1)</f>
        <v>0</v>
      </c>
      <c r="CX160" s="3">
        <f t="shared" si="114"/>
        <v>0</v>
      </c>
      <c r="CY160" s="3">
        <f t="shared" si="133"/>
        <v>0</v>
      </c>
      <c r="CZ160" s="19">
        <f t="shared" si="134"/>
        <v>0</v>
      </c>
      <c r="DA160" s="19" t="e">
        <f t="shared" si="134"/>
        <v>#DIV/0!</v>
      </c>
      <c r="DB160" s="16">
        <f t="shared" si="135"/>
        <v>0</v>
      </c>
    </row>
    <row r="161" spans="1:106" x14ac:dyDescent="0.2">
      <c r="A161" s="15">
        <f t="shared" si="136"/>
        <v>45813</v>
      </c>
      <c r="B161" s="1">
        <v>156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4"/>
      <c r="AY161" s="12"/>
      <c r="AZ161" s="14"/>
      <c r="BA161" s="16">
        <v>32.86</v>
      </c>
      <c r="BB161" s="41"/>
      <c r="BC161" s="41"/>
      <c r="BD161" s="8" t="e">
        <f t="shared" si="138"/>
        <v>#DIV/0!</v>
      </c>
      <c r="BE161" s="8"/>
      <c r="BF161" s="2">
        <f t="shared" si="115"/>
        <v>0</v>
      </c>
      <c r="BG161" s="2">
        <f t="shared" si="116"/>
        <v>0</v>
      </c>
      <c r="BH161" s="2">
        <f t="shared" si="117"/>
        <v>0</v>
      </c>
      <c r="BI161" s="35">
        <f t="shared" si="139"/>
        <v>0</v>
      </c>
      <c r="BJ161" s="35" t="e">
        <f t="shared" si="96"/>
        <v>#DIV/0!</v>
      </c>
      <c r="BL161" s="3">
        <f t="shared" si="97"/>
        <v>0</v>
      </c>
      <c r="BM161" s="19" t="e">
        <f t="shared" si="98"/>
        <v>#DIV/0!</v>
      </c>
      <c r="BN161" s="19" t="e">
        <f t="shared" si="99"/>
        <v>#DIV/0!</v>
      </c>
      <c r="BO161" s="19" t="e">
        <f t="shared" si="100"/>
        <v>#DIV/0!</v>
      </c>
      <c r="BP161" s="19" t="e">
        <f t="shared" si="101"/>
        <v>#DIV/0!</v>
      </c>
      <c r="BQ161" s="19" t="e">
        <f t="shared" si="102"/>
        <v>#DIV/0!</v>
      </c>
      <c r="BR161" s="19" t="e">
        <f t="shared" si="103"/>
        <v>#DIV/0!</v>
      </c>
      <c r="BS161" s="19" t="e">
        <f t="shared" si="104"/>
        <v>#DIV/0!</v>
      </c>
      <c r="BT161" s="19" t="e">
        <f t="shared" si="105"/>
        <v>#DIV/0!</v>
      </c>
      <c r="BV161" s="16">
        <f t="shared" si="106"/>
        <v>0</v>
      </c>
      <c r="BW161" s="16">
        <f t="shared" si="107"/>
        <v>0</v>
      </c>
      <c r="BX161" s="3">
        <f t="shared" si="108"/>
        <v>0</v>
      </c>
      <c r="BY161" s="3">
        <f t="shared" si="137"/>
        <v>0</v>
      </c>
      <c r="BZ161" s="3" t="s">
        <v>162</v>
      </c>
      <c r="CA161" s="3">
        <f t="shared" si="109"/>
        <v>0</v>
      </c>
      <c r="CB161" s="3">
        <f t="shared" si="110"/>
        <v>0</v>
      </c>
      <c r="CC161" s="3">
        <f t="shared" si="111"/>
        <v>0</v>
      </c>
      <c r="CD161" s="3">
        <f t="shared" si="112"/>
        <v>0</v>
      </c>
      <c r="CE161" s="22">
        <f t="shared" si="118"/>
        <v>0</v>
      </c>
      <c r="CF161" s="1">
        <f t="shared" si="113"/>
        <v>0</v>
      </c>
      <c r="CG161" s="1">
        <f t="shared" si="119"/>
        <v>0</v>
      </c>
      <c r="CH161" s="3" t="s">
        <v>162</v>
      </c>
      <c r="CI161" s="1">
        <f t="shared" si="120"/>
        <v>0</v>
      </c>
      <c r="CJ161" s="1">
        <f t="shared" si="121"/>
        <v>0</v>
      </c>
      <c r="CK161" s="1">
        <f t="shared" si="122"/>
        <v>0</v>
      </c>
      <c r="CL161" s="1">
        <f t="shared" si="123"/>
        <v>0</v>
      </c>
      <c r="CM161" s="2">
        <f t="shared" si="124"/>
        <v>0</v>
      </c>
      <c r="CN161" s="1">
        <f t="shared" si="125"/>
        <v>0</v>
      </c>
      <c r="CO161" s="1">
        <f t="shared" si="126"/>
        <v>0</v>
      </c>
      <c r="CP161" s="3" t="s">
        <v>162</v>
      </c>
      <c r="CQ161" s="1">
        <f t="shared" si="127"/>
        <v>0</v>
      </c>
      <c r="CR161" s="1">
        <f t="shared" si="128"/>
        <v>0</v>
      </c>
      <c r="CS161" s="1">
        <f t="shared" si="129"/>
        <v>0</v>
      </c>
      <c r="CT161" s="1">
        <f t="shared" si="130"/>
        <v>0</v>
      </c>
      <c r="CU161" s="2">
        <f t="shared" si="131"/>
        <v>0</v>
      </c>
      <c r="CV161" s="14">
        <f t="shared" si="132"/>
        <v>0</v>
      </c>
      <c r="CW161" s="1">
        <f>ROUND(PPTest!K161,1)</f>
        <v>0</v>
      </c>
      <c r="CX161" s="3">
        <f t="shared" si="114"/>
        <v>0</v>
      </c>
      <c r="CY161" s="3">
        <f t="shared" si="133"/>
        <v>0</v>
      </c>
      <c r="CZ161" s="19">
        <f t="shared" si="134"/>
        <v>0</v>
      </c>
      <c r="DA161" s="19" t="e">
        <f t="shared" si="134"/>
        <v>#DIV/0!</v>
      </c>
      <c r="DB161" s="16">
        <f t="shared" si="135"/>
        <v>0</v>
      </c>
    </row>
    <row r="162" spans="1:106" x14ac:dyDescent="0.2">
      <c r="A162" s="15">
        <f t="shared" si="136"/>
        <v>45814</v>
      </c>
      <c r="B162" s="1">
        <v>157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4"/>
      <c r="AY162" s="12"/>
      <c r="AZ162" s="14"/>
      <c r="BA162" s="16">
        <v>32.92</v>
      </c>
      <c r="BB162" s="41"/>
      <c r="BC162" s="41"/>
      <c r="BD162" s="8" t="e">
        <f t="shared" si="138"/>
        <v>#DIV/0!</v>
      </c>
      <c r="BE162" s="8"/>
      <c r="BF162" s="2">
        <f t="shared" si="115"/>
        <v>0</v>
      </c>
      <c r="BG162" s="2">
        <f t="shared" si="116"/>
        <v>0</v>
      </c>
      <c r="BH162" s="2">
        <f t="shared" si="117"/>
        <v>0</v>
      </c>
      <c r="BI162" s="35">
        <f t="shared" si="139"/>
        <v>0</v>
      </c>
      <c r="BJ162" s="35" t="e">
        <f t="shared" si="96"/>
        <v>#DIV/0!</v>
      </c>
      <c r="BL162" s="3">
        <f t="shared" si="97"/>
        <v>0</v>
      </c>
      <c r="BM162" s="19" t="e">
        <f t="shared" si="98"/>
        <v>#DIV/0!</v>
      </c>
      <c r="BN162" s="19" t="e">
        <f t="shared" si="99"/>
        <v>#DIV/0!</v>
      </c>
      <c r="BO162" s="19" t="e">
        <f t="shared" si="100"/>
        <v>#DIV/0!</v>
      </c>
      <c r="BP162" s="19" t="e">
        <f t="shared" si="101"/>
        <v>#DIV/0!</v>
      </c>
      <c r="BQ162" s="19" t="e">
        <f t="shared" si="102"/>
        <v>#DIV/0!</v>
      </c>
      <c r="BR162" s="19" t="e">
        <f t="shared" si="103"/>
        <v>#DIV/0!</v>
      </c>
      <c r="BS162" s="19" t="e">
        <f t="shared" si="104"/>
        <v>#DIV/0!</v>
      </c>
      <c r="BT162" s="19" t="e">
        <f t="shared" si="105"/>
        <v>#DIV/0!</v>
      </c>
      <c r="BV162" s="16">
        <f t="shared" si="106"/>
        <v>0</v>
      </c>
      <c r="BW162" s="16">
        <f t="shared" si="107"/>
        <v>0</v>
      </c>
      <c r="BX162" s="3">
        <f t="shared" si="108"/>
        <v>0</v>
      </c>
      <c r="BY162" s="3">
        <f t="shared" si="137"/>
        <v>0</v>
      </c>
      <c r="BZ162" s="3" t="s">
        <v>162</v>
      </c>
      <c r="CA162" s="3">
        <f t="shared" si="109"/>
        <v>0</v>
      </c>
      <c r="CB162" s="3">
        <f t="shared" si="110"/>
        <v>0</v>
      </c>
      <c r="CC162" s="3">
        <f t="shared" si="111"/>
        <v>0</v>
      </c>
      <c r="CD162" s="3">
        <f t="shared" si="112"/>
        <v>0</v>
      </c>
      <c r="CE162" s="22">
        <f t="shared" si="118"/>
        <v>0</v>
      </c>
      <c r="CF162" s="1">
        <f t="shared" si="113"/>
        <v>0</v>
      </c>
      <c r="CG162" s="1">
        <f t="shared" si="119"/>
        <v>0</v>
      </c>
      <c r="CH162" s="3" t="s">
        <v>162</v>
      </c>
      <c r="CI162" s="1">
        <f t="shared" si="120"/>
        <v>0</v>
      </c>
      <c r="CJ162" s="1">
        <f t="shared" si="121"/>
        <v>0</v>
      </c>
      <c r="CK162" s="1">
        <f t="shared" si="122"/>
        <v>0</v>
      </c>
      <c r="CL162" s="1">
        <f t="shared" si="123"/>
        <v>0</v>
      </c>
      <c r="CM162" s="2">
        <f t="shared" si="124"/>
        <v>0</v>
      </c>
      <c r="CN162" s="1">
        <f t="shared" si="125"/>
        <v>0</v>
      </c>
      <c r="CO162" s="1">
        <f t="shared" si="126"/>
        <v>0</v>
      </c>
      <c r="CP162" s="3" t="s">
        <v>162</v>
      </c>
      <c r="CQ162" s="1">
        <f t="shared" si="127"/>
        <v>0</v>
      </c>
      <c r="CR162" s="1">
        <f t="shared" si="128"/>
        <v>0</v>
      </c>
      <c r="CS162" s="1">
        <f t="shared" si="129"/>
        <v>0</v>
      </c>
      <c r="CT162" s="1">
        <f t="shared" si="130"/>
        <v>0</v>
      </c>
      <c r="CU162" s="2">
        <f t="shared" si="131"/>
        <v>0</v>
      </c>
      <c r="CV162" s="14">
        <f t="shared" si="132"/>
        <v>0</v>
      </c>
      <c r="CW162" s="1">
        <f>ROUND(PPTest!K162,1)</f>
        <v>0</v>
      </c>
      <c r="CX162" s="3">
        <f t="shared" si="114"/>
        <v>0</v>
      </c>
      <c r="CY162" s="3">
        <f t="shared" si="133"/>
        <v>0</v>
      </c>
      <c r="CZ162" s="19">
        <f t="shared" si="134"/>
        <v>0</v>
      </c>
      <c r="DA162" s="19" t="e">
        <f t="shared" si="134"/>
        <v>#DIV/0!</v>
      </c>
      <c r="DB162" s="16">
        <f t="shared" si="135"/>
        <v>0</v>
      </c>
    </row>
    <row r="163" spans="1:106" x14ac:dyDescent="0.2">
      <c r="A163" s="15">
        <f t="shared" si="136"/>
        <v>45815</v>
      </c>
      <c r="B163" s="1">
        <v>158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4"/>
      <c r="AY163" s="12"/>
      <c r="AZ163" s="14"/>
      <c r="BA163" s="16">
        <v>32.97</v>
      </c>
      <c r="BB163" s="41"/>
      <c r="BC163" s="41"/>
      <c r="BD163" s="8" t="e">
        <f t="shared" si="138"/>
        <v>#DIV/0!</v>
      </c>
      <c r="BE163" s="8"/>
      <c r="BF163" s="2">
        <f t="shared" si="115"/>
        <v>0</v>
      </c>
      <c r="BG163" s="2">
        <f t="shared" si="116"/>
        <v>0</v>
      </c>
      <c r="BH163" s="2">
        <f t="shared" si="117"/>
        <v>0</v>
      </c>
      <c r="BI163" s="35">
        <f t="shared" si="139"/>
        <v>0</v>
      </c>
      <c r="BJ163" s="35" t="e">
        <f t="shared" si="96"/>
        <v>#DIV/0!</v>
      </c>
      <c r="BK163" s="2"/>
      <c r="BL163" s="3">
        <f t="shared" si="97"/>
        <v>0</v>
      </c>
      <c r="BM163" s="19" t="e">
        <f t="shared" si="98"/>
        <v>#DIV/0!</v>
      </c>
      <c r="BN163" s="19" t="e">
        <f t="shared" si="99"/>
        <v>#DIV/0!</v>
      </c>
      <c r="BO163" s="19" t="e">
        <f t="shared" si="100"/>
        <v>#DIV/0!</v>
      </c>
      <c r="BP163" s="19" t="e">
        <f t="shared" si="101"/>
        <v>#DIV/0!</v>
      </c>
      <c r="BQ163" s="19" t="e">
        <f t="shared" si="102"/>
        <v>#DIV/0!</v>
      </c>
      <c r="BR163" s="19" t="e">
        <f t="shared" si="103"/>
        <v>#DIV/0!</v>
      </c>
      <c r="BS163" s="19" t="e">
        <f t="shared" si="104"/>
        <v>#DIV/0!</v>
      </c>
      <c r="BT163" s="19" t="e">
        <f t="shared" si="105"/>
        <v>#DIV/0!</v>
      </c>
      <c r="BV163" s="16">
        <f t="shared" si="106"/>
        <v>0</v>
      </c>
      <c r="BW163" s="16">
        <f t="shared" si="107"/>
        <v>0</v>
      </c>
      <c r="BX163" s="3">
        <f t="shared" si="108"/>
        <v>0</v>
      </c>
      <c r="BY163" s="3">
        <f t="shared" si="137"/>
        <v>0</v>
      </c>
      <c r="BZ163" s="3" t="s">
        <v>162</v>
      </c>
      <c r="CA163" s="3">
        <f t="shared" si="109"/>
        <v>0</v>
      </c>
      <c r="CB163" s="3">
        <f t="shared" si="110"/>
        <v>0</v>
      </c>
      <c r="CC163" s="3">
        <f t="shared" si="111"/>
        <v>0</v>
      </c>
      <c r="CD163" s="3">
        <f t="shared" si="112"/>
        <v>0</v>
      </c>
      <c r="CE163" s="22">
        <f t="shared" si="118"/>
        <v>0</v>
      </c>
      <c r="CF163" s="1">
        <f t="shared" si="113"/>
        <v>0</v>
      </c>
      <c r="CG163" s="1">
        <f t="shared" si="119"/>
        <v>0</v>
      </c>
      <c r="CH163" s="3" t="s">
        <v>162</v>
      </c>
      <c r="CI163" s="1">
        <f t="shared" si="120"/>
        <v>0</v>
      </c>
      <c r="CJ163" s="1">
        <f t="shared" si="121"/>
        <v>0</v>
      </c>
      <c r="CK163" s="1">
        <f t="shared" si="122"/>
        <v>0</v>
      </c>
      <c r="CL163" s="1">
        <f t="shared" si="123"/>
        <v>0</v>
      </c>
      <c r="CM163" s="2">
        <f t="shared" si="124"/>
        <v>0</v>
      </c>
      <c r="CN163" s="1">
        <f t="shared" si="125"/>
        <v>0</v>
      </c>
      <c r="CO163" s="1">
        <f t="shared" si="126"/>
        <v>0</v>
      </c>
      <c r="CP163" s="3" t="s">
        <v>162</v>
      </c>
      <c r="CQ163" s="1">
        <f t="shared" si="127"/>
        <v>0</v>
      </c>
      <c r="CR163" s="1">
        <f t="shared" si="128"/>
        <v>0</v>
      </c>
      <c r="CS163" s="1">
        <f t="shared" si="129"/>
        <v>0</v>
      </c>
      <c r="CT163" s="1">
        <f t="shared" si="130"/>
        <v>0</v>
      </c>
      <c r="CU163" s="2">
        <f t="shared" si="131"/>
        <v>0</v>
      </c>
      <c r="CV163" s="14">
        <f t="shared" si="132"/>
        <v>0</v>
      </c>
      <c r="CW163" s="1">
        <f>ROUND(PPTest!K163,1)</f>
        <v>0</v>
      </c>
      <c r="CX163" s="3">
        <f t="shared" si="114"/>
        <v>0</v>
      </c>
      <c r="CY163" s="3">
        <f t="shared" si="133"/>
        <v>0</v>
      </c>
      <c r="CZ163" s="19">
        <f t="shared" si="134"/>
        <v>0</v>
      </c>
      <c r="DA163" s="19" t="e">
        <f t="shared" si="134"/>
        <v>#DIV/0!</v>
      </c>
      <c r="DB163" s="16">
        <f t="shared" si="135"/>
        <v>0</v>
      </c>
    </row>
    <row r="164" spans="1:106" x14ac:dyDescent="0.2">
      <c r="A164" s="15">
        <f t="shared" si="136"/>
        <v>45816</v>
      </c>
      <c r="B164" s="1">
        <v>159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4"/>
      <c r="AY164" s="12"/>
      <c r="AZ164" s="14"/>
      <c r="BA164" s="16">
        <v>33.01</v>
      </c>
      <c r="BB164" s="41"/>
      <c r="BC164" s="41"/>
      <c r="BD164" s="8" t="e">
        <f t="shared" si="138"/>
        <v>#DIV/0!</v>
      </c>
      <c r="BE164" s="8"/>
      <c r="BF164" s="2">
        <f t="shared" si="115"/>
        <v>0</v>
      </c>
      <c r="BG164" s="2">
        <f t="shared" si="116"/>
        <v>0</v>
      </c>
      <c r="BH164" s="2">
        <f t="shared" si="117"/>
        <v>0</v>
      </c>
      <c r="BI164" s="35">
        <f t="shared" si="139"/>
        <v>0</v>
      </c>
      <c r="BJ164" s="35" t="e">
        <f t="shared" si="96"/>
        <v>#DIV/0!</v>
      </c>
      <c r="BL164" s="3">
        <f t="shared" si="97"/>
        <v>0</v>
      </c>
      <c r="BM164" s="19" t="e">
        <f t="shared" si="98"/>
        <v>#DIV/0!</v>
      </c>
      <c r="BN164" s="19" t="e">
        <f t="shared" si="99"/>
        <v>#DIV/0!</v>
      </c>
      <c r="BO164" s="19" t="e">
        <f t="shared" si="100"/>
        <v>#DIV/0!</v>
      </c>
      <c r="BP164" s="19" t="e">
        <f t="shared" si="101"/>
        <v>#DIV/0!</v>
      </c>
      <c r="BQ164" s="19" t="e">
        <f t="shared" si="102"/>
        <v>#DIV/0!</v>
      </c>
      <c r="BR164" s="19" t="e">
        <f t="shared" si="103"/>
        <v>#DIV/0!</v>
      </c>
      <c r="BS164" s="19" t="e">
        <f t="shared" si="104"/>
        <v>#DIV/0!</v>
      </c>
      <c r="BT164" s="19" t="e">
        <f t="shared" si="105"/>
        <v>#DIV/0!</v>
      </c>
      <c r="BV164" s="16">
        <f t="shared" si="106"/>
        <v>0</v>
      </c>
      <c r="BW164" s="16">
        <f t="shared" si="107"/>
        <v>0</v>
      </c>
      <c r="BX164" s="3">
        <f t="shared" si="108"/>
        <v>0</v>
      </c>
      <c r="BY164" s="3">
        <f t="shared" si="137"/>
        <v>0</v>
      </c>
      <c r="BZ164" s="3" t="s">
        <v>162</v>
      </c>
      <c r="CA164" s="3">
        <f t="shared" si="109"/>
        <v>0</v>
      </c>
      <c r="CB164" s="3">
        <f t="shared" si="110"/>
        <v>0</v>
      </c>
      <c r="CC164" s="3">
        <f t="shared" si="111"/>
        <v>0</v>
      </c>
      <c r="CD164" s="3">
        <f t="shared" si="112"/>
        <v>0</v>
      </c>
      <c r="CE164" s="22">
        <f t="shared" si="118"/>
        <v>0</v>
      </c>
      <c r="CF164" s="1">
        <f t="shared" si="113"/>
        <v>0</v>
      </c>
      <c r="CG164" s="1">
        <f t="shared" si="119"/>
        <v>0</v>
      </c>
      <c r="CH164" s="3" t="s">
        <v>162</v>
      </c>
      <c r="CI164" s="1">
        <f t="shared" si="120"/>
        <v>0</v>
      </c>
      <c r="CJ164" s="1">
        <f t="shared" si="121"/>
        <v>0</v>
      </c>
      <c r="CK164" s="1">
        <f t="shared" si="122"/>
        <v>0</v>
      </c>
      <c r="CL164" s="1">
        <f t="shared" si="123"/>
        <v>0</v>
      </c>
      <c r="CM164" s="2">
        <f t="shared" si="124"/>
        <v>0</v>
      </c>
      <c r="CN164" s="1">
        <f t="shared" si="125"/>
        <v>0</v>
      </c>
      <c r="CO164" s="1">
        <f t="shared" si="126"/>
        <v>0</v>
      </c>
      <c r="CP164" s="3" t="s">
        <v>162</v>
      </c>
      <c r="CQ164" s="1">
        <f t="shared" si="127"/>
        <v>0</v>
      </c>
      <c r="CR164" s="1">
        <f t="shared" si="128"/>
        <v>0</v>
      </c>
      <c r="CS164" s="1">
        <f t="shared" si="129"/>
        <v>0</v>
      </c>
      <c r="CT164" s="1">
        <f t="shared" si="130"/>
        <v>0</v>
      </c>
      <c r="CU164" s="2">
        <f t="shared" si="131"/>
        <v>0</v>
      </c>
      <c r="CV164" s="14">
        <f t="shared" si="132"/>
        <v>0</v>
      </c>
      <c r="CW164" s="1">
        <f>ROUND(PPTest!K164,1)</f>
        <v>0</v>
      </c>
      <c r="CX164" s="3">
        <f t="shared" si="114"/>
        <v>0</v>
      </c>
      <c r="CY164" s="3">
        <f t="shared" si="133"/>
        <v>0</v>
      </c>
      <c r="CZ164" s="19">
        <f t="shared" si="134"/>
        <v>0</v>
      </c>
      <c r="DA164" s="19" t="e">
        <f t="shared" si="134"/>
        <v>#DIV/0!</v>
      </c>
      <c r="DB164" s="16">
        <f t="shared" si="135"/>
        <v>0</v>
      </c>
    </row>
    <row r="165" spans="1:106" x14ac:dyDescent="0.2">
      <c r="A165" s="15">
        <f t="shared" si="136"/>
        <v>45817</v>
      </c>
      <c r="B165" s="1">
        <v>160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4"/>
      <c r="AY165" s="12"/>
      <c r="AZ165" s="14"/>
      <c r="BA165" s="16">
        <v>33.06</v>
      </c>
      <c r="BB165" s="41"/>
      <c r="BC165" s="41"/>
      <c r="BD165" s="8" t="e">
        <f t="shared" si="138"/>
        <v>#DIV/0!</v>
      </c>
      <c r="BE165" s="8"/>
      <c r="BF165" s="2">
        <f t="shared" si="115"/>
        <v>0</v>
      </c>
      <c r="BG165" s="2">
        <f t="shared" si="116"/>
        <v>0</v>
      </c>
      <c r="BH165" s="2">
        <f t="shared" si="117"/>
        <v>0</v>
      </c>
      <c r="BI165" s="35">
        <f t="shared" si="139"/>
        <v>0</v>
      </c>
      <c r="BJ165" s="35" t="e">
        <f t="shared" si="96"/>
        <v>#DIV/0!</v>
      </c>
      <c r="BL165" s="3">
        <f t="shared" si="97"/>
        <v>0</v>
      </c>
      <c r="BM165" s="19" t="e">
        <f t="shared" si="98"/>
        <v>#DIV/0!</v>
      </c>
      <c r="BN165" s="19" t="e">
        <f t="shared" si="99"/>
        <v>#DIV/0!</v>
      </c>
      <c r="BO165" s="19" t="e">
        <f t="shared" si="100"/>
        <v>#DIV/0!</v>
      </c>
      <c r="BP165" s="19" t="e">
        <f t="shared" si="101"/>
        <v>#DIV/0!</v>
      </c>
      <c r="BQ165" s="19" t="e">
        <f t="shared" si="102"/>
        <v>#DIV/0!</v>
      </c>
      <c r="BR165" s="19" t="e">
        <f t="shared" si="103"/>
        <v>#DIV/0!</v>
      </c>
      <c r="BS165" s="19" t="e">
        <f t="shared" si="104"/>
        <v>#DIV/0!</v>
      </c>
      <c r="BT165" s="19" t="e">
        <f t="shared" si="105"/>
        <v>#DIV/0!</v>
      </c>
      <c r="BV165" s="16">
        <f t="shared" si="106"/>
        <v>0</v>
      </c>
      <c r="BW165" s="16">
        <f t="shared" si="107"/>
        <v>0</v>
      </c>
      <c r="BX165" s="3">
        <f t="shared" si="108"/>
        <v>0</v>
      </c>
      <c r="BY165" s="3">
        <f t="shared" si="137"/>
        <v>0</v>
      </c>
      <c r="BZ165" s="3" t="s">
        <v>162</v>
      </c>
      <c r="CA165" s="3">
        <f t="shared" si="109"/>
        <v>0</v>
      </c>
      <c r="CB165" s="3">
        <f t="shared" si="110"/>
        <v>0</v>
      </c>
      <c r="CC165" s="3">
        <f t="shared" si="111"/>
        <v>0</v>
      </c>
      <c r="CD165" s="3">
        <f t="shared" si="112"/>
        <v>0</v>
      </c>
      <c r="CE165" s="22">
        <f t="shared" si="118"/>
        <v>0</v>
      </c>
      <c r="CF165" s="1">
        <f t="shared" si="113"/>
        <v>0</v>
      </c>
      <c r="CG165" s="1">
        <f t="shared" si="119"/>
        <v>0</v>
      </c>
      <c r="CH165" s="3" t="s">
        <v>162</v>
      </c>
      <c r="CI165" s="1">
        <f t="shared" si="120"/>
        <v>0</v>
      </c>
      <c r="CJ165" s="1">
        <f t="shared" si="121"/>
        <v>0</v>
      </c>
      <c r="CK165" s="1">
        <f t="shared" si="122"/>
        <v>0</v>
      </c>
      <c r="CL165" s="1">
        <f t="shared" si="123"/>
        <v>0</v>
      </c>
      <c r="CM165" s="2">
        <f t="shared" si="124"/>
        <v>0</v>
      </c>
      <c r="CN165" s="1">
        <f t="shared" si="125"/>
        <v>0</v>
      </c>
      <c r="CO165" s="1">
        <f t="shared" si="126"/>
        <v>0</v>
      </c>
      <c r="CP165" s="3" t="s">
        <v>162</v>
      </c>
      <c r="CQ165" s="1">
        <f t="shared" si="127"/>
        <v>0</v>
      </c>
      <c r="CR165" s="1">
        <f t="shared" si="128"/>
        <v>0</v>
      </c>
      <c r="CS165" s="1">
        <f t="shared" si="129"/>
        <v>0</v>
      </c>
      <c r="CT165" s="1">
        <f t="shared" si="130"/>
        <v>0</v>
      </c>
      <c r="CU165" s="2">
        <f t="shared" si="131"/>
        <v>0</v>
      </c>
      <c r="CV165" s="14">
        <f t="shared" si="132"/>
        <v>0</v>
      </c>
      <c r="CW165" s="1">
        <f>ROUND(PPTest!K165,1)</f>
        <v>0</v>
      </c>
      <c r="CX165" s="3">
        <f t="shared" si="114"/>
        <v>0</v>
      </c>
      <c r="CY165" s="3">
        <f t="shared" si="133"/>
        <v>0</v>
      </c>
      <c r="CZ165" s="19">
        <f t="shared" si="134"/>
        <v>0</v>
      </c>
      <c r="DA165" s="19" t="e">
        <f t="shared" si="134"/>
        <v>#DIV/0!</v>
      </c>
      <c r="DB165" s="16">
        <f t="shared" si="135"/>
        <v>0</v>
      </c>
    </row>
    <row r="166" spans="1:106" x14ac:dyDescent="0.2">
      <c r="A166" s="15">
        <f t="shared" si="136"/>
        <v>45818</v>
      </c>
      <c r="B166" s="1">
        <v>161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4"/>
      <c r="AY166" s="12"/>
      <c r="AZ166" s="14"/>
      <c r="BA166" s="16">
        <v>33.1</v>
      </c>
      <c r="BB166" s="41"/>
      <c r="BC166" s="41"/>
      <c r="BD166" s="8" t="e">
        <f t="shared" si="138"/>
        <v>#DIV/0!</v>
      </c>
      <c r="BE166" s="8"/>
      <c r="BF166" s="2">
        <f t="shared" si="115"/>
        <v>0</v>
      </c>
      <c r="BG166" s="2">
        <f t="shared" si="116"/>
        <v>0</v>
      </c>
      <c r="BH166" s="2">
        <f t="shared" si="117"/>
        <v>0</v>
      </c>
      <c r="BI166" s="35">
        <f t="shared" si="139"/>
        <v>0</v>
      </c>
      <c r="BJ166" s="35" t="e">
        <f t="shared" si="96"/>
        <v>#DIV/0!</v>
      </c>
      <c r="BL166" s="3">
        <f t="shared" si="97"/>
        <v>0</v>
      </c>
      <c r="BM166" s="19" t="e">
        <f t="shared" si="98"/>
        <v>#DIV/0!</v>
      </c>
      <c r="BN166" s="19" t="e">
        <f t="shared" si="99"/>
        <v>#DIV/0!</v>
      </c>
      <c r="BO166" s="19" t="e">
        <f t="shared" si="100"/>
        <v>#DIV/0!</v>
      </c>
      <c r="BP166" s="19" t="e">
        <f t="shared" si="101"/>
        <v>#DIV/0!</v>
      </c>
      <c r="BQ166" s="19" t="e">
        <f t="shared" si="102"/>
        <v>#DIV/0!</v>
      </c>
      <c r="BR166" s="19" t="e">
        <f t="shared" si="103"/>
        <v>#DIV/0!</v>
      </c>
      <c r="BS166" s="19" t="e">
        <f t="shared" si="104"/>
        <v>#DIV/0!</v>
      </c>
      <c r="BT166" s="19" t="e">
        <f t="shared" si="105"/>
        <v>#DIV/0!</v>
      </c>
      <c r="BV166" s="16">
        <f t="shared" si="106"/>
        <v>0</v>
      </c>
      <c r="BW166" s="16">
        <f t="shared" si="107"/>
        <v>0</v>
      </c>
      <c r="BX166" s="3">
        <f t="shared" si="108"/>
        <v>0</v>
      </c>
      <c r="BY166" s="3">
        <f t="shared" si="137"/>
        <v>0</v>
      </c>
      <c r="BZ166" s="3" t="s">
        <v>162</v>
      </c>
      <c r="CA166" s="3">
        <f t="shared" si="109"/>
        <v>0</v>
      </c>
      <c r="CB166" s="3">
        <f t="shared" si="110"/>
        <v>0</v>
      </c>
      <c r="CC166" s="3">
        <f t="shared" si="111"/>
        <v>0</v>
      </c>
      <c r="CD166" s="3">
        <f t="shared" si="112"/>
        <v>0</v>
      </c>
      <c r="CE166" s="22">
        <f t="shared" si="118"/>
        <v>0</v>
      </c>
      <c r="CF166" s="1">
        <f t="shared" si="113"/>
        <v>0</v>
      </c>
      <c r="CG166" s="1">
        <f t="shared" si="119"/>
        <v>0</v>
      </c>
      <c r="CH166" s="3" t="s">
        <v>162</v>
      </c>
      <c r="CI166" s="1">
        <f t="shared" si="120"/>
        <v>0</v>
      </c>
      <c r="CJ166" s="1">
        <f t="shared" si="121"/>
        <v>0</v>
      </c>
      <c r="CK166" s="1">
        <f t="shared" si="122"/>
        <v>0</v>
      </c>
      <c r="CL166" s="1">
        <f t="shared" si="123"/>
        <v>0</v>
      </c>
      <c r="CM166" s="2">
        <f t="shared" si="124"/>
        <v>0</v>
      </c>
      <c r="CN166" s="1">
        <f t="shared" si="125"/>
        <v>0</v>
      </c>
      <c r="CO166" s="1">
        <f t="shared" si="126"/>
        <v>0</v>
      </c>
      <c r="CP166" s="3" t="s">
        <v>162</v>
      </c>
      <c r="CQ166" s="1">
        <f t="shared" si="127"/>
        <v>0</v>
      </c>
      <c r="CR166" s="1">
        <f t="shared" si="128"/>
        <v>0</v>
      </c>
      <c r="CS166" s="1">
        <f t="shared" si="129"/>
        <v>0</v>
      </c>
      <c r="CT166" s="1">
        <f t="shared" si="130"/>
        <v>0</v>
      </c>
      <c r="CU166" s="2">
        <f t="shared" si="131"/>
        <v>0</v>
      </c>
      <c r="CV166" s="14">
        <f t="shared" si="132"/>
        <v>0</v>
      </c>
      <c r="CW166" s="1">
        <f>ROUND(PPTest!K166,1)</f>
        <v>0</v>
      </c>
      <c r="CX166" s="3">
        <f t="shared" si="114"/>
        <v>0</v>
      </c>
      <c r="CY166" s="3">
        <f t="shared" si="133"/>
        <v>0</v>
      </c>
      <c r="CZ166" s="19">
        <f t="shared" si="134"/>
        <v>0</v>
      </c>
      <c r="DA166" s="19" t="e">
        <f t="shared" si="134"/>
        <v>#DIV/0!</v>
      </c>
      <c r="DB166" s="16">
        <f t="shared" si="135"/>
        <v>0</v>
      </c>
    </row>
    <row r="167" spans="1:106" x14ac:dyDescent="0.2">
      <c r="A167" s="15">
        <f t="shared" si="136"/>
        <v>45819</v>
      </c>
      <c r="B167" s="1">
        <v>162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4"/>
      <c r="AY167" s="12"/>
      <c r="AZ167" s="14"/>
      <c r="BA167" s="16">
        <v>33.130000000000003</v>
      </c>
      <c r="BB167" s="41"/>
      <c r="BC167" s="41"/>
      <c r="BD167" s="8" t="e">
        <f t="shared" si="138"/>
        <v>#DIV/0!</v>
      </c>
      <c r="BE167" s="8"/>
      <c r="BF167" s="2">
        <f t="shared" si="115"/>
        <v>0</v>
      </c>
      <c r="BG167" s="2">
        <f t="shared" si="116"/>
        <v>0</v>
      </c>
      <c r="BH167" s="2">
        <f t="shared" si="117"/>
        <v>0</v>
      </c>
      <c r="BI167" s="35">
        <f t="shared" si="139"/>
        <v>0</v>
      </c>
      <c r="BJ167" s="35" t="e">
        <f t="shared" si="96"/>
        <v>#DIV/0!</v>
      </c>
      <c r="BL167" s="3">
        <f t="shared" si="97"/>
        <v>0</v>
      </c>
      <c r="BM167" s="19" t="e">
        <f t="shared" si="98"/>
        <v>#DIV/0!</v>
      </c>
      <c r="BN167" s="19" t="e">
        <f t="shared" si="99"/>
        <v>#DIV/0!</v>
      </c>
      <c r="BO167" s="19" t="e">
        <f t="shared" si="100"/>
        <v>#DIV/0!</v>
      </c>
      <c r="BP167" s="19" t="e">
        <f t="shared" si="101"/>
        <v>#DIV/0!</v>
      </c>
      <c r="BQ167" s="19" t="e">
        <f t="shared" si="102"/>
        <v>#DIV/0!</v>
      </c>
      <c r="BR167" s="19" t="e">
        <f t="shared" si="103"/>
        <v>#DIV/0!</v>
      </c>
      <c r="BS167" s="19" t="e">
        <f t="shared" si="104"/>
        <v>#DIV/0!</v>
      </c>
      <c r="BT167" s="19" t="e">
        <f t="shared" si="105"/>
        <v>#DIV/0!</v>
      </c>
      <c r="BV167" s="16">
        <f t="shared" si="106"/>
        <v>0</v>
      </c>
      <c r="BW167" s="16">
        <f t="shared" si="107"/>
        <v>0</v>
      </c>
      <c r="BX167" s="3">
        <f t="shared" si="108"/>
        <v>0</v>
      </c>
      <c r="BY167" s="3">
        <f t="shared" si="137"/>
        <v>0</v>
      </c>
      <c r="BZ167" s="3" t="s">
        <v>162</v>
      </c>
      <c r="CA167" s="3">
        <f t="shared" si="109"/>
        <v>0</v>
      </c>
      <c r="CB167" s="3">
        <f t="shared" si="110"/>
        <v>0</v>
      </c>
      <c r="CC167" s="3">
        <f t="shared" si="111"/>
        <v>0</v>
      </c>
      <c r="CD167" s="3">
        <f t="shared" si="112"/>
        <v>0</v>
      </c>
      <c r="CE167" s="22">
        <f t="shared" si="118"/>
        <v>0</v>
      </c>
      <c r="CF167" s="1">
        <f t="shared" si="113"/>
        <v>0</v>
      </c>
      <c r="CG167" s="1">
        <f t="shared" si="119"/>
        <v>0</v>
      </c>
      <c r="CH167" s="3" t="s">
        <v>162</v>
      </c>
      <c r="CI167" s="1">
        <f t="shared" si="120"/>
        <v>0</v>
      </c>
      <c r="CJ167" s="1">
        <f t="shared" si="121"/>
        <v>0</v>
      </c>
      <c r="CK167" s="1">
        <f t="shared" si="122"/>
        <v>0</v>
      </c>
      <c r="CL167" s="1">
        <f t="shared" si="123"/>
        <v>0</v>
      </c>
      <c r="CM167" s="2">
        <f t="shared" si="124"/>
        <v>0</v>
      </c>
      <c r="CN167" s="1">
        <f t="shared" si="125"/>
        <v>0</v>
      </c>
      <c r="CO167" s="1">
        <f t="shared" si="126"/>
        <v>0</v>
      </c>
      <c r="CP167" s="3" t="s">
        <v>162</v>
      </c>
      <c r="CQ167" s="1">
        <f t="shared" si="127"/>
        <v>0</v>
      </c>
      <c r="CR167" s="1">
        <f t="shared" si="128"/>
        <v>0</v>
      </c>
      <c r="CS167" s="1">
        <f t="shared" si="129"/>
        <v>0</v>
      </c>
      <c r="CT167" s="1">
        <f t="shared" si="130"/>
        <v>0</v>
      </c>
      <c r="CU167" s="2">
        <f t="shared" si="131"/>
        <v>0</v>
      </c>
      <c r="CV167" s="14">
        <f t="shared" si="132"/>
        <v>0</v>
      </c>
      <c r="CW167" s="1">
        <f>ROUND(PPTest!K167,1)</f>
        <v>0</v>
      </c>
      <c r="CX167" s="3">
        <f t="shared" si="114"/>
        <v>0</v>
      </c>
      <c r="CY167" s="3">
        <f t="shared" si="133"/>
        <v>0</v>
      </c>
      <c r="CZ167" s="19">
        <f t="shared" si="134"/>
        <v>0</v>
      </c>
      <c r="DA167" s="19" t="e">
        <f t="shared" si="134"/>
        <v>#DIV/0!</v>
      </c>
      <c r="DB167" s="16">
        <f t="shared" si="135"/>
        <v>0</v>
      </c>
    </row>
    <row r="168" spans="1:106" x14ac:dyDescent="0.2">
      <c r="A168" s="15">
        <f t="shared" si="136"/>
        <v>45820</v>
      </c>
      <c r="B168" s="1">
        <v>163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4"/>
      <c r="AY168" s="12"/>
      <c r="AZ168" s="14"/>
      <c r="BA168" s="16">
        <v>33.159999999999997</v>
      </c>
      <c r="BB168" s="41"/>
      <c r="BC168" s="41"/>
      <c r="BD168" s="8" t="e">
        <f t="shared" si="138"/>
        <v>#DIV/0!</v>
      </c>
      <c r="BE168" s="8"/>
      <c r="BF168" s="2">
        <f t="shared" si="115"/>
        <v>0</v>
      </c>
      <c r="BG168" s="2">
        <f t="shared" si="116"/>
        <v>0</v>
      </c>
      <c r="BH168" s="2">
        <f t="shared" si="117"/>
        <v>0</v>
      </c>
      <c r="BI168" s="35">
        <f t="shared" si="139"/>
        <v>0</v>
      </c>
      <c r="BJ168" s="35" t="e">
        <f t="shared" si="96"/>
        <v>#DIV/0!</v>
      </c>
      <c r="BL168" s="3">
        <f t="shared" si="97"/>
        <v>0</v>
      </c>
      <c r="BM168" s="19" t="e">
        <f t="shared" si="98"/>
        <v>#DIV/0!</v>
      </c>
      <c r="BN168" s="19" t="e">
        <f t="shared" si="99"/>
        <v>#DIV/0!</v>
      </c>
      <c r="BO168" s="19" t="e">
        <f t="shared" si="100"/>
        <v>#DIV/0!</v>
      </c>
      <c r="BP168" s="19" t="e">
        <f t="shared" si="101"/>
        <v>#DIV/0!</v>
      </c>
      <c r="BQ168" s="19" t="e">
        <f t="shared" si="102"/>
        <v>#DIV/0!</v>
      </c>
      <c r="BR168" s="19" t="e">
        <f t="shared" si="103"/>
        <v>#DIV/0!</v>
      </c>
      <c r="BS168" s="19" t="e">
        <f t="shared" si="104"/>
        <v>#DIV/0!</v>
      </c>
      <c r="BT168" s="19" t="e">
        <f t="shared" si="105"/>
        <v>#DIV/0!</v>
      </c>
      <c r="BV168" s="16">
        <f t="shared" si="106"/>
        <v>0</v>
      </c>
      <c r="BW168" s="16">
        <f t="shared" si="107"/>
        <v>0</v>
      </c>
      <c r="BX168" s="3">
        <f t="shared" si="108"/>
        <v>0</v>
      </c>
      <c r="BY168" s="3">
        <f t="shared" si="137"/>
        <v>0</v>
      </c>
      <c r="BZ168" s="3" t="s">
        <v>162</v>
      </c>
      <c r="CA168" s="3">
        <f t="shared" si="109"/>
        <v>0</v>
      </c>
      <c r="CB168" s="3">
        <f t="shared" si="110"/>
        <v>0</v>
      </c>
      <c r="CC168" s="3">
        <f t="shared" si="111"/>
        <v>0</v>
      </c>
      <c r="CD168" s="3">
        <f t="shared" si="112"/>
        <v>0</v>
      </c>
      <c r="CE168" s="22">
        <f t="shared" si="118"/>
        <v>0</v>
      </c>
      <c r="CF168" s="1">
        <f t="shared" si="113"/>
        <v>0</v>
      </c>
      <c r="CG168" s="1">
        <f t="shared" si="119"/>
        <v>0</v>
      </c>
      <c r="CH168" s="3" t="s">
        <v>162</v>
      </c>
      <c r="CI168" s="1">
        <f t="shared" si="120"/>
        <v>0</v>
      </c>
      <c r="CJ168" s="1">
        <f t="shared" si="121"/>
        <v>0</v>
      </c>
      <c r="CK168" s="1">
        <f t="shared" si="122"/>
        <v>0</v>
      </c>
      <c r="CL168" s="1">
        <f t="shared" si="123"/>
        <v>0</v>
      </c>
      <c r="CM168" s="2">
        <f t="shared" si="124"/>
        <v>0</v>
      </c>
      <c r="CN168" s="1">
        <f t="shared" si="125"/>
        <v>0</v>
      </c>
      <c r="CO168" s="1">
        <f t="shared" si="126"/>
        <v>0</v>
      </c>
      <c r="CP168" s="3" t="s">
        <v>162</v>
      </c>
      <c r="CQ168" s="1">
        <f t="shared" si="127"/>
        <v>0</v>
      </c>
      <c r="CR168" s="1">
        <f t="shared" si="128"/>
        <v>0</v>
      </c>
      <c r="CS168" s="1">
        <f t="shared" si="129"/>
        <v>0</v>
      </c>
      <c r="CT168" s="1">
        <f t="shared" si="130"/>
        <v>0</v>
      </c>
      <c r="CU168" s="2">
        <f t="shared" si="131"/>
        <v>0</v>
      </c>
      <c r="CV168" s="14">
        <f t="shared" si="132"/>
        <v>0</v>
      </c>
      <c r="CW168" s="1">
        <f>ROUND(PPTest!K168,1)</f>
        <v>0</v>
      </c>
      <c r="CX168" s="3">
        <f t="shared" si="114"/>
        <v>0</v>
      </c>
      <c r="CY168" s="3">
        <f t="shared" si="133"/>
        <v>0</v>
      </c>
      <c r="CZ168" s="19">
        <f t="shared" si="134"/>
        <v>0</v>
      </c>
      <c r="DA168" s="19" t="e">
        <f t="shared" si="134"/>
        <v>#DIV/0!</v>
      </c>
      <c r="DB168" s="16">
        <f t="shared" si="135"/>
        <v>0</v>
      </c>
    </row>
    <row r="169" spans="1:106" x14ac:dyDescent="0.2">
      <c r="A169" s="15">
        <f t="shared" si="136"/>
        <v>45821</v>
      </c>
      <c r="B169" s="1">
        <v>164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4"/>
      <c r="AY169" s="12"/>
      <c r="AZ169" s="14"/>
      <c r="BA169" s="16">
        <v>33.19</v>
      </c>
      <c r="BB169" s="41"/>
      <c r="BC169" s="41"/>
      <c r="BD169" s="8" t="e">
        <f t="shared" si="138"/>
        <v>#DIV/0!</v>
      </c>
      <c r="BE169" s="8"/>
      <c r="BF169" s="2">
        <f t="shared" si="115"/>
        <v>0</v>
      </c>
      <c r="BG169" s="2">
        <f t="shared" si="116"/>
        <v>0</v>
      </c>
      <c r="BH169" s="2">
        <f t="shared" si="117"/>
        <v>0</v>
      </c>
      <c r="BI169" s="35">
        <f t="shared" si="139"/>
        <v>0</v>
      </c>
      <c r="BJ169" s="35" t="e">
        <f t="shared" si="96"/>
        <v>#DIV/0!</v>
      </c>
      <c r="BL169" s="3">
        <f t="shared" si="97"/>
        <v>0</v>
      </c>
      <c r="BM169" s="19" t="e">
        <f t="shared" si="98"/>
        <v>#DIV/0!</v>
      </c>
      <c r="BN169" s="19" t="e">
        <f t="shared" si="99"/>
        <v>#DIV/0!</v>
      </c>
      <c r="BO169" s="19" t="e">
        <f t="shared" si="100"/>
        <v>#DIV/0!</v>
      </c>
      <c r="BP169" s="19" t="e">
        <f t="shared" si="101"/>
        <v>#DIV/0!</v>
      </c>
      <c r="BQ169" s="19" t="e">
        <f t="shared" si="102"/>
        <v>#DIV/0!</v>
      </c>
      <c r="BR169" s="19" t="e">
        <f t="shared" si="103"/>
        <v>#DIV/0!</v>
      </c>
      <c r="BS169" s="19" t="e">
        <f t="shared" si="104"/>
        <v>#DIV/0!</v>
      </c>
      <c r="BT169" s="19" t="e">
        <f t="shared" si="105"/>
        <v>#DIV/0!</v>
      </c>
      <c r="BV169" s="16">
        <f t="shared" si="106"/>
        <v>0</v>
      </c>
      <c r="BW169" s="16">
        <f t="shared" si="107"/>
        <v>0</v>
      </c>
      <c r="BX169" s="3">
        <f t="shared" si="108"/>
        <v>0</v>
      </c>
      <c r="BY169" s="3">
        <f t="shared" si="137"/>
        <v>0</v>
      </c>
      <c r="BZ169" s="3" t="s">
        <v>162</v>
      </c>
      <c r="CA169" s="3">
        <f t="shared" si="109"/>
        <v>0</v>
      </c>
      <c r="CB169" s="3">
        <f t="shared" si="110"/>
        <v>0</v>
      </c>
      <c r="CC169" s="3">
        <f t="shared" si="111"/>
        <v>0</v>
      </c>
      <c r="CD169" s="3">
        <f t="shared" si="112"/>
        <v>0</v>
      </c>
      <c r="CE169" s="22">
        <f t="shared" si="118"/>
        <v>0</v>
      </c>
      <c r="CF169" s="1">
        <f t="shared" si="113"/>
        <v>0</v>
      </c>
      <c r="CG169" s="1">
        <f t="shared" si="119"/>
        <v>0</v>
      </c>
      <c r="CH169" s="3" t="s">
        <v>162</v>
      </c>
      <c r="CI169" s="1">
        <f t="shared" si="120"/>
        <v>0</v>
      </c>
      <c r="CJ169" s="1">
        <f t="shared" si="121"/>
        <v>0</v>
      </c>
      <c r="CK169" s="1">
        <f t="shared" si="122"/>
        <v>0</v>
      </c>
      <c r="CL169" s="1">
        <f t="shared" si="123"/>
        <v>0</v>
      </c>
      <c r="CM169" s="2">
        <f t="shared" si="124"/>
        <v>0</v>
      </c>
      <c r="CN169" s="1">
        <f t="shared" si="125"/>
        <v>0</v>
      </c>
      <c r="CO169" s="1">
        <f t="shared" si="126"/>
        <v>0</v>
      </c>
      <c r="CP169" s="3" t="s">
        <v>162</v>
      </c>
      <c r="CQ169" s="1">
        <f t="shared" si="127"/>
        <v>0</v>
      </c>
      <c r="CR169" s="1">
        <f t="shared" si="128"/>
        <v>0</v>
      </c>
      <c r="CS169" s="1">
        <f t="shared" si="129"/>
        <v>0</v>
      </c>
      <c r="CT169" s="1">
        <f t="shared" si="130"/>
        <v>0</v>
      </c>
      <c r="CU169" s="2">
        <f t="shared" si="131"/>
        <v>0</v>
      </c>
      <c r="CV169" s="14">
        <f t="shared" si="132"/>
        <v>0</v>
      </c>
      <c r="CW169" s="1">
        <f>ROUND(PPTest!K169,1)</f>
        <v>0</v>
      </c>
      <c r="CX169" s="3">
        <f t="shared" si="114"/>
        <v>0</v>
      </c>
      <c r="CY169" s="3">
        <f t="shared" si="133"/>
        <v>0</v>
      </c>
      <c r="CZ169" s="19">
        <f t="shared" si="134"/>
        <v>0</v>
      </c>
      <c r="DA169" s="19" t="e">
        <f t="shared" si="134"/>
        <v>#DIV/0!</v>
      </c>
      <c r="DB169" s="16">
        <f t="shared" si="135"/>
        <v>0</v>
      </c>
    </row>
    <row r="170" spans="1:106" x14ac:dyDescent="0.2">
      <c r="A170" s="15">
        <f t="shared" si="136"/>
        <v>45822</v>
      </c>
      <c r="B170" s="1">
        <v>165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4"/>
      <c r="AY170" s="12"/>
      <c r="AZ170" s="14"/>
      <c r="BA170" s="16">
        <v>33.21</v>
      </c>
      <c r="BB170" s="41"/>
      <c r="BC170" s="41"/>
      <c r="BD170" s="8" t="e">
        <f t="shared" si="138"/>
        <v>#DIV/0!</v>
      </c>
      <c r="BE170" s="8"/>
      <c r="BF170" s="2">
        <f t="shared" si="115"/>
        <v>0</v>
      </c>
      <c r="BG170" s="2">
        <f t="shared" si="116"/>
        <v>0</v>
      </c>
      <c r="BH170" s="2">
        <f t="shared" si="117"/>
        <v>0</v>
      </c>
      <c r="BI170" s="35">
        <f t="shared" si="139"/>
        <v>0</v>
      </c>
      <c r="BJ170" s="35" t="e">
        <f t="shared" si="96"/>
        <v>#DIV/0!</v>
      </c>
      <c r="BL170" s="3">
        <f t="shared" si="97"/>
        <v>0</v>
      </c>
      <c r="BM170" s="19" t="e">
        <f t="shared" si="98"/>
        <v>#DIV/0!</v>
      </c>
      <c r="BN170" s="19" t="e">
        <f t="shared" si="99"/>
        <v>#DIV/0!</v>
      </c>
      <c r="BO170" s="19" t="e">
        <f t="shared" si="100"/>
        <v>#DIV/0!</v>
      </c>
      <c r="BP170" s="19" t="e">
        <f t="shared" si="101"/>
        <v>#DIV/0!</v>
      </c>
      <c r="BQ170" s="19" t="e">
        <f t="shared" si="102"/>
        <v>#DIV/0!</v>
      </c>
      <c r="BR170" s="19" t="e">
        <f t="shared" si="103"/>
        <v>#DIV/0!</v>
      </c>
      <c r="BS170" s="19" t="e">
        <f t="shared" si="104"/>
        <v>#DIV/0!</v>
      </c>
      <c r="BT170" s="19" t="e">
        <f t="shared" si="105"/>
        <v>#DIV/0!</v>
      </c>
      <c r="BV170" s="16">
        <f t="shared" si="106"/>
        <v>0</v>
      </c>
      <c r="BW170" s="16">
        <f t="shared" si="107"/>
        <v>0</v>
      </c>
      <c r="BX170" s="3">
        <f t="shared" si="108"/>
        <v>0</v>
      </c>
      <c r="BY170" s="3">
        <f t="shared" si="137"/>
        <v>0</v>
      </c>
      <c r="BZ170" s="3" t="s">
        <v>162</v>
      </c>
      <c r="CA170" s="3">
        <f t="shared" si="109"/>
        <v>0</v>
      </c>
      <c r="CB170" s="3">
        <f t="shared" si="110"/>
        <v>0</v>
      </c>
      <c r="CC170" s="3">
        <f t="shared" si="111"/>
        <v>0</v>
      </c>
      <c r="CD170" s="3">
        <f t="shared" si="112"/>
        <v>0</v>
      </c>
      <c r="CE170" s="22">
        <f t="shared" si="118"/>
        <v>0</v>
      </c>
      <c r="CF170" s="1">
        <f t="shared" si="113"/>
        <v>0</v>
      </c>
      <c r="CG170" s="1">
        <f t="shared" si="119"/>
        <v>0</v>
      </c>
      <c r="CH170" s="3" t="s">
        <v>162</v>
      </c>
      <c r="CI170" s="1">
        <f t="shared" si="120"/>
        <v>0</v>
      </c>
      <c r="CJ170" s="1">
        <f t="shared" si="121"/>
        <v>0</v>
      </c>
      <c r="CK170" s="1">
        <f t="shared" si="122"/>
        <v>0</v>
      </c>
      <c r="CL170" s="1">
        <f t="shared" si="123"/>
        <v>0</v>
      </c>
      <c r="CM170" s="2">
        <f t="shared" si="124"/>
        <v>0</v>
      </c>
      <c r="CN170" s="1">
        <f t="shared" si="125"/>
        <v>0</v>
      </c>
      <c r="CO170" s="1">
        <f t="shared" si="126"/>
        <v>0</v>
      </c>
      <c r="CP170" s="3" t="s">
        <v>162</v>
      </c>
      <c r="CQ170" s="1">
        <f t="shared" si="127"/>
        <v>0</v>
      </c>
      <c r="CR170" s="1">
        <f t="shared" si="128"/>
        <v>0</v>
      </c>
      <c r="CS170" s="1">
        <f t="shared" si="129"/>
        <v>0</v>
      </c>
      <c r="CT170" s="1">
        <f t="shared" si="130"/>
        <v>0</v>
      </c>
      <c r="CU170" s="2">
        <f t="shared" si="131"/>
        <v>0</v>
      </c>
      <c r="CV170" s="14">
        <f t="shared" si="132"/>
        <v>0</v>
      </c>
      <c r="CW170" s="1">
        <f>ROUND(PPTest!K170,1)</f>
        <v>0</v>
      </c>
      <c r="CX170" s="3">
        <f t="shared" si="114"/>
        <v>0</v>
      </c>
      <c r="CY170" s="3">
        <f t="shared" si="133"/>
        <v>0</v>
      </c>
      <c r="CZ170" s="19">
        <f t="shared" si="134"/>
        <v>0</v>
      </c>
      <c r="DA170" s="19" t="e">
        <f t="shared" si="134"/>
        <v>#DIV/0!</v>
      </c>
      <c r="DB170" s="16">
        <f t="shared" si="135"/>
        <v>0</v>
      </c>
    </row>
    <row r="171" spans="1:106" x14ac:dyDescent="0.2">
      <c r="A171" s="15">
        <f t="shared" si="136"/>
        <v>45823</v>
      </c>
      <c r="B171" s="1">
        <v>166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4"/>
      <c r="AY171" s="12"/>
      <c r="AZ171" s="14"/>
      <c r="BA171" s="16">
        <v>33.229999999999997</v>
      </c>
      <c r="BB171" s="41"/>
      <c r="BC171" s="41"/>
      <c r="BD171" s="8" t="e">
        <f t="shared" si="138"/>
        <v>#DIV/0!</v>
      </c>
      <c r="BE171" s="8"/>
      <c r="BF171" s="2">
        <f t="shared" si="115"/>
        <v>0</v>
      </c>
      <c r="BG171" s="2">
        <f t="shared" si="116"/>
        <v>0</v>
      </c>
      <c r="BH171" s="2">
        <f t="shared" si="117"/>
        <v>0</v>
      </c>
      <c r="BI171" s="35">
        <f t="shared" si="139"/>
        <v>0</v>
      </c>
      <c r="BJ171" s="35" t="e">
        <f t="shared" si="96"/>
        <v>#DIV/0!</v>
      </c>
      <c r="BL171" s="3">
        <f t="shared" si="97"/>
        <v>0</v>
      </c>
      <c r="BM171" s="19" t="e">
        <f t="shared" si="98"/>
        <v>#DIV/0!</v>
      </c>
      <c r="BN171" s="19" t="e">
        <f t="shared" si="99"/>
        <v>#DIV/0!</v>
      </c>
      <c r="BO171" s="19" t="e">
        <f t="shared" si="100"/>
        <v>#DIV/0!</v>
      </c>
      <c r="BP171" s="19" t="e">
        <f t="shared" si="101"/>
        <v>#DIV/0!</v>
      </c>
      <c r="BQ171" s="19" t="e">
        <f t="shared" si="102"/>
        <v>#DIV/0!</v>
      </c>
      <c r="BR171" s="19" t="e">
        <f t="shared" si="103"/>
        <v>#DIV/0!</v>
      </c>
      <c r="BS171" s="19" t="e">
        <f t="shared" si="104"/>
        <v>#DIV/0!</v>
      </c>
      <c r="BT171" s="19" t="e">
        <f t="shared" si="105"/>
        <v>#DIV/0!</v>
      </c>
      <c r="BV171" s="16">
        <f t="shared" si="106"/>
        <v>0</v>
      </c>
      <c r="BW171" s="16">
        <f t="shared" si="107"/>
        <v>0</v>
      </c>
      <c r="BX171" s="3">
        <f t="shared" si="108"/>
        <v>0</v>
      </c>
      <c r="BY171" s="3">
        <f t="shared" si="137"/>
        <v>0</v>
      </c>
      <c r="BZ171" s="3" t="s">
        <v>162</v>
      </c>
      <c r="CA171" s="3">
        <f t="shared" si="109"/>
        <v>0</v>
      </c>
      <c r="CB171" s="3">
        <f t="shared" si="110"/>
        <v>0</v>
      </c>
      <c r="CC171" s="3">
        <f t="shared" si="111"/>
        <v>0</v>
      </c>
      <c r="CD171" s="3">
        <f t="shared" si="112"/>
        <v>0</v>
      </c>
      <c r="CE171" s="22">
        <f t="shared" si="118"/>
        <v>0</v>
      </c>
      <c r="CF171" s="1">
        <f t="shared" si="113"/>
        <v>0</v>
      </c>
      <c r="CG171" s="1">
        <f t="shared" si="119"/>
        <v>0</v>
      </c>
      <c r="CH171" s="3" t="s">
        <v>162</v>
      </c>
      <c r="CI171" s="1">
        <f t="shared" si="120"/>
        <v>0</v>
      </c>
      <c r="CJ171" s="1">
        <f t="shared" si="121"/>
        <v>0</v>
      </c>
      <c r="CK171" s="1">
        <f t="shared" si="122"/>
        <v>0</v>
      </c>
      <c r="CL171" s="1">
        <f t="shared" si="123"/>
        <v>0</v>
      </c>
      <c r="CM171" s="2">
        <f t="shared" si="124"/>
        <v>0</v>
      </c>
      <c r="CN171" s="1">
        <f t="shared" si="125"/>
        <v>0</v>
      </c>
      <c r="CO171" s="1">
        <f t="shared" si="126"/>
        <v>0</v>
      </c>
      <c r="CP171" s="3" t="s">
        <v>162</v>
      </c>
      <c r="CQ171" s="1">
        <f t="shared" si="127"/>
        <v>0</v>
      </c>
      <c r="CR171" s="1">
        <f t="shared" si="128"/>
        <v>0</v>
      </c>
      <c r="CS171" s="1">
        <f t="shared" si="129"/>
        <v>0</v>
      </c>
      <c r="CT171" s="1">
        <f t="shared" si="130"/>
        <v>0</v>
      </c>
      <c r="CU171" s="2">
        <f t="shared" si="131"/>
        <v>0</v>
      </c>
      <c r="CV171" s="14">
        <f t="shared" si="132"/>
        <v>0</v>
      </c>
      <c r="CW171" s="1">
        <f>ROUND(PPTest!K171,1)</f>
        <v>0</v>
      </c>
      <c r="CX171" s="3">
        <f t="shared" si="114"/>
        <v>0</v>
      </c>
      <c r="CY171" s="3">
        <f t="shared" si="133"/>
        <v>0</v>
      </c>
      <c r="CZ171" s="19">
        <f t="shared" si="134"/>
        <v>0</v>
      </c>
      <c r="DA171" s="19" t="e">
        <f t="shared" si="134"/>
        <v>#DIV/0!</v>
      </c>
      <c r="DB171" s="16">
        <f t="shared" si="135"/>
        <v>0</v>
      </c>
    </row>
    <row r="172" spans="1:106" x14ac:dyDescent="0.2">
      <c r="A172" s="15">
        <f t="shared" si="136"/>
        <v>45824</v>
      </c>
      <c r="B172" s="1">
        <v>167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4"/>
      <c r="AY172" s="12"/>
      <c r="AZ172" s="14"/>
      <c r="BA172" s="16">
        <v>33.24</v>
      </c>
      <c r="BB172" s="41"/>
      <c r="BC172" s="41"/>
      <c r="BD172" s="8" t="e">
        <f t="shared" si="138"/>
        <v>#DIV/0!</v>
      </c>
      <c r="BE172" s="8"/>
      <c r="BF172" s="2">
        <f t="shared" si="115"/>
        <v>0</v>
      </c>
      <c r="BG172" s="2">
        <f t="shared" si="116"/>
        <v>0</v>
      </c>
      <c r="BH172" s="2">
        <f t="shared" si="117"/>
        <v>0</v>
      </c>
      <c r="BI172" s="35">
        <f t="shared" si="139"/>
        <v>0</v>
      </c>
      <c r="BJ172" s="35" t="e">
        <f t="shared" si="96"/>
        <v>#DIV/0!</v>
      </c>
      <c r="BL172" s="3">
        <f t="shared" si="97"/>
        <v>0</v>
      </c>
      <c r="BM172" s="19" t="e">
        <f t="shared" si="98"/>
        <v>#DIV/0!</v>
      </c>
      <c r="BN172" s="19" t="e">
        <f t="shared" si="99"/>
        <v>#DIV/0!</v>
      </c>
      <c r="BO172" s="19" t="e">
        <f t="shared" si="100"/>
        <v>#DIV/0!</v>
      </c>
      <c r="BP172" s="19" t="e">
        <f t="shared" si="101"/>
        <v>#DIV/0!</v>
      </c>
      <c r="BQ172" s="19" t="e">
        <f t="shared" si="102"/>
        <v>#DIV/0!</v>
      </c>
      <c r="BR172" s="19" t="e">
        <f t="shared" si="103"/>
        <v>#DIV/0!</v>
      </c>
      <c r="BS172" s="19" t="e">
        <f t="shared" si="104"/>
        <v>#DIV/0!</v>
      </c>
      <c r="BT172" s="19" t="e">
        <f t="shared" si="105"/>
        <v>#DIV/0!</v>
      </c>
      <c r="BV172" s="16">
        <f t="shared" si="106"/>
        <v>0</v>
      </c>
      <c r="BW172" s="16">
        <f t="shared" si="107"/>
        <v>0</v>
      </c>
      <c r="BX172" s="3">
        <f t="shared" si="108"/>
        <v>0</v>
      </c>
      <c r="BY172" s="3">
        <f t="shared" si="137"/>
        <v>0</v>
      </c>
      <c r="BZ172" s="3" t="s">
        <v>162</v>
      </c>
      <c r="CA172" s="3">
        <f t="shared" si="109"/>
        <v>0</v>
      </c>
      <c r="CB172" s="3">
        <f t="shared" si="110"/>
        <v>0</v>
      </c>
      <c r="CC172" s="3">
        <f t="shared" si="111"/>
        <v>0</v>
      </c>
      <c r="CD172" s="3">
        <f t="shared" si="112"/>
        <v>0</v>
      </c>
      <c r="CE172" s="22">
        <f t="shared" si="118"/>
        <v>0</v>
      </c>
      <c r="CF172" s="1">
        <f t="shared" si="113"/>
        <v>0</v>
      </c>
      <c r="CG172" s="1">
        <f t="shared" si="119"/>
        <v>0</v>
      </c>
      <c r="CH172" s="3" t="s">
        <v>162</v>
      </c>
      <c r="CI172" s="1">
        <f t="shared" si="120"/>
        <v>0</v>
      </c>
      <c r="CJ172" s="1">
        <f t="shared" si="121"/>
        <v>0</v>
      </c>
      <c r="CK172" s="1">
        <f t="shared" si="122"/>
        <v>0</v>
      </c>
      <c r="CL172" s="1">
        <f t="shared" si="123"/>
        <v>0</v>
      </c>
      <c r="CM172" s="2">
        <f t="shared" si="124"/>
        <v>0</v>
      </c>
      <c r="CN172" s="1">
        <f t="shared" si="125"/>
        <v>0</v>
      </c>
      <c r="CO172" s="1">
        <f t="shared" si="126"/>
        <v>0</v>
      </c>
      <c r="CP172" s="3" t="s">
        <v>162</v>
      </c>
      <c r="CQ172" s="1">
        <f t="shared" si="127"/>
        <v>0</v>
      </c>
      <c r="CR172" s="1">
        <f t="shared" si="128"/>
        <v>0</v>
      </c>
      <c r="CS172" s="1">
        <f t="shared" si="129"/>
        <v>0</v>
      </c>
      <c r="CT172" s="1">
        <f t="shared" si="130"/>
        <v>0</v>
      </c>
      <c r="CU172" s="2">
        <f t="shared" si="131"/>
        <v>0</v>
      </c>
      <c r="CV172" s="14">
        <f t="shared" si="132"/>
        <v>0</v>
      </c>
      <c r="CW172" s="1">
        <f>ROUND(PPTest!K172,1)</f>
        <v>0</v>
      </c>
      <c r="CX172" s="3">
        <f t="shared" si="114"/>
        <v>0</v>
      </c>
      <c r="CY172" s="3">
        <f t="shared" si="133"/>
        <v>0</v>
      </c>
      <c r="CZ172" s="19">
        <f t="shared" si="134"/>
        <v>0</v>
      </c>
      <c r="DA172" s="19" t="e">
        <f t="shared" si="134"/>
        <v>#DIV/0!</v>
      </c>
      <c r="DB172" s="16">
        <f t="shared" si="135"/>
        <v>0</v>
      </c>
    </row>
    <row r="173" spans="1:106" x14ac:dyDescent="0.2">
      <c r="A173" s="15">
        <f t="shared" si="136"/>
        <v>45825</v>
      </c>
      <c r="B173" s="1">
        <v>168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4"/>
      <c r="AY173" s="12"/>
      <c r="AZ173" s="14"/>
      <c r="BA173" s="16">
        <v>33.24</v>
      </c>
      <c r="BB173" s="41"/>
      <c r="BC173" s="41"/>
      <c r="BD173" s="8" t="e">
        <f t="shared" si="138"/>
        <v>#DIV/0!</v>
      </c>
      <c r="BE173" s="8"/>
      <c r="BF173" s="2">
        <f t="shared" si="115"/>
        <v>0</v>
      </c>
      <c r="BG173" s="2">
        <f t="shared" si="116"/>
        <v>0</v>
      </c>
      <c r="BH173" s="2">
        <f t="shared" si="117"/>
        <v>0</v>
      </c>
      <c r="BI173" s="35">
        <f t="shared" si="139"/>
        <v>0</v>
      </c>
      <c r="BJ173" s="35" t="e">
        <f t="shared" si="96"/>
        <v>#DIV/0!</v>
      </c>
      <c r="BL173" s="3">
        <f t="shared" si="97"/>
        <v>0</v>
      </c>
      <c r="BM173" s="19" t="e">
        <f t="shared" si="98"/>
        <v>#DIV/0!</v>
      </c>
      <c r="BN173" s="19" t="e">
        <f t="shared" si="99"/>
        <v>#DIV/0!</v>
      </c>
      <c r="BO173" s="19" t="e">
        <f t="shared" si="100"/>
        <v>#DIV/0!</v>
      </c>
      <c r="BP173" s="19" t="e">
        <f t="shared" si="101"/>
        <v>#DIV/0!</v>
      </c>
      <c r="BQ173" s="19" t="e">
        <f t="shared" si="102"/>
        <v>#DIV/0!</v>
      </c>
      <c r="BR173" s="19" t="e">
        <f t="shared" si="103"/>
        <v>#DIV/0!</v>
      </c>
      <c r="BS173" s="19" t="e">
        <f t="shared" si="104"/>
        <v>#DIV/0!</v>
      </c>
      <c r="BT173" s="19" t="e">
        <f t="shared" si="105"/>
        <v>#DIV/0!</v>
      </c>
      <c r="BV173" s="16">
        <f t="shared" si="106"/>
        <v>0</v>
      </c>
      <c r="BW173" s="16">
        <f t="shared" si="107"/>
        <v>0</v>
      </c>
      <c r="BX173" s="3">
        <f t="shared" si="108"/>
        <v>0</v>
      </c>
      <c r="BY173" s="3">
        <f t="shared" si="137"/>
        <v>0</v>
      </c>
      <c r="BZ173" s="3" t="s">
        <v>162</v>
      </c>
      <c r="CA173" s="3">
        <f t="shared" si="109"/>
        <v>0</v>
      </c>
      <c r="CB173" s="3">
        <f t="shared" si="110"/>
        <v>0</v>
      </c>
      <c r="CC173" s="3">
        <f t="shared" si="111"/>
        <v>0</v>
      </c>
      <c r="CD173" s="3">
        <f t="shared" si="112"/>
        <v>0</v>
      </c>
      <c r="CE173" s="22">
        <f t="shared" si="118"/>
        <v>0</v>
      </c>
      <c r="CF173" s="1">
        <f t="shared" si="113"/>
        <v>0</v>
      </c>
      <c r="CG173" s="1">
        <f t="shared" si="119"/>
        <v>0</v>
      </c>
      <c r="CH173" s="3" t="s">
        <v>162</v>
      </c>
      <c r="CI173" s="1">
        <f t="shared" si="120"/>
        <v>0</v>
      </c>
      <c r="CJ173" s="1">
        <f t="shared" si="121"/>
        <v>0</v>
      </c>
      <c r="CK173" s="1">
        <f t="shared" si="122"/>
        <v>0</v>
      </c>
      <c r="CL173" s="1">
        <f t="shared" si="123"/>
        <v>0</v>
      </c>
      <c r="CM173" s="2">
        <f t="shared" si="124"/>
        <v>0</v>
      </c>
      <c r="CN173" s="1">
        <f t="shared" si="125"/>
        <v>0</v>
      </c>
      <c r="CO173" s="1">
        <f t="shared" si="126"/>
        <v>0</v>
      </c>
      <c r="CP173" s="3" t="s">
        <v>162</v>
      </c>
      <c r="CQ173" s="1">
        <f t="shared" si="127"/>
        <v>0</v>
      </c>
      <c r="CR173" s="1">
        <f t="shared" si="128"/>
        <v>0</v>
      </c>
      <c r="CS173" s="1">
        <f t="shared" si="129"/>
        <v>0</v>
      </c>
      <c r="CT173" s="1">
        <f t="shared" si="130"/>
        <v>0</v>
      </c>
      <c r="CU173" s="2">
        <f t="shared" si="131"/>
        <v>0</v>
      </c>
      <c r="CV173" s="14">
        <f t="shared" si="132"/>
        <v>0</v>
      </c>
      <c r="CW173" s="1">
        <f>ROUND(PPTest!K173,1)</f>
        <v>0</v>
      </c>
      <c r="CX173" s="3">
        <f t="shared" si="114"/>
        <v>0</v>
      </c>
      <c r="CY173" s="3">
        <f t="shared" si="133"/>
        <v>0</v>
      </c>
      <c r="CZ173" s="19">
        <f t="shared" si="134"/>
        <v>0</v>
      </c>
      <c r="DA173" s="19" t="e">
        <f t="shared" si="134"/>
        <v>#DIV/0!</v>
      </c>
      <c r="DB173" s="16">
        <f t="shared" si="135"/>
        <v>0</v>
      </c>
    </row>
    <row r="174" spans="1:106" x14ac:dyDescent="0.2">
      <c r="A174" s="15">
        <f t="shared" si="136"/>
        <v>45826</v>
      </c>
      <c r="B174" s="1">
        <v>169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4"/>
      <c r="AY174" s="12"/>
      <c r="AZ174" s="14"/>
      <c r="BA174" s="16">
        <v>33.25</v>
      </c>
      <c r="BB174" s="41"/>
      <c r="BC174" s="41"/>
      <c r="BD174" s="8" t="e">
        <f t="shared" si="138"/>
        <v>#DIV/0!</v>
      </c>
      <c r="BE174" s="8"/>
      <c r="BF174" s="2">
        <f t="shared" si="115"/>
        <v>0</v>
      </c>
      <c r="BG174" s="2">
        <f t="shared" si="116"/>
        <v>0</v>
      </c>
      <c r="BH174" s="2">
        <f t="shared" si="117"/>
        <v>0</v>
      </c>
      <c r="BI174" s="35">
        <f t="shared" si="139"/>
        <v>0</v>
      </c>
      <c r="BJ174" s="35" t="e">
        <f t="shared" si="96"/>
        <v>#DIV/0!</v>
      </c>
      <c r="BL174" s="3">
        <f t="shared" si="97"/>
        <v>0</v>
      </c>
      <c r="BM174" s="19" t="e">
        <f t="shared" si="98"/>
        <v>#DIV/0!</v>
      </c>
      <c r="BN174" s="19" t="e">
        <f t="shared" si="99"/>
        <v>#DIV/0!</v>
      </c>
      <c r="BO174" s="19" t="e">
        <f t="shared" si="100"/>
        <v>#DIV/0!</v>
      </c>
      <c r="BP174" s="19" t="e">
        <f t="shared" si="101"/>
        <v>#DIV/0!</v>
      </c>
      <c r="BQ174" s="19" t="e">
        <f t="shared" si="102"/>
        <v>#DIV/0!</v>
      </c>
      <c r="BR174" s="19" t="e">
        <f t="shared" si="103"/>
        <v>#DIV/0!</v>
      </c>
      <c r="BS174" s="19" t="e">
        <f t="shared" si="104"/>
        <v>#DIV/0!</v>
      </c>
      <c r="BT174" s="19" t="e">
        <f t="shared" si="105"/>
        <v>#DIV/0!</v>
      </c>
      <c r="BV174" s="16">
        <f t="shared" si="106"/>
        <v>0</v>
      </c>
      <c r="BW174" s="16">
        <f t="shared" si="107"/>
        <v>0</v>
      </c>
      <c r="BX174" s="3">
        <f t="shared" si="108"/>
        <v>0</v>
      </c>
      <c r="BY174" s="3">
        <f t="shared" si="137"/>
        <v>0</v>
      </c>
      <c r="BZ174" s="3" t="s">
        <v>162</v>
      </c>
      <c r="CA174" s="3">
        <f t="shared" si="109"/>
        <v>0</v>
      </c>
      <c r="CB174" s="3">
        <f t="shared" si="110"/>
        <v>0</v>
      </c>
      <c r="CC174" s="3">
        <f t="shared" si="111"/>
        <v>0</v>
      </c>
      <c r="CD174" s="3">
        <f t="shared" si="112"/>
        <v>0</v>
      </c>
      <c r="CE174" s="22">
        <f t="shared" si="118"/>
        <v>0</v>
      </c>
      <c r="CF174" s="1">
        <f t="shared" si="113"/>
        <v>0</v>
      </c>
      <c r="CG174" s="1">
        <f t="shared" si="119"/>
        <v>0</v>
      </c>
      <c r="CH174" s="3" t="s">
        <v>162</v>
      </c>
      <c r="CI174" s="1">
        <f t="shared" si="120"/>
        <v>0</v>
      </c>
      <c r="CJ174" s="1">
        <f t="shared" si="121"/>
        <v>0</v>
      </c>
      <c r="CK174" s="1">
        <f t="shared" si="122"/>
        <v>0</v>
      </c>
      <c r="CL174" s="1">
        <f t="shared" si="123"/>
        <v>0</v>
      </c>
      <c r="CM174" s="2">
        <f t="shared" si="124"/>
        <v>0</v>
      </c>
      <c r="CN174" s="1">
        <f t="shared" si="125"/>
        <v>0</v>
      </c>
      <c r="CO174" s="1">
        <f t="shared" si="126"/>
        <v>0</v>
      </c>
      <c r="CP174" s="3" t="s">
        <v>162</v>
      </c>
      <c r="CQ174" s="1">
        <f t="shared" si="127"/>
        <v>0</v>
      </c>
      <c r="CR174" s="1">
        <f t="shared" si="128"/>
        <v>0</v>
      </c>
      <c r="CS174" s="1">
        <f t="shared" si="129"/>
        <v>0</v>
      </c>
      <c r="CT174" s="1">
        <f t="shared" si="130"/>
        <v>0</v>
      </c>
      <c r="CU174" s="2">
        <f t="shared" si="131"/>
        <v>0</v>
      </c>
      <c r="CV174" s="14">
        <f t="shared" si="132"/>
        <v>0</v>
      </c>
      <c r="CW174" s="1">
        <f>ROUND(PPTest!K174,1)</f>
        <v>0</v>
      </c>
      <c r="CX174" s="3">
        <f t="shared" si="114"/>
        <v>0</v>
      </c>
      <c r="CY174" s="3">
        <f t="shared" si="133"/>
        <v>0</v>
      </c>
      <c r="CZ174" s="19">
        <f t="shared" si="134"/>
        <v>0</v>
      </c>
      <c r="DA174" s="19" t="e">
        <f t="shared" si="134"/>
        <v>#DIV/0!</v>
      </c>
      <c r="DB174" s="16">
        <f t="shared" si="135"/>
        <v>0</v>
      </c>
    </row>
    <row r="175" spans="1:106" x14ac:dyDescent="0.2">
      <c r="A175" s="15">
        <f t="shared" si="136"/>
        <v>45827</v>
      </c>
      <c r="B175" s="1">
        <v>170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4"/>
      <c r="AY175" s="12"/>
      <c r="AZ175" s="14"/>
      <c r="BA175" s="16">
        <v>33.25</v>
      </c>
      <c r="BB175" s="41"/>
      <c r="BC175" s="41"/>
      <c r="BD175" s="8" t="e">
        <f t="shared" si="138"/>
        <v>#DIV/0!</v>
      </c>
      <c r="BE175" s="8"/>
      <c r="BF175" s="2">
        <f t="shared" si="115"/>
        <v>0</v>
      </c>
      <c r="BG175" s="2">
        <f t="shared" si="116"/>
        <v>0</v>
      </c>
      <c r="BH175" s="2">
        <f t="shared" si="117"/>
        <v>0</v>
      </c>
      <c r="BI175" s="35">
        <f t="shared" si="139"/>
        <v>0</v>
      </c>
      <c r="BJ175" s="35" t="e">
        <f t="shared" si="96"/>
        <v>#DIV/0!</v>
      </c>
      <c r="BL175" s="3">
        <f t="shared" si="97"/>
        <v>0</v>
      </c>
      <c r="BM175" s="19" t="e">
        <f t="shared" si="98"/>
        <v>#DIV/0!</v>
      </c>
      <c r="BN175" s="19" t="e">
        <f t="shared" si="99"/>
        <v>#DIV/0!</v>
      </c>
      <c r="BO175" s="19" t="e">
        <f t="shared" si="100"/>
        <v>#DIV/0!</v>
      </c>
      <c r="BP175" s="19" t="e">
        <f t="shared" si="101"/>
        <v>#DIV/0!</v>
      </c>
      <c r="BQ175" s="19" t="e">
        <f t="shared" si="102"/>
        <v>#DIV/0!</v>
      </c>
      <c r="BR175" s="19" t="e">
        <f t="shared" si="103"/>
        <v>#DIV/0!</v>
      </c>
      <c r="BS175" s="19" t="e">
        <f t="shared" si="104"/>
        <v>#DIV/0!</v>
      </c>
      <c r="BT175" s="19" t="e">
        <f t="shared" si="105"/>
        <v>#DIV/0!</v>
      </c>
      <c r="BV175" s="16">
        <f t="shared" si="106"/>
        <v>0</v>
      </c>
      <c r="BW175" s="16">
        <f t="shared" si="107"/>
        <v>0</v>
      </c>
      <c r="BX175" s="3">
        <f t="shared" si="108"/>
        <v>0</v>
      </c>
      <c r="BY175" s="3">
        <f t="shared" si="137"/>
        <v>0</v>
      </c>
      <c r="BZ175" s="3" t="s">
        <v>162</v>
      </c>
      <c r="CA175" s="3">
        <f t="shared" si="109"/>
        <v>0</v>
      </c>
      <c r="CB175" s="3">
        <f t="shared" si="110"/>
        <v>0</v>
      </c>
      <c r="CC175" s="3">
        <f t="shared" si="111"/>
        <v>0</v>
      </c>
      <c r="CD175" s="3">
        <f t="shared" si="112"/>
        <v>0</v>
      </c>
      <c r="CE175" s="22">
        <f t="shared" si="118"/>
        <v>0</v>
      </c>
      <c r="CF175" s="1">
        <f t="shared" si="113"/>
        <v>0</v>
      </c>
      <c r="CG175" s="1">
        <f t="shared" si="119"/>
        <v>0</v>
      </c>
      <c r="CH175" s="3" t="s">
        <v>162</v>
      </c>
      <c r="CI175" s="1">
        <f t="shared" si="120"/>
        <v>0</v>
      </c>
      <c r="CJ175" s="1">
        <f t="shared" si="121"/>
        <v>0</v>
      </c>
      <c r="CK175" s="1">
        <f t="shared" si="122"/>
        <v>0</v>
      </c>
      <c r="CL175" s="1">
        <f t="shared" si="123"/>
        <v>0</v>
      </c>
      <c r="CM175" s="2">
        <f t="shared" si="124"/>
        <v>0</v>
      </c>
      <c r="CN175" s="1">
        <f t="shared" si="125"/>
        <v>0</v>
      </c>
      <c r="CO175" s="1">
        <f t="shared" si="126"/>
        <v>0</v>
      </c>
      <c r="CP175" s="3" t="s">
        <v>162</v>
      </c>
      <c r="CQ175" s="1">
        <f t="shared" si="127"/>
        <v>0</v>
      </c>
      <c r="CR175" s="1">
        <f t="shared" si="128"/>
        <v>0</v>
      </c>
      <c r="CS175" s="1">
        <f t="shared" si="129"/>
        <v>0</v>
      </c>
      <c r="CT175" s="1">
        <f t="shared" si="130"/>
        <v>0</v>
      </c>
      <c r="CU175" s="2">
        <f t="shared" si="131"/>
        <v>0</v>
      </c>
      <c r="CV175" s="14">
        <f t="shared" si="132"/>
        <v>0</v>
      </c>
      <c r="CW175" s="1">
        <f>ROUND(PPTest!K175,1)</f>
        <v>0</v>
      </c>
      <c r="CX175" s="3">
        <f t="shared" si="114"/>
        <v>0</v>
      </c>
      <c r="CY175" s="3">
        <f t="shared" si="133"/>
        <v>0</v>
      </c>
      <c r="CZ175" s="19">
        <f t="shared" si="134"/>
        <v>0</v>
      </c>
      <c r="DA175" s="19" t="e">
        <f t="shared" si="134"/>
        <v>#DIV/0!</v>
      </c>
      <c r="DB175" s="16">
        <f t="shared" si="135"/>
        <v>0</v>
      </c>
    </row>
    <row r="176" spans="1:106" x14ac:dyDescent="0.2">
      <c r="A176" s="15">
        <f t="shared" si="136"/>
        <v>45828</v>
      </c>
      <c r="B176" s="1">
        <v>171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4"/>
      <c r="AY176" s="12"/>
      <c r="AZ176" s="14"/>
      <c r="BA176" s="16">
        <v>33.24</v>
      </c>
      <c r="BB176" s="41"/>
      <c r="BC176" s="41"/>
      <c r="BD176" s="8" t="e">
        <f t="shared" si="138"/>
        <v>#DIV/0!</v>
      </c>
      <c r="BE176" s="8"/>
      <c r="BF176" s="2">
        <f t="shared" si="115"/>
        <v>0</v>
      </c>
      <c r="BG176" s="2">
        <f t="shared" si="116"/>
        <v>0</v>
      </c>
      <c r="BH176" s="2">
        <f t="shared" si="117"/>
        <v>0</v>
      </c>
      <c r="BI176" s="35">
        <f t="shared" si="139"/>
        <v>0</v>
      </c>
      <c r="BJ176" s="35" t="e">
        <f t="shared" si="96"/>
        <v>#DIV/0!</v>
      </c>
      <c r="BL176" s="3">
        <f t="shared" si="97"/>
        <v>0</v>
      </c>
      <c r="BM176" s="19" t="e">
        <f t="shared" si="98"/>
        <v>#DIV/0!</v>
      </c>
      <c r="BN176" s="19" t="e">
        <f t="shared" si="99"/>
        <v>#DIV/0!</v>
      </c>
      <c r="BO176" s="19" t="e">
        <f t="shared" si="100"/>
        <v>#DIV/0!</v>
      </c>
      <c r="BP176" s="19" t="e">
        <f t="shared" si="101"/>
        <v>#DIV/0!</v>
      </c>
      <c r="BQ176" s="19" t="e">
        <f t="shared" si="102"/>
        <v>#DIV/0!</v>
      </c>
      <c r="BR176" s="19" t="e">
        <f t="shared" si="103"/>
        <v>#DIV/0!</v>
      </c>
      <c r="BS176" s="19" t="e">
        <f t="shared" si="104"/>
        <v>#DIV/0!</v>
      </c>
      <c r="BT176" s="19" t="e">
        <f t="shared" si="105"/>
        <v>#DIV/0!</v>
      </c>
      <c r="BV176" s="16">
        <f t="shared" si="106"/>
        <v>0</v>
      </c>
      <c r="BW176" s="16">
        <f t="shared" si="107"/>
        <v>0</v>
      </c>
      <c r="BX176" s="3">
        <f t="shared" si="108"/>
        <v>0</v>
      </c>
      <c r="BY176" s="3">
        <f t="shared" si="137"/>
        <v>0</v>
      </c>
      <c r="BZ176" s="3" t="s">
        <v>162</v>
      </c>
      <c r="CA176" s="3">
        <f t="shared" si="109"/>
        <v>0</v>
      </c>
      <c r="CB176" s="3">
        <f t="shared" si="110"/>
        <v>0</v>
      </c>
      <c r="CC176" s="3">
        <f t="shared" si="111"/>
        <v>0</v>
      </c>
      <c r="CD176" s="3">
        <f t="shared" si="112"/>
        <v>0</v>
      </c>
      <c r="CE176" s="22">
        <f t="shared" si="118"/>
        <v>0</v>
      </c>
      <c r="CF176" s="1">
        <f t="shared" si="113"/>
        <v>0</v>
      </c>
      <c r="CG176" s="1">
        <f t="shared" si="119"/>
        <v>0</v>
      </c>
      <c r="CH176" s="3" t="s">
        <v>162</v>
      </c>
      <c r="CI176" s="1">
        <f t="shared" si="120"/>
        <v>0</v>
      </c>
      <c r="CJ176" s="1">
        <f t="shared" si="121"/>
        <v>0</v>
      </c>
      <c r="CK176" s="1">
        <f t="shared" si="122"/>
        <v>0</v>
      </c>
      <c r="CL176" s="1">
        <f t="shared" si="123"/>
        <v>0</v>
      </c>
      <c r="CM176" s="2">
        <f t="shared" si="124"/>
        <v>0</v>
      </c>
      <c r="CN176" s="1">
        <f t="shared" si="125"/>
        <v>0</v>
      </c>
      <c r="CO176" s="1">
        <f t="shared" si="126"/>
        <v>0</v>
      </c>
      <c r="CP176" s="3" t="s">
        <v>162</v>
      </c>
      <c r="CQ176" s="1">
        <f t="shared" si="127"/>
        <v>0</v>
      </c>
      <c r="CR176" s="1">
        <f t="shared" si="128"/>
        <v>0</v>
      </c>
      <c r="CS176" s="1">
        <f t="shared" si="129"/>
        <v>0</v>
      </c>
      <c r="CT176" s="1">
        <f t="shared" si="130"/>
        <v>0</v>
      </c>
      <c r="CU176" s="2">
        <f t="shared" si="131"/>
        <v>0</v>
      </c>
      <c r="CV176" s="14">
        <f t="shared" si="132"/>
        <v>0</v>
      </c>
      <c r="CW176" s="1">
        <f>ROUND(PPTest!K176,1)</f>
        <v>0</v>
      </c>
      <c r="CX176" s="3">
        <f t="shared" si="114"/>
        <v>0</v>
      </c>
      <c r="CY176" s="3">
        <f t="shared" si="133"/>
        <v>0</v>
      </c>
      <c r="CZ176" s="19">
        <f t="shared" si="134"/>
        <v>0</v>
      </c>
      <c r="DA176" s="19" t="e">
        <f t="shared" si="134"/>
        <v>#DIV/0!</v>
      </c>
      <c r="DB176" s="16">
        <f t="shared" si="135"/>
        <v>0</v>
      </c>
    </row>
    <row r="177" spans="1:106" x14ac:dyDescent="0.2">
      <c r="A177" s="15">
        <f t="shared" si="136"/>
        <v>45829</v>
      </c>
      <c r="B177" s="1">
        <v>172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4"/>
      <c r="AY177" s="12"/>
      <c r="AZ177" s="14"/>
      <c r="BA177" s="16">
        <v>33.24</v>
      </c>
      <c r="BB177" s="41"/>
      <c r="BC177" s="41"/>
      <c r="BD177" s="8" t="e">
        <f t="shared" si="138"/>
        <v>#DIV/0!</v>
      </c>
      <c r="BE177" s="8"/>
      <c r="BF177" s="2">
        <f t="shared" si="115"/>
        <v>0</v>
      </c>
      <c r="BG177" s="2">
        <f t="shared" si="116"/>
        <v>0</v>
      </c>
      <c r="BH177" s="2">
        <f t="shared" si="117"/>
        <v>0</v>
      </c>
      <c r="BI177" s="35">
        <f t="shared" si="139"/>
        <v>0</v>
      </c>
      <c r="BJ177" s="35" t="e">
        <f t="shared" si="96"/>
        <v>#DIV/0!</v>
      </c>
      <c r="BL177" s="3">
        <f t="shared" si="97"/>
        <v>0</v>
      </c>
      <c r="BM177" s="19" t="e">
        <f t="shared" si="98"/>
        <v>#DIV/0!</v>
      </c>
      <c r="BN177" s="19" t="e">
        <f t="shared" si="99"/>
        <v>#DIV/0!</v>
      </c>
      <c r="BO177" s="19" t="e">
        <f t="shared" si="100"/>
        <v>#DIV/0!</v>
      </c>
      <c r="BP177" s="19" t="e">
        <f t="shared" si="101"/>
        <v>#DIV/0!</v>
      </c>
      <c r="BQ177" s="19" t="e">
        <f t="shared" si="102"/>
        <v>#DIV/0!</v>
      </c>
      <c r="BR177" s="19" t="e">
        <f t="shared" si="103"/>
        <v>#DIV/0!</v>
      </c>
      <c r="BS177" s="19" t="e">
        <f t="shared" si="104"/>
        <v>#DIV/0!</v>
      </c>
      <c r="BT177" s="19" t="e">
        <f t="shared" si="105"/>
        <v>#DIV/0!</v>
      </c>
      <c r="BV177" s="16">
        <f t="shared" si="106"/>
        <v>0</v>
      </c>
      <c r="BW177" s="16">
        <f t="shared" si="107"/>
        <v>0</v>
      </c>
      <c r="BX177" s="3">
        <f t="shared" si="108"/>
        <v>0</v>
      </c>
      <c r="BY177" s="3">
        <f t="shared" si="137"/>
        <v>0</v>
      </c>
      <c r="BZ177" s="3" t="s">
        <v>162</v>
      </c>
      <c r="CA177" s="3">
        <f t="shared" si="109"/>
        <v>0</v>
      </c>
      <c r="CB177" s="3">
        <f t="shared" si="110"/>
        <v>0</v>
      </c>
      <c r="CC177" s="3">
        <f t="shared" si="111"/>
        <v>0</v>
      </c>
      <c r="CD177" s="3">
        <f t="shared" si="112"/>
        <v>0</v>
      </c>
      <c r="CE177" s="22">
        <f t="shared" si="118"/>
        <v>0</v>
      </c>
      <c r="CF177" s="1">
        <f t="shared" si="113"/>
        <v>0</v>
      </c>
      <c r="CG177" s="1">
        <f t="shared" si="119"/>
        <v>0</v>
      </c>
      <c r="CH177" s="3" t="s">
        <v>162</v>
      </c>
      <c r="CI177" s="1">
        <f t="shared" si="120"/>
        <v>0</v>
      </c>
      <c r="CJ177" s="1">
        <f t="shared" si="121"/>
        <v>0</v>
      </c>
      <c r="CK177" s="1">
        <f t="shared" si="122"/>
        <v>0</v>
      </c>
      <c r="CL177" s="1">
        <f t="shared" si="123"/>
        <v>0</v>
      </c>
      <c r="CM177" s="2">
        <f t="shared" si="124"/>
        <v>0</v>
      </c>
      <c r="CN177" s="1">
        <f t="shared" si="125"/>
        <v>0</v>
      </c>
      <c r="CO177" s="1">
        <f t="shared" si="126"/>
        <v>0</v>
      </c>
      <c r="CP177" s="3" t="s">
        <v>162</v>
      </c>
      <c r="CQ177" s="1">
        <f t="shared" si="127"/>
        <v>0</v>
      </c>
      <c r="CR177" s="1">
        <f t="shared" si="128"/>
        <v>0</v>
      </c>
      <c r="CS177" s="1">
        <f t="shared" si="129"/>
        <v>0</v>
      </c>
      <c r="CT177" s="1">
        <f t="shared" si="130"/>
        <v>0</v>
      </c>
      <c r="CU177" s="2">
        <f t="shared" si="131"/>
        <v>0</v>
      </c>
      <c r="CV177" s="14">
        <f t="shared" si="132"/>
        <v>0</v>
      </c>
      <c r="CW177" s="1">
        <f>ROUND(PPTest!K177,1)</f>
        <v>0</v>
      </c>
      <c r="CX177" s="3">
        <f t="shared" si="114"/>
        <v>0</v>
      </c>
      <c r="CY177" s="3">
        <f t="shared" si="133"/>
        <v>0</v>
      </c>
      <c r="CZ177" s="19">
        <f t="shared" si="134"/>
        <v>0</v>
      </c>
      <c r="DA177" s="19" t="e">
        <f t="shared" si="134"/>
        <v>#DIV/0!</v>
      </c>
      <c r="DB177" s="16">
        <f t="shared" si="135"/>
        <v>0</v>
      </c>
    </row>
    <row r="178" spans="1:106" x14ac:dyDescent="0.2">
      <c r="A178" s="15">
        <f t="shared" si="136"/>
        <v>45830</v>
      </c>
      <c r="B178" s="1">
        <v>173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4"/>
      <c r="AY178" s="12"/>
      <c r="AZ178" s="14"/>
      <c r="BA178" s="16">
        <v>33.22</v>
      </c>
      <c r="BB178" s="41"/>
      <c r="BC178" s="41"/>
      <c r="BD178" s="8" t="e">
        <f t="shared" si="138"/>
        <v>#DIV/0!</v>
      </c>
      <c r="BE178" s="8"/>
      <c r="BF178" s="2">
        <f t="shared" si="115"/>
        <v>0</v>
      </c>
      <c r="BG178" s="2">
        <f t="shared" si="116"/>
        <v>0</v>
      </c>
      <c r="BH178" s="2">
        <f t="shared" si="117"/>
        <v>0</v>
      </c>
      <c r="BI178" s="35">
        <f t="shared" si="139"/>
        <v>0</v>
      </c>
      <c r="BJ178" s="35" t="e">
        <f t="shared" si="96"/>
        <v>#DIV/0!</v>
      </c>
      <c r="BL178" s="3">
        <f t="shared" si="97"/>
        <v>0</v>
      </c>
      <c r="BM178" s="19" t="e">
        <f t="shared" si="98"/>
        <v>#DIV/0!</v>
      </c>
      <c r="BN178" s="19" t="e">
        <f t="shared" si="99"/>
        <v>#DIV/0!</v>
      </c>
      <c r="BO178" s="19" t="e">
        <f t="shared" si="100"/>
        <v>#DIV/0!</v>
      </c>
      <c r="BP178" s="19" t="e">
        <f t="shared" si="101"/>
        <v>#DIV/0!</v>
      </c>
      <c r="BQ178" s="19" t="e">
        <f t="shared" si="102"/>
        <v>#DIV/0!</v>
      </c>
      <c r="BR178" s="19" t="e">
        <f t="shared" si="103"/>
        <v>#DIV/0!</v>
      </c>
      <c r="BS178" s="19" t="e">
        <f t="shared" si="104"/>
        <v>#DIV/0!</v>
      </c>
      <c r="BT178" s="19" t="e">
        <f t="shared" si="105"/>
        <v>#DIV/0!</v>
      </c>
      <c r="BV178" s="16">
        <f t="shared" si="106"/>
        <v>0</v>
      </c>
      <c r="BW178" s="16">
        <f t="shared" si="107"/>
        <v>0</v>
      </c>
      <c r="BX178" s="3">
        <f t="shared" si="108"/>
        <v>0</v>
      </c>
      <c r="BY178" s="3">
        <f t="shared" si="137"/>
        <v>0</v>
      </c>
      <c r="BZ178" s="3" t="s">
        <v>162</v>
      </c>
      <c r="CA178" s="3">
        <f t="shared" si="109"/>
        <v>0</v>
      </c>
      <c r="CB178" s="3">
        <f t="shared" si="110"/>
        <v>0</v>
      </c>
      <c r="CC178" s="3">
        <f t="shared" si="111"/>
        <v>0</v>
      </c>
      <c r="CD178" s="3">
        <f t="shared" si="112"/>
        <v>0</v>
      </c>
      <c r="CE178" s="22">
        <f t="shared" si="118"/>
        <v>0</v>
      </c>
      <c r="CF178" s="1">
        <f t="shared" si="113"/>
        <v>0</v>
      </c>
      <c r="CG178" s="1">
        <f t="shared" si="119"/>
        <v>0</v>
      </c>
      <c r="CH178" s="3" t="s">
        <v>162</v>
      </c>
      <c r="CI178" s="1">
        <f t="shared" si="120"/>
        <v>0</v>
      </c>
      <c r="CJ178" s="1">
        <f t="shared" si="121"/>
        <v>0</v>
      </c>
      <c r="CK178" s="1">
        <f t="shared" si="122"/>
        <v>0</v>
      </c>
      <c r="CL178" s="1">
        <f t="shared" si="123"/>
        <v>0</v>
      </c>
      <c r="CM178" s="2">
        <f t="shared" si="124"/>
        <v>0</v>
      </c>
      <c r="CN178" s="1">
        <f t="shared" si="125"/>
        <v>0</v>
      </c>
      <c r="CO178" s="1">
        <f t="shared" si="126"/>
        <v>0</v>
      </c>
      <c r="CP178" s="3" t="s">
        <v>162</v>
      </c>
      <c r="CQ178" s="1">
        <f t="shared" si="127"/>
        <v>0</v>
      </c>
      <c r="CR178" s="1">
        <f t="shared" si="128"/>
        <v>0</v>
      </c>
      <c r="CS178" s="1">
        <f t="shared" si="129"/>
        <v>0</v>
      </c>
      <c r="CT178" s="1">
        <f t="shared" si="130"/>
        <v>0</v>
      </c>
      <c r="CU178" s="2">
        <f t="shared" si="131"/>
        <v>0</v>
      </c>
      <c r="CV178" s="14">
        <f t="shared" si="132"/>
        <v>0</v>
      </c>
      <c r="CW178" s="1">
        <f>ROUND(PPTest!K178,1)</f>
        <v>0</v>
      </c>
      <c r="CX178" s="3">
        <f t="shared" si="114"/>
        <v>0</v>
      </c>
      <c r="CY178" s="3">
        <f t="shared" si="133"/>
        <v>0</v>
      </c>
      <c r="CZ178" s="19">
        <f t="shared" si="134"/>
        <v>0</v>
      </c>
      <c r="DA178" s="19" t="e">
        <f t="shared" si="134"/>
        <v>#DIV/0!</v>
      </c>
      <c r="DB178" s="16">
        <f t="shared" si="135"/>
        <v>0</v>
      </c>
    </row>
    <row r="179" spans="1:106" x14ac:dyDescent="0.2">
      <c r="A179" s="15">
        <f t="shared" si="136"/>
        <v>45831</v>
      </c>
      <c r="B179" s="1">
        <v>174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4"/>
      <c r="AY179" s="12"/>
      <c r="AZ179" s="14"/>
      <c r="BA179" s="16">
        <v>33.200000000000003</v>
      </c>
      <c r="BB179" s="41"/>
      <c r="BC179" s="41"/>
      <c r="BD179" s="8" t="e">
        <f t="shared" si="138"/>
        <v>#DIV/0!</v>
      </c>
      <c r="BE179" s="8"/>
      <c r="BF179" s="2">
        <f t="shared" si="115"/>
        <v>0</v>
      </c>
      <c r="BG179" s="2">
        <f t="shared" si="116"/>
        <v>0</v>
      </c>
      <c r="BH179" s="2">
        <f t="shared" si="117"/>
        <v>0</v>
      </c>
      <c r="BI179" s="35">
        <f t="shared" si="139"/>
        <v>0</v>
      </c>
      <c r="BJ179" s="35" t="e">
        <f t="shared" si="96"/>
        <v>#DIV/0!</v>
      </c>
      <c r="BL179" s="3">
        <f t="shared" si="97"/>
        <v>0</v>
      </c>
      <c r="BM179" s="19" t="e">
        <f t="shared" si="98"/>
        <v>#DIV/0!</v>
      </c>
      <c r="BN179" s="19" t="e">
        <f t="shared" si="99"/>
        <v>#DIV/0!</v>
      </c>
      <c r="BO179" s="19" t="e">
        <f t="shared" si="100"/>
        <v>#DIV/0!</v>
      </c>
      <c r="BP179" s="19" t="e">
        <f t="shared" si="101"/>
        <v>#DIV/0!</v>
      </c>
      <c r="BQ179" s="19" t="e">
        <f t="shared" si="102"/>
        <v>#DIV/0!</v>
      </c>
      <c r="BR179" s="19" t="e">
        <f t="shared" si="103"/>
        <v>#DIV/0!</v>
      </c>
      <c r="BS179" s="19" t="e">
        <f t="shared" si="104"/>
        <v>#DIV/0!</v>
      </c>
      <c r="BT179" s="19" t="e">
        <f t="shared" si="105"/>
        <v>#DIV/0!</v>
      </c>
      <c r="BV179" s="16">
        <f t="shared" si="106"/>
        <v>0</v>
      </c>
      <c r="BW179" s="16">
        <f t="shared" si="107"/>
        <v>0</v>
      </c>
      <c r="BX179" s="3">
        <f t="shared" si="108"/>
        <v>0</v>
      </c>
      <c r="BY179" s="3">
        <f t="shared" si="137"/>
        <v>0</v>
      </c>
      <c r="BZ179" s="3" t="s">
        <v>162</v>
      </c>
      <c r="CA179" s="3">
        <f t="shared" si="109"/>
        <v>0</v>
      </c>
      <c r="CB179" s="3">
        <f t="shared" si="110"/>
        <v>0</v>
      </c>
      <c r="CC179" s="3">
        <f t="shared" si="111"/>
        <v>0</v>
      </c>
      <c r="CD179" s="3">
        <f t="shared" si="112"/>
        <v>0</v>
      </c>
      <c r="CE179" s="22">
        <f t="shared" si="118"/>
        <v>0</v>
      </c>
      <c r="CF179" s="1">
        <f t="shared" si="113"/>
        <v>0</v>
      </c>
      <c r="CG179" s="1">
        <f t="shared" si="119"/>
        <v>0</v>
      </c>
      <c r="CH179" s="3" t="s">
        <v>162</v>
      </c>
      <c r="CI179" s="1">
        <f t="shared" si="120"/>
        <v>0</v>
      </c>
      <c r="CJ179" s="1">
        <f t="shared" si="121"/>
        <v>0</v>
      </c>
      <c r="CK179" s="1">
        <f t="shared" si="122"/>
        <v>0</v>
      </c>
      <c r="CL179" s="1">
        <f t="shared" si="123"/>
        <v>0</v>
      </c>
      <c r="CM179" s="2">
        <f t="shared" si="124"/>
        <v>0</v>
      </c>
      <c r="CN179" s="1">
        <f t="shared" si="125"/>
        <v>0</v>
      </c>
      <c r="CO179" s="1">
        <f t="shared" si="126"/>
        <v>0</v>
      </c>
      <c r="CP179" s="3" t="s">
        <v>162</v>
      </c>
      <c r="CQ179" s="1">
        <f t="shared" si="127"/>
        <v>0</v>
      </c>
      <c r="CR179" s="1">
        <f t="shared" si="128"/>
        <v>0</v>
      </c>
      <c r="CS179" s="1">
        <f t="shared" si="129"/>
        <v>0</v>
      </c>
      <c r="CT179" s="1">
        <f t="shared" si="130"/>
        <v>0</v>
      </c>
      <c r="CU179" s="2">
        <f t="shared" si="131"/>
        <v>0</v>
      </c>
      <c r="CV179" s="14">
        <f t="shared" si="132"/>
        <v>0</v>
      </c>
      <c r="CW179" s="1">
        <f>ROUND(PPTest!K179,1)</f>
        <v>0</v>
      </c>
      <c r="CX179" s="3">
        <f t="shared" si="114"/>
        <v>0</v>
      </c>
      <c r="CY179" s="3">
        <f t="shared" si="133"/>
        <v>0</v>
      </c>
      <c r="CZ179" s="19">
        <f t="shared" si="134"/>
        <v>0</v>
      </c>
      <c r="DA179" s="19" t="e">
        <f t="shared" si="134"/>
        <v>#DIV/0!</v>
      </c>
      <c r="DB179" s="16">
        <f t="shared" si="135"/>
        <v>0</v>
      </c>
    </row>
    <row r="180" spans="1:106" x14ac:dyDescent="0.2">
      <c r="A180" s="15">
        <f t="shared" si="136"/>
        <v>45832</v>
      </c>
      <c r="B180" s="1">
        <v>175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4"/>
      <c r="AY180" s="12"/>
      <c r="BA180" s="16">
        <v>33.18</v>
      </c>
      <c r="BB180" s="41"/>
      <c r="BC180" s="41"/>
      <c r="BD180" s="8" t="e">
        <f t="shared" si="138"/>
        <v>#DIV/0!</v>
      </c>
      <c r="BE180" s="8"/>
      <c r="BF180" s="2">
        <f t="shared" si="115"/>
        <v>0</v>
      </c>
      <c r="BG180" s="2">
        <f t="shared" si="116"/>
        <v>0</v>
      </c>
      <c r="BH180" s="2">
        <f t="shared" si="117"/>
        <v>0</v>
      </c>
      <c r="BI180" s="35">
        <f t="shared" si="139"/>
        <v>0</v>
      </c>
      <c r="BJ180" s="35" t="e">
        <f t="shared" si="96"/>
        <v>#DIV/0!</v>
      </c>
      <c r="BL180" s="3">
        <f t="shared" si="97"/>
        <v>0</v>
      </c>
      <c r="BM180" s="19" t="e">
        <f t="shared" si="98"/>
        <v>#DIV/0!</v>
      </c>
      <c r="BN180" s="19" t="e">
        <f t="shared" si="99"/>
        <v>#DIV/0!</v>
      </c>
      <c r="BO180" s="19" t="e">
        <f t="shared" si="100"/>
        <v>#DIV/0!</v>
      </c>
      <c r="BP180" s="19" t="e">
        <f t="shared" si="101"/>
        <v>#DIV/0!</v>
      </c>
      <c r="BQ180" s="19" t="e">
        <f t="shared" si="102"/>
        <v>#DIV/0!</v>
      </c>
      <c r="BR180" s="19" t="e">
        <f t="shared" si="103"/>
        <v>#DIV/0!</v>
      </c>
      <c r="BS180" s="19" t="e">
        <f t="shared" si="104"/>
        <v>#DIV/0!</v>
      </c>
      <c r="BT180" s="19" t="e">
        <f t="shared" si="105"/>
        <v>#DIV/0!</v>
      </c>
      <c r="BV180" s="16">
        <f t="shared" si="106"/>
        <v>0</v>
      </c>
      <c r="BW180" s="16">
        <f t="shared" si="107"/>
        <v>0</v>
      </c>
      <c r="BX180" s="3">
        <f t="shared" si="108"/>
        <v>0</v>
      </c>
      <c r="BY180" s="3">
        <f t="shared" si="137"/>
        <v>0</v>
      </c>
      <c r="BZ180" s="3" t="s">
        <v>162</v>
      </c>
      <c r="CA180" s="3">
        <f t="shared" si="109"/>
        <v>0</v>
      </c>
      <c r="CB180" s="3">
        <f t="shared" si="110"/>
        <v>0</v>
      </c>
      <c r="CC180" s="3">
        <f t="shared" si="111"/>
        <v>0</v>
      </c>
      <c r="CD180" s="3">
        <f t="shared" si="112"/>
        <v>0</v>
      </c>
      <c r="CE180" s="22">
        <f t="shared" si="118"/>
        <v>0</v>
      </c>
      <c r="CF180" s="1">
        <f t="shared" si="113"/>
        <v>0</v>
      </c>
      <c r="CG180" s="1">
        <f t="shared" si="119"/>
        <v>0</v>
      </c>
      <c r="CH180" s="3" t="s">
        <v>162</v>
      </c>
      <c r="CI180" s="1">
        <f t="shared" si="120"/>
        <v>0</v>
      </c>
      <c r="CJ180" s="1">
        <f t="shared" si="121"/>
        <v>0</v>
      </c>
      <c r="CK180" s="1">
        <f t="shared" si="122"/>
        <v>0</v>
      </c>
      <c r="CL180" s="1">
        <f t="shared" si="123"/>
        <v>0</v>
      </c>
      <c r="CM180" s="2">
        <f t="shared" si="124"/>
        <v>0</v>
      </c>
      <c r="CN180" s="1">
        <f t="shared" si="125"/>
        <v>0</v>
      </c>
      <c r="CO180" s="1">
        <f t="shared" si="126"/>
        <v>0</v>
      </c>
      <c r="CP180" s="3" t="s">
        <v>162</v>
      </c>
      <c r="CQ180" s="1">
        <f t="shared" si="127"/>
        <v>0</v>
      </c>
      <c r="CR180" s="1">
        <f t="shared" si="128"/>
        <v>0</v>
      </c>
      <c r="CS180" s="1">
        <f t="shared" si="129"/>
        <v>0</v>
      </c>
      <c r="CT180" s="1">
        <f t="shared" si="130"/>
        <v>0</v>
      </c>
      <c r="CU180" s="2">
        <f t="shared" si="131"/>
        <v>0</v>
      </c>
      <c r="CV180" s="14">
        <f t="shared" si="132"/>
        <v>0</v>
      </c>
      <c r="CW180" s="1">
        <f>ROUND(PPTest!K180,1)</f>
        <v>0</v>
      </c>
      <c r="CX180" s="3">
        <f t="shared" si="114"/>
        <v>0</v>
      </c>
      <c r="CY180" s="3">
        <f t="shared" si="133"/>
        <v>0</v>
      </c>
      <c r="CZ180" s="19">
        <f t="shared" si="134"/>
        <v>0</v>
      </c>
      <c r="DA180" s="19" t="e">
        <f t="shared" si="134"/>
        <v>#DIV/0!</v>
      </c>
      <c r="DB180" s="16">
        <f t="shared" si="135"/>
        <v>0</v>
      </c>
    </row>
    <row r="181" spans="1:106" x14ac:dyDescent="0.2">
      <c r="A181" s="15">
        <f t="shared" si="136"/>
        <v>45833</v>
      </c>
      <c r="B181" s="1">
        <v>176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4"/>
      <c r="AY181" s="12"/>
      <c r="BA181" s="16">
        <v>33.15</v>
      </c>
      <c r="BB181" s="41"/>
      <c r="BC181" s="41"/>
      <c r="BD181" s="8" t="e">
        <f t="shared" si="138"/>
        <v>#DIV/0!</v>
      </c>
      <c r="BE181" s="8"/>
      <c r="BF181" s="2">
        <f t="shared" si="115"/>
        <v>0</v>
      </c>
      <c r="BG181" s="2">
        <f t="shared" si="116"/>
        <v>0</v>
      </c>
      <c r="BH181" s="2">
        <f t="shared" si="117"/>
        <v>0</v>
      </c>
      <c r="BI181" s="35">
        <f t="shared" si="139"/>
        <v>0</v>
      </c>
      <c r="BJ181" s="35" t="e">
        <f t="shared" si="96"/>
        <v>#DIV/0!</v>
      </c>
      <c r="BL181" s="3">
        <f t="shared" si="97"/>
        <v>0</v>
      </c>
      <c r="BM181" s="19" t="e">
        <f t="shared" si="98"/>
        <v>#DIV/0!</v>
      </c>
      <c r="BN181" s="19" t="e">
        <f t="shared" si="99"/>
        <v>#DIV/0!</v>
      </c>
      <c r="BO181" s="19" t="e">
        <f t="shared" si="100"/>
        <v>#DIV/0!</v>
      </c>
      <c r="BP181" s="19" t="e">
        <f t="shared" si="101"/>
        <v>#DIV/0!</v>
      </c>
      <c r="BQ181" s="19" t="e">
        <f t="shared" si="102"/>
        <v>#DIV/0!</v>
      </c>
      <c r="BR181" s="19" t="e">
        <f t="shared" si="103"/>
        <v>#DIV/0!</v>
      </c>
      <c r="BS181" s="19" t="e">
        <f t="shared" si="104"/>
        <v>#DIV/0!</v>
      </c>
      <c r="BT181" s="19" t="e">
        <f t="shared" si="105"/>
        <v>#DIV/0!</v>
      </c>
      <c r="BV181" s="16">
        <f t="shared" si="106"/>
        <v>0</v>
      </c>
      <c r="BW181" s="16">
        <f t="shared" si="107"/>
        <v>0</v>
      </c>
      <c r="BX181" s="3">
        <f t="shared" si="108"/>
        <v>0</v>
      </c>
      <c r="BY181" s="3">
        <f t="shared" si="137"/>
        <v>0</v>
      </c>
      <c r="BZ181" s="3" t="s">
        <v>162</v>
      </c>
      <c r="CA181" s="3">
        <f t="shared" si="109"/>
        <v>0</v>
      </c>
      <c r="CB181" s="3">
        <f t="shared" si="110"/>
        <v>0</v>
      </c>
      <c r="CC181" s="3">
        <f t="shared" si="111"/>
        <v>0</v>
      </c>
      <c r="CD181" s="3">
        <f t="shared" si="112"/>
        <v>0</v>
      </c>
      <c r="CE181" s="22">
        <f t="shared" si="118"/>
        <v>0</v>
      </c>
      <c r="CF181" s="1">
        <f t="shared" si="113"/>
        <v>0</v>
      </c>
      <c r="CG181" s="1">
        <f t="shared" si="119"/>
        <v>0</v>
      </c>
      <c r="CH181" s="3" t="s">
        <v>162</v>
      </c>
      <c r="CI181" s="1">
        <f t="shared" si="120"/>
        <v>0</v>
      </c>
      <c r="CJ181" s="1">
        <f t="shared" si="121"/>
        <v>0</v>
      </c>
      <c r="CK181" s="1">
        <f t="shared" si="122"/>
        <v>0</v>
      </c>
      <c r="CL181" s="1">
        <f t="shared" si="123"/>
        <v>0</v>
      </c>
      <c r="CM181" s="2">
        <f t="shared" si="124"/>
        <v>0</v>
      </c>
      <c r="CN181" s="1">
        <f t="shared" si="125"/>
        <v>0</v>
      </c>
      <c r="CO181" s="1">
        <f t="shared" si="126"/>
        <v>0</v>
      </c>
      <c r="CP181" s="3" t="s">
        <v>162</v>
      </c>
      <c r="CQ181" s="1">
        <f t="shared" si="127"/>
        <v>0</v>
      </c>
      <c r="CR181" s="1">
        <f t="shared" si="128"/>
        <v>0</v>
      </c>
      <c r="CS181" s="1">
        <f t="shared" si="129"/>
        <v>0</v>
      </c>
      <c r="CT181" s="1">
        <f t="shared" si="130"/>
        <v>0</v>
      </c>
      <c r="CU181" s="2">
        <f t="shared" si="131"/>
        <v>0</v>
      </c>
      <c r="CV181" s="14">
        <f t="shared" si="132"/>
        <v>0</v>
      </c>
      <c r="CW181" s="1">
        <f>ROUND(PPTest!K181,1)</f>
        <v>0</v>
      </c>
      <c r="CX181" s="3">
        <f t="shared" si="114"/>
        <v>0</v>
      </c>
      <c r="CY181" s="3">
        <f t="shared" si="133"/>
        <v>0</v>
      </c>
      <c r="CZ181" s="19">
        <f t="shared" si="134"/>
        <v>0</v>
      </c>
      <c r="DA181" s="19" t="e">
        <f t="shared" si="134"/>
        <v>#DIV/0!</v>
      </c>
      <c r="DB181" s="16">
        <f t="shared" si="135"/>
        <v>0</v>
      </c>
    </row>
    <row r="182" spans="1:106" x14ac:dyDescent="0.2">
      <c r="A182" s="15">
        <f t="shared" si="136"/>
        <v>45834</v>
      </c>
      <c r="B182" s="1">
        <v>177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4"/>
      <c r="AY182" s="43"/>
      <c r="BA182" s="16">
        <v>33.119999999999997</v>
      </c>
      <c r="BB182" s="41"/>
      <c r="BC182" s="41"/>
      <c r="BD182" s="8" t="e">
        <f t="shared" si="138"/>
        <v>#DIV/0!</v>
      </c>
      <c r="BE182" s="8"/>
      <c r="BF182" s="2">
        <f t="shared" si="115"/>
        <v>0</v>
      </c>
      <c r="BG182" s="2">
        <f t="shared" si="116"/>
        <v>0</v>
      </c>
      <c r="BH182" s="2">
        <f t="shared" si="117"/>
        <v>0</v>
      </c>
      <c r="BI182" s="35">
        <f t="shared" si="139"/>
        <v>0</v>
      </c>
      <c r="BJ182" s="35" t="e">
        <f t="shared" si="96"/>
        <v>#DIV/0!</v>
      </c>
      <c r="BL182" s="3">
        <f t="shared" si="97"/>
        <v>0</v>
      </c>
      <c r="BM182" s="19" t="e">
        <f t="shared" si="98"/>
        <v>#DIV/0!</v>
      </c>
      <c r="BN182" s="19" t="e">
        <f t="shared" si="99"/>
        <v>#DIV/0!</v>
      </c>
      <c r="BO182" s="19" t="e">
        <f t="shared" si="100"/>
        <v>#DIV/0!</v>
      </c>
      <c r="BP182" s="19" t="e">
        <f t="shared" si="101"/>
        <v>#DIV/0!</v>
      </c>
      <c r="BQ182" s="19" t="e">
        <f t="shared" si="102"/>
        <v>#DIV/0!</v>
      </c>
      <c r="BR182" s="19" t="e">
        <f t="shared" si="103"/>
        <v>#DIV/0!</v>
      </c>
      <c r="BS182" s="19" t="e">
        <f t="shared" si="104"/>
        <v>#DIV/0!</v>
      </c>
      <c r="BT182" s="19" t="e">
        <f t="shared" si="105"/>
        <v>#DIV/0!</v>
      </c>
      <c r="BV182" s="16">
        <f t="shared" si="106"/>
        <v>0</v>
      </c>
      <c r="BW182" s="16">
        <f t="shared" si="107"/>
        <v>0</v>
      </c>
      <c r="BX182" s="3">
        <f t="shared" si="108"/>
        <v>0</v>
      </c>
      <c r="BY182" s="3">
        <f t="shared" si="137"/>
        <v>0</v>
      </c>
      <c r="BZ182" s="3" t="s">
        <v>162</v>
      </c>
      <c r="CA182" s="3">
        <f t="shared" si="109"/>
        <v>0</v>
      </c>
      <c r="CB182" s="3">
        <f t="shared" si="110"/>
        <v>0</v>
      </c>
      <c r="CC182" s="3">
        <f t="shared" si="111"/>
        <v>0</v>
      </c>
      <c r="CD182" s="3">
        <f t="shared" si="112"/>
        <v>0</v>
      </c>
      <c r="CE182" s="22">
        <f t="shared" si="118"/>
        <v>0</v>
      </c>
      <c r="CF182" s="1">
        <f t="shared" si="113"/>
        <v>0</v>
      </c>
      <c r="CG182" s="1">
        <f t="shared" si="119"/>
        <v>0</v>
      </c>
      <c r="CH182" s="3" t="s">
        <v>162</v>
      </c>
      <c r="CI182" s="1">
        <f t="shared" si="120"/>
        <v>0</v>
      </c>
      <c r="CJ182" s="1">
        <f t="shared" si="121"/>
        <v>0</v>
      </c>
      <c r="CK182" s="1">
        <f t="shared" si="122"/>
        <v>0</v>
      </c>
      <c r="CL182" s="1">
        <f t="shared" si="123"/>
        <v>0</v>
      </c>
      <c r="CM182" s="2">
        <f t="shared" si="124"/>
        <v>0</v>
      </c>
      <c r="CN182" s="1">
        <f t="shared" si="125"/>
        <v>0</v>
      </c>
      <c r="CO182" s="1">
        <f t="shared" si="126"/>
        <v>0</v>
      </c>
      <c r="CP182" s="3" t="s">
        <v>162</v>
      </c>
      <c r="CQ182" s="1">
        <f t="shared" si="127"/>
        <v>0</v>
      </c>
      <c r="CR182" s="1">
        <f t="shared" si="128"/>
        <v>0</v>
      </c>
      <c r="CS182" s="1">
        <f t="shared" si="129"/>
        <v>0</v>
      </c>
      <c r="CT182" s="1">
        <f t="shared" si="130"/>
        <v>0</v>
      </c>
      <c r="CU182" s="2">
        <f t="shared" si="131"/>
        <v>0</v>
      </c>
      <c r="CV182" s="14">
        <f t="shared" si="132"/>
        <v>0</v>
      </c>
      <c r="CW182" s="1">
        <f>ROUND(PPTest!K182,1)</f>
        <v>0</v>
      </c>
      <c r="CX182" s="3">
        <f t="shared" si="114"/>
        <v>0</v>
      </c>
      <c r="CY182" s="3">
        <f t="shared" si="133"/>
        <v>0</v>
      </c>
      <c r="CZ182" s="19">
        <f t="shared" si="134"/>
        <v>0</v>
      </c>
      <c r="DA182" s="19" t="e">
        <f t="shared" si="134"/>
        <v>#DIV/0!</v>
      </c>
      <c r="DB182" s="16">
        <f t="shared" si="135"/>
        <v>0</v>
      </c>
    </row>
    <row r="183" spans="1:106" x14ac:dyDescent="0.2">
      <c r="A183" s="15">
        <f t="shared" si="136"/>
        <v>45835</v>
      </c>
      <c r="B183" s="1">
        <v>178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4"/>
      <c r="AY183" s="43"/>
      <c r="BA183" s="16">
        <v>33.08</v>
      </c>
      <c r="BB183" s="41"/>
      <c r="BC183" s="41"/>
      <c r="BD183" s="8" t="e">
        <f t="shared" si="138"/>
        <v>#DIV/0!</v>
      </c>
      <c r="BE183" s="8"/>
      <c r="BF183" s="2">
        <f t="shared" si="115"/>
        <v>0</v>
      </c>
      <c r="BG183" s="2">
        <f t="shared" si="116"/>
        <v>0</v>
      </c>
      <c r="BH183" s="2">
        <f t="shared" si="117"/>
        <v>0</v>
      </c>
      <c r="BI183" s="35">
        <f t="shared" si="139"/>
        <v>0</v>
      </c>
      <c r="BJ183" s="35" t="e">
        <f t="shared" si="96"/>
        <v>#DIV/0!</v>
      </c>
      <c r="BL183" s="3">
        <f t="shared" si="97"/>
        <v>0</v>
      </c>
      <c r="BM183" s="19" t="e">
        <f t="shared" si="98"/>
        <v>#DIV/0!</v>
      </c>
      <c r="BN183" s="19" t="e">
        <f t="shared" si="99"/>
        <v>#DIV/0!</v>
      </c>
      <c r="BO183" s="19" t="e">
        <f t="shared" si="100"/>
        <v>#DIV/0!</v>
      </c>
      <c r="BP183" s="19" t="e">
        <f t="shared" si="101"/>
        <v>#DIV/0!</v>
      </c>
      <c r="BQ183" s="19" t="e">
        <f t="shared" si="102"/>
        <v>#DIV/0!</v>
      </c>
      <c r="BR183" s="19" t="e">
        <f t="shared" si="103"/>
        <v>#DIV/0!</v>
      </c>
      <c r="BS183" s="19" t="e">
        <f t="shared" si="104"/>
        <v>#DIV/0!</v>
      </c>
      <c r="BT183" s="19" t="e">
        <f t="shared" si="105"/>
        <v>#DIV/0!</v>
      </c>
      <c r="BV183" s="16">
        <f t="shared" si="106"/>
        <v>0</v>
      </c>
      <c r="BW183" s="16">
        <f t="shared" si="107"/>
        <v>0</v>
      </c>
      <c r="BX183" s="3">
        <f t="shared" si="108"/>
        <v>0</v>
      </c>
      <c r="BY183" s="3">
        <f t="shared" si="137"/>
        <v>0</v>
      </c>
      <c r="BZ183" s="3" t="s">
        <v>162</v>
      </c>
      <c r="CA183" s="3">
        <f t="shared" si="109"/>
        <v>0</v>
      </c>
      <c r="CB183" s="3">
        <f t="shared" si="110"/>
        <v>0</v>
      </c>
      <c r="CC183" s="3">
        <f t="shared" si="111"/>
        <v>0</v>
      </c>
      <c r="CD183" s="3">
        <f t="shared" si="112"/>
        <v>0</v>
      </c>
      <c r="CE183" s="22">
        <f t="shared" si="118"/>
        <v>0</v>
      </c>
      <c r="CF183" s="1">
        <f t="shared" si="113"/>
        <v>0</v>
      </c>
      <c r="CG183" s="1">
        <f t="shared" si="119"/>
        <v>0</v>
      </c>
      <c r="CH183" s="3" t="s">
        <v>162</v>
      </c>
      <c r="CI183" s="1">
        <f t="shared" si="120"/>
        <v>0</v>
      </c>
      <c r="CJ183" s="1">
        <f t="shared" si="121"/>
        <v>0</v>
      </c>
      <c r="CK183" s="1">
        <f t="shared" si="122"/>
        <v>0</v>
      </c>
      <c r="CL183" s="1">
        <f t="shared" si="123"/>
        <v>0</v>
      </c>
      <c r="CM183" s="2">
        <f t="shared" si="124"/>
        <v>0</v>
      </c>
      <c r="CN183" s="1">
        <f t="shared" si="125"/>
        <v>0</v>
      </c>
      <c r="CO183" s="1">
        <f t="shared" si="126"/>
        <v>0</v>
      </c>
      <c r="CP183" s="3" t="s">
        <v>162</v>
      </c>
      <c r="CQ183" s="1">
        <f t="shared" si="127"/>
        <v>0</v>
      </c>
      <c r="CR183" s="1">
        <f t="shared" si="128"/>
        <v>0</v>
      </c>
      <c r="CS183" s="1">
        <f t="shared" si="129"/>
        <v>0</v>
      </c>
      <c r="CT183" s="1">
        <f t="shared" si="130"/>
        <v>0</v>
      </c>
      <c r="CU183" s="2">
        <f t="shared" si="131"/>
        <v>0</v>
      </c>
      <c r="CV183" s="14">
        <f t="shared" si="132"/>
        <v>0</v>
      </c>
      <c r="CW183" s="1">
        <f>ROUND(PPTest!K183,1)</f>
        <v>0</v>
      </c>
      <c r="CX183" s="3">
        <f t="shared" si="114"/>
        <v>0</v>
      </c>
      <c r="CY183" s="3">
        <f t="shared" si="133"/>
        <v>0</v>
      </c>
      <c r="CZ183" s="19">
        <f t="shared" si="134"/>
        <v>0</v>
      </c>
      <c r="DA183" s="19" t="e">
        <f t="shared" si="134"/>
        <v>#DIV/0!</v>
      </c>
      <c r="DB183" s="16">
        <f t="shared" si="135"/>
        <v>0</v>
      </c>
    </row>
    <row r="184" spans="1:106" x14ac:dyDescent="0.2">
      <c r="A184" s="15">
        <f t="shared" si="136"/>
        <v>45836</v>
      </c>
      <c r="B184" s="1">
        <v>179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4"/>
      <c r="AY184" s="43"/>
      <c r="BA184" s="16">
        <v>33.04</v>
      </c>
      <c r="BB184" s="41"/>
      <c r="BC184" s="41"/>
      <c r="BD184" s="8" t="e">
        <f t="shared" si="138"/>
        <v>#DIV/0!</v>
      </c>
      <c r="BE184" s="8"/>
      <c r="BF184" s="2">
        <f t="shared" si="115"/>
        <v>0</v>
      </c>
      <c r="BG184" s="2">
        <f t="shared" si="116"/>
        <v>0</v>
      </c>
      <c r="BH184" s="2">
        <f t="shared" si="117"/>
        <v>0</v>
      </c>
      <c r="BI184" s="35">
        <f t="shared" si="139"/>
        <v>0</v>
      </c>
      <c r="BJ184" s="35" t="e">
        <f t="shared" si="96"/>
        <v>#DIV/0!</v>
      </c>
      <c r="BL184" s="3">
        <f t="shared" si="97"/>
        <v>0</v>
      </c>
      <c r="BM184" s="19" t="e">
        <f t="shared" si="98"/>
        <v>#DIV/0!</v>
      </c>
      <c r="BN184" s="19" t="e">
        <f t="shared" si="99"/>
        <v>#DIV/0!</v>
      </c>
      <c r="BO184" s="19" t="e">
        <f t="shared" si="100"/>
        <v>#DIV/0!</v>
      </c>
      <c r="BP184" s="19" t="e">
        <f t="shared" si="101"/>
        <v>#DIV/0!</v>
      </c>
      <c r="BQ184" s="19" t="e">
        <f t="shared" si="102"/>
        <v>#DIV/0!</v>
      </c>
      <c r="BR184" s="19" t="e">
        <f t="shared" si="103"/>
        <v>#DIV/0!</v>
      </c>
      <c r="BS184" s="19" t="e">
        <f t="shared" si="104"/>
        <v>#DIV/0!</v>
      </c>
      <c r="BT184" s="19" t="e">
        <f t="shared" si="105"/>
        <v>#DIV/0!</v>
      </c>
      <c r="BV184" s="16">
        <f t="shared" si="106"/>
        <v>0</v>
      </c>
      <c r="BW184" s="16">
        <f t="shared" si="107"/>
        <v>0</v>
      </c>
      <c r="BX184" s="3">
        <f t="shared" si="108"/>
        <v>0</v>
      </c>
      <c r="BY184" s="3">
        <f t="shared" si="137"/>
        <v>0</v>
      </c>
      <c r="BZ184" s="3" t="s">
        <v>162</v>
      </c>
      <c r="CA184" s="3">
        <f t="shared" si="109"/>
        <v>0</v>
      </c>
      <c r="CB184" s="3">
        <f t="shared" si="110"/>
        <v>0</v>
      </c>
      <c r="CC184" s="3">
        <f t="shared" si="111"/>
        <v>0</v>
      </c>
      <c r="CD184" s="3">
        <f t="shared" si="112"/>
        <v>0</v>
      </c>
      <c r="CE184" s="22">
        <f t="shared" si="118"/>
        <v>0</v>
      </c>
      <c r="CF184" s="1">
        <f t="shared" si="113"/>
        <v>0</v>
      </c>
      <c r="CG184" s="1">
        <f t="shared" si="119"/>
        <v>0</v>
      </c>
      <c r="CH184" s="3" t="s">
        <v>162</v>
      </c>
      <c r="CI184" s="1">
        <f t="shared" si="120"/>
        <v>0</v>
      </c>
      <c r="CJ184" s="1">
        <f t="shared" si="121"/>
        <v>0</v>
      </c>
      <c r="CK184" s="1">
        <f t="shared" si="122"/>
        <v>0</v>
      </c>
      <c r="CL184" s="1">
        <f t="shared" si="123"/>
        <v>0</v>
      </c>
      <c r="CM184" s="2">
        <f t="shared" si="124"/>
        <v>0</v>
      </c>
      <c r="CN184" s="1">
        <f t="shared" si="125"/>
        <v>0</v>
      </c>
      <c r="CO184" s="1">
        <f t="shared" si="126"/>
        <v>0</v>
      </c>
      <c r="CP184" s="3" t="s">
        <v>162</v>
      </c>
      <c r="CQ184" s="1">
        <f t="shared" si="127"/>
        <v>0</v>
      </c>
      <c r="CR184" s="1">
        <f t="shared" si="128"/>
        <v>0</v>
      </c>
      <c r="CS184" s="1">
        <f t="shared" si="129"/>
        <v>0</v>
      </c>
      <c r="CT184" s="1">
        <f t="shared" si="130"/>
        <v>0</v>
      </c>
      <c r="CU184" s="2">
        <f t="shared" si="131"/>
        <v>0</v>
      </c>
      <c r="CV184" s="14">
        <f t="shared" si="132"/>
        <v>0</v>
      </c>
      <c r="CW184" s="1">
        <f>ROUND(PPTest!K184,1)</f>
        <v>0</v>
      </c>
      <c r="CX184" s="3">
        <f t="shared" si="114"/>
        <v>0</v>
      </c>
      <c r="CY184" s="3">
        <f t="shared" si="133"/>
        <v>0</v>
      </c>
      <c r="CZ184" s="19">
        <f t="shared" si="134"/>
        <v>0</v>
      </c>
      <c r="DA184" s="19" t="e">
        <f t="shared" si="134"/>
        <v>#DIV/0!</v>
      </c>
      <c r="DB184" s="16">
        <f t="shared" si="135"/>
        <v>0</v>
      </c>
    </row>
    <row r="185" spans="1:106" x14ac:dyDescent="0.2">
      <c r="A185" s="15">
        <f t="shared" si="136"/>
        <v>45837</v>
      </c>
      <c r="B185" s="1">
        <v>180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4"/>
      <c r="AY185" s="43"/>
      <c r="BA185" s="16">
        <v>33</v>
      </c>
      <c r="BB185" s="41"/>
      <c r="BC185" s="41"/>
      <c r="BD185" s="8" t="e">
        <f t="shared" si="138"/>
        <v>#DIV/0!</v>
      </c>
      <c r="BE185" s="8"/>
      <c r="BF185" s="2">
        <f t="shared" si="115"/>
        <v>0</v>
      </c>
      <c r="BG185" s="2">
        <f t="shared" si="116"/>
        <v>0</v>
      </c>
      <c r="BH185" s="2">
        <f t="shared" si="117"/>
        <v>0</v>
      </c>
      <c r="BI185" s="35">
        <f t="shared" si="139"/>
        <v>0</v>
      </c>
      <c r="BJ185" s="35" t="e">
        <f t="shared" si="96"/>
        <v>#DIV/0!</v>
      </c>
      <c r="BL185" s="3">
        <f t="shared" si="97"/>
        <v>0</v>
      </c>
      <c r="BM185" s="19" t="e">
        <f t="shared" si="98"/>
        <v>#DIV/0!</v>
      </c>
      <c r="BN185" s="19" t="e">
        <f t="shared" si="99"/>
        <v>#DIV/0!</v>
      </c>
      <c r="BO185" s="19" t="e">
        <f t="shared" si="100"/>
        <v>#DIV/0!</v>
      </c>
      <c r="BP185" s="19" t="e">
        <f t="shared" si="101"/>
        <v>#DIV/0!</v>
      </c>
      <c r="BQ185" s="19" t="e">
        <f t="shared" si="102"/>
        <v>#DIV/0!</v>
      </c>
      <c r="BR185" s="19" t="e">
        <f t="shared" si="103"/>
        <v>#DIV/0!</v>
      </c>
      <c r="BS185" s="19" t="e">
        <f t="shared" si="104"/>
        <v>#DIV/0!</v>
      </c>
      <c r="BT185" s="19" t="e">
        <f t="shared" si="105"/>
        <v>#DIV/0!</v>
      </c>
      <c r="BV185" s="16">
        <f t="shared" si="106"/>
        <v>0</v>
      </c>
      <c r="BW185" s="16">
        <f t="shared" si="107"/>
        <v>0</v>
      </c>
      <c r="BX185" s="3">
        <f t="shared" si="108"/>
        <v>0</v>
      </c>
      <c r="BY185" s="3">
        <f t="shared" si="137"/>
        <v>0</v>
      </c>
      <c r="BZ185" s="3" t="s">
        <v>162</v>
      </c>
      <c r="CA185" s="3">
        <f t="shared" si="109"/>
        <v>0</v>
      </c>
      <c r="CB185" s="3">
        <f t="shared" si="110"/>
        <v>0</v>
      </c>
      <c r="CC185" s="3">
        <f t="shared" si="111"/>
        <v>0</v>
      </c>
      <c r="CD185" s="3">
        <f t="shared" si="112"/>
        <v>0</v>
      </c>
      <c r="CE185" s="22">
        <f t="shared" si="118"/>
        <v>0</v>
      </c>
      <c r="CF185" s="1">
        <f t="shared" si="113"/>
        <v>0</v>
      </c>
      <c r="CG185" s="1">
        <f t="shared" si="119"/>
        <v>0</v>
      </c>
      <c r="CH185" s="3" t="s">
        <v>162</v>
      </c>
      <c r="CI185" s="1">
        <f t="shared" si="120"/>
        <v>0</v>
      </c>
      <c r="CJ185" s="1">
        <f t="shared" si="121"/>
        <v>0</v>
      </c>
      <c r="CK185" s="1">
        <f t="shared" si="122"/>
        <v>0</v>
      </c>
      <c r="CL185" s="1">
        <f t="shared" si="123"/>
        <v>0</v>
      </c>
      <c r="CM185" s="2">
        <f t="shared" si="124"/>
        <v>0</v>
      </c>
      <c r="CN185" s="1">
        <f t="shared" si="125"/>
        <v>0</v>
      </c>
      <c r="CO185" s="1">
        <f t="shared" si="126"/>
        <v>0</v>
      </c>
      <c r="CP185" s="3" t="s">
        <v>162</v>
      </c>
      <c r="CQ185" s="1">
        <f t="shared" si="127"/>
        <v>0</v>
      </c>
      <c r="CR185" s="1">
        <f t="shared" si="128"/>
        <v>0</v>
      </c>
      <c r="CS185" s="1">
        <f t="shared" si="129"/>
        <v>0</v>
      </c>
      <c r="CT185" s="1">
        <f t="shared" si="130"/>
        <v>0</v>
      </c>
      <c r="CU185" s="2">
        <f t="shared" si="131"/>
        <v>0</v>
      </c>
      <c r="CV185" s="14">
        <f t="shared" si="132"/>
        <v>0</v>
      </c>
      <c r="CW185" s="1">
        <f>ROUND(PPTest!K185,1)</f>
        <v>0</v>
      </c>
      <c r="CX185" s="3">
        <f t="shared" si="114"/>
        <v>0</v>
      </c>
      <c r="CY185" s="3">
        <f t="shared" si="133"/>
        <v>0</v>
      </c>
      <c r="CZ185" s="19">
        <f t="shared" si="134"/>
        <v>0</v>
      </c>
      <c r="DA185" s="19" t="e">
        <f t="shared" si="134"/>
        <v>#DIV/0!</v>
      </c>
      <c r="DB185" s="16">
        <f t="shared" si="135"/>
        <v>0</v>
      </c>
    </row>
    <row r="186" spans="1:106" x14ac:dyDescent="0.2">
      <c r="A186" s="15">
        <f t="shared" si="136"/>
        <v>45838</v>
      </c>
      <c r="B186" s="1">
        <v>181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4"/>
      <c r="AY186" s="43"/>
      <c r="BA186" s="16">
        <v>32.950000000000003</v>
      </c>
      <c r="BB186" s="41"/>
      <c r="BC186" s="41"/>
      <c r="BD186" s="8" t="e">
        <f t="shared" si="138"/>
        <v>#DIV/0!</v>
      </c>
      <c r="BE186" s="8"/>
      <c r="BF186" s="2">
        <f t="shared" si="115"/>
        <v>0</v>
      </c>
      <c r="BG186" s="2">
        <f t="shared" si="116"/>
        <v>0</v>
      </c>
      <c r="BH186" s="2">
        <f t="shared" si="117"/>
        <v>0</v>
      </c>
      <c r="BI186" s="35">
        <f t="shared" si="139"/>
        <v>0</v>
      </c>
      <c r="BJ186" s="35" t="e">
        <f t="shared" si="96"/>
        <v>#DIV/0!</v>
      </c>
      <c r="BL186" s="3">
        <f t="shared" si="97"/>
        <v>0</v>
      </c>
      <c r="BM186" s="19" t="e">
        <f t="shared" si="98"/>
        <v>#DIV/0!</v>
      </c>
      <c r="BN186" s="19" t="e">
        <f t="shared" si="99"/>
        <v>#DIV/0!</v>
      </c>
      <c r="BO186" s="19" t="e">
        <f t="shared" si="100"/>
        <v>#DIV/0!</v>
      </c>
      <c r="BP186" s="19" t="e">
        <f t="shared" si="101"/>
        <v>#DIV/0!</v>
      </c>
      <c r="BQ186" s="19" t="e">
        <f t="shared" si="102"/>
        <v>#DIV/0!</v>
      </c>
      <c r="BR186" s="19" t="e">
        <f t="shared" si="103"/>
        <v>#DIV/0!</v>
      </c>
      <c r="BS186" s="19" t="e">
        <f t="shared" si="104"/>
        <v>#DIV/0!</v>
      </c>
      <c r="BT186" s="19" t="e">
        <f t="shared" si="105"/>
        <v>#DIV/0!</v>
      </c>
      <c r="BV186" s="16">
        <f t="shared" si="106"/>
        <v>0</v>
      </c>
      <c r="BW186" s="16">
        <f t="shared" si="107"/>
        <v>0</v>
      </c>
      <c r="BX186" s="3">
        <f t="shared" si="108"/>
        <v>0</v>
      </c>
      <c r="BY186" s="3">
        <f t="shared" si="137"/>
        <v>0</v>
      </c>
      <c r="BZ186" s="3" t="s">
        <v>162</v>
      </c>
      <c r="CA186" s="3">
        <f t="shared" si="109"/>
        <v>0</v>
      </c>
      <c r="CB186" s="3">
        <f t="shared" si="110"/>
        <v>0</v>
      </c>
      <c r="CC186" s="3">
        <f t="shared" si="111"/>
        <v>0</v>
      </c>
      <c r="CD186" s="3">
        <f t="shared" si="112"/>
        <v>0</v>
      </c>
      <c r="CE186" s="22">
        <f t="shared" si="118"/>
        <v>0</v>
      </c>
      <c r="CF186" s="1">
        <f t="shared" si="113"/>
        <v>0</v>
      </c>
      <c r="CG186" s="1">
        <f t="shared" si="119"/>
        <v>0</v>
      </c>
      <c r="CH186" s="3" t="s">
        <v>162</v>
      </c>
      <c r="CI186" s="1">
        <f t="shared" si="120"/>
        <v>0</v>
      </c>
      <c r="CJ186" s="1">
        <f t="shared" si="121"/>
        <v>0</v>
      </c>
      <c r="CK186" s="1">
        <f t="shared" si="122"/>
        <v>0</v>
      </c>
      <c r="CL186" s="1">
        <f t="shared" si="123"/>
        <v>0</v>
      </c>
      <c r="CM186" s="2">
        <f t="shared" si="124"/>
        <v>0</v>
      </c>
      <c r="CN186" s="1">
        <f t="shared" si="125"/>
        <v>0</v>
      </c>
      <c r="CO186" s="1">
        <f t="shared" si="126"/>
        <v>0</v>
      </c>
      <c r="CP186" s="3" t="s">
        <v>162</v>
      </c>
      <c r="CQ186" s="1">
        <f t="shared" si="127"/>
        <v>0</v>
      </c>
      <c r="CR186" s="1">
        <f t="shared" si="128"/>
        <v>0</v>
      </c>
      <c r="CS186" s="1">
        <f t="shared" si="129"/>
        <v>0</v>
      </c>
      <c r="CT186" s="1">
        <f t="shared" si="130"/>
        <v>0</v>
      </c>
      <c r="CU186" s="2">
        <f t="shared" si="131"/>
        <v>0</v>
      </c>
      <c r="CV186" s="14">
        <f t="shared" si="132"/>
        <v>0</v>
      </c>
      <c r="CW186" s="1">
        <f>ROUND(PPTest!K186,1)</f>
        <v>0</v>
      </c>
      <c r="CX186" s="3">
        <f t="shared" si="114"/>
        <v>0</v>
      </c>
      <c r="CY186" s="3">
        <f t="shared" si="133"/>
        <v>0</v>
      </c>
      <c r="CZ186" s="19">
        <f t="shared" si="134"/>
        <v>0</v>
      </c>
      <c r="DA186" s="19" t="e">
        <f t="shared" si="134"/>
        <v>#DIV/0!</v>
      </c>
      <c r="DB186" s="16">
        <f t="shared" si="135"/>
        <v>0</v>
      </c>
    </row>
    <row r="187" spans="1:106" x14ac:dyDescent="0.2">
      <c r="A187" s="15">
        <f t="shared" si="136"/>
        <v>45839</v>
      </c>
      <c r="B187" s="1">
        <v>182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4"/>
      <c r="AY187" s="43"/>
      <c r="BA187" s="16">
        <v>32.89</v>
      </c>
      <c r="BB187" s="41"/>
      <c r="BC187" s="41"/>
      <c r="BD187" s="8" t="e">
        <f t="shared" si="138"/>
        <v>#DIV/0!</v>
      </c>
      <c r="BE187" s="8"/>
      <c r="BF187" s="2">
        <f t="shared" si="115"/>
        <v>0</v>
      </c>
      <c r="BG187" s="2">
        <f t="shared" si="116"/>
        <v>0</v>
      </c>
      <c r="BH187" s="2">
        <f t="shared" si="117"/>
        <v>0</v>
      </c>
      <c r="BI187" s="35">
        <f t="shared" si="139"/>
        <v>0</v>
      </c>
      <c r="BJ187" s="35" t="e">
        <f t="shared" si="96"/>
        <v>#DIV/0!</v>
      </c>
      <c r="BL187" s="3">
        <f t="shared" si="97"/>
        <v>0</v>
      </c>
      <c r="BM187" s="19" t="e">
        <f t="shared" si="98"/>
        <v>#DIV/0!</v>
      </c>
      <c r="BN187" s="19" t="e">
        <f t="shared" si="99"/>
        <v>#DIV/0!</v>
      </c>
      <c r="BO187" s="19" t="e">
        <f t="shared" si="100"/>
        <v>#DIV/0!</v>
      </c>
      <c r="BP187" s="19" t="e">
        <f t="shared" si="101"/>
        <v>#DIV/0!</v>
      </c>
      <c r="BQ187" s="19" t="e">
        <f t="shared" si="102"/>
        <v>#DIV/0!</v>
      </c>
      <c r="BR187" s="19" t="e">
        <f t="shared" si="103"/>
        <v>#DIV/0!</v>
      </c>
      <c r="BS187" s="19" t="e">
        <f t="shared" si="104"/>
        <v>#DIV/0!</v>
      </c>
      <c r="BT187" s="19" t="e">
        <f t="shared" si="105"/>
        <v>#DIV/0!</v>
      </c>
      <c r="BV187" s="16">
        <f t="shared" si="106"/>
        <v>0</v>
      </c>
      <c r="BW187" s="16">
        <f t="shared" si="107"/>
        <v>0</v>
      </c>
      <c r="BX187" s="3">
        <f t="shared" si="108"/>
        <v>0</v>
      </c>
      <c r="BY187" s="3">
        <f t="shared" si="137"/>
        <v>0</v>
      </c>
      <c r="BZ187" s="3" t="s">
        <v>162</v>
      </c>
      <c r="CA187" s="3">
        <f t="shared" si="109"/>
        <v>0</v>
      </c>
      <c r="CB187" s="3">
        <f t="shared" si="110"/>
        <v>0</v>
      </c>
      <c r="CC187" s="3">
        <f t="shared" si="111"/>
        <v>0</v>
      </c>
      <c r="CD187" s="3">
        <f t="shared" si="112"/>
        <v>0</v>
      </c>
      <c r="CE187" s="22">
        <f t="shared" si="118"/>
        <v>0</v>
      </c>
      <c r="CF187" s="1">
        <f t="shared" si="113"/>
        <v>0</v>
      </c>
      <c r="CG187" s="1">
        <f t="shared" si="119"/>
        <v>0</v>
      </c>
      <c r="CH187" s="3" t="s">
        <v>162</v>
      </c>
      <c r="CI187" s="1">
        <f t="shared" si="120"/>
        <v>0</v>
      </c>
      <c r="CJ187" s="1">
        <f t="shared" si="121"/>
        <v>0</v>
      </c>
      <c r="CK187" s="1">
        <f t="shared" si="122"/>
        <v>0</v>
      </c>
      <c r="CL187" s="1">
        <f t="shared" si="123"/>
        <v>0</v>
      </c>
      <c r="CM187" s="2">
        <f t="shared" si="124"/>
        <v>0</v>
      </c>
      <c r="CN187" s="1">
        <f t="shared" si="125"/>
        <v>0</v>
      </c>
      <c r="CO187" s="1">
        <f t="shared" si="126"/>
        <v>0</v>
      </c>
      <c r="CP187" s="3" t="s">
        <v>162</v>
      </c>
      <c r="CQ187" s="1">
        <f t="shared" si="127"/>
        <v>0</v>
      </c>
      <c r="CR187" s="1">
        <f t="shared" si="128"/>
        <v>0</v>
      </c>
      <c r="CS187" s="1">
        <f t="shared" si="129"/>
        <v>0</v>
      </c>
      <c r="CT187" s="1">
        <f t="shared" si="130"/>
        <v>0</v>
      </c>
      <c r="CU187" s="2">
        <f t="shared" si="131"/>
        <v>0</v>
      </c>
      <c r="CV187" s="14">
        <f t="shared" si="132"/>
        <v>0</v>
      </c>
      <c r="CW187" s="1">
        <f>ROUND(PPTest!K187,1)</f>
        <v>0</v>
      </c>
      <c r="CX187" s="3">
        <f t="shared" si="114"/>
        <v>0</v>
      </c>
      <c r="CY187" s="3">
        <f t="shared" si="133"/>
        <v>0</v>
      </c>
      <c r="CZ187" s="19">
        <f t="shared" si="134"/>
        <v>0</v>
      </c>
      <c r="DA187" s="19" t="e">
        <f t="shared" si="134"/>
        <v>#DIV/0!</v>
      </c>
      <c r="DB187" s="16">
        <f t="shared" si="135"/>
        <v>0</v>
      </c>
    </row>
    <row r="188" spans="1:106" x14ac:dyDescent="0.2">
      <c r="A188" s="15">
        <f t="shared" si="136"/>
        <v>45840</v>
      </c>
      <c r="B188" s="1">
        <v>183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4"/>
      <c r="AY188" s="43"/>
      <c r="BA188" s="16">
        <v>32.840000000000003</v>
      </c>
      <c r="BB188" s="41"/>
      <c r="BC188" s="41"/>
      <c r="BD188" s="8" t="e">
        <f t="shared" si="138"/>
        <v>#DIV/0!</v>
      </c>
      <c r="BE188" s="8"/>
      <c r="BF188" s="2">
        <f t="shared" si="115"/>
        <v>0</v>
      </c>
      <c r="BG188" s="2">
        <f t="shared" si="116"/>
        <v>0</v>
      </c>
      <c r="BH188" s="2">
        <f t="shared" si="117"/>
        <v>0</v>
      </c>
      <c r="BI188" s="35">
        <f t="shared" si="139"/>
        <v>0</v>
      </c>
      <c r="BJ188" s="35" t="e">
        <f t="shared" si="96"/>
        <v>#DIV/0!</v>
      </c>
      <c r="BL188" s="3">
        <f t="shared" si="97"/>
        <v>0</v>
      </c>
      <c r="BM188" s="19" t="e">
        <f t="shared" si="98"/>
        <v>#DIV/0!</v>
      </c>
      <c r="BN188" s="19" t="e">
        <f t="shared" si="99"/>
        <v>#DIV/0!</v>
      </c>
      <c r="BO188" s="19" t="e">
        <f t="shared" si="100"/>
        <v>#DIV/0!</v>
      </c>
      <c r="BP188" s="19" t="e">
        <f t="shared" si="101"/>
        <v>#DIV/0!</v>
      </c>
      <c r="BQ188" s="19" t="e">
        <f t="shared" si="102"/>
        <v>#DIV/0!</v>
      </c>
      <c r="BR188" s="19" t="e">
        <f t="shared" si="103"/>
        <v>#DIV/0!</v>
      </c>
      <c r="BS188" s="19" t="e">
        <f t="shared" si="104"/>
        <v>#DIV/0!</v>
      </c>
      <c r="BT188" s="19" t="e">
        <f t="shared" si="105"/>
        <v>#DIV/0!</v>
      </c>
      <c r="BV188" s="16">
        <f t="shared" si="106"/>
        <v>0</v>
      </c>
      <c r="BW188" s="16">
        <f t="shared" si="107"/>
        <v>0</v>
      </c>
      <c r="BX188" s="3">
        <f t="shared" si="108"/>
        <v>0</v>
      </c>
      <c r="BY188" s="3">
        <f t="shared" si="137"/>
        <v>0</v>
      </c>
      <c r="BZ188" s="3" t="s">
        <v>162</v>
      </c>
      <c r="CA188" s="3">
        <f t="shared" si="109"/>
        <v>0</v>
      </c>
      <c r="CB188" s="3">
        <f t="shared" si="110"/>
        <v>0</v>
      </c>
      <c r="CC188" s="3">
        <f t="shared" si="111"/>
        <v>0</v>
      </c>
      <c r="CD188" s="3">
        <f t="shared" si="112"/>
        <v>0</v>
      </c>
      <c r="CE188" s="22">
        <f t="shared" si="118"/>
        <v>0</v>
      </c>
      <c r="CF188" s="1">
        <f t="shared" si="113"/>
        <v>0</v>
      </c>
      <c r="CG188" s="1">
        <f t="shared" si="119"/>
        <v>0</v>
      </c>
      <c r="CH188" s="3" t="s">
        <v>162</v>
      </c>
      <c r="CI188" s="1">
        <f t="shared" si="120"/>
        <v>0</v>
      </c>
      <c r="CJ188" s="1">
        <f t="shared" si="121"/>
        <v>0</v>
      </c>
      <c r="CK188" s="1">
        <f t="shared" si="122"/>
        <v>0</v>
      </c>
      <c r="CL188" s="1">
        <f t="shared" si="123"/>
        <v>0</v>
      </c>
      <c r="CM188" s="2">
        <f t="shared" si="124"/>
        <v>0</v>
      </c>
      <c r="CN188" s="1">
        <f t="shared" si="125"/>
        <v>0</v>
      </c>
      <c r="CO188" s="1">
        <f t="shared" si="126"/>
        <v>0</v>
      </c>
      <c r="CP188" s="3" t="s">
        <v>162</v>
      </c>
      <c r="CQ188" s="1">
        <f t="shared" si="127"/>
        <v>0</v>
      </c>
      <c r="CR188" s="1">
        <f t="shared" si="128"/>
        <v>0</v>
      </c>
      <c r="CS188" s="1">
        <f t="shared" si="129"/>
        <v>0</v>
      </c>
      <c r="CT188" s="1">
        <f t="shared" si="130"/>
        <v>0</v>
      </c>
      <c r="CU188" s="2">
        <f t="shared" si="131"/>
        <v>0</v>
      </c>
      <c r="CV188" s="14">
        <f t="shared" si="132"/>
        <v>0</v>
      </c>
      <c r="CW188" s="1">
        <f>ROUND(PPTest!K188,1)</f>
        <v>0</v>
      </c>
      <c r="CX188" s="3">
        <f t="shared" si="114"/>
        <v>0</v>
      </c>
      <c r="CY188" s="3">
        <f t="shared" si="133"/>
        <v>0</v>
      </c>
      <c r="CZ188" s="19">
        <f t="shared" si="134"/>
        <v>0</v>
      </c>
      <c r="DA188" s="19" t="e">
        <f t="shared" si="134"/>
        <v>#DIV/0!</v>
      </c>
      <c r="DB188" s="16">
        <f t="shared" si="135"/>
        <v>0</v>
      </c>
    </row>
    <row r="189" spans="1:106" x14ac:dyDescent="0.2">
      <c r="A189" s="15">
        <f t="shared" si="136"/>
        <v>45841</v>
      </c>
      <c r="B189" s="1">
        <v>184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4"/>
      <c r="AY189" s="43"/>
      <c r="BA189" s="16">
        <v>32.79</v>
      </c>
      <c r="BB189" s="41"/>
      <c r="BC189" s="41"/>
      <c r="BD189" s="8" t="e">
        <f t="shared" si="138"/>
        <v>#DIV/0!</v>
      </c>
      <c r="BE189" s="8"/>
      <c r="BF189" s="2">
        <f t="shared" si="115"/>
        <v>0</v>
      </c>
      <c r="BG189" s="2">
        <f t="shared" si="116"/>
        <v>0</v>
      </c>
      <c r="BH189" s="2">
        <f t="shared" si="117"/>
        <v>0</v>
      </c>
      <c r="BI189" s="35">
        <f t="shared" si="139"/>
        <v>0</v>
      </c>
      <c r="BJ189" s="35" t="e">
        <f t="shared" si="96"/>
        <v>#DIV/0!</v>
      </c>
      <c r="BL189" s="3">
        <f t="shared" si="97"/>
        <v>0</v>
      </c>
      <c r="BM189" s="19" t="e">
        <f t="shared" si="98"/>
        <v>#DIV/0!</v>
      </c>
      <c r="BN189" s="19" t="e">
        <f t="shared" si="99"/>
        <v>#DIV/0!</v>
      </c>
      <c r="BO189" s="19" t="e">
        <f t="shared" si="100"/>
        <v>#DIV/0!</v>
      </c>
      <c r="BP189" s="19" t="e">
        <f t="shared" si="101"/>
        <v>#DIV/0!</v>
      </c>
      <c r="BQ189" s="19" t="e">
        <f t="shared" si="102"/>
        <v>#DIV/0!</v>
      </c>
      <c r="BR189" s="19" t="e">
        <f t="shared" si="103"/>
        <v>#DIV/0!</v>
      </c>
      <c r="BS189" s="19" t="e">
        <f t="shared" si="104"/>
        <v>#DIV/0!</v>
      </c>
      <c r="BT189" s="19" t="e">
        <f t="shared" si="105"/>
        <v>#DIV/0!</v>
      </c>
      <c r="BV189" s="16">
        <f t="shared" si="106"/>
        <v>0</v>
      </c>
      <c r="BW189" s="16">
        <f t="shared" si="107"/>
        <v>0</v>
      </c>
      <c r="BX189" s="3">
        <f t="shared" si="108"/>
        <v>0</v>
      </c>
      <c r="BY189" s="3">
        <f t="shared" si="137"/>
        <v>0</v>
      </c>
      <c r="BZ189" s="3" t="s">
        <v>162</v>
      </c>
      <c r="CA189" s="3">
        <f t="shared" si="109"/>
        <v>0</v>
      </c>
      <c r="CB189" s="3">
        <f t="shared" si="110"/>
        <v>0</v>
      </c>
      <c r="CC189" s="3">
        <f t="shared" si="111"/>
        <v>0</v>
      </c>
      <c r="CD189" s="3">
        <f t="shared" si="112"/>
        <v>0</v>
      </c>
      <c r="CE189" s="22">
        <f t="shared" si="118"/>
        <v>0</v>
      </c>
      <c r="CF189" s="1">
        <f t="shared" si="113"/>
        <v>0</v>
      </c>
      <c r="CG189" s="1">
        <f t="shared" si="119"/>
        <v>0</v>
      </c>
      <c r="CH189" s="3" t="s">
        <v>162</v>
      </c>
      <c r="CI189" s="1">
        <f t="shared" si="120"/>
        <v>0</v>
      </c>
      <c r="CJ189" s="1">
        <f t="shared" si="121"/>
        <v>0</v>
      </c>
      <c r="CK189" s="1">
        <f t="shared" si="122"/>
        <v>0</v>
      </c>
      <c r="CL189" s="1">
        <f t="shared" si="123"/>
        <v>0</v>
      </c>
      <c r="CM189" s="2">
        <f t="shared" si="124"/>
        <v>0</v>
      </c>
      <c r="CN189" s="1">
        <f t="shared" si="125"/>
        <v>0</v>
      </c>
      <c r="CO189" s="1">
        <f t="shared" si="126"/>
        <v>0</v>
      </c>
      <c r="CP189" s="3" t="s">
        <v>162</v>
      </c>
      <c r="CQ189" s="1">
        <f t="shared" si="127"/>
        <v>0</v>
      </c>
      <c r="CR189" s="1">
        <f t="shared" si="128"/>
        <v>0</v>
      </c>
      <c r="CS189" s="1">
        <f t="shared" si="129"/>
        <v>0</v>
      </c>
      <c r="CT189" s="1">
        <f t="shared" si="130"/>
        <v>0</v>
      </c>
      <c r="CU189" s="2">
        <f t="shared" si="131"/>
        <v>0</v>
      </c>
      <c r="CV189" s="14">
        <f t="shared" si="132"/>
        <v>0</v>
      </c>
      <c r="CW189" s="1">
        <f>ROUND(PPTest!K189,1)</f>
        <v>0</v>
      </c>
      <c r="CX189" s="3">
        <f t="shared" si="114"/>
        <v>0</v>
      </c>
      <c r="CY189" s="3">
        <f t="shared" si="133"/>
        <v>0</v>
      </c>
      <c r="CZ189" s="19">
        <f t="shared" si="134"/>
        <v>0</v>
      </c>
      <c r="DA189" s="19" t="e">
        <f t="shared" si="134"/>
        <v>#DIV/0!</v>
      </c>
      <c r="DB189" s="16">
        <f t="shared" si="135"/>
        <v>0</v>
      </c>
    </row>
    <row r="190" spans="1:106" x14ac:dyDescent="0.2">
      <c r="A190" s="15">
        <f t="shared" si="136"/>
        <v>45842</v>
      </c>
      <c r="B190" s="1">
        <v>185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4"/>
      <c r="AY190" s="43"/>
      <c r="BA190" s="16">
        <v>32.729999999999997</v>
      </c>
      <c r="BB190" s="41"/>
      <c r="BC190" s="41"/>
      <c r="BD190" s="8" t="e">
        <f t="shared" si="138"/>
        <v>#DIV/0!</v>
      </c>
      <c r="BE190" s="8"/>
      <c r="BF190" s="2">
        <f t="shared" si="115"/>
        <v>0</v>
      </c>
      <c r="BG190" s="2">
        <f t="shared" si="116"/>
        <v>0</v>
      </c>
      <c r="BH190" s="2">
        <f t="shared" si="117"/>
        <v>0</v>
      </c>
      <c r="BI190" s="35">
        <f t="shared" si="139"/>
        <v>0</v>
      </c>
      <c r="BJ190" s="35" t="e">
        <f t="shared" si="96"/>
        <v>#DIV/0!</v>
      </c>
      <c r="BL190" s="3">
        <f t="shared" si="97"/>
        <v>0</v>
      </c>
      <c r="BM190" s="19" t="e">
        <f t="shared" si="98"/>
        <v>#DIV/0!</v>
      </c>
      <c r="BN190" s="19" t="e">
        <f t="shared" si="99"/>
        <v>#DIV/0!</v>
      </c>
      <c r="BO190" s="19" t="e">
        <f t="shared" si="100"/>
        <v>#DIV/0!</v>
      </c>
      <c r="BP190" s="19" t="e">
        <f t="shared" si="101"/>
        <v>#DIV/0!</v>
      </c>
      <c r="BQ190" s="19" t="e">
        <f t="shared" si="102"/>
        <v>#DIV/0!</v>
      </c>
      <c r="BR190" s="19" t="e">
        <f t="shared" si="103"/>
        <v>#DIV/0!</v>
      </c>
      <c r="BS190" s="19" t="e">
        <f t="shared" si="104"/>
        <v>#DIV/0!</v>
      </c>
      <c r="BT190" s="19" t="e">
        <f t="shared" si="105"/>
        <v>#DIV/0!</v>
      </c>
      <c r="BV190" s="16">
        <f t="shared" si="106"/>
        <v>0</v>
      </c>
      <c r="BW190" s="16">
        <f t="shared" si="107"/>
        <v>0</v>
      </c>
      <c r="BX190" s="3">
        <f t="shared" si="108"/>
        <v>0</v>
      </c>
      <c r="BY190" s="3">
        <f t="shared" si="137"/>
        <v>0</v>
      </c>
      <c r="BZ190" s="3" t="s">
        <v>162</v>
      </c>
      <c r="CA190" s="3">
        <f t="shared" si="109"/>
        <v>0</v>
      </c>
      <c r="CB190" s="3">
        <f t="shared" si="110"/>
        <v>0</v>
      </c>
      <c r="CC190" s="3">
        <f t="shared" si="111"/>
        <v>0</v>
      </c>
      <c r="CD190" s="3">
        <f t="shared" si="112"/>
        <v>0</v>
      </c>
      <c r="CE190" s="22">
        <f t="shared" si="118"/>
        <v>0</v>
      </c>
      <c r="CF190" s="1">
        <f t="shared" si="113"/>
        <v>0</v>
      </c>
      <c r="CG190" s="1">
        <f t="shared" si="119"/>
        <v>0</v>
      </c>
      <c r="CH190" s="3" t="s">
        <v>162</v>
      </c>
      <c r="CI190" s="1">
        <f t="shared" si="120"/>
        <v>0</v>
      </c>
      <c r="CJ190" s="1">
        <f t="shared" si="121"/>
        <v>0</v>
      </c>
      <c r="CK190" s="1">
        <f t="shared" si="122"/>
        <v>0</v>
      </c>
      <c r="CL190" s="1">
        <f t="shared" si="123"/>
        <v>0</v>
      </c>
      <c r="CM190" s="2">
        <f t="shared" si="124"/>
        <v>0</v>
      </c>
      <c r="CN190" s="1">
        <f t="shared" si="125"/>
        <v>0</v>
      </c>
      <c r="CO190" s="1">
        <f t="shared" si="126"/>
        <v>0</v>
      </c>
      <c r="CP190" s="3" t="s">
        <v>162</v>
      </c>
      <c r="CQ190" s="1">
        <f t="shared" si="127"/>
        <v>0</v>
      </c>
      <c r="CR190" s="1">
        <f t="shared" si="128"/>
        <v>0</v>
      </c>
      <c r="CS190" s="1">
        <f t="shared" si="129"/>
        <v>0</v>
      </c>
      <c r="CT190" s="1">
        <f t="shared" si="130"/>
        <v>0</v>
      </c>
      <c r="CU190" s="2">
        <f t="shared" si="131"/>
        <v>0</v>
      </c>
      <c r="CV190" s="14">
        <f t="shared" si="132"/>
        <v>0</v>
      </c>
      <c r="CW190" s="1">
        <f>ROUND(PPTest!K190,1)</f>
        <v>0</v>
      </c>
      <c r="CX190" s="3">
        <f t="shared" si="114"/>
        <v>0</v>
      </c>
      <c r="CY190" s="3">
        <f t="shared" si="133"/>
        <v>0</v>
      </c>
      <c r="CZ190" s="19">
        <f t="shared" si="134"/>
        <v>0</v>
      </c>
      <c r="DA190" s="19" t="e">
        <f t="shared" si="134"/>
        <v>#DIV/0!</v>
      </c>
      <c r="DB190" s="16">
        <f t="shared" si="135"/>
        <v>0</v>
      </c>
    </row>
    <row r="191" spans="1:106" x14ac:dyDescent="0.2">
      <c r="A191" s="15">
        <f t="shared" si="136"/>
        <v>45843</v>
      </c>
      <c r="B191" s="1">
        <v>186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4"/>
      <c r="AY191" s="43"/>
      <c r="BA191" s="16">
        <v>32.659999999999997</v>
      </c>
      <c r="BB191" s="41"/>
      <c r="BC191" s="41"/>
      <c r="BD191" s="8" t="e">
        <f t="shared" si="138"/>
        <v>#DIV/0!</v>
      </c>
      <c r="BE191" s="8"/>
      <c r="BF191" s="2">
        <f t="shared" si="115"/>
        <v>0</v>
      </c>
      <c r="BG191" s="2">
        <f t="shared" si="116"/>
        <v>0</v>
      </c>
      <c r="BH191" s="2">
        <f t="shared" si="117"/>
        <v>0</v>
      </c>
      <c r="BI191" s="35">
        <f t="shared" si="139"/>
        <v>0</v>
      </c>
      <c r="BJ191" s="35" t="e">
        <f t="shared" si="96"/>
        <v>#DIV/0!</v>
      </c>
      <c r="BL191" s="3">
        <f t="shared" si="97"/>
        <v>0</v>
      </c>
      <c r="BM191" s="19" t="e">
        <f t="shared" si="98"/>
        <v>#DIV/0!</v>
      </c>
      <c r="BN191" s="19" t="e">
        <f t="shared" si="99"/>
        <v>#DIV/0!</v>
      </c>
      <c r="BO191" s="19" t="e">
        <f t="shared" si="100"/>
        <v>#DIV/0!</v>
      </c>
      <c r="BP191" s="19" t="e">
        <f t="shared" si="101"/>
        <v>#DIV/0!</v>
      </c>
      <c r="BQ191" s="19" t="e">
        <f t="shared" si="102"/>
        <v>#DIV/0!</v>
      </c>
      <c r="BR191" s="19" t="e">
        <f t="shared" si="103"/>
        <v>#DIV/0!</v>
      </c>
      <c r="BS191" s="19" t="e">
        <f t="shared" si="104"/>
        <v>#DIV/0!</v>
      </c>
      <c r="BT191" s="19" t="e">
        <f t="shared" si="105"/>
        <v>#DIV/0!</v>
      </c>
      <c r="BV191" s="16">
        <f t="shared" si="106"/>
        <v>0</v>
      </c>
      <c r="BW191" s="16">
        <f t="shared" si="107"/>
        <v>0</v>
      </c>
      <c r="BX191" s="3">
        <f t="shared" si="108"/>
        <v>0</v>
      </c>
      <c r="BY191" s="3">
        <f t="shared" si="137"/>
        <v>0</v>
      </c>
      <c r="BZ191" s="3" t="s">
        <v>162</v>
      </c>
      <c r="CA191" s="3">
        <f t="shared" si="109"/>
        <v>0</v>
      </c>
      <c r="CB191" s="3">
        <f t="shared" si="110"/>
        <v>0</v>
      </c>
      <c r="CC191" s="3">
        <f t="shared" si="111"/>
        <v>0</v>
      </c>
      <c r="CD191" s="3">
        <f t="shared" si="112"/>
        <v>0</v>
      </c>
      <c r="CE191" s="22">
        <f t="shared" si="118"/>
        <v>0</v>
      </c>
      <c r="CF191" s="1">
        <f t="shared" si="113"/>
        <v>0</v>
      </c>
      <c r="CG191" s="1">
        <f t="shared" si="119"/>
        <v>0</v>
      </c>
      <c r="CH191" s="3" t="s">
        <v>162</v>
      </c>
      <c r="CI191" s="1">
        <f t="shared" si="120"/>
        <v>0</v>
      </c>
      <c r="CJ191" s="1">
        <f t="shared" si="121"/>
        <v>0</v>
      </c>
      <c r="CK191" s="1">
        <f t="shared" si="122"/>
        <v>0</v>
      </c>
      <c r="CL191" s="1">
        <f t="shared" si="123"/>
        <v>0</v>
      </c>
      <c r="CM191" s="2">
        <f t="shared" si="124"/>
        <v>0</v>
      </c>
      <c r="CN191" s="1">
        <f t="shared" si="125"/>
        <v>0</v>
      </c>
      <c r="CO191" s="1">
        <f t="shared" si="126"/>
        <v>0</v>
      </c>
      <c r="CP191" s="3" t="s">
        <v>162</v>
      </c>
      <c r="CQ191" s="1">
        <f t="shared" si="127"/>
        <v>0</v>
      </c>
      <c r="CR191" s="1">
        <f t="shared" si="128"/>
        <v>0</v>
      </c>
      <c r="CS191" s="1">
        <f t="shared" si="129"/>
        <v>0</v>
      </c>
      <c r="CT191" s="1">
        <f t="shared" si="130"/>
        <v>0</v>
      </c>
      <c r="CU191" s="2">
        <f t="shared" si="131"/>
        <v>0</v>
      </c>
      <c r="CV191" s="14">
        <f t="shared" si="132"/>
        <v>0</v>
      </c>
      <c r="CW191" s="1">
        <f>ROUND(PPTest!K191,1)</f>
        <v>0</v>
      </c>
      <c r="CX191" s="3">
        <f t="shared" si="114"/>
        <v>0</v>
      </c>
      <c r="CY191" s="3">
        <f t="shared" si="133"/>
        <v>0</v>
      </c>
      <c r="CZ191" s="19">
        <f t="shared" si="134"/>
        <v>0</v>
      </c>
      <c r="DA191" s="19" t="e">
        <f t="shared" si="134"/>
        <v>#DIV/0!</v>
      </c>
      <c r="DB191" s="16">
        <f t="shared" si="135"/>
        <v>0</v>
      </c>
    </row>
    <row r="192" spans="1:106" x14ac:dyDescent="0.2">
      <c r="A192" s="15">
        <f t="shared" si="136"/>
        <v>45844</v>
      </c>
      <c r="B192" s="1">
        <v>187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4"/>
      <c r="AY192" s="43"/>
      <c r="BA192" s="16">
        <v>32.590000000000003</v>
      </c>
      <c r="BB192" s="41"/>
      <c r="BC192" s="41"/>
      <c r="BD192" s="8" t="e">
        <f t="shared" si="138"/>
        <v>#DIV/0!</v>
      </c>
      <c r="BE192" s="8"/>
      <c r="BF192" s="2">
        <f t="shared" si="115"/>
        <v>0</v>
      </c>
      <c r="BG192" s="2">
        <f t="shared" si="116"/>
        <v>0</v>
      </c>
      <c r="BH192" s="2">
        <f t="shared" si="117"/>
        <v>0</v>
      </c>
      <c r="BI192" s="35">
        <f t="shared" si="139"/>
        <v>0</v>
      </c>
      <c r="BJ192" s="35" t="e">
        <f t="shared" si="96"/>
        <v>#DIV/0!</v>
      </c>
      <c r="BL192" s="3">
        <f t="shared" si="97"/>
        <v>0</v>
      </c>
      <c r="BM192" s="19" t="e">
        <f t="shared" si="98"/>
        <v>#DIV/0!</v>
      </c>
      <c r="BN192" s="19" t="e">
        <f t="shared" si="99"/>
        <v>#DIV/0!</v>
      </c>
      <c r="BO192" s="19" t="e">
        <f t="shared" si="100"/>
        <v>#DIV/0!</v>
      </c>
      <c r="BP192" s="19" t="e">
        <f t="shared" si="101"/>
        <v>#DIV/0!</v>
      </c>
      <c r="BQ192" s="19" t="e">
        <f t="shared" si="102"/>
        <v>#DIV/0!</v>
      </c>
      <c r="BR192" s="19" t="e">
        <f t="shared" si="103"/>
        <v>#DIV/0!</v>
      </c>
      <c r="BS192" s="19" t="e">
        <f t="shared" si="104"/>
        <v>#DIV/0!</v>
      </c>
      <c r="BT192" s="19" t="e">
        <f t="shared" si="105"/>
        <v>#DIV/0!</v>
      </c>
      <c r="BV192" s="16">
        <f t="shared" si="106"/>
        <v>0</v>
      </c>
      <c r="BW192" s="16">
        <f t="shared" si="107"/>
        <v>0</v>
      </c>
      <c r="BX192" s="3">
        <f t="shared" si="108"/>
        <v>0</v>
      </c>
      <c r="BY192" s="3">
        <f t="shared" si="137"/>
        <v>0</v>
      </c>
      <c r="BZ192" s="3" t="s">
        <v>162</v>
      </c>
      <c r="CA192" s="3">
        <f t="shared" si="109"/>
        <v>0</v>
      </c>
      <c r="CB192" s="3">
        <f t="shared" si="110"/>
        <v>0</v>
      </c>
      <c r="CC192" s="3">
        <f t="shared" si="111"/>
        <v>0</v>
      </c>
      <c r="CD192" s="3">
        <f t="shared" si="112"/>
        <v>0</v>
      </c>
      <c r="CE192" s="22">
        <f t="shared" si="118"/>
        <v>0</v>
      </c>
      <c r="CF192" s="1">
        <f t="shared" si="113"/>
        <v>0</v>
      </c>
      <c r="CG192" s="1">
        <f t="shared" si="119"/>
        <v>0</v>
      </c>
      <c r="CH192" s="3" t="s">
        <v>162</v>
      </c>
      <c r="CI192" s="1">
        <f t="shared" si="120"/>
        <v>0</v>
      </c>
      <c r="CJ192" s="1">
        <f t="shared" si="121"/>
        <v>0</v>
      </c>
      <c r="CK192" s="1">
        <f t="shared" si="122"/>
        <v>0</v>
      </c>
      <c r="CL192" s="1">
        <f t="shared" si="123"/>
        <v>0</v>
      </c>
      <c r="CM192" s="2">
        <f t="shared" si="124"/>
        <v>0</v>
      </c>
      <c r="CN192" s="1">
        <f t="shared" si="125"/>
        <v>0</v>
      </c>
      <c r="CO192" s="1">
        <f t="shared" si="126"/>
        <v>0</v>
      </c>
      <c r="CP192" s="3" t="s">
        <v>162</v>
      </c>
      <c r="CQ192" s="1">
        <f t="shared" si="127"/>
        <v>0</v>
      </c>
      <c r="CR192" s="1">
        <f t="shared" si="128"/>
        <v>0</v>
      </c>
      <c r="CS192" s="1">
        <f t="shared" si="129"/>
        <v>0</v>
      </c>
      <c r="CT192" s="1">
        <f t="shared" si="130"/>
        <v>0</v>
      </c>
      <c r="CU192" s="2">
        <f t="shared" si="131"/>
        <v>0</v>
      </c>
      <c r="CV192" s="14">
        <f t="shared" si="132"/>
        <v>0</v>
      </c>
      <c r="CW192" s="1">
        <f>ROUND(PPTest!K192,1)</f>
        <v>0</v>
      </c>
      <c r="CX192" s="3">
        <f t="shared" si="114"/>
        <v>0</v>
      </c>
      <c r="CY192" s="3">
        <f t="shared" si="133"/>
        <v>0</v>
      </c>
      <c r="CZ192" s="19">
        <f t="shared" si="134"/>
        <v>0</v>
      </c>
      <c r="DA192" s="19" t="e">
        <f t="shared" si="134"/>
        <v>#DIV/0!</v>
      </c>
      <c r="DB192" s="16">
        <f t="shared" si="135"/>
        <v>0</v>
      </c>
    </row>
    <row r="193" spans="1:106" x14ac:dyDescent="0.2">
      <c r="A193" s="15">
        <f t="shared" si="136"/>
        <v>45845</v>
      </c>
      <c r="B193" s="1">
        <v>188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4"/>
      <c r="AY193" s="43"/>
      <c r="BA193" s="16">
        <v>32.520000000000003</v>
      </c>
      <c r="BB193" s="41"/>
      <c r="BC193" s="41"/>
      <c r="BD193" s="8" t="e">
        <f t="shared" si="138"/>
        <v>#DIV/0!</v>
      </c>
      <c r="BE193" s="8"/>
      <c r="BF193" s="2">
        <f t="shared" si="115"/>
        <v>0</v>
      </c>
      <c r="BG193" s="2">
        <f t="shared" si="116"/>
        <v>0</v>
      </c>
      <c r="BH193" s="2">
        <f t="shared" si="117"/>
        <v>0</v>
      </c>
      <c r="BI193" s="35">
        <f t="shared" si="139"/>
        <v>0</v>
      </c>
      <c r="BJ193" s="35" t="e">
        <f t="shared" si="96"/>
        <v>#DIV/0!</v>
      </c>
      <c r="BK193" s="2"/>
      <c r="BL193" s="3">
        <f t="shared" si="97"/>
        <v>0</v>
      </c>
      <c r="BM193" s="19" t="e">
        <f t="shared" si="98"/>
        <v>#DIV/0!</v>
      </c>
      <c r="BN193" s="19" t="e">
        <f t="shared" si="99"/>
        <v>#DIV/0!</v>
      </c>
      <c r="BO193" s="19" t="e">
        <f t="shared" si="100"/>
        <v>#DIV/0!</v>
      </c>
      <c r="BP193" s="19" t="e">
        <f t="shared" si="101"/>
        <v>#DIV/0!</v>
      </c>
      <c r="BQ193" s="19" t="e">
        <f t="shared" si="102"/>
        <v>#DIV/0!</v>
      </c>
      <c r="BR193" s="19" t="e">
        <f t="shared" si="103"/>
        <v>#DIV/0!</v>
      </c>
      <c r="BS193" s="19" t="e">
        <f t="shared" si="104"/>
        <v>#DIV/0!</v>
      </c>
      <c r="BT193" s="19" t="e">
        <f t="shared" si="105"/>
        <v>#DIV/0!</v>
      </c>
      <c r="BV193" s="16">
        <f t="shared" si="106"/>
        <v>0</v>
      </c>
      <c r="BW193" s="16">
        <f t="shared" si="107"/>
        <v>0</v>
      </c>
      <c r="BX193" s="3">
        <f t="shared" si="108"/>
        <v>0</v>
      </c>
      <c r="BY193" s="3">
        <f t="shared" si="137"/>
        <v>0</v>
      </c>
      <c r="BZ193" s="3" t="s">
        <v>162</v>
      </c>
      <c r="CA193" s="3">
        <f t="shared" si="109"/>
        <v>0</v>
      </c>
      <c r="CB193" s="3">
        <f t="shared" si="110"/>
        <v>0</v>
      </c>
      <c r="CC193" s="3">
        <f t="shared" si="111"/>
        <v>0</v>
      </c>
      <c r="CD193" s="3">
        <f t="shared" si="112"/>
        <v>0</v>
      </c>
      <c r="CE193" s="22">
        <f t="shared" si="118"/>
        <v>0</v>
      </c>
      <c r="CF193" s="1">
        <f t="shared" si="113"/>
        <v>0</v>
      </c>
      <c r="CG193" s="1">
        <f t="shared" si="119"/>
        <v>0</v>
      </c>
      <c r="CH193" s="3" t="s">
        <v>162</v>
      </c>
      <c r="CI193" s="1">
        <f t="shared" si="120"/>
        <v>0</v>
      </c>
      <c r="CJ193" s="1">
        <f t="shared" si="121"/>
        <v>0</v>
      </c>
      <c r="CK193" s="1">
        <f t="shared" si="122"/>
        <v>0</v>
      </c>
      <c r="CL193" s="1">
        <f t="shared" si="123"/>
        <v>0</v>
      </c>
      <c r="CM193" s="2">
        <f t="shared" si="124"/>
        <v>0</v>
      </c>
      <c r="CN193" s="1">
        <f t="shared" si="125"/>
        <v>0</v>
      </c>
      <c r="CO193" s="1">
        <f t="shared" si="126"/>
        <v>0</v>
      </c>
      <c r="CP193" s="3" t="s">
        <v>162</v>
      </c>
      <c r="CQ193" s="1">
        <f t="shared" si="127"/>
        <v>0</v>
      </c>
      <c r="CR193" s="1">
        <f t="shared" si="128"/>
        <v>0</v>
      </c>
      <c r="CS193" s="1">
        <f t="shared" si="129"/>
        <v>0</v>
      </c>
      <c r="CT193" s="1">
        <f t="shared" si="130"/>
        <v>0</v>
      </c>
      <c r="CU193" s="2">
        <f t="shared" si="131"/>
        <v>0</v>
      </c>
      <c r="CV193" s="14">
        <f t="shared" si="132"/>
        <v>0</v>
      </c>
      <c r="CW193" s="1">
        <f>ROUND(PPTest!K193,1)</f>
        <v>0</v>
      </c>
      <c r="CX193" s="3">
        <f t="shared" si="114"/>
        <v>0</v>
      </c>
      <c r="CY193" s="3">
        <f t="shared" si="133"/>
        <v>0</v>
      </c>
      <c r="CZ193" s="19">
        <f t="shared" si="134"/>
        <v>0</v>
      </c>
      <c r="DA193" s="19" t="e">
        <f t="shared" si="134"/>
        <v>#DIV/0!</v>
      </c>
      <c r="DB193" s="16">
        <f t="shared" si="135"/>
        <v>0</v>
      </c>
    </row>
    <row r="194" spans="1:106" x14ac:dyDescent="0.2">
      <c r="A194" s="15">
        <f t="shared" si="136"/>
        <v>45846</v>
      </c>
      <c r="B194" s="1">
        <v>189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4"/>
      <c r="AY194" s="43"/>
      <c r="BA194" s="16">
        <v>32.43</v>
      </c>
      <c r="BB194" s="41"/>
      <c r="BC194" s="41"/>
      <c r="BD194" s="8" t="e">
        <f t="shared" si="138"/>
        <v>#DIV/0!</v>
      </c>
      <c r="BE194" s="8"/>
      <c r="BF194" s="2">
        <f t="shared" si="115"/>
        <v>0</v>
      </c>
      <c r="BG194" s="2">
        <f t="shared" si="116"/>
        <v>0</v>
      </c>
      <c r="BH194" s="2">
        <f t="shared" si="117"/>
        <v>0</v>
      </c>
      <c r="BI194" s="35">
        <f t="shared" si="139"/>
        <v>0</v>
      </c>
      <c r="BJ194" s="35" t="e">
        <f t="shared" si="96"/>
        <v>#DIV/0!</v>
      </c>
      <c r="BL194" s="3">
        <f t="shared" si="97"/>
        <v>0</v>
      </c>
      <c r="BM194" s="19" t="e">
        <f t="shared" si="98"/>
        <v>#DIV/0!</v>
      </c>
      <c r="BN194" s="19" t="e">
        <f t="shared" si="99"/>
        <v>#DIV/0!</v>
      </c>
      <c r="BO194" s="19" t="e">
        <f t="shared" si="100"/>
        <v>#DIV/0!</v>
      </c>
      <c r="BP194" s="19" t="e">
        <f t="shared" si="101"/>
        <v>#DIV/0!</v>
      </c>
      <c r="BQ194" s="19" t="e">
        <f t="shared" si="102"/>
        <v>#DIV/0!</v>
      </c>
      <c r="BR194" s="19" t="e">
        <f t="shared" si="103"/>
        <v>#DIV/0!</v>
      </c>
      <c r="BS194" s="19" t="e">
        <f t="shared" si="104"/>
        <v>#DIV/0!</v>
      </c>
      <c r="BT194" s="19" t="e">
        <f t="shared" si="105"/>
        <v>#DIV/0!</v>
      </c>
      <c r="BV194" s="16">
        <f t="shared" si="106"/>
        <v>0</v>
      </c>
      <c r="BW194" s="16">
        <f t="shared" si="107"/>
        <v>0</v>
      </c>
      <c r="BX194" s="3">
        <f t="shared" si="108"/>
        <v>0</v>
      </c>
      <c r="BY194" s="3">
        <f t="shared" si="137"/>
        <v>0</v>
      </c>
      <c r="BZ194" s="3" t="s">
        <v>162</v>
      </c>
      <c r="CA194" s="3">
        <f t="shared" si="109"/>
        <v>0</v>
      </c>
      <c r="CB194" s="3">
        <f t="shared" si="110"/>
        <v>0</v>
      </c>
      <c r="CC194" s="3">
        <f t="shared" si="111"/>
        <v>0</v>
      </c>
      <c r="CD194" s="3">
        <f t="shared" si="112"/>
        <v>0</v>
      </c>
      <c r="CE194" s="22">
        <f t="shared" si="118"/>
        <v>0</v>
      </c>
      <c r="CF194" s="1">
        <f t="shared" si="113"/>
        <v>0</v>
      </c>
      <c r="CG194" s="1">
        <f t="shared" si="119"/>
        <v>0</v>
      </c>
      <c r="CH194" s="3" t="s">
        <v>162</v>
      </c>
      <c r="CI194" s="1">
        <f t="shared" si="120"/>
        <v>0</v>
      </c>
      <c r="CJ194" s="1">
        <f t="shared" si="121"/>
        <v>0</v>
      </c>
      <c r="CK194" s="1">
        <f t="shared" si="122"/>
        <v>0</v>
      </c>
      <c r="CL194" s="1">
        <f t="shared" si="123"/>
        <v>0</v>
      </c>
      <c r="CM194" s="2">
        <f t="shared" si="124"/>
        <v>0</v>
      </c>
      <c r="CN194" s="1">
        <f t="shared" si="125"/>
        <v>0</v>
      </c>
      <c r="CO194" s="1">
        <f t="shared" si="126"/>
        <v>0</v>
      </c>
      <c r="CP194" s="3" t="s">
        <v>162</v>
      </c>
      <c r="CQ194" s="1">
        <f t="shared" si="127"/>
        <v>0</v>
      </c>
      <c r="CR194" s="1">
        <f t="shared" si="128"/>
        <v>0</v>
      </c>
      <c r="CS194" s="1">
        <f t="shared" si="129"/>
        <v>0</v>
      </c>
      <c r="CT194" s="1">
        <f t="shared" si="130"/>
        <v>0</v>
      </c>
      <c r="CU194" s="2">
        <f t="shared" si="131"/>
        <v>0</v>
      </c>
      <c r="CV194" s="14">
        <f t="shared" si="132"/>
        <v>0</v>
      </c>
      <c r="CW194" s="1">
        <f>ROUND(PPTest!K194,1)</f>
        <v>0</v>
      </c>
      <c r="CX194" s="3">
        <f t="shared" si="114"/>
        <v>0</v>
      </c>
      <c r="CY194" s="3">
        <f t="shared" si="133"/>
        <v>0</v>
      </c>
      <c r="CZ194" s="19">
        <f t="shared" si="134"/>
        <v>0</v>
      </c>
      <c r="DA194" s="19" t="e">
        <f t="shared" si="134"/>
        <v>#DIV/0!</v>
      </c>
      <c r="DB194" s="16">
        <f t="shared" si="135"/>
        <v>0</v>
      </c>
    </row>
    <row r="195" spans="1:106" x14ac:dyDescent="0.2">
      <c r="A195" s="15">
        <f t="shared" si="136"/>
        <v>45847</v>
      </c>
      <c r="B195" s="1">
        <v>190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4"/>
      <c r="AY195" s="43"/>
      <c r="BA195" s="16">
        <v>32.35</v>
      </c>
      <c r="BB195" s="41"/>
      <c r="BC195" s="41"/>
      <c r="BD195" s="8" t="e">
        <f t="shared" si="138"/>
        <v>#DIV/0!</v>
      </c>
      <c r="BE195" s="8"/>
      <c r="BF195" s="2">
        <f t="shared" si="115"/>
        <v>0</v>
      </c>
      <c r="BG195" s="2">
        <f t="shared" si="116"/>
        <v>0</v>
      </c>
      <c r="BH195" s="2">
        <f t="shared" si="117"/>
        <v>0</v>
      </c>
      <c r="BI195" s="35">
        <f t="shared" si="139"/>
        <v>0</v>
      </c>
      <c r="BJ195" s="35" t="e">
        <f t="shared" si="96"/>
        <v>#DIV/0!</v>
      </c>
      <c r="BL195" s="3">
        <f t="shared" si="97"/>
        <v>0</v>
      </c>
      <c r="BM195" s="19" t="e">
        <f t="shared" si="98"/>
        <v>#DIV/0!</v>
      </c>
      <c r="BN195" s="19" t="e">
        <f t="shared" si="99"/>
        <v>#DIV/0!</v>
      </c>
      <c r="BO195" s="19" t="e">
        <f t="shared" si="100"/>
        <v>#DIV/0!</v>
      </c>
      <c r="BP195" s="19" t="e">
        <f t="shared" si="101"/>
        <v>#DIV/0!</v>
      </c>
      <c r="BQ195" s="19" t="e">
        <f t="shared" si="102"/>
        <v>#DIV/0!</v>
      </c>
      <c r="BR195" s="19" t="e">
        <f t="shared" si="103"/>
        <v>#DIV/0!</v>
      </c>
      <c r="BS195" s="19" t="e">
        <f t="shared" si="104"/>
        <v>#DIV/0!</v>
      </c>
      <c r="BT195" s="19" t="e">
        <f t="shared" si="105"/>
        <v>#DIV/0!</v>
      </c>
      <c r="BV195" s="16">
        <f t="shared" si="106"/>
        <v>0</v>
      </c>
      <c r="BW195" s="16">
        <f t="shared" si="107"/>
        <v>0</v>
      </c>
      <c r="BX195" s="3">
        <f t="shared" si="108"/>
        <v>0</v>
      </c>
      <c r="BY195" s="3">
        <f t="shared" si="137"/>
        <v>0</v>
      </c>
      <c r="BZ195" s="3" t="s">
        <v>162</v>
      </c>
      <c r="CA195" s="3">
        <f t="shared" si="109"/>
        <v>0</v>
      </c>
      <c r="CB195" s="3">
        <f t="shared" si="110"/>
        <v>0</v>
      </c>
      <c r="CC195" s="3">
        <f t="shared" si="111"/>
        <v>0</v>
      </c>
      <c r="CD195" s="3">
        <f t="shared" si="112"/>
        <v>0</v>
      </c>
      <c r="CE195" s="22">
        <f t="shared" si="118"/>
        <v>0</v>
      </c>
      <c r="CF195" s="1">
        <f t="shared" si="113"/>
        <v>0</v>
      </c>
      <c r="CG195" s="1">
        <f t="shared" si="119"/>
        <v>0</v>
      </c>
      <c r="CH195" s="3" t="s">
        <v>162</v>
      </c>
      <c r="CI195" s="1">
        <f t="shared" si="120"/>
        <v>0</v>
      </c>
      <c r="CJ195" s="1">
        <f t="shared" si="121"/>
        <v>0</v>
      </c>
      <c r="CK195" s="1">
        <f t="shared" si="122"/>
        <v>0</v>
      </c>
      <c r="CL195" s="1">
        <f t="shared" si="123"/>
        <v>0</v>
      </c>
      <c r="CM195" s="2">
        <f t="shared" si="124"/>
        <v>0</v>
      </c>
      <c r="CN195" s="1">
        <f t="shared" si="125"/>
        <v>0</v>
      </c>
      <c r="CO195" s="1">
        <f t="shared" si="126"/>
        <v>0</v>
      </c>
      <c r="CP195" s="3" t="s">
        <v>162</v>
      </c>
      <c r="CQ195" s="1">
        <f t="shared" si="127"/>
        <v>0</v>
      </c>
      <c r="CR195" s="1">
        <f t="shared" si="128"/>
        <v>0</v>
      </c>
      <c r="CS195" s="1">
        <f t="shared" si="129"/>
        <v>0</v>
      </c>
      <c r="CT195" s="1">
        <f t="shared" si="130"/>
        <v>0</v>
      </c>
      <c r="CU195" s="2">
        <f t="shared" si="131"/>
        <v>0</v>
      </c>
      <c r="CV195" s="14">
        <f t="shared" si="132"/>
        <v>0</v>
      </c>
      <c r="CW195" s="1">
        <f>ROUND(PPTest!K195,1)</f>
        <v>0</v>
      </c>
      <c r="CX195" s="3">
        <f t="shared" si="114"/>
        <v>0</v>
      </c>
      <c r="CY195" s="3">
        <f t="shared" si="133"/>
        <v>0</v>
      </c>
      <c r="CZ195" s="19">
        <f t="shared" si="134"/>
        <v>0</v>
      </c>
      <c r="DA195" s="19" t="e">
        <f t="shared" si="134"/>
        <v>#DIV/0!</v>
      </c>
      <c r="DB195" s="16">
        <f t="shared" si="135"/>
        <v>0</v>
      </c>
    </row>
    <row r="196" spans="1:106" x14ac:dyDescent="0.2">
      <c r="A196" s="15">
        <f t="shared" si="136"/>
        <v>45848</v>
      </c>
      <c r="B196" s="1">
        <v>191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4"/>
      <c r="AY196" s="43"/>
      <c r="BA196" s="16">
        <v>32.270000000000003</v>
      </c>
      <c r="BB196" s="41"/>
      <c r="BC196" s="41"/>
      <c r="BD196" s="8" t="e">
        <f t="shared" si="138"/>
        <v>#DIV/0!</v>
      </c>
      <c r="BE196" s="8"/>
      <c r="BF196" s="2">
        <f t="shared" si="115"/>
        <v>0</v>
      </c>
      <c r="BG196" s="2">
        <f t="shared" si="116"/>
        <v>0</v>
      </c>
      <c r="BH196" s="2">
        <f t="shared" si="117"/>
        <v>0</v>
      </c>
      <c r="BI196" s="35">
        <f t="shared" si="139"/>
        <v>0</v>
      </c>
      <c r="BJ196" s="35" t="e">
        <f t="shared" si="96"/>
        <v>#DIV/0!</v>
      </c>
      <c r="BL196" s="3">
        <f t="shared" si="97"/>
        <v>0</v>
      </c>
      <c r="BM196" s="19" t="e">
        <f t="shared" si="98"/>
        <v>#DIV/0!</v>
      </c>
      <c r="BN196" s="19" t="e">
        <f t="shared" si="99"/>
        <v>#DIV/0!</v>
      </c>
      <c r="BO196" s="19" t="e">
        <f t="shared" si="100"/>
        <v>#DIV/0!</v>
      </c>
      <c r="BP196" s="19" t="e">
        <f t="shared" si="101"/>
        <v>#DIV/0!</v>
      </c>
      <c r="BQ196" s="19" t="e">
        <f t="shared" si="102"/>
        <v>#DIV/0!</v>
      </c>
      <c r="BR196" s="19" t="e">
        <f t="shared" si="103"/>
        <v>#DIV/0!</v>
      </c>
      <c r="BS196" s="19" t="e">
        <f t="shared" si="104"/>
        <v>#DIV/0!</v>
      </c>
      <c r="BT196" s="19" t="e">
        <f t="shared" si="105"/>
        <v>#DIV/0!</v>
      </c>
      <c r="BV196" s="16">
        <f t="shared" si="106"/>
        <v>0</v>
      </c>
      <c r="BW196" s="16">
        <f t="shared" si="107"/>
        <v>0</v>
      </c>
      <c r="BX196" s="3">
        <f t="shared" si="108"/>
        <v>0</v>
      </c>
      <c r="BY196" s="3">
        <f t="shared" si="137"/>
        <v>0</v>
      </c>
      <c r="BZ196" s="3" t="s">
        <v>162</v>
      </c>
      <c r="CA196" s="3">
        <f t="shared" si="109"/>
        <v>0</v>
      </c>
      <c r="CB196" s="3">
        <f t="shared" si="110"/>
        <v>0</v>
      </c>
      <c r="CC196" s="3">
        <f t="shared" si="111"/>
        <v>0</v>
      </c>
      <c r="CD196" s="3">
        <f t="shared" si="112"/>
        <v>0</v>
      </c>
      <c r="CE196" s="22">
        <f t="shared" si="118"/>
        <v>0</v>
      </c>
      <c r="CF196" s="1">
        <f t="shared" si="113"/>
        <v>0</v>
      </c>
      <c r="CG196" s="1">
        <f t="shared" si="119"/>
        <v>0</v>
      </c>
      <c r="CH196" s="3" t="s">
        <v>162</v>
      </c>
      <c r="CI196" s="1">
        <f t="shared" si="120"/>
        <v>0</v>
      </c>
      <c r="CJ196" s="1">
        <f t="shared" si="121"/>
        <v>0</v>
      </c>
      <c r="CK196" s="1">
        <f t="shared" si="122"/>
        <v>0</v>
      </c>
      <c r="CL196" s="1">
        <f t="shared" si="123"/>
        <v>0</v>
      </c>
      <c r="CM196" s="2">
        <f t="shared" si="124"/>
        <v>0</v>
      </c>
      <c r="CN196" s="1">
        <f t="shared" si="125"/>
        <v>0</v>
      </c>
      <c r="CO196" s="1">
        <f t="shared" si="126"/>
        <v>0</v>
      </c>
      <c r="CP196" s="3" t="s">
        <v>162</v>
      </c>
      <c r="CQ196" s="1">
        <f t="shared" si="127"/>
        <v>0</v>
      </c>
      <c r="CR196" s="1">
        <f t="shared" si="128"/>
        <v>0</v>
      </c>
      <c r="CS196" s="1">
        <f t="shared" si="129"/>
        <v>0</v>
      </c>
      <c r="CT196" s="1">
        <f t="shared" si="130"/>
        <v>0</v>
      </c>
      <c r="CU196" s="2">
        <f t="shared" si="131"/>
        <v>0</v>
      </c>
      <c r="CV196" s="14">
        <f t="shared" si="132"/>
        <v>0</v>
      </c>
      <c r="CW196" s="1">
        <f>ROUND(PPTest!K196,1)</f>
        <v>0</v>
      </c>
      <c r="CX196" s="3">
        <f t="shared" si="114"/>
        <v>0</v>
      </c>
      <c r="CY196" s="3">
        <f t="shared" si="133"/>
        <v>0</v>
      </c>
      <c r="CZ196" s="19">
        <f t="shared" si="134"/>
        <v>0</v>
      </c>
      <c r="DA196" s="19" t="e">
        <f t="shared" si="134"/>
        <v>#DIV/0!</v>
      </c>
      <c r="DB196" s="16">
        <f t="shared" si="135"/>
        <v>0</v>
      </c>
    </row>
    <row r="197" spans="1:106" x14ac:dyDescent="0.2">
      <c r="A197" s="15">
        <f t="shared" si="136"/>
        <v>45849</v>
      </c>
      <c r="B197" s="1">
        <v>192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4"/>
      <c r="AY197" s="43"/>
      <c r="BA197" s="16">
        <v>32.17</v>
      </c>
      <c r="BB197" s="41"/>
      <c r="BC197" s="41"/>
      <c r="BD197" s="8" t="e">
        <f t="shared" si="138"/>
        <v>#DIV/0!</v>
      </c>
      <c r="BE197" s="8"/>
      <c r="BF197" s="2">
        <f t="shared" si="115"/>
        <v>0</v>
      </c>
      <c r="BG197" s="2">
        <f t="shared" si="116"/>
        <v>0</v>
      </c>
      <c r="BH197" s="2">
        <f t="shared" si="117"/>
        <v>0</v>
      </c>
      <c r="BI197" s="35">
        <f t="shared" ref="BI197:BI260" si="140">ROUND((0.6105*(EXP((17.273*P197)/(P197+237.3))))*BH197/100,3)</f>
        <v>0</v>
      </c>
      <c r="BJ197" s="35" t="e">
        <f t="shared" si="96"/>
        <v>#DIV/0!</v>
      </c>
      <c r="BL197" s="3">
        <f t="shared" si="97"/>
        <v>0</v>
      </c>
      <c r="BM197" s="19" t="e">
        <f t="shared" si="98"/>
        <v>#DIV/0!</v>
      </c>
      <c r="BN197" s="19" t="e">
        <f t="shared" si="99"/>
        <v>#DIV/0!</v>
      </c>
      <c r="BO197" s="19" t="e">
        <f t="shared" si="100"/>
        <v>#DIV/0!</v>
      </c>
      <c r="BP197" s="19" t="e">
        <f t="shared" si="101"/>
        <v>#DIV/0!</v>
      </c>
      <c r="BQ197" s="19" t="e">
        <f t="shared" si="102"/>
        <v>#DIV/0!</v>
      </c>
      <c r="BR197" s="19" t="e">
        <f t="shared" si="103"/>
        <v>#DIV/0!</v>
      </c>
      <c r="BS197" s="19" t="e">
        <f t="shared" si="104"/>
        <v>#DIV/0!</v>
      </c>
      <c r="BT197" s="19" t="e">
        <f t="shared" si="105"/>
        <v>#DIV/0!</v>
      </c>
      <c r="BV197" s="16">
        <f t="shared" si="106"/>
        <v>0</v>
      </c>
      <c r="BW197" s="16">
        <f t="shared" si="107"/>
        <v>0</v>
      </c>
      <c r="BX197" s="3">
        <f t="shared" si="108"/>
        <v>0</v>
      </c>
      <c r="BY197" s="3">
        <f t="shared" si="137"/>
        <v>0</v>
      </c>
      <c r="BZ197" s="3" t="s">
        <v>162</v>
      </c>
      <c r="CA197" s="3">
        <f t="shared" si="109"/>
        <v>0</v>
      </c>
      <c r="CB197" s="3">
        <f t="shared" si="110"/>
        <v>0</v>
      </c>
      <c r="CC197" s="3">
        <f t="shared" si="111"/>
        <v>0</v>
      </c>
      <c r="CD197" s="3">
        <f t="shared" si="112"/>
        <v>0</v>
      </c>
      <c r="CE197" s="22">
        <f t="shared" si="118"/>
        <v>0</v>
      </c>
      <c r="CF197" s="1">
        <f t="shared" si="113"/>
        <v>0</v>
      </c>
      <c r="CG197" s="1">
        <f t="shared" si="119"/>
        <v>0</v>
      </c>
      <c r="CH197" s="3" t="s">
        <v>162</v>
      </c>
      <c r="CI197" s="1">
        <f t="shared" si="120"/>
        <v>0</v>
      </c>
      <c r="CJ197" s="1">
        <f t="shared" si="121"/>
        <v>0</v>
      </c>
      <c r="CK197" s="1">
        <f t="shared" si="122"/>
        <v>0</v>
      </c>
      <c r="CL197" s="1">
        <f t="shared" si="123"/>
        <v>0</v>
      </c>
      <c r="CM197" s="2">
        <f t="shared" si="124"/>
        <v>0</v>
      </c>
      <c r="CN197" s="1">
        <f t="shared" si="125"/>
        <v>0</v>
      </c>
      <c r="CO197" s="1">
        <f t="shared" si="126"/>
        <v>0</v>
      </c>
      <c r="CP197" s="3" t="s">
        <v>162</v>
      </c>
      <c r="CQ197" s="1">
        <f t="shared" si="127"/>
        <v>0</v>
      </c>
      <c r="CR197" s="1">
        <f t="shared" si="128"/>
        <v>0</v>
      </c>
      <c r="CS197" s="1">
        <f t="shared" si="129"/>
        <v>0</v>
      </c>
      <c r="CT197" s="1">
        <f t="shared" si="130"/>
        <v>0</v>
      </c>
      <c r="CU197" s="2">
        <f t="shared" si="131"/>
        <v>0</v>
      </c>
      <c r="CV197" s="14">
        <f t="shared" si="132"/>
        <v>0</v>
      </c>
      <c r="CW197" s="1">
        <f>ROUND(PPTest!K197,1)</f>
        <v>0</v>
      </c>
      <c r="CX197" s="3">
        <f t="shared" si="114"/>
        <v>0</v>
      </c>
      <c r="CY197" s="3">
        <f t="shared" si="133"/>
        <v>0</v>
      </c>
      <c r="CZ197" s="19">
        <f t="shared" si="134"/>
        <v>0</v>
      </c>
      <c r="DA197" s="19" t="e">
        <f t="shared" si="134"/>
        <v>#DIV/0!</v>
      </c>
      <c r="DB197" s="16">
        <f t="shared" si="135"/>
        <v>0</v>
      </c>
    </row>
    <row r="198" spans="1:106" x14ac:dyDescent="0.2">
      <c r="A198" s="15">
        <f t="shared" si="136"/>
        <v>45850</v>
      </c>
      <c r="B198" s="1">
        <v>193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4"/>
      <c r="AY198" s="43"/>
      <c r="BA198" s="16">
        <v>32.08</v>
      </c>
      <c r="BB198" s="41"/>
      <c r="BC198" s="41"/>
      <c r="BD198" s="8" t="e">
        <f t="shared" ref="BD198:BD261" si="141">BC198/BB198</f>
        <v>#DIV/0!</v>
      </c>
      <c r="BE198" s="8"/>
      <c r="BF198" s="2">
        <f t="shared" si="115"/>
        <v>0</v>
      </c>
      <c r="BG198" s="2">
        <f t="shared" si="116"/>
        <v>0</v>
      </c>
      <c r="BH198" s="2">
        <f t="shared" si="117"/>
        <v>0</v>
      </c>
      <c r="BI198" s="35">
        <f t="shared" si="140"/>
        <v>0</v>
      </c>
      <c r="BJ198" s="35" t="e">
        <f t="shared" ref="BJ198:BJ261" si="142">ROUND(BI198/BH198*(100-BH198),3)</f>
        <v>#DIV/0!</v>
      </c>
      <c r="BL198" s="3">
        <f t="shared" ref="BL198:BL261" si="143">SUM(AG198:AN198)</f>
        <v>0</v>
      </c>
      <c r="BM198" s="19" t="e">
        <f t="shared" ref="BM198:BM261" si="144">ROUND(AG198/$BL198,3)</f>
        <v>#DIV/0!</v>
      </c>
      <c r="BN198" s="19" t="e">
        <f t="shared" ref="BN198:BN261" si="145">ROUND(AH198/$BL198,3)</f>
        <v>#DIV/0!</v>
      </c>
      <c r="BO198" s="19" t="e">
        <f t="shared" ref="BO198:BO261" si="146">ROUND(AI198/$BL198,3)</f>
        <v>#DIV/0!</v>
      </c>
      <c r="BP198" s="19" t="e">
        <f t="shared" ref="BP198:BP261" si="147">ROUND(AJ198/$BL198,3)</f>
        <v>#DIV/0!</v>
      </c>
      <c r="BQ198" s="19" t="e">
        <f t="shared" ref="BQ198:BQ261" si="148">ROUND(AK198/$BL198,3)</f>
        <v>#DIV/0!</v>
      </c>
      <c r="BR198" s="19" t="e">
        <f t="shared" ref="BR198:BR261" si="149">ROUND(AL198/$BL198,3)</f>
        <v>#DIV/0!</v>
      </c>
      <c r="BS198" s="19" t="e">
        <f t="shared" ref="BS198:BS261" si="150">ROUND(AM198/$BL198,3)</f>
        <v>#DIV/0!</v>
      </c>
      <c r="BT198" s="19" t="e">
        <f t="shared" ref="BT198:BT261" si="151">ROUND(AN198/$BL198,3)</f>
        <v>#DIV/0!</v>
      </c>
      <c r="BV198" s="16">
        <f t="shared" ref="BV198:BV261" si="152">BB198</f>
        <v>0</v>
      </c>
      <c r="BW198" s="16">
        <f t="shared" ref="BW198:BW261" si="153">BC198</f>
        <v>0</v>
      </c>
      <c r="BX198" s="3">
        <f t="shared" ref="BX198:BX261" si="154">ROUND(E198,1)</f>
        <v>0</v>
      </c>
      <c r="BY198" s="3">
        <f t="shared" si="137"/>
        <v>0</v>
      </c>
      <c r="BZ198" s="3" t="s">
        <v>162</v>
      </c>
      <c r="CA198" s="3">
        <f t="shared" ref="CA198:CA261" si="155">ROUND(I198,1)</f>
        <v>0</v>
      </c>
      <c r="CB198" s="3">
        <f t="shared" ref="CB198:CB261" si="156">ROUND(J198,1)</f>
        <v>0</v>
      </c>
      <c r="CC198" s="3">
        <f t="shared" ref="CC198:CC261" si="157">ROUND(K198,1)</f>
        <v>0</v>
      </c>
      <c r="CD198" s="3">
        <f t="shared" ref="CD198:CD261" si="158">ROUND(L198,1)</f>
        <v>0</v>
      </c>
      <c r="CE198" s="22">
        <f t="shared" si="118"/>
        <v>0</v>
      </c>
      <c r="CF198" s="1">
        <f t="shared" ref="CF198:CF261" si="159">ROUND(P198,1)</f>
        <v>0</v>
      </c>
      <c r="CG198" s="1">
        <f t="shared" si="119"/>
        <v>0</v>
      </c>
      <c r="CH198" s="3" t="s">
        <v>162</v>
      </c>
      <c r="CI198" s="1">
        <f t="shared" si="120"/>
        <v>0</v>
      </c>
      <c r="CJ198" s="1">
        <f t="shared" si="121"/>
        <v>0</v>
      </c>
      <c r="CK198" s="1">
        <f t="shared" si="122"/>
        <v>0</v>
      </c>
      <c r="CL198" s="1">
        <f t="shared" si="123"/>
        <v>0</v>
      </c>
      <c r="CM198" s="2">
        <f t="shared" si="124"/>
        <v>0</v>
      </c>
      <c r="CN198" s="1">
        <f t="shared" si="125"/>
        <v>0</v>
      </c>
      <c r="CO198" s="1">
        <f t="shared" si="126"/>
        <v>0</v>
      </c>
      <c r="CP198" s="3" t="s">
        <v>162</v>
      </c>
      <c r="CQ198" s="1">
        <f t="shared" si="127"/>
        <v>0</v>
      </c>
      <c r="CR198" s="1">
        <f t="shared" si="128"/>
        <v>0</v>
      </c>
      <c r="CS198" s="1">
        <f t="shared" si="129"/>
        <v>0</v>
      </c>
      <c r="CT198" s="1">
        <f t="shared" si="130"/>
        <v>0</v>
      </c>
      <c r="CU198" s="2">
        <f t="shared" si="131"/>
        <v>0</v>
      </c>
      <c r="CV198" s="14">
        <f t="shared" si="132"/>
        <v>0</v>
      </c>
      <c r="CW198" s="1">
        <f>ROUND(PPTest!K198,1)</f>
        <v>0</v>
      </c>
      <c r="CX198" s="3">
        <f t="shared" ref="CX198:CX261" si="160">ROUND(M198,2)</f>
        <v>0</v>
      </c>
      <c r="CY198" s="3">
        <f t="shared" si="133"/>
        <v>0</v>
      </c>
      <c r="CZ198" s="19">
        <f t="shared" si="134"/>
        <v>0</v>
      </c>
      <c r="DA198" s="19" t="e">
        <f t="shared" si="134"/>
        <v>#DIV/0!</v>
      </c>
      <c r="DB198" s="16">
        <f t="shared" si="135"/>
        <v>0</v>
      </c>
    </row>
    <row r="199" spans="1:106" x14ac:dyDescent="0.2">
      <c r="A199" s="15">
        <f t="shared" si="136"/>
        <v>45851</v>
      </c>
      <c r="B199" s="1">
        <v>194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4"/>
      <c r="AY199" s="43"/>
      <c r="BA199" s="16">
        <v>31.97</v>
      </c>
      <c r="BB199" s="41"/>
      <c r="BC199" s="41"/>
      <c r="BD199" s="8" t="e">
        <f t="shared" si="141"/>
        <v>#DIV/0!</v>
      </c>
      <c r="BE199" s="8"/>
      <c r="BF199" s="2">
        <f t="shared" ref="BF199:BF262" si="161">ROUND(Q199-BF$2,1)</f>
        <v>0</v>
      </c>
      <c r="BG199" s="2">
        <f t="shared" ref="BG199:BG262" si="162">ROUND(F199-BG$2,1)</f>
        <v>0</v>
      </c>
      <c r="BH199" s="2">
        <f t="shared" ref="BH199:BH262" si="163">ROUND(Z199-BH$2,1)</f>
        <v>0</v>
      </c>
      <c r="BI199" s="35">
        <f t="shared" si="140"/>
        <v>0</v>
      </c>
      <c r="BJ199" s="35" t="e">
        <f t="shared" si="142"/>
        <v>#DIV/0!</v>
      </c>
      <c r="BL199" s="3">
        <f t="shared" si="143"/>
        <v>0</v>
      </c>
      <c r="BM199" s="19" t="e">
        <f t="shared" si="144"/>
        <v>#DIV/0!</v>
      </c>
      <c r="BN199" s="19" t="e">
        <f t="shared" si="145"/>
        <v>#DIV/0!</v>
      </c>
      <c r="BO199" s="19" t="e">
        <f t="shared" si="146"/>
        <v>#DIV/0!</v>
      </c>
      <c r="BP199" s="19" t="e">
        <f t="shared" si="147"/>
        <v>#DIV/0!</v>
      </c>
      <c r="BQ199" s="19" t="e">
        <f t="shared" si="148"/>
        <v>#DIV/0!</v>
      </c>
      <c r="BR199" s="19" t="e">
        <f t="shared" si="149"/>
        <v>#DIV/0!</v>
      </c>
      <c r="BS199" s="19" t="e">
        <f t="shared" si="150"/>
        <v>#DIV/0!</v>
      </c>
      <c r="BT199" s="19" t="e">
        <f t="shared" si="151"/>
        <v>#DIV/0!</v>
      </c>
      <c r="BV199" s="16">
        <f t="shared" si="152"/>
        <v>0</v>
      </c>
      <c r="BW199" s="16">
        <f t="shared" si="153"/>
        <v>0</v>
      </c>
      <c r="BX199" s="3">
        <f t="shared" si="154"/>
        <v>0</v>
      </c>
      <c r="BY199" s="3">
        <f t="shared" si="137"/>
        <v>0</v>
      </c>
      <c r="BZ199" s="3" t="s">
        <v>162</v>
      </c>
      <c r="CA199" s="3">
        <f t="shared" si="155"/>
        <v>0</v>
      </c>
      <c r="CB199" s="3">
        <f t="shared" si="156"/>
        <v>0</v>
      </c>
      <c r="CC199" s="3">
        <f t="shared" si="157"/>
        <v>0</v>
      </c>
      <c r="CD199" s="3">
        <f t="shared" si="158"/>
        <v>0</v>
      </c>
      <c r="CE199" s="22">
        <f t="shared" ref="CE199:CE262" si="164">ROUND(BG199,1)</f>
        <v>0</v>
      </c>
      <c r="CF199" s="1">
        <f t="shared" si="159"/>
        <v>0</v>
      </c>
      <c r="CG199" s="1">
        <f t="shared" ref="CG199:CG262" si="165">ROUND(R199,1)</f>
        <v>0</v>
      </c>
      <c r="CH199" s="3" t="s">
        <v>162</v>
      </c>
      <c r="CI199" s="1">
        <f t="shared" ref="CI199:CI262" si="166">ROUND(T199,1)</f>
        <v>0</v>
      </c>
      <c r="CJ199" s="1">
        <f t="shared" ref="CJ199:CJ262" si="167">ROUND(U199,1)</f>
        <v>0</v>
      </c>
      <c r="CK199" s="1">
        <f t="shared" ref="CK199:CK262" si="168">ROUND(V199,1)</f>
        <v>0</v>
      </c>
      <c r="CL199" s="1">
        <f t="shared" ref="CL199:CL262" si="169">ROUND(W199,1)</f>
        <v>0</v>
      </c>
      <c r="CM199" s="2">
        <f t="shared" ref="CM199:CM262" si="170">ROUND(BF199,1)</f>
        <v>0</v>
      </c>
      <c r="CN199" s="1">
        <f t="shared" ref="CN199:CN262" si="171">ROUND(Y199,1)</f>
        <v>0</v>
      </c>
      <c r="CO199" s="1">
        <f t="shared" ref="CO199:CO262" si="172">ROUND(AA199,1)</f>
        <v>0</v>
      </c>
      <c r="CP199" s="3" t="s">
        <v>162</v>
      </c>
      <c r="CQ199" s="1">
        <f t="shared" ref="CQ199:CQ262" si="173">ROUND(AC199,1)</f>
        <v>0</v>
      </c>
      <c r="CR199" s="1">
        <f t="shared" ref="CR199:CR262" si="174">ROUND(AD199,1)</f>
        <v>0</v>
      </c>
      <c r="CS199" s="1">
        <f t="shared" ref="CS199:CS262" si="175">ROUND(AE199,1)</f>
        <v>0</v>
      </c>
      <c r="CT199" s="1">
        <f t="shared" ref="CT199:CT262" si="176">ROUND(AF199,1)</f>
        <v>0</v>
      </c>
      <c r="CU199" s="2">
        <f t="shared" ref="CU199:CU262" si="177">ROUND(BH199,1)</f>
        <v>0</v>
      </c>
      <c r="CV199" s="14">
        <f t="shared" ref="CV199:CV262" si="178">AY199</f>
        <v>0</v>
      </c>
      <c r="CW199" s="1">
        <f>ROUND(PPTest!K199,1)</f>
        <v>0</v>
      </c>
      <c r="CX199" s="3">
        <f t="shared" si="160"/>
        <v>0</v>
      </c>
      <c r="CY199" s="3">
        <f t="shared" ref="CY199:CY262" si="179">ROUND(X199,2)</f>
        <v>0</v>
      </c>
      <c r="CZ199" s="19">
        <f t="shared" ref="CZ199:DA262" si="180">BI199</f>
        <v>0</v>
      </c>
      <c r="DA199" s="19" t="e">
        <f t="shared" si="180"/>
        <v>#DIV/0!</v>
      </c>
      <c r="DB199" s="16">
        <f t="shared" ref="DB199:DB262" si="181">AV199</f>
        <v>0</v>
      </c>
    </row>
    <row r="200" spans="1:106" x14ac:dyDescent="0.2">
      <c r="A200" s="15">
        <f t="shared" ref="A200:A263" si="182">A199+1</f>
        <v>45852</v>
      </c>
      <c r="B200" s="1">
        <v>195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4"/>
      <c r="AY200" s="43"/>
      <c r="BA200" s="16">
        <v>31.87</v>
      </c>
      <c r="BB200" s="41"/>
      <c r="BC200" s="41"/>
      <c r="BD200" s="8" t="e">
        <f t="shared" si="141"/>
        <v>#DIV/0!</v>
      </c>
      <c r="BE200" s="8"/>
      <c r="BF200" s="2">
        <f t="shared" si="161"/>
        <v>0</v>
      </c>
      <c r="BG200" s="2">
        <f t="shared" si="162"/>
        <v>0</v>
      </c>
      <c r="BH200" s="2">
        <f t="shared" si="163"/>
        <v>0</v>
      </c>
      <c r="BI200" s="35">
        <f t="shared" si="140"/>
        <v>0</v>
      </c>
      <c r="BJ200" s="35" t="e">
        <f t="shared" si="142"/>
        <v>#DIV/0!</v>
      </c>
      <c r="BL200" s="3">
        <f t="shared" si="143"/>
        <v>0</v>
      </c>
      <c r="BM200" s="19" t="e">
        <f t="shared" si="144"/>
        <v>#DIV/0!</v>
      </c>
      <c r="BN200" s="19" t="e">
        <f t="shared" si="145"/>
        <v>#DIV/0!</v>
      </c>
      <c r="BO200" s="19" t="e">
        <f t="shared" si="146"/>
        <v>#DIV/0!</v>
      </c>
      <c r="BP200" s="19" t="e">
        <f t="shared" si="147"/>
        <v>#DIV/0!</v>
      </c>
      <c r="BQ200" s="19" t="e">
        <f t="shared" si="148"/>
        <v>#DIV/0!</v>
      </c>
      <c r="BR200" s="19" t="e">
        <f t="shared" si="149"/>
        <v>#DIV/0!</v>
      </c>
      <c r="BS200" s="19" t="e">
        <f t="shared" si="150"/>
        <v>#DIV/0!</v>
      </c>
      <c r="BT200" s="19" t="e">
        <f t="shared" si="151"/>
        <v>#DIV/0!</v>
      </c>
      <c r="BV200" s="16">
        <f t="shared" si="152"/>
        <v>0</v>
      </c>
      <c r="BW200" s="16">
        <f t="shared" si="153"/>
        <v>0</v>
      </c>
      <c r="BX200" s="3">
        <f t="shared" si="154"/>
        <v>0</v>
      </c>
      <c r="BY200" s="3">
        <f t="shared" si="137"/>
        <v>0</v>
      </c>
      <c r="BZ200" s="3" t="s">
        <v>162</v>
      </c>
      <c r="CA200" s="3">
        <f t="shared" si="155"/>
        <v>0</v>
      </c>
      <c r="CB200" s="3">
        <f t="shared" si="156"/>
        <v>0</v>
      </c>
      <c r="CC200" s="3">
        <f t="shared" si="157"/>
        <v>0</v>
      </c>
      <c r="CD200" s="3">
        <f t="shared" si="158"/>
        <v>0</v>
      </c>
      <c r="CE200" s="22">
        <f t="shared" si="164"/>
        <v>0</v>
      </c>
      <c r="CF200" s="1">
        <f t="shared" si="159"/>
        <v>0</v>
      </c>
      <c r="CG200" s="1">
        <f t="shared" si="165"/>
        <v>0</v>
      </c>
      <c r="CH200" s="3" t="s">
        <v>162</v>
      </c>
      <c r="CI200" s="1">
        <f t="shared" si="166"/>
        <v>0</v>
      </c>
      <c r="CJ200" s="1">
        <f t="shared" si="167"/>
        <v>0</v>
      </c>
      <c r="CK200" s="1">
        <f t="shared" si="168"/>
        <v>0</v>
      </c>
      <c r="CL200" s="1">
        <f t="shared" si="169"/>
        <v>0</v>
      </c>
      <c r="CM200" s="2">
        <f t="shared" si="170"/>
        <v>0</v>
      </c>
      <c r="CN200" s="1">
        <f t="shared" si="171"/>
        <v>0</v>
      </c>
      <c r="CO200" s="1">
        <f t="shared" si="172"/>
        <v>0</v>
      </c>
      <c r="CP200" s="3" t="s">
        <v>162</v>
      </c>
      <c r="CQ200" s="1">
        <f t="shared" si="173"/>
        <v>0</v>
      </c>
      <c r="CR200" s="1">
        <f t="shared" si="174"/>
        <v>0</v>
      </c>
      <c r="CS200" s="1">
        <f t="shared" si="175"/>
        <v>0</v>
      </c>
      <c r="CT200" s="1">
        <f t="shared" si="176"/>
        <v>0</v>
      </c>
      <c r="CU200" s="2">
        <f t="shared" si="177"/>
        <v>0</v>
      </c>
      <c r="CV200" s="14">
        <f t="shared" si="178"/>
        <v>0</v>
      </c>
      <c r="CW200" s="1">
        <f>ROUND(PPTest!K200,1)</f>
        <v>0</v>
      </c>
      <c r="CX200" s="3">
        <f t="shared" si="160"/>
        <v>0</v>
      </c>
      <c r="CY200" s="3">
        <f t="shared" si="179"/>
        <v>0</v>
      </c>
      <c r="CZ200" s="19">
        <f t="shared" si="180"/>
        <v>0</v>
      </c>
      <c r="DA200" s="19" t="e">
        <f t="shared" si="180"/>
        <v>#DIV/0!</v>
      </c>
      <c r="DB200" s="16">
        <f t="shared" si="181"/>
        <v>0</v>
      </c>
    </row>
    <row r="201" spans="1:106" x14ac:dyDescent="0.2">
      <c r="A201" s="15">
        <f t="shared" si="182"/>
        <v>45853</v>
      </c>
      <c r="B201" s="1">
        <v>196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4"/>
      <c r="AY201" s="43"/>
      <c r="BA201" s="16">
        <v>31.77</v>
      </c>
      <c r="BB201" s="41"/>
      <c r="BC201" s="41"/>
      <c r="BD201" s="8" t="e">
        <f t="shared" si="141"/>
        <v>#DIV/0!</v>
      </c>
      <c r="BE201" s="8"/>
      <c r="BF201" s="2">
        <f t="shared" si="161"/>
        <v>0</v>
      </c>
      <c r="BG201" s="2">
        <f t="shared" si="162"/>
        <v>0</v>
      </c>
      <c r="BH201" s="2">
        <f t="shared" si="163"/>
        <v>0</v>
      </c>
      <c r="BI201" s="35">
        <f t="shared" si="140"/>
        <v>0</v>
      </c>
      <c r="BJ201" s="35" t="e">
        <f t="shared" si="142"/>
        <v>#DIV/0!</v>
      </c>
      <c r="BL201" s="3">
        <f t="shared" si="143"/>
        <v>0</v>
      </c>
      <c r="BM201" s="19" t="e">
        <f t="shared" si="144"/>
        <v>#DIV/0!</v>
      </c>
      <c r="BN201" s="19" t="e">
        <f t="shared" si="145"/>
        <v>#DIV/0!</v>
      </c>
      <c r="BO201" s="19" t="e">
        <f t="shared" si="146"/>
        <v>#DIV/0!</v>
      </c>
      <c r="BP201" s="19" t="e">
        <f t="shared" si="147"/>
        <v>#DIV/0!</v>
      </c>
      <c r="BQ201" s="19" t="e">
        <f t="shared" si="148"/>
        <v>#DIV/0!</v>
      </c>
      <c r="BR201" s="19" t="e">
        <f t="shared" si="149"/>
        <v>#DIV/0!</v>
      </c>
      <c r="BS201" s="19" t="e">
        <f t="shared" si="150"/>
        <v>#DIV/0!</v>
      </c>
      <c r="BT201" s="19" t="e">
        <f t="shared" si="151"/>
        <v>#DIV/0!</v>
      </c>
      <c r="BV201" s="16">
        <f t="shared" si="152"/>
        <v>0</v>
      </c>
      <c r="BW201" s="16">
        <f t="shared" si="153"/>
        <v>0</v>
      </c>
      <c r="BX201" s="3">
        <f t="shared" si="154"/>
        <v>0</v>
      </c>
      <c r="BY201" s="3">
        <f t="shared" ref="BY201:BY264" si="183">ROUND(G201,1)</f>
        <v>0</v>
      </c>
      <c r="BZ201" s="3" t="s">
        <v>162</v>
      </c>
      <c r="CA201" s="3">
        <f t="shared" si="155"/>
        <v>0</v>
      </c>
      <c r="CB201" s="3">
        <f t="shared" si="156"/>
        <v>0</v>
      </c>
      <c r="CC201" s="3">
        <f t="shared" si="157"/>
        <v>0</v>
      </c>
      <c r="CD201" s="3">
        <f t="shared" si="158"/>
        <v>0</v>
      </c>
      <c r="CE201" s="22">
        <f t="shared" si="164"/>
        <v>0</v>
      </c>
      <c r="CF201" s="1">
        <f t="shared" si="159"/>
        <v>0</v>
      </c>
      <c r="CG201" s="1">
        <f t="shared" si="165"/>
        <v>0</v>
      </c>
      <c r="CH201" s="3" t="s">
        <v>162</v>
      </c>
      <c r="CI201" s="1">
        <f t="shared" si="166"/>
        <v>0</v>
      </c>
      <c r="CJ201" s="1">
        <f t="shared" si="167"/>
        <v>0</v>
      </c>
      <c r="CK201" s="1">
        <f t="shared" si="168"/>
        <v>0</v>
      </c>
      <c r="CL201" s="1">
        <f t="shared" si="169"/>
        <v>0</v>
      </c>
      <c r="CM201" s="2">
        <f t="shared" si="170"/>
        <v>0</v>
      </c>
      <c r="CN201" s="1">
        <f t="shared" si="171"/>
        <v>0</v>
      </c>
      <c r="CO201" s="1">
        <f t="shared" si="172"/>
        <v>0</v>
      </c>
      <c r="CP201" s="3" t="s">
        <v>162</v>
      </c>
      <c r="CQ201" s="1">
        <f t="shared" si="173"/>
        <v>0</v>
      </c>
      <c r="CR201" s="1">
        <f t="shared" si="174"/>
        <v>0</v>
      </c>
      <c r="CS201" s="1">
        <f t="shared" si="175"/>
        <v>0</v>
      </c>
      <c r="CT201" s="1">
        <f t="shared" si="176"/>
        <v>0</v>
      </c>
      <c r="CU201" s="2">
        <f t="shared" si="177"/>
        <v>0</v>
      </c>
      <c r="CV201" s="14">
        <f t="shared" si="178"/>
        <v>0</v>
      </c>
      <c r="CW201" s="1">
        <f>ROUND(PPTest!K201,1)</f>
        <v>0</v>
      </c>
      <c r="CX201" s="3">
        <f t="shared" si="160"/>
        <v>0</v>
      </c>
      <c r="CY201" s="3">
        <f t="shared" si="179"/>
        <v>0</v>
      </c>
      <c r="CZ201" s="19">
        <f t="shared" si="180"/>
        <v>0</v>
      </c>
      <c r="DA201" s="19" t="e">
        <f t="shared" si="180"/>
        <v>#DIV/0!</v>
      </c>
      <c r="DB201" s="16">
        <f t="shared" si="181"/>
        <v>0</v>
      </c>
    </row>
    <row r="202" spans="1:106" x14ac:dyDescent="0.2">
      <c r="A202" s="15">
        <f t="shared" si="182"/>
        <v>45854</v>
      </c>
      <c r="B202" s="1">
        <v>197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4"/>
      <c r="AY202" s="43"/>
      <c r="BA202" s="16">
        <v>31.65</v>
      </c>
      <c r="BB202" s="41"/>
      <c r="BC202" s="41"/>
      <c r="BD202" s="8" t="e">
        <f t="shared" si="141"/>
        <v>#DIV/0!</v>
      </c>
      <c r="BE202" s="8"/>
      <c r="BF202" s="2">
        <f t="shared" si="161"/>
        <v>0</v>
      </c>
      <c r="BG202" s="2">
        <f t="shared" si="162"/>
        <v>0</v>
      </c>
      <c r="BH202" s="2">
        <f t="shared" si="163"/>
        <v>0</v>
      </c>
      <c r="BI202" s="35">
        <f t="shared" si="140"/>
        <v>0</v>
      </c>
      <c r="BJ202" s="35" t="e">
        <f t="shared" si="142"/>
        <v>#DIV/0!</v>
      </c>
      <c r="BL202" s="3">
        <f t="shared" si="143"/>
        <v>0</v>
      </c>
      <c r="BM202" s="19" t="e">
        <f t="shared" si="144"/>
        <v>#DIV/0!</v>
      </c>
      <c r="BN202" s="19" t="e">
        <f t="shared" si="145"/>
        <v>#DIV/0!</v>
      </c>
      <c r="BO202" s="19" t="e">
        <f t="shared" si="146"/>
        <v>#DIV/0!</v>
      </c>
      <c r="BP202" s="19" t="e">
        <f t="shared" si="147"/>
        <v>#DIV/0!</v>
      </c>
      <c r="BQ202" s="19" t="e">
        <f t="shared" si="148"/>
        <v>#DIV/0!</v>
      </c>
      <c r="BR202" s="19" t="e">
        <f t="shared" si="149"/>
        <v>#DIV/0!</v>
      </c>
      <c r="BS202" s="19" t="e">
        <f t="shared" si="150"/>
        <v>#DIV/0!</v>
      </c>
      <c r="BT202" s="19" t="e">
        <f t="shared" si="151"/>
        <v>#DIV/0!</v>
      </c>
      <c r="BV202" s="16">
        <f t="shared" si="152"/>
        <v>0</v>
      </c>
      <c r="BW202" s="16">
        <f t="shared" si="153"/>
        <v>0</v>
      </c>
      <c r="BX202" s="3">
        <f t="shared" si="154"/>
        <v>0</v>
      </c>
      <c r="BY202" s="3">
        <f t="shared" si="183"/>
        <v>0</v>
      </c>
      <c r="BZ202" s="3" t="s">
        <v>162</v>
      </c>
      <c r="CA202" s="3">
        <f t="shared" si="155"/>
        <v>0</v>
      </c>
      <c r="CB202" s="3">
        <f t="shared" si="156"/>
        <v>0</v>
      </c>
      <c r="CC202" s="3">
        <f t="shared" si="157"/>
        <v>0</v>
      </c>
      <c r="CD202" s="3">
        <f t="shared" si="158"/>
        <v>0</v>
      </c>
      <c r="CE202" s="22">
        <f t="shared" si="164"/>
        <v>0</v>
      </c>
      <c r="CF202" s="1">
        <f t="shared" si="159"/>
        <v>0</v>
      </c>
      <c r="CG202" s="1">
        <f t="shared" si="165"/>
        <v>0</v>
      </c>
      <c r="CH202" s="3" t="s">
        <v>162</v>
      </c>
      <c r="CI202" s="1">
        <f t="shared" si="166"/>
        <v>0</v>
      </c>
      <c r="CJ202" s="1">
        <f t="shared" si="167"/>
        <v>0</v>
      </c>
      <c r="CK202" s="1">
        <f t="shared" si="168"/>
        <v>0</v>
      </c>
      <c r="CL202" s="1">
        <f t="shared" si="169"/>
        <v>0</v>
      </c>
      <c r="CM202" s="2">
        <f t="shared" si="170"/>
        <v>0</v>
      </c>
      <c r="CN202" s="1">
        <f t="shared" si="171"/>
        <v>0</v>
      </c>
      <c r="CO202" s="1">
        <f t="shared" si="172"/>
        <v>0</v>
      </c>
      <c r="CP202" s="3" t="s">
        <v>162</v>
      </c>
      <c r="CQ202" s="1">
        <f t="shared" si="173"/>
        <v>0</v>
      </c>
      <c r="CR202" s="1">
        <f t="shared" si="174"/>
        <v>0</v>
      </c>
      <c r="CS202" s="1">
        <f t="shared" si="175"/>
        <v>0</v>
      </c>
      <c r="CT202" s="1">
        <f t="shared" si="176"/>
        <v>0</v>
      </c>
      <c r="CU202" s="2">
        <f t="shared" si="177"/>
        <v>0</v>
      </c>
      <c r="CV202" s="14">
        <f t="shared" si="178"/>
        <v>0</v>
      </c>
      <c r="CW202" s="1">
        <f>ROUND(PPTest!K202,1)</f>
        <v>0</v>
      </c>
      <c r="CX202" s="3">
        <f t="shared" si="160"/>
        <v>0</v>
      </c>
      <c r="CY202" s="3">
        <f t="shared" si="179"/>
        <v>0</v>
      </c>
      <c r="CZ202" s="19">
        <f t="shared" si="180"/>
        <v>0</v>
      </c>
      <c r="DA202" s="19" t="e">
        <f t="shared" si="180"/>
        <v>#DIV/0!</v>
      </c>
      <c r="DB202" s="16">
        <f t="shared" si="181"/>
        <v>0</v>
      </c>
    </row>
    <row r="203" spans="1:106" x14ac:dyDescent="0.2">
      <c r="A203" s="15">
        <f t="shared" si="182"/>
        <v>45855</v>
      </c>
      <c r="B203" s="1">
        <v>198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4"/>
      <c r="AY203" s="43"/>
      <c r="BA203" s="16">
        <v>31.54</v>
      </c>
      <c r="BB203" s="41"/>
      <c r="BC203" s="41"/>
      <c r="BD203" s="8" t="e">
        <f t="shared" si="141"/>
        <v>#DIV/0!</v>
      </c>
      <c r="BE203" s="8"/>
      <c r="BF203" s="2">
        <f t="shared" si="161"/>
        <v>0</v>
      </c>
      <c r="BG203" s="2">
        <f t="shared" si="162"/>
        <v>0</v>
      </c>
      <c r="BH203" s="2">
        <f t="shared" si="163"/>
        <v>0</v>
      </c>
      <c r="BI203" s="35">
        <f t="shared" si="140"/>
        <v>0</v>
      </c>
      <c r="BJ203" s="35" t="e">
        <f t="shared" si="142"/>
        <v>#DIV/0!</v>
      </c>
      <c r="BL203" s="3">
        <f t="shared" si="143"/>
        <v>0</v>
      </c>
      <c r="BM203" s="19" t="e">
        <f t="shared" si="144"/>
        <v>#DIV/0!</v>
      </c>
      <c r="BN203" s="19" t="e">
        <f t="shared" si="145"/>
        <v>#DIV/0!</v>
      </c>
      <c r="BO203" s="19" t="e">
        <f t="shared" si="146"/>
        <v>#DIV/0!</v>
      </c>
      <c r="BP203" s="19" t="e">
        <f t="shared" si="147"/>
        <v>#DIV/0!</v>
      </c>
      <c r="BQ203" s="19" t="e">
        <f t="shared" si="148"/>
        <v>#DIV/0!</v>
      </c>
      <c r="BR203" s="19" t="e">
        <f t="shared" si="149"/>
        <v>#DIV/0!</v>
      </c>
      <c r="BS203" s="19" t="e">
        <f t="shared" si="150"/>
        <v>#DIV/0!</v>
      </c>
      <c r="BT203" s="19" t="e">
        <f t="shared" si="151"/>
        <v>#DIV/0!</v>
      </c>
      <c r="BV203" s="16">
        <f t="shared" si="152"/>
        <v>0</v>
      </c>
      <c r="BW203" s="16">
        <f t="shared" si="153"/>
        <v>0</v>
      </c>
      <c r="BX203" s="3">
        <f t="shared" si="154"/>
        <v>0</v>
      </c>
      <c r="BY203" s="3">
        <f t="shared" si="183"/>
        <v>0</v>
      </c>
      <c r="BZ203" s="3" t="s">
        <v>162</v>
      </c>
      <c r="CA203" s="3">
        <f t="shared" si="155"/>
        <v>0</v>
      </c>
      <c r="CB203" s="3">
        <f t="shared" si="156"/>
        <v>0</v>
      </c>
      <c r="CC203" s="3">
        <f t="shared" si="157"/>
        <v>0</v>
      </c>
      <c r="CD203" s="3">
        <f t="shared" si="158"/>
        <v>0</v>
      </c>
      <c r="CE203" s="22">
        <f t="shared" si="164"/>
        <v>0</v>
      </c>
      <c r="CF203" s="1">
        <f t="shared" si="159"/>
        <v>0</v>
      </c>
      <c r="CG203" s="1">
        <f t="shared" si="165"/>
        <v>0</v>
      </c>
      <c r="CH203" s="3" t="s">
        <v>162</v>
      </c>
      <c r="CI203" s="1">
        <f t="shared" si="166"/>
        <v>0</v>
      </c>
      <c r="CJ203" s="1">
        <f t="shared" si="167"/>
        <v>0</v>
      </c>
      <c r="CK203" s="1">
        <f t="shared" si="168"/>
        <v>0</v>
      </c>
      <c r="CL203" s="1">
        <f t="shared" si="169"/>
        <v>0</v>
      </c>
      <c r="CM203" s="2">
        <f t="shared" si="170"/>
        <v>0</v>
      </c>
      <c r="CN203" s="1">
        <f t="shared" si="171"/>
        <v>0</v>
      </c>
      <c r="CO203" s="1">
        <f t="shared" si="172"/>
        <v>0</v>
      </c>
      <c r="CP203" s="3" t="s">
        <v>162</v>
      </c>
      <c r="CQ203" s="1">
        <f t="shared" si="173"/>
        <v>0</v>
      </c>
      <c r="CR203" s="1">
        <f t="shared" si="174"/>
        <v>0</v>
      </c>
      <c r="CS203" s="1">
        <f t="shared" si="175"/>
        <v>0</v>
      </c>
      <c r="CT203" s="1">
        <f t="shared" si="176"/>
        <v>0</v>
      </c>
      <c r="CU203" s="2">
        <f t="shared" si="177"/>
        <v>0</v>
      </c>
      <c r="CV203" s="14">
        <f t="shared" si="178"/>
        <v>0</v>
      </c>
      <c r="CW203" s="1">
        <f>ROUND(PPTest!K203,1)</f>
        <v>0</v>
      </c>
      <c r="CX203" s="3">
        <f t="shared" si="160"/>
        <v>0</v>
      </c>
      <c r="CY203" s="3">
        <f t="shared" si="179"/>
        <v>0</v>
      </c>
      <c r="CZ203" s="19">
        <f t="shared" si="180"/>
        <v>0</v>
      </c>
      <c r="DA203" s="19" t="e">
        <f t="shared" si="180"/>
        <v>#DIV/0!</v>
      </c>
      <c r="DB203" s="16">
        <f t="shared" si="181"/>
        <v>0</v>
      </c>
    </row>
    <row r="204" spans="1:106" x14ac:dyDescent="0.2">
      <c r="A204" s="15">
        <f t="shared" si="182"/>
        <v>45856</v>
      </c>
      <c r="B204" s="1">
        <v>199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4"/>
      <c r="AY204" s="43"/>
      <c r="BA204" s="16">
        <v>31.42</v>
      </c>
      <c r="BB204" s="41"/>
      <c r="BC204" s="41"/>
      <c r="BD204" s="8" t="e">
        <f t="shared" si="141"/>
        <v>#DIV/0!</v>
      </c>
      <c r="BE204" s="8"/>
      <c r="BF204" s="2">
        <f t="shared" si="161"/>
        <v>0</v>
      </c>
      <c r="BG204" s="2">
        <f t="shared" si="162"/>
        <v>0</v>
      </c>
      <c r="BH204" s="2">
        <f t="shared" si="163"/>
        <v>0</v>
      </c>
      <c r="BI204" s="35">
        <f t="shared" si="140"/>
        <v>0</v>
      </c>
      <c r="BJ204" s="35" t="e">
        <f t="shared" si="142"/>
        <v>#DIV/0!</v>
      </c>
      <c r="BL204" s="3">
        <f t="shared" si="143"/>
        <v>0</v>
      </c>
      <c r="BM204" s="19" t="e">
        <f t="shared" si="144"/>
        <v>#DIV/0!</v>
      </c>
      <c r="BN204" s="19" t="e">
        <f t="shared" si="145"/>
        <v>#DIV/0!</v>
      </c>
      <c r="BO204" s="19" t="e">
        <f t="shared" si="146"/>
        <v>#DIV/0!</v>
      </c>
      <c r="BP204" s="19" t="e">
        <f t="shared" si="147"/>
        <v>#DIV/0!</v>
      </c>
      <c r="BQ204" s="19" t="e">
        <f t="shared" si="148"/>
        <v>#DIV/0!</v>
      </c>
      <c r="BR204" s="19" t="e">
        <f t="shared" si="149"/>
        <v>#DIV/0!</v>
      </c>
      <c r="BS204" s="19" t="e">
        <f t="shared" si="150"/>
        <v>#DIV/0!</v>
      </c>
      <c r="BT204" s="19" t="e">
        <f t="shared" si="151"/>
        <v>#DIV/0!</v>
      </c>
      <c r="BV204" s="16">
        <f t="shared" si="152"/>
        <v>0</v>
      </c>
      <c r="BW204" s="16">
        <f t="shared" si="153"/>
        <v>0</v>
      </c>
      <c r="BX204" s="3">
        <f t="shared" si="154"/>
        <v>0</v>
      </c>
      <c r="BY204" s="3">
        <f t="shared" si="183"/>
        <v>0</v>
      </c>
      <c r="BZ204" s="3" t="s">
        <v>162</v>
      </c>
      <c r="CA204" s="3">
        <f t="shared" si="155"/>
        <v>0</v>
      </c>
      <c r="CB204" s="3">
        <f t="shared" si="156"/>
        <v>0</v>
      </c>
      <c r="CC204" s="3">
        <f t="shared" si="157"/>
        <v>0</v>
      </c>
      <c r="CD204" s="3">
        <f t="shared" si="158"/>
        <v>0</v>
      </c>
      <c r="CE204" s="22">
        <f t="shared" si="164"/>
        <v>0</v>
      </c>
      <c r="CF204" s="1">
        <f t="shared" si="159"/>
        <v>0</v>
      </c>
      <c r="CG204" s="1">
        <f t="shared" si="165"/>
        <v>0</v>
      </c>
      <c r="CH204" s="3" t="s">
        <v>162</v>
      </c>
      <c r="CI204" s="1">
        <f t="shared" si="166"/>
        <v>0</v>
      </c>
      <c r="CJ204" s="1">
        <f t="shared" si="167"/>
        <v>0</v>
      </c>
      <c r="CK204" s="1">
        <f t="shared" si="168"/>
        <v>0</v>
      </c>
      <c r="CL204" s="1">
        <f t="shared" si="169"/>
        <v>0</v>
      </c>
      <c r="CM204" s="2">
        <f t="shared" si="170"/>
        <v>0</v>
      </c>
      <c r="CN204" s="1">
        <f t="shared" si="171"/>
        <v>0</v>
      </c>
      <c r="CO204" s="1">
        <f t="shared" si="172"/>
        <v>0</v>
      </c>
      <c r="CP204" s="3" t="s">
        <v>162</v>
      </c>
      <c r="CQ204" s="1">
        <f t="shared" si="173"/>
        <v>0</v>
      </c>
      <c r="CR204" s="1">
        <f t="shared" si="174"/>
        <v>0</v>
      </c>
      <c r="CS204" s="1">
        <f t="shared" si="175"/>
        <v>0</v>
      </c>
      <c r="CT204" s="1">
        <f t="shared" si="176"/>
        <v>0</v>
      </c>
      <c r="CU204" s="2">
        <f t="shared" si="177"/>
        <v>0</v>
      </c>
      <c r="CV204" s="14">
        <f t="shared" si="178"/>
        <v>0</v>
      </c>
      <c r="CW204" s="1">
        <f>ROUND(PPTest!K204,1)</f>
        <v>0</v>
      </c>
      <c r="CX204" s="3">
        <f t="shared" si="160"/>
        <v>0</v>
      </c>
      <c r="CY204" s="3">
        <f t="shared" si="179"/>
        <v>0</v>
      </c>
      <c r="CZ204" s="19">
        <f t="shared" si="180"/>
        <v>0</v>
      </c>
      <c r="DA204" s="19" t="e">
        <f t="shared" si="180"/>
        <v>#DIV/0!</v>
      </c>
      <c r="DB204" s="16">
        <f t="shared" si="181"/>
        <v>0</v>
      </c>
    </row>
    <row r="205" spans="1:106" x14ac:dyDescent="0.2">
      <c r="A205" s="15">
        <f t="shared" si="182"/>
        <v>45857</v>
      </c>
      <c r="B205" s="1">
        <v>200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4"/>
      <c r="AY205" s="43"/>
      <c r="BA205" s="16">
        <v>31.29</v>
      </c>
      <c r="BB205" s="41"/>
      <c r="BC205" s="41"/>
      <c r="BD205" s="8" t="e">
        <f t="shared" si="141"/>
        <v>#DIV/0!</v>
      </c>
      <c r="BE205" s="8"/>
      <c r="BF205" s="2">
        <f t="shared" si="161"/>
        <v>0</v>
      </c>
      <c r="BG205" s="2">
        <f t="shared" si="162"/>
        <v>0</v>
      </c>
      <c r="BH205" s="2">
        <f t="shared" si="163"/>
        <v>0</v>
      </c>
      <c r="BI205" s="35">
        <f t="shared" si="140"/>
        <v>0</v>
      </c>
      <c r="BJ205" s="35" t="e">
        <f t="shared" si="142"/>
        <v>#DIV/0!</v>
      </c>
      <c r="BL205" s="3">
        <f t="shared" si="143"/>
        <v>0</v>
      </c>
      <c r="BM205" s="19" t="e">
        <f t="shared" si="144"/>
        <v>#DIV/0!</v>
      </c>
      <c r="BN205" s="19" t="e">
        <f t="shared" si="145"/>
        <v>#DIV/0!</v>
      </c>
      <c r="BO205" s="19" t="e">
        <f t="shared" si="146"/>
        <v>#DIV/0!</v>
      </c>
      <c r="BP205" s="19" t="e">
        <f t="shared" si="147"/>
        <v>#DIV/0!</v>
      </c>
      <c r="BQ205" s="19" t="e">
        <f t="shared" si="148"/>
        <v>#DIV/0!</v>
      </c>
      <c r="BR205" s="19" t="e">
        <f t="shared" si="149"/>
        <v>#DIV/0!</v>
      </c>
      <c r="BS205" s="19" t="e">
        <f t="shared" si="150"/>
        <v>#DIV/0!</v>
      </c>
      <c r="BT205" s="19" t="e">
        <f t="shared" si="151"/>
        <v>#DIV/0!</v>
      </c>
      <c r="BV205" s="16">
        <f t="shared" si="152"/>
        <v>0</v>
      </c>
      <c r="BW205" s="16">
        <f t="shared" si="153"/>
        <v>0</v>
      </c>
      <c r="BX205" s="3">
        <f t="shared" si="154"/>
        <v>0</v>
      </c>
      <c r="BY205" s="3">
        <f t="shared" si="183"/>
        <v>0</v>
      </c>
      <c r="BZ205" s="3" t="s">
        <v>162</v>
      </c>
      <c r="CA205" s="3">
        <f t="shared" si="155"/>
        <v>0</v>
      </c>
      <c r="CB205" s="3">
        <f t="shared" si="156"/>
        <v>0</v>
      </c>
      <c r="CC205" s="3">
        <f t="shared" si="157"/>
        <v>0</v>
      </c>
      <c r="CD205" s="3">
        <f t="shared" si="158"/>
        <v>0</v>
      </c>
      <c r="CE205" s="22">
        <f t="shared" si="164"/>
        <v>0</v>
      </c>
      <c r="CF205" s="1">
        <f t="shared" si="159"/>
        <v>0</v>
      </c>
      <c r="CG205" s="1">
        <f t="shared" si="165"/>
        <v>0</v>
      </c>
      <c r="CH205" s="3" t="s">
        <v>162</v>
      </c>
      <c r="CI205" s="1">
        <f t="shared" si="166"/>
        <v>0</v>
      </c>
      <c r="CJ205" s="1">
        <f t="shared" si="167"/>
        <v>0</v>
      </c>
      <c r="CK205" s="1">
        <f t="shared" si="168"/>
        <v>0</v>
      </c>
      <c r="CL205" s="1">
        <f t="shared" si="169"/>
        <v>0</v>
      </c>
      <c r="CM205" s="2">
        <f t="shared" si="170"/>
        <v>0</v>
      </c>
      <c r="CN205" s="1">
        <f t="shared" si="171"/>
        <v>0</v>
      </c>
      <c r="CO205" s="1">
        <f t="shared" si="172"/>
        <v>0</v>
      </c>
      <c r="CP205" s="3" t="s">
        <v>162</v>
      </c>
      <c r="CQ205" s="1">
        <f t="shared" si="173"/>
        <v>0</v>
      </c>
      <c r="CR205" s="1">
        <f t="shared" si="174"/>
        <v>0</v>
      </c>
      <c r="CS205" s="1">
        <f t="shared" si="175"/>
        <v>0</v>
      </c>
      <c r="CT205" s="1">
        <f t="shared" si="176"/>
        <v>0</v>
      </c>
      <c r="CU205" s="2">
        <f t="shared" si="177"/>
        <v>0</v>
      </c>
      <c r="CV205" s="14">
        <f t="shared" si="178"/>
        <v>0</v>
      </c>
      <c r="CW205" s="1">
        <f>ROUND(PPTest!K205,1)</f>
        <v>0</v>
      </c>
      <c r="CX205" s="3">
        <f t="shared" si="160"/>
        <v>0</v>
      </c>
      <c r="CY205" s="3">
        <f t="shared" si="179"/>
        <v>0</v>
      </c>
      <c r="CZ205" s="19">
        <f t="shared" si="180"/>
        <v>0</v>
      </c>
      <c r="DA205" s="19" t="e">
        <f t="shared" si="180"/>
        <v>#DIV/0!</v>
      </c>
      <c r="DB205" s="16">
        <f t="shared" si="181"/>
        <v>0</v>
      </c>
    </row>
    <row r="206" spans="1:106" x14ac:dyDescent="0.2">
      <c r="A206" s="15">
        <f t="shared" si="182"/>
        <v>45858</v>
      </c>
      <c r="B206" s="1">
        <v>201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4"/>
      <c r="AY206" s="43"/>
      <c r="BA206" s="16">
        <v>31.17</v>
      </c>
      <c r="BB206" s="41"/>
      <c r="BC206" s="41"/>
      <c r="BD206" s="8" t="e">
        <f t="shared" si="141"/>
        <v>#DIV/0!</v>
      </c>
      <c r="BE206" s="8"/>
      <c r="BF206" s="2">
        <f t="shared" si="161"/>
        <v>0</v>
      </c>
      <c r="BG206" s="2">
        <f t="shared" si="162"/>
        <v>0</v>
      </c>
      <c r="BH206" s="2">
        <f t="shared" si="163"/>
        <v>0</v>
      </c>
      <c r="BI206" s="35">
        <f t="shared" si="140"/>
        <v>0</v>
      </c>
      <c r="BJ206" s="35" t="e">
        <f t="shared" si="142"/>
        <v>#DIV/0!</v>
      </c>
      <c r="BL206" s="3">
        <f t="shared" si="143"/>
        <v>0</v>
      </c>
      <c r="BM206" s="19" t="e">
        <f t="shared" si="144"/>
        <v>#DIV/0!</v>
      </c>
      <c r="BN206" s="19" t="e">
        <f t="shared" si="145"/>
        <v>#DIV/0!</v>
      </c>
      <c r="BO206" s="19" t="e">
        <f t="shared" si="146"/>
        <v>#DIV/0!</v>
      </c>
      <c r="BP206" s="19" t="e">
        <f t="shared" si="147"/>
        <v>#DIV/0!</v>
      </c>
      <c r="BQ206" s="19" t="e">
        <f t="shared" si="148"/>
        <v>#DIV/0!</v>
      </c>
      <c r="BR206" s="19" t="e">
        <f t="shared" si="149"/>
        <v>#DIV/0!</v>
      </c>
      <c r="BS206" s="19" t="e">
        <f t="shared" si="150"/>
        <v>#DIV/0!</v>
      </c>
      <c r="BT206" s="19" t="e">
        <f t="shared" si="151"/>
        <v>#DIV/0!</v>
      </c>
      <c r="BV206" s="16">
        <f t="shared" si="152"/>
        <v>0</v>
      </c>
      <c r="BW206" s="16">
        <f t="shared" si="153"/>
        <v>0</v>
      </c>
      <c r="BX206" s="3">
        <f t="shared" si="154"/>
        <v>0</v>
      </c>
      <c r="BY206" s="3">
        <f t="shared" si="183"/>
        <v>0</v>
      </c>
      <c r="BZ206" s="3" t="s">
        <v>162</v>
      </c>
      <c r="CA206" s="3">
        <f t="shared" si="155"/>
        <v>0</v>
      </c>
      <c r="CB206" s="3">
        <f t="shared" si="156"/>
        <v>0</v>
      </c>
      <c r="CC206" s="3">
        <f t="shared" si="157"/>
        <v>0</v>
      </c>
      <c r="CD206" s="3">
        <f t="shared" si="158"/>
        <v>0</v>
      </c>
      <c r="CE206" s="22">
        <f t="shared" si="164"/>
        <v>0</v>
      </c>
      <c r="CF206" s="1">
        <f t="shared" si="159"/>
        <v>0</v>
      </c>
      <c r="CG206" s="1">
        <f t="shared" si="165"/>
        <v>0</v>
      </c>
      <c r="CH206" s="3" t="s">
        <v>162</v>
      </c>
      <c r="CI206" s="1">
        <f t="shared" si="166"/>
        <v>0</v>
      </c>
      <c r="CJ206" s="1">
        <f t="shared" si="167"/>
        <v>0</v>
      </c>
      <c r="CK206" s="1">
        <f t="shared" si="168"/>
        <v>0</v>
      </c>
      <c r="CL206" s="1">
        <f t="shared" si="169"/>
        <v>0</v>
      </c>
      <c r="CM206" s="2">
        <f t="shared" si="170"/>
        <v>0</v>
      </c>
      <c r="CN206" s="1">
        <f t="shared" si="171"/>
        <v>0</v>
      </c>
      <c r="CO206" s="1">
        <f t="shared" si="172"/>
        <v>0</v>
      </c>
      <c r="CP206" s="3" t="s">
        <v>162</v>
      </c>
      <c r="CQ206" s="1">
        <f t="shared" si="173"/>
        <v>0</v>
      </c>
      <c r="CR206" s="1">
        <f t="shared" si="174"/>
        <v>0</v>
      </c>
      <c r="CS206" s="1">
        <f t="shared" si="175"/>
        <v>0</v>
      </c>
      <c r="CT206" s="1">
        <f t="shared" si="176"/>
        <v>0</v>
      </c>
      <c r="CU206" s="2">
        <f t="shared" si="177"/>
        <v>0</v>
      </c>
      <c r="CV206" s="14">
        <f t="shared" si="178"/>
        <v>0</v>
      </c>
      <c r="CW206" s="1">
        <f>ROUND(PPTest!K206,1)</f>
        <v>0</v>
      </c>
      <c r="CX206" s="3">
        <f t="shared" si="160"/>
        <v>0</v>
      </c>
      <c r="CY206" s="3">
        <f t="shared" si="179"/>
        <v>0</v>
      </c>
      <c r="CZ206" s="19">
        <f t="shared" si="180"/>
        <v>0</v>
      </c>
      <c r="DA206" s="19" t="e">
        <f t="shared" si="180"/>
        <v>#DIV/0!</v>
      </c>
      <c r="DB206" s="16">
        <f t="shared" si="181"/>
        <v>0</v>
      </c>
    </row>
    <row r="207" spans="1:106" x14ac:dyDescent="0.2">
      <c r="A207" s="15">
        <f t="shared" si="182"/>
        <v>45859</v>
      </c>
      <c r="B207" s="1">
        <v>202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4"/>
      <c r="AY207" s="43"/>
      <c r="BA207" s="16">
        <v>31.03</v>
      </c>
      <c r="BB207" s="41"/>
      <c r="BC207" s="41"/>
      <c r="BD207" s="8" t="e">
        <f t="shared" si="141"/>
        <v>#DIV/0!</v>
      </c>
      <c r="BE207" s="8"/>
      <c r="BF207" s="2">
        <f t="shared" si="161"/>
        <v>0</v>
      </c>
      <c r="BG207" s="2">
        <f t="shared" si="162"/>
        <v>0</v>
      </c>
      <c r="BH207" s="2">
        <f t="shared" si="163"/>
        <v>0</v>
      </c>
      <c r="BI207" s="35">
        <f t="shared" si="140"/>
        <v>0</v>
      </c>
      <c r="BJ207" s="35" t="e">
        <f t="shared" si="142"/>
        <v>#DIV/0!</v>
      </c>
      <c r="BL207" s="3">
        <f t="shared" si="143"/>
        <v>0</v>
      </c>
      <c r="BM207" s="19" t="e">
        <f t="shared" si="144"/>
        <v>#DIV/0!</v>
      </c>
      <c r="BN207" s="19" t="e">
        <f t="shared" si="145"/>
        <v>#DIV/0!</v>
      </c>
      <c r="BO207" s="19" t="e">
        <f t="shared" si="146"/>
        <v>#DIV/0!</v>
      </c>
      <c r="BP207" s="19" t="e">
        <f t="shared" si="147"/>
        <v>#DIV/0!</v>
      </c>
      <c r="BQ207" s="19" t="e">
        <f t="shared" si="148"/>
        <v>#DIV/0!</v>
      </c>
      <c r="BR207" s="19" t="e">
        <f t="shared" si="149"/>
        <v>#DIV/0!</v>
      </c>
      <c r="BS207" s="19" t="e">
        <f t="shared" si="150"/>
        <v>#DIV/0!</v>
      </c>
      <c r="BT207" s="19" t="e">
        <f t="shared" si="151"/>
        <v>#DIV/0!</v>
      </c>
      <c r="BV207" s="16">
        <f t="shared" si="152"/>
        <v>0</v>
      </c>
      <c r="BW207" s="16">
        <f t="shared" si="153"/>
        <v>0</v>
      </c>
      <c r="BX207" s="3">
        <f t="shared" si="154"/>
        <v>0</v>
      </c>
      <c r="BY207" s="3">
        <f t="shared" si="183"/>
        <v>0</v>
      </c>
      <c r="BZ207" s="3" t="s">
        <v>162</v>
      </c>
      <c r="CA207" s="3">
        <f t="shared" si="155"/>
        <v>0</v>
      </c>
      <c r="CB207" s="3">
        <f t="shared" si="156"/>
        <v>0</v>
      </c>
      <c r="CC207" s="3">
        <f t="shared" si="157"/>
        <v>0</v>
      </c>
      <c r="CD207" s="3">
        <f t="shared" si="158"/>
        <v>0</v>
      </c>
      <c r="CE207" s="22">
        <f t="shared" si="164"/>
        <v>0</v>
      </c>
      <c r="CF207" s="1">
        <f t="shared" si="159"/>
        <v>0</v>
      </c>
      <c r="CG207" s="1">
        <f t="shared" si="165"/>
        <v>0</v>
      </c>
      <c r="CH207" s="3" t="s">
        <v>162</v>
      </c>
      <c r="CI207" s="1">
        <f t="shared" si="166"/>
        <v>0</v>
      </c>
      <c r="CJ207" s="1">
        <f t="shared" si="167"/>
        <v>0</v>
      </c>
      <c r="CK207" s="1">
        <f t="shared" si="168"/>
        <v>0</v>
      </c>
      <c r="CL207" s="1">
        <f t="shared" si="169"/>
        <v>0</v>
      </c>
      <c r="CM207" s="2">
        <f t="shared" si="170"/>
        <v>0</v>
      </c>
      <c r="CN207" s="1">
        <f t="shared" si="171"/>
        <v>0</v>
      </c>
      <c r="CO207" s="1">
        <f t="shared" si="172"/>
        <v>0</v>
      </c>
      <c r="CP207" s="3" t="s">
        <v>162</v>
      </c>
      <c r="CQ207" s="1">
        <f t="shared" si="173"/>
        <v>0</v>
      </c>
      <c r="CR207" s="1">
        <f t="shared" si="174"/>
        <v>0</v>
      </c>
      <c r="CS207" s="1">
        <f t="shared" si="175"/>
        <v>0</v>
      </c>
      <c r="CT207" s="1">
        <f t="shared" si="176"/>
        <v>0</v>
      </c>
      <c r="CU207" s="2">
        <f t="shared" si="177"/>
        <v>0</v>
      </c>
      <c r="CV207" s="14">
        <f t="shared" si="178"/>
        <v>0</v>
      </c>
      <c r="CW207" s="1">
        <f>ROUND(PPTest!K207,1)</f>
        <v>0</v>
      </c>
      <c r="CX207" s="3">
        <f t="shared" si="160"/>
        <v>0</v>
      </c>
      <c r="CY207" s="3">
        <f t="shared" si="179"/>
        <v>0</v>
      </c>
      <c r="CZ207" s="19">
        <f t="shared" si="180"/>
        <v>0</v>
      </c>
      <c r="DA207" s="19" t="e">
        <f t="shared" si="180"/>
        <v>#DIV/0!</v>
      </c>
      <c r="DB207" s="16">
        <f t="shared" si="181"/>
        <v>0</v>
      </c>
    </row>
    <row r="208" spans="1:106" x14ac:dyDescent="0.2">
      <c r="A208" s="15">
        <f t="shared" si="182"/>
        <v>45860</v>
      </c>
      <c r="B208" s="1">
        <v>203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4"/>
      <c r="AY208" s="43"/>
      <c r="BA208" s="16">
        <v>30.9</v>
      </c>
      <c r="BB208" s="41"/>
      <c r="BC208" s="41"/>
      <c r="BD208" s="8" t="e">
        <f t="shared" si="141"/>
        <v>#DIV/0!</v>
      </c>
      <c r="BE208" s="8"/>
      <c r="BF208" s="2">
        <f t="shared" si="161"/>
        <v>0</v>
      </c>
      <c r="BG208" s="2">
        <f t="shared" si="162"/>
        <v>0</v>
      </c>
      <c r="BH208" s="2">
        <f t="shared" si="163"/>
        <v>0</v>
      </c>
      <c r="BI208" s="35">
        <f t="shared" si="140"/>
        <v>0</v>
      </c>
      <c r="BJ208" s="35" t="e">
        <f t="shared" si="142"/>
        <v>#DIV/0!</v>
      </c>
      <c r="BL208" s="3">
        <f t="shared" si="143"/>
        <v>0</v>
      </c>
      <c r="BM208" s="19" t="e">
        <f t="shared" si="144"/>
        <v>#DIV/0!</v>
      </c>
      <c r="BN208" s="19" t="e">
        <f t="shared" si="145"/>
        <v>#DIV/0!</v>
      </c>
      <c r="BO208" s="19" t="e">
        <f t="shared" si="146"/>
        <v>#DIV/0!</v>
      </c>
      <c r="BP208" s="19" t="e">
        <f t="shared" si="147"/>
        <v>#DIV/0!</v>
      </c>
      <c r="BQ208" s="19" t="e">
        <f t="shared" si="148"/>
        <v>#DIV/0!</v>
      </c>
      <c r="BR208" s="19" t="e">
        <f t="shared" si="149"/>
        <v>#DIV/0!</v>
      </c>
      <c r="BS208" s="19" t="e">
        <f t="shared" si="150"/>
        <v>#DIV/0!</v>
      </c>
      <c r="BT208" s="19" t="e">
        <f t="shared" si="151"/>
        <v>#DIV/0!</v>
      </c>
      <c r="BV208" s="16">
        <f t="shared" si="152"/>
        <v>0</v>
      </c>
      <c r="BW208" s="16">
        <f t="shared" si="153"/>
        <v>0</v>
      </c>
      <c r="BX208" s="3">
        <f t="shared" si="154"/>
        <v>0</v>
      </c>
      <c r="BY208" s="3">
        <f t="shared" si="183"/>
        <v>0</v>
      </c>
      <c r="BZ208" s="3" t="s">
        <v>162</v>
      </c>
      <c r="CA208" s="3">
        <f t="shared" si="155"/>
        <v>0</v>
      </c>
      <c r="CB208" s="3">
        <f t="shared" si="156"/>
        <v>0</v>
      </c>
      <c r="CC208" s="3">
        <f t="shared" si="157"/>
        <v>0</v>
      </c>
      <c r="CD208" s="3">
        <f t="shared" si="158"/>
        <v>0</v>
      </c>
      <c r="CE208" s="22">
        <f t="shared" si="164"/>
        <v>0</v>
      </c>
      <c r="CF208" s="1">
        <f t="shared" si="159"/>
        <v>0</v>
      </c>
      <c r="CG208" s="1">
        <f t="shared" si="165"/>
        <v>0</v>
      </c>
      <c r="CH208" s="3" t="s">
        <v>162</v>
      </c>
      <c r="CI208" s="1">
        <f t="shared" si="166"/>
        <v>0</v>
      </c>
      <c r="CJ208" s="1">
        <f t="shared" si="167"/>
        <v>0</v>
      </c>
      <c r="CK208" s="1">
        <f t="shared" si="168"/>
        <v>0</v>
      </c>
      <c r="CL208" s="1">
        <f t="shared" si="169"/>
        <v>0</v>
      </c>
      <c r="CM208" s="2">
        <f t="shared" si="170"/>
        <v>0</v>
      </c>
      <c r="CN208" s="1">
        <f t="shared" si="171"/>
        <v>0</v>
      </c>
      <c r="CO208" s="1">
        <f t="shared" si="172"/>
        <v>0</v>
      </c>
      <c r="CP208" s="3" t="s">
        <v>162</v>
      </c>
      <c r="CQ208" s="1">
        <f t="shared" si="173"/>
        <v>0</v>
      </c>
      <c r="CR208" s="1">
        <f t="shared" si="174"/>
        <v>0</v>
      </c>
      <c r="CS208" s="1">
        <f t="shared" si="175"/>
        <v>0</v>
      </c>
      <c r="CT208" s="1">
        <f t="shared" si="176"/>
        <v>0</v>
      </c>
      <c r="CU208" s="2">
        <f t="shared" si="177"/>
        <v>0</v>
      </c>
      <c r="CV208" s="14">
        <f t="shared" si="178"/>
        <v>0</v>
      </c>
      <c r="CW208" s="1">
        <f>ROUND(PPTest!K208,1)</f>
        <v>0</v>
      </c>
      <c r="CX208" s="3">
        <f t="shared" si="160"/>
        <v>0</v>
      </c>
      <c r="CY208" s="3">
        <f t="shared" si="179"/>
        <v>0</v>
      </c>
      <c r="CZ208" s="19">
        <f t="shared" si="180"/>
        <v>0</v>
      </c>
      <c r="DA208" s="19" t="e">
        <f t="shared" si="180"/>
        <v>#DIV/0!</v>
      </c>
      <c r="DB208" s="16">
        <f t="shared" si="181"/>
        <v>0</v>
      </c>
    </row>
    <row r="209" spans="1:106" x14ac:dyDescent="0.2">
      <c r="A209" s="15">
        <f t="shared" si="182"/>
        <v>45861</v>
      </c>
      <c r="B209" s="1">
        <v>204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4"/>
      <c r="AY209" s="43"/>
      <c r="BA209" s="16">
        <v>30.76</v>
      </c>
      <c r="BB209" s="41"/>
      <c r="BC209" s="41"/>
      <c r="BD209" s="8" t="e">
        <f t="shared" si="141"/>
        <v>#DIV/0!</v>
      </c>
      <c r="BE209" s="8"/>
      <c r="BF209" s="2">
        <f t="shared" si="161"/>
        <v>0</v>
      </c>
      <c r="BG209" s="2">
        <f t="shared" si="162"/>
        <v>0</v>
      </c>
      <c r="BH209" s="2">
        <f t="shared" si="163"/>
        <v>0</v>
      </c>
      <c r="BI209" s="35">
        <f t="shared" si="140"/>
        <v>0</v>
      </c>
      <c r="BJ209" s="35" t="e">
        <f t="shared" si="142"/>
        <v>#DIV/0!</v>
      </c>
      <c r="BL209" s="3">
        <f t="shared" si="143"/>
        <v>0</v>
      </c>
      <c r="BM209" s="19" t="e">
        <f t="shared" si="144"/>
        <v>#DIV/0!</v>
      </c>
      <c r="BN209" s="19" t="e">
        <f t="shared" si="145"/>
        <v>#DIV/0!</v>
      </c>
      <c r="BO209" s="19" t="e">
        <f t="shared" si="146"/>
        <v>#DIV/0!</v>
      </c>
      <c r="BP209" s="19" t="e">
        <f t="shared" si="147"/>
        <v>#DIV/0!</v>
      </c>
      <c r="BQ209" s="19" t="e">
        <f t="shared" si="148"/>
        <v>#DIV/0!</v>
      </c>
      <c r="BR209" s="19" t="e">
        <f t="shared" si="149"/>
        <v>#DIV/0!</v>
      </c>
      <c r="BS209" s="19" t="e">
        <f t="shared" si="150"/>
        <v>#DIV/0!</v>
      </c>
      <c r="BT209" s="19" t="e">
        <f t="shared" si="151"/>
        <v>#DIV/0!</v>
      </c>
      <c r="BV209" s="16">
        <f t="shared" si="152"/>
        <v>0</v>
      </c>
      <c r="BW209" s="16">
        <f t="shared" si="153"/>
        <v>0</v>
      </c>
      <c r="BX209" s="3">
        <f t="shared" si="154"/>
        <v>0</v>
      </c>
      <c r="BY209" s="3">
        <f t="shared" si="183"/>
        <v>0</v>
      </c>
      <c r="BZ209" s="3" t="s">
        <v>162</v>
      </c>
      <c r="CA209" s="3">
        <f t="shared" si="155"/>
        <v>0</v>
      </c>
      <c r="CB209" s="3">
        <f t="shared" si="156"/>
        <v>0</v>
      </c>
      <c r="CC209" s="3">
        <f t="shared" si="157"/>
        <v>0</v>
      </c>
      <c r="CD209" s="3">
        <f t="shared" si="158"/>
        <v>0</v>
      </c>
      <c r="CE209" s="22">
        <f t="shared" si="164"/>
        <v>0</v>
      </c>
      <c r="CF209" s="1">
        <f t="shared" si="159"/>
        <v>0</v>
      </c>
      <c r="CG209" s="1">
        <f t="shared" si="165"/>
        <v>0</v>
      </c>
      <c r="CH209" s="3" t="s">
        <v>162</v>
      </c>
      <c r="CI209" s="1">
        <f t="shared" si="166"/>
        <v>0</v>
      </c>
      <c r="CJ209" s="1">
        <f t="shared" si="167"/>
        <v>0</v>
      </c>
      <c r="CK209" s="1">
        <f t="shared" si="168"/>
        <v>0</v>
      </c>
      <c r="CL209" s="1">
        <f t="shared" si="169"/>
        <v>0</v>
      </c>
      <c r="CM209" s="2">
        <f t="shared" si="170"/>
        <v>0</v>
      </c>
      <c r="CN209" s="1">
        <f t="shared" si="171"/>
        <v>0</v>
      </c>
      <c r="CO209" s="1">
        <f t="shared" si="172"/>
        <v>0</v>
      </c>
      <c r="CP209" s="3" t="s">
        <v>162</v>
      </c>
      <c r="CQ209" s="1">
        <f t="shared" si="173"/>
        <v>0</v>
      </c>
      <c r="CR209" s="1">
        <f t="shared" si="174"/>
        <v>0</v>
      </c>
      <c r="CS209" s="1">
        <f t="shared" si="175"/>
        <v>0</v>
      </c>
      <c r="CT209" s="1">
        <f t="shared" si="176"/>
        <v>0</v>
      </c>
      <c r="CU209" s="2">
        <f t="shared" si="177"/>
        <v>0</v>
      </c>
      <c r="CV209" s="14">
        <f t="shared" si="178"/>
        <v>0</v>
      </c>
      <c r="CW209" s="1">
        <f>ROUND(PPTest!K209,1)</f>
        <v>0</v>
      </c>
      <c r="CX209" s="3">
        <f t="shared" si="160"/>
        <v>0</v>
      </c>
      <c r="CY209" s="3">
        <f t="shared" si="179"/>
        <v>0</v>
      </c>
      <c r="CZ209" s="19">
        <f t="shared" si="180"/>
        <v>0</v>
      </c>
      <c r="DA209" s="19" t="e">
        <f t="shared" si="180"/>
        <v>#DIV/0!</v>
      </c>
      <c r="DB209" s="16">
        <f t="shared" si="181"/>
        <v>0</v>
      </c>
    </row>
    <row r="210" spans="1:106" x14ac:dyDescent="0.2">
      <c r="A210" s="15">
        <f t="shared" si="182"/>
        <v>45862</v>
      </c>
      <c r="B210" s="1">
        <v>205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4"/>
      <c r="AY210" s="43"/>
      <c r="BA210" s="16">
        <v>30.62</v>
      </c>
      <c r="BB210" s="41"/>
      <c r="BC210" s="41"/>
      <c r="BD210" s="8" t="e">
        <f t="shared" si="141"/>
        <v>#DIV/0!</v>
      </c>
      <c r="BE210" s="8"/>
      <c r="BF210" s="2">
        <f t="shared" si="161"/>
        <v>0</v>
      </c>
      <c r="BG210" s="2">
        <f t="shared" si="162"/>
        <v>0</v>
      </c>
      <c r="BH210" s="2">
        <f t="shared" si="163"/>
        <v>0</v>
      </c>
      <c r="BI210" s="35">
        <f t="shared" si="140"/>
        <v>0</v>
      </c>
      <c r="BJ210" s="35" t="e">
        <f t="shared" si="142"/>
        <v>#DIV/0!</v>
      </c>
      <c r="BL210" s="3">
        <f t="shared" si="143"/>
        <v>0</v>
      </c>
      <c r="BM210" s="19" t="e">
        <f t="shared" si="144"/>
        <v>#DIV/0!</v>
      </c>
      <c r="BN210" s="19" t="e">
        <f t="shared" si="145"/>
        <v>#DIV/0!</v>
      </c>
      <c r="BO210" s="19" t="e">
        <f t="shared" si="146"/>
        <v>#DIV/0!</v>
      </c>
      <c r="BP210" s="19" t="e">
        <f t="shared" si="147"/>
        <v>#DIV/0!</v>
      </c>
      <c r="BQ210" s="19" t="e">
        <f t="shared" si="148"/>
        <v>#DIV/0!</v>
      </c>
      <c r="BR210" s="19" t="e">
        <f t="shared" si="149"/>
        <v>#DIV/0!</v>
      </c>
      <c r="BS210" s="19" t="e">
        <f t="shared" si="150"/>
        <v>#DIV/0!</v>
      </c>
      <c r="BT210" s="19" t="e">
        <f t="shared" si="151"/>
        <v>#DIV/0!</v>
      </c>
      <c r="BV210" s="16">
        <f t="shared" si="152"/>
        <v>0</v>
      </c>
      <c r="BW210" s="16">
        <f t="shared" si="153"/>
        <v>0</v>
      </c>
      <c r="BX210" s="3">
        <f t="shared" si="154"/>
        <v>0</v>
      </c>
      <c r="BY210" s="3">
        <f t="shared" si="183"/>
        <v>0</v>
      </c>
      <c r="BZ210" s="3" t="s">
        <v>162</v>
      </c>
      <c r="CA210" s="3">
        <f t="shared" si="155"/>
        <v>0</v>
      </c>
      <c r="CB210" s="3">
        <f t="shared" si="156"/>
        <v>0</v>
      </c>
      <c r="CC210" s="3">
        <f t="shared" si="157"/>
        <v>0</v>
      </c>
      <c r="CD210" s="3">
        <f t="shared" si="158"/>
        <v>0</v>
      </c>
      <c r="CE210" s="22">
        <f t="shared" si="164"/>
        <v>0</v>
      </c>
      <c r="CF210" s="1">
        <f t="shared" si="159"/>
        <v>0</v>
      </c>
      <c r="CG210" s="1">
        <f t="shared" si="165"/>
        <v>0</v>
      </c>
      <c r="CH210" s="3" t="s">
        <v>162</v>
      </c>
      <c r="CI210" s="1">
        <f t="shared" si="166"/>
        <v>0</v>
      </c>
      <c r="CJ210" s="1">
        <f t="shared" si="167"/>
        <v>0</v>
      </c>
      <c r="CK210" s="1">
        <f t="shared" si="168"/>
        <v>0</v>
      </c>
      <c r="CL210" s="1">
        <f t="shared" si="169"/>
        <v>0</v>
      </c>
      <c r="CM210" s="2">
        <f t="shared" si="170"/>
        <v>0</v>
      </c>
      <c r="CN210" s="1">
        <f t="shared" si="171"/>
        <v>0</v>
      </c>
      <c r="CO210" s="1">
        <f t="shared" si="172"/>
        <v>0</v>
      </c>
      <c r="CP210" s="3" t="s">
        <v>162</v>
      </c>
      <c r="CQ210" s="1">
        <f t="shared" si="173"/>
        <v>0</v>
      </c>
      <c r="CR210" s="1">
        <f t="shared" si="174"/>
        <v>0</v>
      </c>
      <c r="CS210" s="1">
        <f t="shared" si="175"/>
        <v>0</v>
      </c>
      <c r="CT210" s="1">
        <f t="shared" si="176"/>
        <v>0</v>
      </c>
      <c r="CU210" s="2">
        <f t="shared" si="177"/>
        <v>0</v>
      </c>
      <c r="CV210" s="14">
        <f t="shared" si="178"/>
        <v>0</v>
      </c>
      <c r="CW210" s="1">
        <f>ROUND(PPTest!K210,1)</f>
        <v>0</v>
      </c>
      <c r="CX210" s="3">
        <f t="shared" si="160"/>
        <v>0</v>
      </c>
      <c r="CY210" s="3">
        <f t="shared" si="179"/>
        <v>0</v>
      </c>
      <c r="CZ210" s="19">
        <f t="shared" si="180"/>
        <v>0</v>
      </c>
      <c r="DA210" s="19" t="e">
        <f t="shared" si="180"/>
        <v>#DIV/0!</v>
      </c>
      <c r="DB210" s="16">
        <f t="shared" si="181"/>
        <v>0</v>
      </c>
    </row>
    <row r="211" spans="1:106" x14ac:dyDescent="0.2">
      <c r="A211" s="15">
        <f t="shared" si="182"/>
        <v>45863</v>
      </c>
      <c r="B211" s="1">
        <v>206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4"/>
      <c r="AY211" s="43"/>
      <c r="BA211" s="16">
        <v>30.47</v>
      </c>
      <c r="BB211" s="41"/>
      <c r="BC211" s="41"/>
      <c r="BD211" s="8" t="e">
        <f t="shared" si="141"/>
        <v>#DIV/0!</v>
      </c>
      <c r="BE211" s="8"/>
      <c r="BF211" s="2">
        <f t="shared" si="161"/>
        <v>0</v>
      </c>
      <c r="BG211" s="2">
        <f t="shared" si="162"/>
        <v>0</v>
      </c>
      <c r="BH211" s="2">
        <f t="shared" si="163"/>
        <v>0</v>
      </c>
      <c r="BI211" s="35">
        <f t="shared" si="140"/>
        <v>0</v>
      </c>
      <c r="BJ211" s="35" t="e">
        <f t="shared" si="142"/>
        <v>#DIV/0!</v>
      </c>
      <c r="BL211" s="3">
        <f t="shared" si="143"/>
        <v>0</v>
      </c>
      <c r="BM211" s="19" t="e">
        <f t="shared" si="144"/>
        <v>#DIV/0!</v>
      </c>
      <c r="BN211" s="19" t="e">
        <f t="shared" si="145"/>
        <v>#DIV/0!</v>
      </c>
      <c r="BO211" s="19" t="e">
        <f t="shared" si="146"/>
        <v>#DIV/0!</v>
      </c>
      <c r="BP211" s="19" t="e">
        <f t="shared" si="147"/>
        <v>#DIV/0!</v>
      </c>
      <c r="BQ211" s="19" t="e">
        <f t="shared" si="148"/>
        <v>#DIV/0!</v>
      </c>
      <c r="BR211" s="19" t="e">
        <f t="shared" si="149"/>
        <v>#DIV/0!</v>
      </c>
      <c r="BS211" s="19" t="e">
        <f t="shared" si="150"/>
        <v>#DIV/0!</v>
      </c>
      <c r="BT211" s="19" t="e">
        <f t="shared" si="151"/>
        <v>#DIV/0!</v>
      </c>
      <c r="BV211" s="16">
        <f t="shared" si="152"/>
        <v>0</v>
      </c>
      <c r="BW211" s="16">
        <f t="shared" si="153"/>
        <v>0</v>
      </c>
      <c r="BX211" s="3">
        <f t="shared" si="154"/>
        <v>0</v>
      </c>
      <c r="BY211" s="3">
        <f t="shared" si="183"/>
        <v>0</v>
      </c>
      <c r="BZ211" s="3" t="s">
        <v>162</v>
      </c>
      <c r="CA211" s="3">
        <f t="shared" si="155"/>
        <v>0</v>
      </c>
      <c r="CB211" s="3">
        <f t="shared" si="156"/>
        <v>0</v>
      </c>
      <c r="CC211" s="3">
        <f t="shared" si="157"/>
        <v>0</v>
      </c>
      <c r="CD211" s="3">
        <f t="shared" si="158"/>
        <v>0</v>
      </c>
      <c r="CE211" s="22">
        <f t="shared" si="164"/>
        <v>0</v>
      </c>
      <c r="CF211" s="1">
        <f t="shared" si="159"/>
        <v>0</v>
      </c>
      <c r="CG211" s="1">
        <f t="shared" si="165"/>
        <v>0</v>
      </c>
      <c r="CH211" s="3" t="s">
        <v>162</v>
      </c>
      <c r="CI211" s="1">
        <f t="shared" si="166"/>
        <v>0</v>
      </c>
      <c r="CJ211" s="1">
        <f t="shared" si="167"/>
        <v>0</v>
      </c>
      <c r="CK211" s="1">
        <f t="shared" si="168"/>
        <v>0</v>
      </c>
      <c r="CL211" s="1">
        <f t="shared" si="169"/>
        <v>0</v>
      </c>
      <c r="CM211" s="2">
        <f t="shared" si="170"/>
        <v>0</v>
      </c>
      <c r="CN211" s="1">
        <f t="shared" si="171"/>
        <v>0</v>
      </c>
      <c r="CO211" s="1">
        <f t="shared" si="172"/>
        <v>0</v>
      </c>
      <c r="CP211" s="3" t="s">
        <v>162</v>
      </c>
      <c r="CQ211" s="1">
        <f t="shared" si="173"/>
        <v>0</v>
      </c>
      <c r="CR211" s="1">
        <f t="shared" si="174"/>
        <v>0</v>
      </c>
      <c r="CS211" s="1">
        <f t="shared" si="175"/>
        <v>0</v>
      </c>
      <c r="CT211" s="1">
        <f t="shared" si="176"/>
        <v>0</v>
      </c>
      <c r="CU211" s="2">
        <f t="shared" si="177"/>
        <v>0</v>
      </c>
      <c r="CV211" s="14">
        <f t="shared" si="178"/>
        <v>0</v>
      </c>
      <c r="CW211" s="1">
        <f>ROUND(PPTest!K211,1)</f>
        <v>0</v>
      </c>
      <c r="CX211" s="3">
        <f t="shared" si="160"/>
        <v>0</v>
      </c>
      <c r="CY211" s="3">
        <f t="shared" si="179"/>
        <v>0</v>
      </c>
      <c r="CZ211" s="19">
        <f t="shared" si="180"/>
        <v>0</v>
      </c>
      <c r="DA211" s="19" t="e">
        <f t="shared" si="180"/>
        <v>#DIV/0!</v>
      </c>
      <c r="DB211" s="16">
        <f t="shared" si="181"/>
        <v>0</v>
      </c>
    </row>
    <row r="212" spans="1:106" x14ac:dyDescent="0.2">
      <c r="A212" s="15">
        <f t="shared" si="182"/>
        <v>45864</v>
      </c>
      <c r="B212" s="1">
        <v>207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4"/>
      <c r="AY212" s="43"/>
      <c r="BA212" s="16">
        <v>30.32</v>
      </c>
      <c r="BB212" s="41"/>
      <c r="BC212" s="41"/>
      <c r="BD212" s="8" t="e">
        <f t="shared" si="141"/>
        <v>#DIV/0!</v>
      </c>
      <c r="BE212" s="8"/>
      <c r="BF212" s="2">
        <f t="shared" si="161"/>
        <v>0</v>
      </c>
      <c r="BG212" s="2">
        <f t="shared" si="162"/>
        <v>0</v>
      </c>
      <c r="BH212" s="2">
        <f t="shared" si="163"/>
        <v>0</v>
      </c>
      <c r="BI212" s="35">
        <f t="shared" si="140"/>
        <v>0</v>
      </c>
      <c r="BJ212" s="35" t="e">
        <f t="shared" si="142"/>
        <v>#DIV/0!</v>
      </c>
      <c r="BL212" s="3">
        <f t="shared" si="143"/>
        <v>0</v>
      </c>
      <c r="BM212" s="19" t="e">
        <f t="shared" si="144"/>
        <v>#DIV/0!</v>
      </c>
      <c r="BN212" s="19" t="e">
        <f t="shared" si="145"/>
        <v>#DIV/0!</v>
      </c>
      <c r="BO212" s="19" t="e">
        <f t="shared" si="146"/>
        <v>#DIV/0!</v>
      </c>
      <c r="BP212" s="19" t="e">
        <f t="shared" si="147"/>
        <v>#DIV/0!</v>
      </c>
      <c r="BQ212" s="19" t="e">
        <f t="shared" si="148"/>
        <v>#DIV/0!</v>
      </c>
      <c r="BR212" s="19" t="e">
        <f t="shared" si="149"/>
        <v>#DIV/0!</v>
      </c>
      <c r="BS212" s="19" t="e">
        <f t="shared" si="150"/>
        <v>#DIV/0!</v>
      </c>
      <c r="BT212" s="19" t="e">
        <f t="shared" si="151"/>
        <v>#DIV/0!</v>
      </c>
      <c r="BV212" s="16">
        <f t="shared" si="152"/>
        <v>0</v>
      </c>
      <c r="BW212" s="16">
        <f t="shared" si="153"/>
        <v>0</v>
      </c>
      <c r="BX212" s="3">
        <f t="shared" si="154"/>
        <v>0</v>
      </c>
      <c r="BY212" s="3">
        <f t="shared" si="183"/>
        <v>0</v>
      </c>
      <c r="BZ212" s="3" t="s">
        <v>162</v>
      </c>
      <c r="CA212" s="3">
        <f t="shared" si="155"/>
        <v>0</v>
      </c>
      <c r="CB212" s="3">
        <f t="shared" si="156"/>
        <v>0</v>
      </c>
      <c r="CC212" s="3">
        <f t="shared" si="157"/>
        <v>0</v>
      </c>
      <c r="CD212" s="3">
        <f t="shared" si="158"/>
        <v>0</v>
      </c>
      <c r="CE212" s="22">
        <f t="shared" si="164"/>
        <v>0</v>
      </c>
      <c r="CF212" s="1">
        <f t="shared" si="159"/>
        <v>0</v>
      </c>
      <c r="CG212" s="1">
        <f t="shared" si="165"/>
        <v>0</v>
      </c>
      <c r="CH212" s="3" t="s">
        <v>162</v>
      </c>
      <c r="CI212" s="1">
        <f t="shared" si="166"/>
        <v>0</v>
      </c>
      <c r="CJ212" s="1">
        <f t="shared" si="167"/>
        <v>0</v>
      </c>
      <c r="CK212" s="1">
        <f t="shared" si="168"/>
        <v>0</v>
      </c>
      <c r="CL212" s="1">
        <f t="shared" si="169"/>
        <v>0</v>
      </c>
      <c r="CM212" s="2">
        <f t="shared" si="170"/>
        <v>0</v>
      </c>
      <c r="CN212" s="1">
        <f t="shared" si="171"/>
        <v>0</v>
      </c>
      <c r="CO212" s="1">
        <f t="shared" si="172"/>
        <v>0</v>
      </c>
      <c r="CP212" s="3" t="s">
        <v>162</v>
      </c>
      <c r="CQ212" s="1">
        <f t="shared" si="173"/>
        <v>0</v>
      </c>
      <c r="CR212" s="1">
        <f t="shared" si="174"/>
        <v>0</v>
      </c>
      <c r="CS212" s="1">
        <f t="shared" si="175"/>
        <v>0</v>
      </c>
      <c r="CT212" s="1">
        <f t="shared" si="176"/>
        <v>0</v>
      </c>
      <c r="CU212" s="2">
        <f t="shared" si="177"/>
        <v>0</v>
      </c>
      <c r="CV212" s="14">
        <f t="shared" si="178"/>
        <v>0</v>
      </c>
      <c r="CW212" s="1">
        <f>ROUND(PPTest!K212,1)</f>
        <v>0</v>
      </c>
      <c r="CX212" s="3">
        <f t="shared" si="160"/>
        <v>0</v>
      </c>
      <c r="CY212" s="3">
        <f t="shared" si="179"/>
        <v>0</v>
      </c>
      <c r="CZ212" s="19">
        <f t="shared" si="180"/>
        <v>0</v>
      </c>
      <c r="DA212" s="19" t="e">
        <f t="shared" si="180"/>
        <v>#DIV/0!</v>
      </c>
      <c r="DB212" s="16">
        <f t="shared" si="181"/>
        <v>0</v>
      </c>
    </row>
    <row r="213" spans="1:106" x14ac:dyDescent="0.2">
      <c r="A213" s="15">
        <f t="shared" si="182"/>
        <v>45865</v>
      </c>
      <c r="B213" s="1">
        <v>208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4"/>
      <c r="AY213" s="43"/>
      <c r="BA213" s="16">
        <v>30.17</v>
      </c>
      <c r="BB213" s="41"/>
      <c r="BC213" s="41"/>
      <c r="BD213" s="8" t="e">
        <f t="shared" si="141"/>
        <v>#DIV/0!</v>
      </c>
      <c r="BE213" s="8"/>
      <c r="BF213" s="2">
        <f t="shared" si="161"/>
        <v>0</v>
      </c>
      <c r="BG213" s="2">
        <f t="shared" si="162"/>
        <v>0</v>
      </c>
      <c r="BH213" s="2">
        <f t="shared" si="163"/>
        <v>0</v>
      </c>
      <c r="BI213" s="35">
        <f t="shared" si="140"/>
        <v>0</v>
      </c>
      <c r="BJ213" s="35" t="e">
        <f t="shared" si="142"/>
        <v>#DIV/0!</v>
      </c>
      <c r="BL213" s="3">
        <f t="shared" si="143"/>
        <v>0</v>
      </c>
      <c r="BM213" s="19" t="e">
        <f t="shared" si="144"/>
        <v>#DIV/0!</v>
      </c>
      <c r="BN213" s="19" t="e">
        <f t="shared" si="145"/>
        <v>#DIV/0!</v>
      </c>
      <c r="BO213" s="19" t="e">
        <f t="shared" si="146"/>
        <v>#DIV/0!</v>
      </c>
      <c r="BP213" s="19" t="e">
        <f t="shared" si="147"/>
        <v>#DIV/0!</v>
      </c>
      <c r="BQ213" s="19" t="e">
        <f t="shared" si="148"/>
        <v>#DIV/0!</v>
      </c>
      <c r="BR213" s="19" t="e">
        <f t="shared" si="149"/>
        <v>#DIV/0!</v>
      </c>
      <c r="BS213" s="19" t="e">
        <f t="shared" si="150"/>
        <v>#DIV/0!</v>
      </c>
      <c r="BT213" s="19" t="e">
        <f t="shared" si="151"/>
        <v>#DIV/0!</v>
      </c>
      <c r="BV213" s="16">
        <f t="shared" si="152"/>
        <v>0</v>
      </c>
      <c r="BW213" s="16">
        <f t="shared" si="153"/>
        <v>0</v>
      </c>
      <c r="BX213" s="3">
        <f t="shared" si="154"/>
        <v>0</v>
      </c>
      <c r="BY213" s="3">
        <f t="shared" si="183"/>
        <v>0</v>
      </c>
      <c r="BZ213" s="3" t="s">
        <v>162</v>
      </c>
      <c r="CA213" s="3">
        <f t="shared" si="155"/>
        <v>0</v>
      </c>
      <c r="CB213" s="3">
        <f t="shared" si="156"/>
        <v>0</v>
      </c>
      <c r="CC213" s="3">
        <f t="shared" si="157"/>
        <v>0</v>
      </c>
      <c r="CD213" s="3">
        <f t="shared" si="158"/>
        <v>0</v>
      </c>
      <c r="CE213" s="22">
        <f t="shared" si="164"/>
        <v>0</v>
      </c>
      <c r="CF213" s="1">
        <f t="shared" si="159"/>
        <v>0</v>
      </c>
      <c r="CG213" s="1">
        <f t="shared" si="165"/>
        <v>0</v>
      </c>
      <c r="CH213" s="3" t="s">
        <v>162</v>
      </c>
      <c r="CI213" s="1">
        <f t="shared" si="166"/>
        <v>0</v>
      </c>
      <c r="CJ213" s="1">
        <f t="shared" si="167"/>
        <v>0</v>
      </c>
      <c r="CK213" s="1">
        <f t="shared" si="168"/>
        <v>0</v>
      </c>
      <c r="CL213" s="1">
        <f t="shared" si="169"/>
        <v>0</v>
      </c>
      <c r="CM213" s="2">
        <f t="shared" si="170"/>
        <v>0</v>
      </c>
      <c r="CN213" s="1">
        <f t="shared" si="171"/>
        <v>0</v>
      </c>
      <c r="CO213" s="1">
        <f t="shared" si="172"/>
        <v>0</v>
      </c>
      <c r="CP213" s="3" t="s">
        <v>162</v>
      </c>
      <c r="CQ213" s="1">
        <f t="shared" si="173"/>
        <v>0</v>
      </c>
      <c r="CR213" s="1">
        <f t="shared" si="174"/>
        <v>0</v>
      </c>
      <c r="CS213" s="1">
        <f t="shared" si="175"/>
        <v>0</v>
      </c>
      <c r="CT213" s="1">
        <f t="shared" si="176"/>
        <v>0</v>
      </c>
      <c r="CU213" s="2">
        <f t="shared" si="177"/>
        <v>0</v>
      </c>
      <c r="CV213" s="14">
        <f t="shared" si="178"/>
        <v>0</v>
      </c>
      <c r="CW213" s="1">
        <f>ROUND(PPTest!K213,1)</f>
        <v>0</v>
      </c>
      <c r="CX213" s="3">
        <f t="shared" si="160"/>
        <v>0</v>
      </c>
      <c r="CY213" s="3">
        <f t="shared" si="179"/>
        <v>0</v>
      </c>
      <c r="CZ213" s="19">
        <f t="shared" si="180"/>
        <v>0</v>
      </c>
      <c r="DA213" s="19" t="e">
        <f t="shared" si="180"/>
        <v>#DIV/0!</v>
      </c>
      <c r="DB213" s="16">
        <f t="shared" si="181"/>
        <v>0</v>
      </c>
    </row>
    <row r="214" spans="1:106" x14ac:dyDescent="0.2">
      <c r="A214" s="15">
        <f t="shared" si="182"/>
        <v>45866</v>
      </c>
      <c r="B214" s="1">
        <v>209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4"/>
      <c r="AY214" s="43"/>
      <c r="BA214" s="16">
        <v>30</v>
      </c>
      <c r="BB214" s="41"/>
      <c r="BC214" s="41"/>
      <c r="BD214" s="8" t="e">
        <f t="shared" si="141"/>
        <v>#DIV/0!</v>
      </c>
      <c r="BE214" s="8"/>
      <c r="BF214" s="2">
        <f t="shared" si="161"/>
        <v>0</v>
      </c>
      <c r="BG214" s="2">
        <f t="shared" si="162"/>
        <v>0</v>
      </c>
      <c r="BH214" s="2">
        <f t="shared" si="163"/>
        <v>0</v>
      </c>
      <c r="BI214" s="35">
        <f t="shared" si="140"/>
        <v>0</v>
      </c>
      <c r="BJ214" s="35" t="e">
        <f t="shared" si="142"/>
        <v>#DIV/0!</v>
      </c>
      <c r="BL214" s="3">
        <f t="shared" si="143"/>
        <v>0</v>
      </c>
      <c r="BM214" s="19" t="e">
        <f t="shared" si="144"/>
        <v>#DIV/0!</v>
      </c>
      <c r="BN214" s="19" t="e">
        <f t="shared" si="145"/>
        <v>#DIV/0!</v>
      </c>
      <c r="BO214" s="19" t="e">
        <f t="shared" si="146"/>
        <v>#DIV/0!</v>
      </c>
      <c r="BP214" s="19" t="e">
        <f t="shared" si="147"/>
        <v>#DIV/0!</v>
      </c>
      <c r="BQ214" s="19" t="e">
        <f t="shared" si="148"/>
        <v>#DIV/0!</v>
      </c>
      <c r="BR214" s="19" t="e">
        <f t="shared" si="149"/>
        <v>#DIV/0!</v>
      </c>
      <c r="BS214" s="19" t="e">
        <f t="shared" si="150"/>
        <v>#DIV/0!</v>
      </c>
      <c r="BT214" s="19" t="e">
        <f t="shared" si="151"/>
        <v>#DIV/0!</v>
      </c>
      <c r="BV214" s="16">
        <f t="shared" si="152"/>
        <v>0</v>
      </c>
      <c r="BW214" s="16">
        <f t="shared" si="153"/>
        <v>0</v>
      </c>
      <c r="BX214" s="3">
        <f t="shared" si="154"/>
        <v>0</v>
      </c>
      <c r="BY214" s="3">
        <f t="shared" si="183"/>
        <v>0</v>
      </c>
      <c r="BZ214" s="3" t="s">
        <v>162</v>
      </c>
      <c r="CA214" s="3">
        <f t="shared" si="155"/>
        <v>0</v>
      </c>
      <c r="CB214" s="3">
        <f t="shared" si="156"/>
        <v>0</v>
      </c>
      <c r="CC214" s="3">
        <f t="shared" si="157"/>
        <v>0</v>
      </c>
      <c r="CD214" s="3">
        <f t="shared" si="158"/>
        <v>0</v>
      </c>
      <c r="CE214" s="22">
        <f t="shared" si="164"/>
        <v>0</v>
      </c>
      <c r="CF214" s="1">
        <f t="shared" si="159"/>
        <v>0</v>
      </c>
      <c r="CG214" s="1">
        <f t="shared" si="165"/>
        <v>0</v>
      </c>
      <c r="CH214" s="3" t="s">
        <v>162</v>
      </c>
      <c r="CI214" s="1">
        <f t="shared" si="166"/>
        <v>0</v>
      </c>
      <c r="CJ214" s="1">
        <f t="shared" si="167"/>
        <v>0</v>
      </c>
      <c r="CK214" s="1">
        <f t="shared" si="168"/>
        <v>0</v>
      </c>
      <c r="CL214" s="1">
        <f t="shared" si="169"/>
        <v>0</v>
      </c>
      <c r="CM214" s="2">
        <f t="shared" si="170"/>
        <v>0</v>
      </c>
      <c r="CN214" s="1">
        <f t="shared" si="171"/>
        <v>0</v>
      </c>
      <c r="CO214" s="1">
        <f t="shared" si="172"/>
        <v>0</v>
      </c>
      <c r="CP214" s="3" t="s">
        <v>162</v>
      </c>
      <c r="CQ214" s="1">
        <f t="shared" si="173"/>
        <v>0</v>
      </c>
      <c r="CR214" s="1">
        <f t="shared" si="174"/>
        <v>0</v>
      </c>
      <c r="CS214" s="1">
        <f t="shared" si="175"/>
        <v>0</v>
      </c>
      <c r="CT214" s="1">
        <f t="shared" si="176"/>
        <v>0</v>
      </c>
      <c r="CU214" s="2">
        <f t="shared" si="177"/>
        <v>0</v>
      </c>
      <c r="CV214" s="14">
        <f t="shared" si="178"/>
        <v>0</v>
      </c>
      <c r="CW214" s="1">
        <f>ROUND(PPTest!K214,1)</f>
        <v>0</v>
      </c>
      <c r="CX214" s="3">
        <f t="shared" si="160"/>
        <v>0</v>
      </c>
      <c r="CY214" s="3">
        <f t="shared" si="179"/>
        <v>0</v>
      </c>
      <c r="CZ214" s="19">
        <f t="shared" si="180"/>
        <v>0</v>
      </c>
      <c r="DA214" s="19" t="e">
        <f t="shared" si="180"/>
        <v>#DIV/0!</v>
      </c>
      <c r="DB214" s="16">
        <f t="shared" si="181"/>
        <v>0</v>
      </c>
    </row>
    <row r="215" spans="1:106" x14ac:dyDescent="0.2">
      <c r="A215" s="15">
        <f t="shared" si="182"/>
        <v>45867</v>
      </c>
      <c r="B215" s="1">
        <v>210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4"/>
      <c r="AY215" s="43"/>
      <c r="BA215" s="16">
        <v>29.84</v>
      </c>
      <c r="BB215" s="41"/>
      <c r="BC215" s="41"/>
      <c r="BD215" s="8" t="e">
        <f t="shared" si="141"/>
        <v>#DIV/0!</v>
      </c>
      <c r="BE215" s="8"/>
      <c r="BF215" s="2">
        <f t="shared" si="161"/>
        <v>0</v>
      </c>
      <c r="BG215" s="2">
        <f t="shared" si="162"/>
        <v>0</v>
      </c>
      <c r="BH215" s="2">
        <f t="shared" si="163"/>
        <v>0</v>
      </c>
      <c r="BI215" s="35">
        <f t="shared" si="140"/>
        <v>0</v>
      </c>
      <c r="BJ215" s="35" t="e">
        <f t="shared" si="142"/>
        <v>#DIV/0!</v>
      </c>
      <c r="BL215" s="3">
        <f t="shared" si="143"/>
        <v>0</v>
      </c>
      <c r="BM215" s="19" t="e">
        <f t="shared" si="144"/>
        <v>#DIV/0!</v>
      </c>
      <c r="BN215" s="19" t="e">
        <f t="shared" si="145"/>
        <v>#DIV/0!</v>
      </c>
      <c r="BO215" s="19" t="e">
        <f t="shared" si="146"/>
        <v>#DIV/0!</v>
      </c>
      <c r="BP215" s="19" t="e">
        <f t="shared" si="147"/>
        <v>#DIV/0!</v>
      </c>
      <c r="BQ215" s="19" t="e">
        <f t="shared" si="148"/>
        <v>#DIV/0!</v>
      </c>
      <c r="BR215" s="19" t="e">
        <f t="shared" si="149"/>
        <v>#DIV/0!</v>
      </c>
      <c r="BS215" s="19" t="e">
        <f t="shared" si="150"/>
        <v>#DIV/0!</v>
      </c>
      <c r="BT215" s="19" t="e">
        <f t="shared" si="151"/>
        <v>#DIV/0!</v>
      </c>
      <c r="BV215" s="16">
        <f t="shared" si="152"/>
        <v>0</v>
      </c>
      <c r="BW215" s="16">
        <f t="shared" si="153"/>
        <v>0</v>
      </c>
      <c r="BX215" s="3">
        <f t="shared" si="154"/>
        <v>0</v>
      </c>
      <c r="BY215" s="3">
        <f t="shared" si="183"/>
        <v>0</v>
      </c>
      <c r="BZ215" s="3" t="s">
        <v>162</v>
      </c>
      <c r="CA215" s="3">
        <f t="shared" si="155"/>
        <v>0</v>
      </c>
      <c r="CB215" s="3">
        <f t="shared" si="156"/>
        <v>0</v>
      </c>
      <c r="CC215" s="3">
        <f t="shared" si="157"/>
        <v>0</v>
      </c>
      <c r="CD215" s="3">
        <f t="shared" si="158"/>
        <v>0</v>
      </c>
      <c r="CE215" s="22">
        <f t="shared" si="164"/>
        <v>0</v>
      </c>
      <c r="CF215" s="1">
        <f t="shared" si="159"/>
        <v>0</v>
      </c>
      <c r="CG215" s="1">
        <f t="shared" si="165"/>
        <v>0</v>
      </c>
      <c r="CH215" s="3" t="s">
        <v>162</v>
      </c>
      <c r="CI215" s="1">
        <f t="shared" si="166"/>
        <v>0</v>
      </c>
      <c r="CJ215" s="1">
        <f t="shared" si="167"/>
        <v>0</v>
      </c>
      <c r="CK215" s="1">
        <f t="shared" si="168"/>
        <v>0</v>
      </c>
      <c r="CL215" s="1">
        <f t="shared" si="169"/>
        <v>0</v>
      </c>
      <c r="CM215" s="2">
        <f t="shared" si="170"/>
        <v>0</v>
      </c>
      <c r="CN215" s="1">
        <f t="shared" si="171"/>
        <v>0</v>
      </c>
      <c r="CO215" s="1">
        <f t="shared" si="172"/>
        <v>0</v>
      </c>
      <c r="CP215" s="3" t="s">
        <v>162</v>
      </c>
      <c r="CQ215" s="1">
        <f t="shared" si="173"/>
        <v>0</v>
      </c>
      <c r="CR215" s="1">
        <f t="shared" si="174"/>
        <v>0</v>
      </c>
      <c r="CS215" s="1">
        <f t="shared" si="175"/>
        <v>0</v>
      </c>
      <c r="CT215" s="1">
        <f t="shared" si="176"/>
        <v>0</v>
      </c>
      <c r="CU215" s="2">
        <f t="shared" si="177"/>
        <v>0</v>
      </c>
      <c r="CV215" s="14">
        <f t="shared" si="178"/>
        <v>0</v>
      </c>
      <c r="CW215" s="1">
        <f>ROUND(PPTest!K215,1)</f>
        <v>0</v>
      </c>
      <c r="CX215" s="3">
        <f t="shared" si="160"/>
        <v>0</v>
      </c>
      <c r="CY215" s="3">
        <f t="shared" si="179"/>
        <v>0</v>
      </c>
      <c r="CZ215" s="19">
        <f t="shared" si="180"/>
        <v>0</v>
      </c>
      <c r="DA215" s="19" t="e">
        <f t="shared" si="180"/>
        <v>#DIV/0!</v>
      </c>
      <c r="DB215" s="16">
        <f t="shared" si="181"/>
        <v>0</v>
      </c>
    </row>
    <row r="216" spans="1:106" x14ac:dyDescent="0.2">
      <c r="A216" s="15">
        <f t="shared" si="182"/>
        <v>45868</v>
      </c>
      <c r="B216" s="1">
        <v>211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4"/>
      <c r="AY216" s="43"/>
      <c r="BA216" s="16">
        <v>29.68</v>
      </c>
      <c r="BB216" s="41"/>
      <c r="BC216" s="41"/>
      <c r="BD216" s="8" t="e">
        <f t="shared" si="141"/>
        <v>#DIV/0!</v>
      </c>
      <c r="BE216" s="8"/>
      <c r="BF216" s="2">
        <f t="shared" si="161"/>
        <v>0</v>
      </c>
      <c r="BG216" s="2">
        <f t="shared" si="162"/>
        <v>0</v>
      </c>
      <c r="BH216" s="2">
        <f t="shared" si="163"/>
        <v>0</v>
      </c>
      <c r="BI216" s="35">
        <f t="shared" si="140"/>
        <v>0</v>
      </c>
      <c r="BJ216" s="35" t="e">
        <f t="shared" si="142"/>
        <v>#DIV/0!</v>
      </c>
      <c r="BL216" s="3">
        <f t="shared" si="143"/>
        <v>0</v>
      </c>
      <c r="BM216" s="19" t="e">
        <f t="shared" si="144"/>
        <v>#DIV/0!</v>
      </c>
      <c r="BN216" s="19" t="e">
        <f t="shared" si="145"/>
        <v>#DIV/0!</v>
      </c>
      <c r="BO216" s="19" t="e">
        <f t="shared" si="146"/>
        <v>#DIV/0!</v>
      </c>
      <c r="BP216" s="19" t="e">
        <f t="shared" si="147"/>
        <v>#DIV/0!</v>
      </c>
      <c r="BQ216" s="19" t="e">
        <f t="shared" si="148"/>
        <v>#DIV/0!</v>
      </c>
      <c r="BR216" s="19" t="e">
        <f t="shared" si="149"/>
        <v>#DIV/0!</v>
      </c>
      <c r="BS216" s="19" t="e">
        <f t="shared" si="150"/>
        <v>#DIV/0!</v>
      </c>
      <c r="BT216" s="19" t="e">
        <f t="shared" si="151"/>
        <v>#DIV/0!</v>
      </c>
      <c r="BV216" s="16">
        <f t="shared" si="152"/>
        <v>0</v>
      </c>
      <c r="BW216" s="16">
        <f t="shared" si="153"/>
        <v>0</v>
      </c>
      <c r="BX216" s="3">
        <f t="shared" si="154"/>
        <v>0</v>
      </c>
      <c r="BY216" s="3">
        <f t="shared" si="183"/>
        <v>0</v>
      </c>
      <c r="BZ216" s="3" t="s">
        <v>162</v>
      </c>
      <c r="CA216" s="3">
        <f t="shared" si="155"/>
        <v>0</v>
      </c>
      <c r="CB216" s="3">
        <f t="shared" si="156"/>
        <v>0</v>
      </c>
      <c r="CC216" s="3">
        <f t="shared" si="157"/>
        <v>0</v>
      </c>
      <c r="CD216" s="3">
        <f t="shared" si="158"/>
        <v>0</v>
      </c>
      <c r="CE216" s="22">
        <f t="shared" si="164"/>
        <v>0</v>
      </c>
      <c r="CF216" s="1">
        <f t="shared" si="159"/>
        <v>0</v>
      </c>
      <c r="CG216" s="1">
        <f t="shared" si="165"/>
        <v>0</v>
      </c>
      <c r="CH216" s="3" t="s">
        <v>162</v>
      </c>
      <c r="CI216" s="1">
        <f t="shared" si="166"/>
        <v>0</v>
      </c>
      <c r="CJ216" s="1">
        <f t="shared" si="167"/>
        <v>0</v>
      </c>
      <c r="CK216" s="1">
        <f t="shared" si="168"/>
        <v>0</v>
      </c>
      <c r="CL216" s="1">
        <f t="shared" si="169"/>
        <v>0</v>
      </c>
      <c r="CM216" s="2">
        <f t="shared" si="170"/>
        <v>0</v>
      </c>
      <c r="CN216" s="1">
        <f t="shared" si="171"/>
        <v>0</v>
      </c>
      <c r="CO216" s="1">
        <f t="shared" si="172"/>
        <v>0</v>
      </c>
      <c r="CP216" s="3" t="s">
        <v>162</v>
      </c>
      <c r="CQ216" s="1">
        <f t="shared" si="173"/>
        <v>0</v>
      </c>
      <c r="CR216" s="1">
        <f t="shared" si="174"/>
        <v>0</v>
      </c>
      <c r="CS216" s="1">
        <f t="shared" si="175"/>
        <v>0</v>
      </c>
      <c r="CT216" s="1">
        <f t="shared" si="176"/>
        <v>0</v>
      </c>
      <c r="CU216" s="2">
        <f t="shared" si="177"/>
        <v>0</v>
      </c>
      <c r="CV216" s="14">
        <f t="shared" si="178"/>
        <v>0</v>
      </c>
      <c r="CW216" s="1">
        <f>ROUND(PPTest!K216,1)</f>
        <v>0</v>
      </c>
      <c r="CX216" s="3">
        <f t="shared" si="160"/>
        <v>0</v>
      </c>
      <c r="CY216" s="3">
        <f t="shared" si="179"/>
        <v>0</v>
      </c>
      <c r="CZ216" s="19">
        <f t="shared" si="180"/>
        <v>0</v>
      </c>
      <c r="DA216" s="19" t="e">
        <f t="shared" si="180"/>
        <v>#DIV/0!</v>
      </c>
      <c r="DB216" s="16">
        <f t="shared" si="181"/>
        <v>0</v>
      </c>
    </row>
    <row r="217" spans="1:106" x14ac:dyDescent="0.2">
      <c r="A217" s="15">
        <f t="shared" si="182"/>
        <v>45869</v>
      </c>
      <c r="B217" s="1">
        <v>212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4"/>
      <c r="AY217" s="43"/>
      <c r="BA217" s="16">
        <v>29.51</v>
      </c>
      <c r="BB217" s="41"/>
      <c r="BC217" s="41"/>
      <c r="BD217" s="8" t="e">
        <f t="shared" si="141"/>
        <v>#DIV/0!</v>
      </c>
      <c r="BE217" s="8"/>
      <c r="BF217" s="2">
        <f t="shared" si="161"/>
        <v>0</v>
      </c>
      <c r="BG217" s="2">
        <f t="shared" si="162"/>
        <v>0</v>
      </c>
      <c r="BH217" s="2">
        <f t="shared" si="163"/>
        <v>0</v>
      </c>
      <c r="BI217" s="35">
        <f t="shared" si="140"/>
        <v>0</v>
      </c>
      <c r="BJ217" s="35" t="e">
        <f t="shared" si="142"/>
        <v>#DIV/0!</v>
      </c>
      <c r="BL217" s="3">
        <f t="shared" si="143"/>
        <v>0</v>
      </c>
      <c r="BM217" s="19" t="e">
        <f t="shared" si="144"/>
        <v>#DIV/0!</v>
      </c>
      <c r="BN217" s="19" t="e">
        <f t="shared" si="145"/>
        <v>#DIV/0!</v>
      </c>
      <c r="BO217" s="19" t="e">
        <f t="shared" si="146"/>
        <v>#DIV/0!</v>
      </c>
      <c r="BP217" s="19" t="e">
        <f t="shared" si="147"/>
        <v>#DIV/0!</v>
      </c>
      <c r="BQ217" s="19" t="e">
        <f t="shared" si="148"/>
        <v>#DIV/0!</v>
      </c>
      <c r="BR217" s="19" t="e">
        <f t="shared" si="149"/>
        <v>#DIV/0!</v>
      </c>
      <c r="BS217" s="19" t="e">
        <f t="shared" si="150"/>
        <v>#DIV/0!</v>
      </c>
      <c r="BT217" s="19" t="e">
        <f t="shared" si="151"/>
        <v>#DIV/0!</v>
      </c>
      <c r="BV217" s="16">
        <f t="shared" si="152"/>
        <v>0</v>
      </c>
      <c r="BW217" s="16">
        <f t="shared" si="153"/>
        <v>0</v>
      </c>
      <c r="BX217" s="3">
        <f t="shared" si="154"/>
        <v>0</v>
      </c>
      <c r="BY217" s="3">
        <f t="shared" si="183"/>
        <v>0</v>
      </c>
      <c r="BZ217" s="3" t="s">
        <v>162</v>
      </c>
      <c r="CA217" s="3">
        <f t="shared" si="155"/>
        <v>0</v>
      </c>
      <c r="CB217" s="3">
        <f t="shared" si="156"/>
        <v>0</v>
      </c>
      <c r="CC217" s="3">
        <f t="shared" si="157"/>
        <v>0</v>
      </c>
      <c r="CD217" s="3">
        <f t="shared" si="158"/>
        <v>0</v>
      </c>
      <c r="CE217" s="22">
        <f t="shared" si="164"/>
        <v>0</v>
      </c>
      <c r="CF217" s="1">
        <f t="shared" si="159"/>
        <v>0</v>
      </c>
      <c r="CG217" s="1">
        <f t="shared" si="165"/>
        <v>0</v>
      </c>
      <c r="CH217" s="3" t="s">
        <v>162</v>
      </c>
      <c r="CI217" s="1">
        <f t="shared" si="166"/>
        <v>0</v>
      </c>
      <c r="CJ217" s="1">
        <f t="shared" si="167"/>
        <v>0</v>
      </c>
      <c r="CK217" s="1">
        <f t="shared" si="168"/>
        <v>0</v>
      </c>
      <c r="CL217" s="1">
        <f t="shared" si="169"/>
        <v>0</v>
      </c>
      <c r="CM217" s="2">
        <f t="shared" si="170"/>
        <v>0</v>
      </c>
      <c r="CN217" s="1">
        <f t="shared" si="171"/>
        <v>0</v>
      </c>
      <c r="CO217" s="1">
        <f t="shared" si="172"/>
        <v>0</v>
      </c>
      <c r="CP217" s="3" t="s">
        <v>162</v>
      </c>
      <c r="CQ217" s="1">
        <f t="shared" si="173"/>
        <v>0</v>
      </c>
      <c r="CR217" s="1">
        <f t="shared" si="174"/>
        <v>0</v>
      </c>
      <c r="CS217" s="1">
        <f t="shared" si="175"/>
        <v>0</v>
      </c>
      <c r="CT217" s="1">
        <f t="shared" si="176"/>
        <v>0</v>
      </c>
      <c r="CU217" s="2">
        <f t="shared" si="177"/>
        <v>0</v>
      </c>
      <c r="CV217" s="14">
        <f t="shared" si="178"/>
        <v>0</v>
      </c>
      <c r="CW217" s="1">
        <f>ROUND(PPTest!K217,1)</f>
        <v>0</v>
      </c>
      <c r="CX217" s="3">
        <f t="shared" si="160"/>
        <v>0</v>
      </c>
      <c r="CY217" s="3">
        <f t="shared" si="179"/>
        <v>0</v>
      </c>
      <c r="CZ217" s="19">
        <f t="shared" si="180"/>
        <v>0</v>
      </c>
      <c r="DA217" s="19" t="e">
        <f t="shared" si="180"/>
        <v>#DIV/0!</v>
      </c>
      <c r="DB217" s="16">
        <f t="shared" si="181"/>
        <v>0</v>
      </c>
    </row>
    <row r="218" spans="1:106" x14ac:dyDescent="0.2">
      <c r="A218" s="15">
        <f t="shared" si="182"/>
        <v>45870</v>
      </c>
      <c r="B218" s="1">
        <v>213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4"/>
      <c r="AY218" s="43"/>
      <c r="BA218" s="16">
        <v>29.34</v>
      </c>
      <c r="BB218" s="41"/>
      <c r="BC218" s="41"/>
      <c r="BD218" s="8" t="e">
        <f t="shared" si="141"/>
        <v>#DIV/0!</v>
      </c>
      <c r="BE218" s="8"/>
      <c r="BF218" s="2">
        <f t="shared" si="161"/>
        <v>0</v>
      </c>
      <c r="BG218" s="2">
        <f t="shared" si="162"/>
        <v>0</v>
      </c>
      <c r="BH218" s="2">
        <f t="shared" si="163"/>
        <v>0</v>
      </c>
      <c r="BI218" s="35">
        <f t="shared" si="140"/>
        <v>0</v>
      </c>
      <c r="BJ218" s="35" t="e">
        <f t="shared" si="142"/>
        <v>#DIV/0!</v>
      </c>
      <c r="BL218" s="3">
        <f t="shared" si="143"/>
        <v>0</v>
      </c>
      <c r="BM218" s="19" t="e">
        <f t="shared" si="144"/>
        <v>#DIV/0!</v>
      </c>
      <c r="BN218" s="19" t="e">
        <f t="shared" si="145"/>
        <v>#DIV/0!</v>
      </c>
      <c r="BO218" s="19" t="e">
        <f t="shared" si="146"/>
        <v>#DIV/0!</v>
      </c>
      <c r="BP218" s="19" t="e">
        <f t="shared" si="147"/>
        <v>#DIV/0!</v>
      </c>
      <c r="BQ218" s="19" t="e">
        <f t="shared" si="148"/>
        <v>#DIV/0!</v>
      </c>
      <c r="BR218" s="19" t="e">
        <f t="shared" si="149"/>
        <v>#DIV/0!</v>
      </c>
      <c r="BS218" s="19" t="e">
        <f t="shared" si="150"/>
        <v>#DIV/0!</v>
      </c>
      <c r="BT218" s="19" t="e">
        <f t="shared" si="151"/>
        <v>#DIV/0!</v>
      </c>
      <c r="BV218" s="16">
        <f t="shared" si="152"/>
        <v>0</v>
      </c>
      <c r="BW218" s="16">
        <f t="shared" si="153"/>
        <v>0</v>
      </c>
      <c r="BX218" s="3">
        <f t="shared" si="154"/>
        <v>0</v>
      </c>
      <c r="BY218" s="3">
        <f t="shared" si="183"/>
        <v>0</v>
      </c>
      <c r="BZ218" s="3" t="s">
        <v>162</v>
      </c>
      <c r="CA218" s="3">
        <f t="shared" si="155"/>
        <v>0</v>
      </c>
      <c r="CB218" s="3">
        <f t="shared" si="156"/>
        <v>0</v>
      </c>
      <c r="CC218" s="3">
        <f t="shared" si="157"/>
        <v>0</v>
      </c>
      <c r="CD218" s="3">
        <f t="shared" si="158"/>
        <v>0</v>
      </c>
      <c r="CE218" s="22">
        <f t="shared" si="164"/>
        <v>0</v>
      </c>
      <c r="CF218" s="1">
        <f t="shared" si="159"/>
        <v>0</v>
      </c>
      <c r="CG218" s="1">
        <f t="shared" si="165"/>
        <v>0</v>
      </c>
      <c r="CH218" s="3" t="s">
        <v>162</v>
      </c>
      <c r="CI218" s="1">
        <f t="shared" si="166"/>
        <v>0</v>
      </c>
      <c r="CJ218" s="1">
        <f t="shared" si="167"/>
        <v>0</v>
      </c>
      <c r="CK218" s="1">
        <f t="shared" si="168"/>
        <v>0</v>
      </c>
      <c r="CL218" s="1">
        <f t="shared" si="169"/>
        <v>0</v>
      </c>
      <c r="CM218" s="2">
        <f t="shared" si="170"/>
        <v>0</v>
      </c>
      <c r="CN218" s="1">
        <f t="shared" si="171"/>
        <v>0</v>
      </c>
      <c r="CO218" s="1">
        <f t="shared" si="172"/>
        <v>0</v>
      </c>
      <c r="CP218" s="3" t="s">
        <v>162</v>
      </c>
      <c r="CQ218" s="1">
        <f t="shared" si="173"/>
        <v>0</v>
      </c>
      <c r="CR218" s="1">
        <f t="shared" si="174"/>
        <v>0</v>
      </c>
      <c r="CS218" s="1">
        <f t="shared" si="175"/>
        <v>0</v>
      </c>
      <c r="CT218" s="1">
        <f t="shared" si="176"/>
        <v>0</v>
      </c>
      <c r="CU218" s="2">
        <f t="shared" si="177"/>
        <v>0</v>
      </c>
      <c r="CV218" s="14">
        <f t="shared" si="178"/>
        <v>0</v>
      </c>
      <c r="CW218" s="1">
        <f>ROUND(PPTest!K218,1)</f>
        <v>0</v>
      </c>
      <c r="CX218" s="3">
        <f t="shared" si="160"/>
        <v>0</v>
      </c>
      <c r="CY218" s="3">
        <f t="shared" si="179"/>
        <v>0</v>
      </c>
      <c r="CZ218" s="19">
        <f t="shared" si="180"/>
        <v>0</v>
      </c>
      <c r="DA218" s="19" t="e">
        <f t="shared" si="180"/>
        <v>#DIV/0!</v>
      </c>
      <c r="DB218" s="16">
        <f t="shared" si="181"/>
        <v>0</v>
      </c>
    </row>
    <row r="219" spans="1:106" x14ac:dyDescent="0.2">
      <c r="A219" s="15">
        <f t="shared" si="182"/>
        <v>45871</v>
      </c>
      <c r="B219" s="1">
        <v>214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4"/>
      <c r="AY219" s="43"/>
      <c r="BA219" s="16">
        <v>29.17</v>
      </c>
      <c r="BB219" s="41"/>
      <c r="BC219" s="41"/>
      <c r="BD219" s="8" t="e">
        <f t="shared" si="141"/>
        <v>#DIV/0!</v>
      </c>
      <c r="BE219" s="8"/>
      <c r="BF219" s="2">
        <f t="shared" si="161"/>
        <v>0</v>
      </c>
      <c r="BG219" s="2">
        <f t="shared" si="162"/>
        <v>0</v>
      </c>
      <c r="BH219" s="2">
        <f t="shared" si="163"/>
        <v>0</v>
      </c>
      <c r="BI219" s="35">
        <f t="shared" si="140"/>
        <v>0</v>
      </c>
      <c r="BJ219" s="35" t="e">
        <f t="shared" si="142"/>
        <v>#DIV/0!</v>
      </c>
      <c r="BL219" s="3">
        <f t="shared" si="143"/>
        <v>0</v>
      </c>
      <c r="BM219" s="19" t="e">
        <f t="shared" si="144"/>
        <v>#DIV/0!</v>
      </c>
      <c r="BN219" s="19" t="e">
        <f t="shared" si="145"/>
        <v>#DIV/0!</v>
      </c>
      <c r="BO219" s="19" t="e">
        <f t="shared" si="146"/>
        <v>#DIV/0!</v>
      </c>
      <c r="BP219" s="19" t="e">
        <f t="shared" si="147"/>
        <v>#DIV/0!</v>
      </c>
      <c r="BQ219" s="19" t="e">
        <f t="shared" si="148"/>
        <v>#DIV/0!</v>
      </c>
      <c r="BR219" s="19" t="e">
        <f t="shared" si="149"/>
        <v>#DIV/0!</v>
      </c>
      <c r="BS219" s="19" t="e">
        <f t="shared" si="150"/>
        <v>#DIV/0!</v>
      </c>
      <c r="BT219" s="19" t="e">
        <f t="shared" si="151"/>
        <v>#DIV/0!</v>
      </c>
      <c r="BV219" s="16">
        <f t="shared" si="152"/>
        <v>0</v>
      </c>
      <c r="BW219" s="16">
        <f t="shared" si="153"/>
        <v>0</v>
      </c>
      <c r="BX219" s="3">
        <f t="shared" si="154"/>
        <v>0</v>
      </c>
      <c r="BY219" s="3">
        <f t="shared" si="183"/>
        <v>0</v>
      </c>
      <c r="BZ219" s="3" t="s">
        <v>162</v>
      </c>
      <c r="CA219" s="3">
        <f t="shared" si="155"/>
        <v>0</v>
      </c>
      <c r="CB219" s="3">
        <f t="shared" si="156"/>
        <v>0</v>
      </c>
      <c r="CC219" s="3">
        <f t="shared" si="157"/>
        <v>0</v>
      </c>
      <c r="CD219" s="3">
        <f t="shared" si="158"/>
        <v>0</v>
      </c>
      <c r="CE219" s="22">
        <f t="shared" si="164"/>
        <v>0</v>
      </c>
      <c r="CF219" s="1">
        <f t="shared" si="159"/>
        <v>0</v>
      </c>
      <c r="CG219" s="1">
        <f t="shared" si="165"/>
        <v>0</v>
      </c>
      <c r="CH219" s="3" t="s">
        <v>162</v>
      </c>
      <c r="CI219" s="1">
        <f t="shared" si="166"/>
        <v>0</v>
      </c>
      <c r="CJ219" s="1">
        <f t="shared" si="167"/>
        <v>0</v>
      </c>
      <c r="CK219" s="1">
        <f t="shared" si="168"/>
        <v>0</v>
      </c>
      <c r="CL219" s="1">
        <f t="shared" si="169"/>
        <v>0</v>
      </c>
      <c r="CM219" s="2">
        <f t="shared" si="170"/>
        <v>0</v>
      </c>
      <c r="CN219" s="1">
        <f t="shared" si="171"/>
        <v>0</v>
      </c>
      <c r="CO219" s="1">
        <f t="shared" si="172"/>
        <v>0</v>
      </c>
      <c r="CP219" s="3" t="s">
        <v>162</v>
      </c>
      <c r="CQ219" s="1">
        <f t="shared" si="173"/>
        <v>0</v>
      </c>
      <c r="CR219" s="1">
        <f t="shared" si="174"/>
        <v>0</v>
      </c>
      <c r="CS219" s="1">
        <f t="shared" si="175"/>
        <v>0</v>
      </c>
      <c r="CT219" s="1">
        <f t="shared" si="176"/>
        <v>0</v>
      </c>
      <c r="CU219" s="2">
        <f t="shared" si="177"/>
        <v>0</v>
      </c>
      <c r="CV219" s="14">
        <f t="shared" si="178"/>
        <v>0</v>
      </c>
      <c r="CW219" s="1">
        <f>ROUND(PPTest!K219,1)</f>
        <v>0</v>
      </c>
      <c r="CX219" s="3">
        <f t="shared" si="160"/>
        <v>0</v>
      </c>
      <c r="CY219" s="3">
        <f t="shared" si="179"/>
        <v>0</v>
      </c>
      <c r="CZ219" s="19">
        <f t="shared" si="180"/>
        <v>0</v>
      </c>
      <c r="DA219" s="19" t="e">
        <f t="shared" si="180"/>
        <v>#DIV/0!</v>
      </c>
      <c r="DB219" s="16">
        <f t="shared" si="181"/>
        <v>0</v>
      </c>
    </row>
    <row r="220" spans="1:106" x14ac:dyDescent="0.2">
      <c r="A220" s="15">
        <f t="shared" si="182"/>
        <v>45872</v>
      </c>
      <c r="B220" s="1">
        <v>215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4"/>
      <c r="AY220" s="43"/>
      <c r="BA220" s="16">
        <v>28.99</v>
      </c>
      <c r="BB220" s="41"/>
      <c r="BC220" s="41"/>
      <c r="BD220" s="8" t="e">
        <f t="shared" si="141"/>
        <v>#DIV/0!</v>
      </c>
      <c r="BE220" s="8"/>
      <c r="BF220" s="2">
        <f t="shared" si="161"/>
        <v>0</v>
      </c>
      <c r="BG220" s="2">
        <f t="shared" si="162"/>
        <v>0</v>
      </c>
      <c r="BH220" s="2">
        <f t="shared" si="163"/>
        <v>0</v>
      </c>
      <c r="BI220" s="35">
        <f t="shared" si="140"/>
        <v>0</v>
      </c>
      <c r="BJ220" s="35" t="e">
        <f t="shared" si="142"/>
        <v>#DIV/0!</v>
      </c>
      <c r="BL220" s="3">
        <f t="shared" si="143"/>
        <v>0</v>
      </c>
      <c r="BM220" s="19" t="e">
        <f t="shared" si="144"/>
        <v>#DIV/0!</v>
      </c>
      <c r="BN220" s="19" t="e">
        <f t="shared" si="145"/>
        <v>#DIV/0!</v>
      </c>
      <c r="BO220" s="19" t="e">
        <f t="shared" si="146"/>
        <v>#DIV/0!</v>
      </c>
      <c r="BP220" s="19" t="e">
        <f t="shared" si="147"/>
        <v>#DIV/0!</v>
      </c>
      <c r="BQ220" s="19" t="e">
        <f t="shared" si="148"/>
        <v>#DIV/0!</v>
      </c>
      <c r="BR220" s="19" t="e">
        <f t="shared" si="149"/>
        <v>#DIV/0!</v>
      </c>
      <c r="BS220" s="19" t="e">
        <f t="shared" si="150"/>
        <v>#DIV/0!</v>
      </c>
      <c r="BT220" s="19" t="e">
        <f t="shared" si="151"/>
        <v>#DIV/0!</v>
      </c>
      <c r="BV220" s="16">
        <f t="shared" si="152"/>
        <v>0</v>
      </c>
      <c r="BW220" s="16">
        <f t="shared" si="153"/>
        <v>0</v>
      </c>
      <c r="BX220" s="3">
        <f t="shared" si="154"/>
        <v>0</v>
      </c>
      <c r="BY220" s="3">
        <f t="shared" si="183"/>
        <v>0</v>
      </c>
      <c r="BZ220" s="3" t="s">
        <v>162</v>
      </c>
      <c r="CA220" s="3">
        <f t="shared" si="155"/>
        <v>0</v>
      </c>
      <c r="CB220" s="3">
        <f t="shared" si="156"/>
        <v>0</v>
      </c>
      <c r="CC220" s="3">
        <f t="shared" si="157"/>
        <v>0</v>
      </c>
      <c r="CD220" s="3">
        <f t="shared" si="158"/>
        <v>0</v>
      </c>
      <c r="CE220" s="22">
        <f t="shared" si="164"/>
        <v>0</v>
      </c>
      <c r="CF220" s="1">
        <f t="shared" si="159"/>
        <v>0</v>
      </c>
      <c r="CG220" s="1">
        <f t="shared" si="165"/>
        <v>0</v>
      </c>
      <c r="CH220" s="3" t="s">
        <v>162</v>
      </c>
      <c r="CI220" s="1">
        <f t="shared" si="166"/>
        <v>0</v>
      </c>
      <c r="CJ220" s="1">
        <f t="shared" si="167"/>
        <v>0</v>
      </c>
      <c r="CK220" s="1">
        <f t="shared" si="168"/>
        <v>0</v>
      </c>
      <c r="CL220" s="1">
        <f t="shared" si="169"/>
        <v>0</v>
      </c>
      <c r="CM220" s="2">
        <f t="shared" si="170"/>
        <v>0</v>
      </c>
      <c r="CN220" s="1">
        <f t="shared" si="171"/>
        <v>0</v>
      </c>
      <c r="CO220" s="1">
        <f t="shared" si="172"/>
        <v>0</v>
      </c>
      <c r="CP220" s="3" t="s">
        <v>162</v>
      </c>
      <c r="CQ220" s="1">
        <f t="shared" si="173"/>
        <v>0</v>
      </c>
      <c r="CR220" s="1">
        <f t="shared" si="174"/>
        <v>0</v>
      </c>
      <c r="CS220" s="1">
        <f t="shared" si="175"/>
        <v>0</v>
      </c>
      <c r="CT220" s="1">
        <f t="shared" si="176"/>
        <v>0</v>
      </c>
      <c r="CU220" s="2">
        <f t="shared" si="177"/>
        <v>0</v>
      </c>
      <c r="CV220" s="14">
        <f t="shared" si="178"/>
        <v>0</v>
      </c>
      <c r="CW220" s="1">
        <f>ROUND(PPTest!K220,1)</f>
        <v>0</v>
      </c>
      <c r="CX220" s="3">
        <f t="shared" si="160"/>
        <v>0</v>
      </c>
      <c r="CY220" s="3">
        <f t="shared" si="179"/>
        <v>0</v>
      </c>
      <c r="CZ220" s="19">
        <f t="shared" si="180"/>
        <v>0</v>
      </c>
      <c r="DA220" s="19" t="e">
        <f t="shared" si="180"/>
        <v>#DIV/0!</v>
      </c>
      <c r="DB220" s="16">
        <f t="shared" si="181"/>
        <v>0</v>
      </c>
    </row>
    <row r="221" spans="1:106" x14ac:dyDescent="0.2">
      <c r="A221" s="15">
        <f t="shared" si="182"/>
        <v>45873</v>
      </c>
      <c r="B221" s="1">
        <v>216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4"/>
      <c r="AY221" s="43"/>
      <c r="BA221" s="16">
        <v>28.81</v>
      </c>
      <c r="BB221" s="41"/>
      <c r="BC221" s="41"/>
      <c r="BD221" s="8" t="e">
        <f t="shared" si="141"/>
        <v>#DIV/0!</v>
      </c>
      <c r="BE221" s="8"/>
      <c r="BF221" s="2">
        <f t="shared" si="161"/>
        <v>0</v>
      </c>
      <c r="BG221" s="2">
        <f t="shared" si="162"/>
        <v>0</v>
      </c>
      <c r="BH221" s="2">
        <f t="shared" si="163"/>
        <v>0</v>
      </c>
      <c r="BI221" s="35">
        <f t="shared" si="140"/>
        <v>0</v>
      </c>
      <c r="BJ221" s="35" t="e">
        <f t="shared" si="142"/>
        <v>#DIV/0!</v>
      </c>
      <c r="BL221" s="3">
        <f t="shared" si="143"/>
        <v>0</v>
      </c>
      <c r="BM221" s="19" t="e">
        <f t="shared" si="144"/>
        <v>#DIV/0!</v>
      </c>
      <c r="BN221" s="19" t="e">
        <f t="shared" si="145"/>
        <v>#DIV/0!</v>
      </c>
      <c r="BO221" s="19" t="e">
        <f t="shared" si="146"/>
        <v>#DIV/0!</v>
      </c>
      <c r="BP221" s="19" t="e">
        <f t="shared" si="147"/>
        <v>#DIV/0!</v>
      </c>
      <c r="BQ221" s="19" t="e">
        <f t="shared" si="148"/>
        <v>#DIV/0!</v>
      </c>
      <c r="BR221" s="19" t="e">
        <f t="shared" si="149"/>
        <v>#DIV/0!</v>
      </c>
      <c r="BS221" s="19" t="e">
        <f t="shared" si="150"/>
        <v>#DIV/0!</v>
      </c>
      <c r="BT221" s="19" t="e">
        <f t="shared" si="151"/>
        <v>#DIV/0!</v>
      </c>
      <c r="BV221" s="16">
        <f t="shared" si="152"/>
        <v>0</v>
      </c>
      <c r="BW221" s="16">
        <f t="shared" si="153"/>
        <v>0</v>
      </c>
      <c r="BX221" s="3">
        <f t="shared" si="154"/>
        <v>0</v>
      </c>
      <c r="BY221" s="3">
        <f t="shared" si="183"/>
        <v>0</v>
      </c>
      <c r="BZ221" s="3" t="s">
        <v>162</v>
      </c>
      <c r="CA221" s="3">
        <f t="shared" si="155"/>
        <v>0</v>
      </c>
      <c r="CB221" s="3">
        <f t="shared" si="156"/>
        <v>0</v>
      </c>
      <c r="CC221" s="3">
        <f t="shared" si="157"/>
        <v>0</v>
      </c>
      <c r="CD221" s="3">
        <f t="shared" si="158"/>
        <v>0</v>
      </c>
      <c r="CE221" s="22">
        <f t="shared" si="164"/>
        <v>0</v>
      </c>
      <c r="CF221" s="1">
        <f t="shared" si="159"/>
        <v>0</v>
      </c>
      <c r="CG221" s="1">
        <f t="shared" si="165"/>
        <v>0</v>
      </c>
      <c r="CH221" s="3" t="s">
        <v>162</v>
      </c>
      <c r="CI221" s="1">
        <f t="shared" si="166"/>
        <v>0</v>
      </c>
      <c r="CJ221" s="1">
        <f t="shared" si="167"/>
        <v>0</v>
      </c>
      <c r="CK221" s="1">
        <f t="shared" si="168"/>
        <v>0</v>
      </c>
      <c r="CL221" s="1">
        <f t="shared" si="169"/>
        <v>0</v>
      </c>
      <c r="CM221" s="2">
        <f t="shared" si="170"/>
        <v>0</v>
      </c>
      <c r="CN221" s="1">
        <f t="shared" si="171"/>
        <v>0</v>
      </c>
      <c r="CO221" s="1">
        <f t="shared" si="172"/>
        <v>0</v>
      </c>
      <c r="CP221" s="3" t="s">
        <v>162</v>
      </c>
      <c r="CQ221" s="1">
        <f t="shared" si="173"/>
        <v>0</v>
      </c>
      <c r="CR221" s="1">
        <f t="shared" si="174"/>
        <v>0</v>
      </c>
      <c r="CS221" s="1">
        <f t="shared" si="175"/>
        <v>0</v>
      </c>
      <c r="CT221" s="1">
        <f t="shared" si="176"/>
        <v>0</v>
      </c>
      <c r="CU221" s="2">
        <f t="shared" si="177"/>
        <v>0</v>
      </c>
      <c r="CV221" s="14">
        <f t="shared" si="178"/>
        <v>0</v>
      </c>
      <c r="CW221" s="1">
        <f>ROUND(PPTest!K221,1)</f>
        <v>0</v>
      </c>
      <c r="CX221" s="3">
        <f t="shared" si="160"/>
        <v>0</v>
      </c>
      <c r="CY221" s="3">
        <f t="shared" si="179"/>
        <v>0</v>
      </c>
      <c r="CZ221" s="19">
        <f t="shared" si="180"/>
        <v>0</v>
      </c>
      <c r="DA221" s="19" t="e">
        <f t="shared" si="180"/>
        <v>#DIV/0!</v>
      </c>
      <c r="DB221" s="16">
        <f t="shared" si="181"/>
        <v>0</v>
      </c>
    </row>
    <row r="222" spans="1:106" x14ac:dyDescent="0.2">
      <c r="A222" s="15">
        <f t="shared" si="182"/>
        <v>45874</v>
      </c>
      <c r="B222" s="1">
        <v>217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4"/>
      <c r="AY222" s="43"/>
      <c r="BA222" s="16">
        <v>28.63</v>
      </c>
      <c r="BB222" s="41"/>
      <c r="BC222" s="41"/>
      <c r="BD222" s="8" t="e">
        <f t="shared" si="141"/>
        <v>#DIV/0!</v>
      </c>
      <c r="BE222" s="8"/>
      <c r="BF222" s="2">
        <f t="shared" si="161"/>
        <v>0</v>
      </c>
      <c r="BG222" s="2">
        <f t="shared" si="162"/>
        <v>0</v>
      </c>
      <c r="BH222" s="2">
        <f t="shared" si="163"/>
        <v>0</v>
      </c>
      <c r="BI222" s="35">
        <f t="shared" si="140"/>
        <v>0</v>
      </c>
      <c r="BJ222" s="35" t="e">
        <f t="shared" si="142"/>
        <v>#DIV/0!</v>
      </c>
      <c r="BL222" s="3">
        <f t="shared" si="143"/>
        <v>0</v>
      </c>
      <c r="BM222" s="19" t="e">
        <f t="shared" si="144"/>
        <v>#DIV/0!</v>
      </c>
      <c r="BN222" s="19" t="e">
        <f t="shared" si="145"/>
        <v>#DIV/0!</v>
      </c>
      <c r="BO222" s="19" t="e">
        <f t="shared" si="146"/>
        <v>#DIV/0!</v>
      </c>
      <c r="BP222" s="19" t="e">
        <f t="shared" si="147"/>
        <v>#DIV/0!</v>
      </c>
      <c r="BQ222" s="19" t="e">
        <f t="shared" si="148"/>
        <v>#DIV/0!</v>
      </c>
      <c r="BR222" s="19" t="e">
        <f t="shared" si="149"/>
        <v>#DIV/0!</v>
      </c>
      <c r="BS222" s="19" t="e">
        <f t="shared" si="150"/>
        <v>#DIV/0!</v>
      </c>
      <c r="BT222" s="19" t="e">
        <f t="shared" si="151"/>
        <v>#DIV/0!</v>
      </c>
      <c r="BV222" s="16">
        <f t="shared" si="152"/>
        <v>0</v>
      </c>
      <c r="BW222" s="16">
        <f t="shared" si="153"/>
        <v>0</v>
      </c>
      <c r="BX222" s="3">
        <f t="shared" si="154"/>
        <v>0</v>
      </c>
      <c r="BY222" s="3">
        <f t="shared" si="183"/>
        <v>0</v>
      </c>
      <c r="BZ222" s="3" t="s">
        <v>162</v>
      </c>
      <c r="CA222" s="3">
        <f t="shared" si="155"/>
        <v>0</v>
      </c>
      <c r="CB222" s="3">
        <f t="shared" si="156"/>
        <v>0</v>
      </c>
      <c r="CC222" s="3">
        <f t="shared" si="157"/>
        <v>0</v>
      </c>
      <c r="CD222" s="3">
        <f t="shared" si="158"/>
        <v>0</v>
      </c>
      <c r="CE222" s="22">
        <f t="shared" si="164"/>
        <v>0</v>
      </c>
      <c r="CF222" s="1">
        <f t="shared" si="159"/>
        <v>0</v>
      </c>
      <c r="CG222" s="1">
        <f t="shared" si="165"/>
        <v>0</v>
      </c>
      <c r="CH222" s="3" t="s">
        <v>162</v>
      </c>
      <c r="CI222" s="1">
        <f t="shared" si="166"/>
        <v>0</v>
      </c>
      <c r="CJ222" s="1">
        <f t="shared" si="167"/>
        <v>0</v>
      </c>
      <c r="CK222" s="1">
        <f t="shared" si="168"/>
        <v>0</v>
      </c>
      <c r="CL222" s="1">
        <f t="shared" si="169"/>
        <v>0</v>
      </c>
      <c r="CM222" s="2">
        <f t="shared" si="170"/>
        <v>0</v>
      </c>
      <c r="CN222" s="1">
        <f t="shared" si="171"/>
        <v>0</v>
      </c>
      <c r="CO222" s="1">
        <f t="shared" si="172"/>
        <v>0</v>
      </c>
      <c r="CP222" s="3" t="s">
        <v>162</v>
      </c>
      <c r="CQ222" s="1">
        <f t="shared" si="173"/>
        <v>0</v>
      </c>
      <c r="CR222" s="1">
        <f t="shared" si="174"/>
        <v>0</v>
      </c>
      <c r="CS222" s="1">
        <f t="shared" si="175"/>
        <v>0</v>
      </c>
      <c r="CT222" s="1">
        <f t="shared" si="176"/>
        <v>0</v>
      </c>
      <c r="CU222" s="2">
        <f t="shared" si="177"/>
        <v>0</v>
      </c>
      <c r="CV222" s="14">
        <f t="shared" si="178"/>
        <v>0</v>
      </c>
      <c r="CW222" s="1">
        <f>ROUND(PPTest!K222,1)</f>
        <v>0</v>
      </c>
      <c r="CX222" s="3">
        <f t="shared" si="160"/>
        <v>0</v>
      </c>
      <c r="CY222" s="3">
        <f t="shared" si="179"/>
        <v>0</v>
      </c>
      <c r="CZ222" s="19">
        <f t="shared" si="180"/>
        <v>0</v>
      </c>
      <c r="DA222" s="19" t="e">
        <f t="shared" si="180"/>
        <v>#DIV/0!</v>
      </c>
      <c r="DB222" s="16">
        <f t="shared" si="181"/>
        <v>0</v>
      </c>
    </row>
    <row r="223" spans="1:106" x14ac:dyDescent="0.2">
      <c r="A223" s="15">
        <f t="shared" si="182"/>
        <v>45875</v>
      </c>
      <c r="B223" s="1">
        <v>218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4"/>
      <c r="AY223" s="43"/>
      <c r="BA223" s="16">
        <v>28.45</v>
      </c>
      <c r="BB223" s="41"/>
      <c r="BC223" s="41"/>
      <c r="BD223" s="8" t="e">
        <f t="shared" si="141"/>
        <v>#DIV/0!</v>
      </c>
      <c r="BE223" s="8"/>
      <c r="BF223" s="2">
        <f t="shared" si="161"/>
        <v>0</v>
      </c>
      <c r="BG223" s="2">
        <f t="shared" si="162"/>
        <v>0</v>
      </c>
      <c r="BH223" s="2">
        <f t="shared" si="163"/>
        <v>0</v>
      </c>
      <c r="BI223" s="35">
        <f t="shared" si="140"/>
        <v>0</v>
      </c>
      <c r="BJ223" s="35" t="e">
        <f t="shared" si="142"/>
        <v>#DIV/0!</v>
      </c>
      <c r="BL223" s="3">
        <f t="shared" si="143"/>
        <v>0</v>
      </c>
      <c r="BM223" s="19" t="e">
        <f t="shared" si="144"/>
        <v>#DIV/0!</v>
      </c>
      <c r="BN223" s="19" t="e">
        <f t="shared" si="145"/>
        <v>#DIV/0!</v>
      </c>
      <c r="BO223" s="19" t="e">
        <f t="shared" si="146"/>
        <v>#DIV/0!</v>
      </c>
      <c r="BP223" s="19" t="e">
        <f t="shared" si="147"/>
        <v>#DIV/0!</v>
      </c>
      <c r="BQ223" s="19" t="e">
        <f t="shared" si="148"/>
        <v>#DIV/0!</v>
      </c>
      <c r="BR223" s="19" t="e">
        <f t="shared" si="149"/>
        <v>#DIV/0!</v>
      </c>
      <c r="BS223" s="19" t="e">
        <f t="shared" si="150"/>
        <v>#DIV/0!</v>
      </c>
      <c r="BT223" s="19" t="e">
        <f t="shared" si="151"/>
        <v>#DIV/0!</v>
      </c>
      <c r="BV223" s="16">
        <f t="shared" si="152"/>
        <v>0</v>
      </c>
      <c r="BW223" s="16">
        <f t="shared" si="153"/>
        <v>0</v>
      </c>
      <c r="BX223" s="3">
        <f t="shared" si="154"/>
        <v>0</v>
      </c>
      <c r="BY223" s="3">
        <f t="shared" si="183"/>
        <v>0</v>
      </c>
      <c r="BZ223" s="3" t="s">
        <v>162</v>
      </c>
      <c r="CA223" s="3">
        <f t="shared" si="155"/>
        <v>0</v>
      </c>
      <c r="CB223" s="3">
        <f t="shared" si="156"/>
        <v>0</v>
      </c>
      <c r="CC223" s="3">
        <f t="shared" si="157"/>
        <v>0</v>
      </c>
      <c r="CD223" s="3">
        <f t="shared" si="158"/>
        <v>0</v>
      </c>
      <c r="CE223" s="22">
        <f t="shared" si="164"/>
        <v>0</v>
      </c>
      <c r="CF223" s="1">
        <f t="shared" si="159"/>
        <v>0</v>
      </c>
      <c r="CG223" s="1">
        <f t="shared" si="165"/>
        <v>0</v>
      </c>
      <c r="CH223" s="3" t="s">
        <v>162</v>
      </c>
      <c r="CI223" s="1">
        <f t="shared" si="166"/>
        <v>0</v>
      </c>
      <c r="CJ223" s="1">
        <f t="shared" si="167"/>
        <v>0</v>
      </c>
      <c r="CK223" s="1">
        <f t="shared" si="168"/>
        <v>0</v>
      </c>
      <c r="CL223" s="1">
        <f t="shared" si="169"/>
        <v>0</v>
      </c>
      <c r="CM223" s="2">
        <f t="shared" si="170"/>
        <v>0</v>
      </c>
      <c r="CN223" s="1">
        <f t="shared" si="171"/>
        <v>0</v>
      </c>
      <c r="CO223" s="1">
        <f t="shared" si="172"/>
        <v>0</v>
      </c>
      <c r="CP223" s="3" t="s">
        <v>162</v>
      </c>
      <c r="CQ223" s="1">
        <f t="shared" si="173"/>
        <v>0</v>
      </c>
      <c r="CR223" s="1">
        <f t="shared" si="174"/>
        <v>0</v>
      </c>
      <c r="CS223" s="1">
        <f t="shared" si="175"/>
        <v>0</v>
      </c>
      <c r="CT223" s="1">
        <f t="shared" si="176"/>
        <v>0</v>
      </c>
      <c r="CU223" s="2">
        <f t="shared" si="177"/>
        <v>0</v>
      </c>
      <c r="CV223" s="14">
        <f t="shared" si="178"/>
        <v>0</v>
      </c>
      <c r="CW223" s="1">
        <f>ROUND(PPTest!K223,1)</f>
        <v>0</v>
      </c>
      <c r="CX223" s="3">
        <f t="shared" si="160"/>
        <v>0</v>
      </c>
      <c r="CY223" s="3">
        <f t="shared" si="179"/>
        <v>0</v>
      </c>
      <c r="CZ223" s="19">
        <f t="shared" si="180"/>
        <v>0</v>
      </c>
      <c r="DA223" s="19" t="e">
        <f t="shared" si="180"/>
        <v>#DIV/0!</v>
      </c>
      <c r="DB223" s="16">
        <f t="shared" si="181"/>
        <v>0</v>
      </c>
    </row>
    <row r="224" spans="1:106" x14ac:dyDescent="0.2">
      <c r="A224" s="15">
        <f t="shared" si="182"/>
        <v>45876</v>
      </c>
      <c r="B224" s="1">
        <v>219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4"/>
      <c r="AY224" s="43"/>
      <c r="BA224" s="16">
        <v>28.26</v>
      </c>
      <c r="BB224" s="41"/>
      <c r="BC224" s="41"/>
      <c r="BD224" s="8" t="e">
        <f t="shared" si="141"/>
        <v>#DIV/0!</v>
      </c>
      <c r="BE224" s="8"/>
      <c r="BF224" s="2">
        <f t="shared" si="161"/>
        <v>0</v>
      </c>
      <c r="BG224" s="2">
        <f t="shared" si="162"/>
        <v>0</v>
      </c>
      <c r="BH224" s="2">
        <f t="shared" si="163"/>
        <v>0</v>
      </c>
      <c r="BI224" s="35">
        <f t="shared" si="140"/>
        <v>0</v>
      </c>
      <c r="BJ224" s="35" t="e">
        <f t="shared" si="142"/>
        <v>#DIV/0!</v>
      </c>
      <c r="BK224" s="3"/>
      <c r="BL224" s="3">
        <f t="shared" si="143"/>
        <v>0</v>
      </c>
      <c r="BM224" s="19" t="e">
        <f t="shared" si="144"/>
        <v>#DIV/0!</v>
      </c>
      <c r="BN224" s="19" t="e">
        <f t="shared" si="145"/>
        <v>#DIV/0!</v>
      </c>
      <c r="BO224" s="19" t="e">
        <f t="shared" si="146"/>
        <v>#DIV/0!</v>
      </c>
      <c r="BP224" s="19" t="e">
        <f t="shared" si="147"/>
        <v>#DIV/0!</v>
      </c>
      <c r="BQ224" s="19" t="e">
        <f t="shared" si="148"/>
        <v>#DIV/0!</v>
      </c>
      <c r="BR224" s="19" t="e">
        <f t="shared" si="149"/>
        <v>#DIV/0!</v>
      </c>
      <c r="BS224" s="19" t="e">
        <f t="shared" si="150"/>
        <v>#DIV/0!</v>
      </c>
      <c r="BT224" s="19" t="e">
        <f t="shared" si="151"/>
        <v>#DIV/0!</v>
      </c>
      <c r="BV224" s="16">
        <f t="shared" si="152"/>
        <v>0</v>
      </c>
      <c r="BW224" s="16">
        <f t="shared" si="153"/>
        <v>0</v>
      </c>
      <c r="BX224" s="3">
        <f t="shared" si="154"/>
        <v>0</v>
      </c>
      <c r="BY224" s="3">
        <f t="shared" si="183"/>
        <v>0</v>
      </c>
      <c r="BZ224" s="3" t="s">
        <v>162</v>
      </c>
      <c r="CA224" s="3">
        <f t="shared" si="155"/>
        <v>0</v>
      </c>
      <c r="CB224" s="3">
        <f t="shared" si="156"/>
        <v>0</v>
      </c>
      <c r="CC224" s="3">
        <f t="shared" si="157"/>
        <v>0</v>
      </c>
      <c r="CD224" s="3">
        <f t="shared" si="158"/>
        <v>0</v>
      </c>
      <c r="CE224" s="22">
        <f t="shared" si="164"/>
        <v>0</v>
      </c>
      <c r="CF224" s="1">
        <f t="shared" si="159"/>
        <v>0</v>
      </c>
      <c r="CG224" s="1">
        <f t="shared" si="165"/>
        <v>0</v>
      </c>
      <c r="CH224" s="3" t="s">
        <v>162</v>
      </c>
      <c r="CI224" s="1">
        <f t="shared" si="166"/>
        <v>0</v>
      </c>
      <c r="CJ224" s="1">
        <f t="shared" si="167"/>
        <v>0</v>
      </c>
      <c r="CK224" s="1">
        <f t="shared" si="168"/>
        <v>0</v>
      </c>
      <c r="CL224" s="1">
        <f t="shared" si="169"/>
        <v>0</v>
      </c>
      <c r="CM224" s="2">
        <f t="shared" si="170"/>
        <v>0</v>
      </c>
      <c r="CN224" s="1">
        <f t="shared" si="171"/>
        <v>0</v>
      </c>
      <c r="CO224" s="1">
        <f t="shared" si="172"/>
        <v>0</v>
      </c>
      <c r="CP224" s="3" t="s">
        <v>162</v>
      </c>
      <c r="CQ224" s="1">
        <f t="shared" si="173"/>
        <v>0</v>
      </c>
      <c r="CR224" s="1">
        <f t="shared" si="174"/>
        <v>0</v>
      </c>
      <c r="CS224" s="1">
        <f t="shared" si="175"/>
        <v>0</v>
      </c>
      <c r="CT224" s="1">
        <f t="shared" si="176"/>
        <v>0</v>
      </c>
      <c r="CU224" s="2">
        <f t="shared" si="177"/>
        <v>0</v>
      </c>
      <c r="CV224" s="14">
        <f t="shared" si="178"/>
        <v>0</v>
      </c>
      <c r="CW224" s="1">
        <f>ROUND(PPTest!K224,1)</f>
        <v>0</v>
      </c>
      <c r="CX224" s="3">
        <f t="shared" si="160"/>
        <v>0</v>
      </c>
      <c r="CY224" s="3">
        <f t="shared" si="179"/>
        <v>0</v>
      </c>
      <c r="CZ224" s="19">
        <f t="shared" si="180"/>
        <v>0</v>
      </c>
      <c r="DA224" s="19" t="e">
        <f t="shared" si="180"/>
        <v>#DIV/0!</v>
      </c>
      <c r="DB224" s="16">
        <f t="shared" si="181"/>
        <v>0</v>
      </c>
    </row>
    <row r="225" spans="1:106" x14ac:dyDescent="0.2">
      <c r="A225" s="15">
        <f t="shared" si="182"/>
        <v>45877</v>
      </c>
      <c r="B225" s="1">
        <v>220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4"/>
      <c r="AY225" s="43"/>
      <c r="BA225" s="16">
        <v>28.06</v>
      </c>
      <c r="BB225" s="41"/>
      <c r="BC225" s="41"/>
      <c r="BD225" s="8" t="e">
        <f t="shared" si="141"/>
        <v>#DIV/0!</v>
      </c>
      <c r="BE225" s="8"/>
      <c r="BF225" s="2">
        <f t="shared" si="161"/>
        <v>0</v>
      </c>
      <c r="BG225" s="2">
        <f t="shared" si="162"/>
        <v>0</v>
      </c>
      <c r="BH225" s="2">
        <f t="shared" si="163"/>
        <v>0</v>
      </c>
      <c r="BI225" s="35">
        <f t="shared" si="140"/>
        <v>0</v>
      </c>
      <c r="BJ225" s="35" t="e">
        <f t="shared" si="142"/>
        <v>#DIV/0!</v>
      </c>
      <c r="BK225" s="3"/>
      <c r="BL225" s="3">
        <f t="shared" si="143"/>
        <v>0</v>
      </c>
      <c r="BM225" s="19" t="e">
        <f t="shared" si="144"/>
        <v>#DIV/0!</v>
      </c>
      <c r="BN225" s="19" t="e">
        <f t="shared" si="145"/>
        <v>#DIV/0!</v>
      </c>
      <c r="BO225" s="19" t="e">
        <f t="shared" si="146"/>
        <v>#DIV/0!</v>
      </c>
      <c r="BP225" s="19" t="e">
        <f t="shared" si="147"/>
        <v>#DIV/0!</v>
      </c>
      <c r="BQ225" s="19" t="e">
        <f t="shared" si="148"/>
        <v>#DIV/0!</v>
      </c>
      <c r="BR225" s="19" t="e">
        <f t="shared" si="149"/>
        <v>#DIV/0!</v>
      </c>
      <c r="BS225" s="19" t="e">
        <f t="shared" si="150"/>
        <v>#DIV/0!</v>
      </c>
      <c r="BT225" s="19" t="e">
        <f t="shared" si="151"/>
        <v>#DIV/0!</v>
      </c>
      <c r="BV225" s="16">
        <f t="shared" si="152"/>
        <v>0</v>
      </c>
      <c r="BW225" s="16">
        <f t="shared" si="153"/>
        <v>0</v>
      </c>
      <c r="BX225" s="3">
        <f t="shared" si="154"/>
        <v>0</v>
      </c>
      <c r="BY225" s="3">
        <f t="shared" si="183"/>
        <v>0</v>
      </c>
      <c r="BZ225" s="3" t="s">
        <v>162</v>
      </c>
      <c r="CA225" s="3">
        <f t="shared" si="155"/>
        <v>0</v>
      </c>
      <c r="CB225" s="3">
        <f t="shared" si="156"/>
        <v>0</v>
      </c>
      <c r="CC225" s="3">
        <f t="shared" si="157"/>
        <v>0</v>
      </c>
      <c r="CD225" s="3">
        <f t="shared" si="158"/>
        <v>0</v>
      </c>
      <c r="CE225" s="22">
        <f t="shared" si="164"/>
        <v>0</v>
      </c>
      <c r="CF225" s="1">
        <f t="shared" si="159"/>
        <v>0</v>
      </c>
      <c r="CG225" s="1">
        <f t="shared" si="165"/>
        <v>0</v>
      </c>
      <c r="CH225" s="3" t="s">
        <v>162</v>
      </c>
      <c r="CI225" s="1">
        <f t="shared" si="166"/>
        <v>0</v>
      </c>
      <c r="CJ225" s="1">
        <f t="shared" si="167"/>
        <v>0</v>
      </c>
      <c r="CK225" s="1">
        <f t="shared" si="168"/>
        <v>0</v>
      </c>
      <c r="CL225" s="1">
        <f t="shared" si="169"/>
        <v>0</v>
      </c>
      <c r="CM225" s="2">
        <f t="shared" si="170"/>
        <v>0</v>
      </c>
      <c r="CN225" s="1">
        <f t="shared" si="171"/>
        <v>0</v>
      </c>
      <c r="CO225" s="1">
        <f t="shared" si="172"/>
        <v>0</v>
      </c>
      <c r="CP225" s="3" t="s">
        <v>162</v>
      </c>
      <c r="CQ225" s="1">
        <f t="shared" si="173"/>
        <v>0</v>
      </c>
      <c r="CR225" s="1">
        <f t="shared" si="174"/>
        <v>0</v>
      </c>
      <c r="CS225" s="1">
        <f t="shared" si="175"/>
        <v>0</v>
      </c>
      <c r="CT225" s="1">
        <f t="shared" si="176"/>
        <v>0</v>
      </c>
      <c r="CU225" s="2">
        <f t="shared" si="177"/>
        <v>0</v>
      </c>
      <c r="CV225" s="14">
        <f t="shared" si="178"/>
        <v>0</v>
      </c>
      <c r="CW225" s="1">
        <f>ROUND(PPTest!K225,1)</f>
        <v>0</v>
      </c>
      <c r="CX225" s="3">
        <f t="shared" si="160"/>
        <v>0</v>
      </c>
      <c r="CY225" s="3">
        <f t="shared" si="179"/>
        <v>0</v>
      </c>
      <c r="CZ225" s="19">
        <f t="shared" si="180"/>
        <v>0</v>
      </c>
      <c r="DA225" s="19" t="e">
        <f t="shared" si="180"/>
        <v>#DIV/0!</v>
      </c>
      <c r="DB225" s="16">
        <f t="shared" si="181"/>
        <v>0</v>
      </c>
    </row>
    <row r="226" spans="1:106" x14ac:dyDescent="0.2">
      <c r="A226" s="15">
        <f t="shared" si="182"/>
        <v>45878</v>
      </c>
      <c r="B226" s="1">
        <v>221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4"/>
      <c r="AY226" s="43"/>
      <c r="BA226" s="16">
        <v>27.87</v>
      </c>
      <c r="BB226" s="41"/>
      <c r="BC226" s="41"/>
      <c r="BD226" s="8" t="e">
        <f t="shared" si="141"/>
        <v>#DIV/0!</v>
      </c>
      <c r="BE226" s="8"/>
      <c r="BF226" s="2">
        <f t="shared" si="161"/>
        <v>0</v>
      </c>
      <c r="BG226" s="2">
        <f t="shared" si="162"/>
        <v>0</v>
      </c>
      <c r="BH226" s="2">
        <f t="shared" si="163"/>
        <v>0</v>
      </c>
      <c r="BI226" s="35">
        <f t="shared" si="140"/>
        <v>0</v>
      </c>
      <c r="BJ226" s="35" t="e">
        <f t="shared" si="142"/>
        <v>#DIV/0!</v>
      </c>
      <c r="BK226" s="3"/>
      <c r="BL226" s="3">
        <f t="shared" si="143"/>
        <v>0</v>
      </c>
      <c r="BM226" s="19" t="e">
        <f t="shared" si="144"/>
        <v>#DIV/0!</v>
      </c>
      <c r="BN226" s="19" t="e">
        <f t="shared" si="145"/>
        <v>#DIV/0!</v>
      </c>
      <c r="BO226" s="19" t="e">
        <f t="shared" si="146"/>
        <v>#DIV/0!</v>
      </c>
      <c r="BP226" s="19" t="e">
        <f t="shared" si="147"/>
        <v>#DIV/0!</v>
      </c>
      <c r="BQ226" s="19" t="e">
        <f t="shared" si="148"/>
        <v>#DIV/0!</v>
      </c>
      <c r="BR226" s="19" t="e">
        <f t="shared" si="149"/>
        <v>#DIV/0!</v>
      </c>
      <c r="BS226" s="19" t="e">
        <f t="shared" si="150"/>
        <v>#DIV/0!</v>
      </c>
      <c r="BT226" s="19" t="e">
        <f t="shared" si="151"/>
        <v>#DIV/0!</v>
      </c>
      <c r="BV226" s="16">
        <f t="shared" si="152"/>
        <v>0</v>
      </c>
      <c r="BW226" s="16">
        <f t="shared" si="153"/>
        <v>0</v>
      </c>
      <c r="BX226" s="3">
        <f t="shared" si="154"/>
        <v>0</v>
      </c>
      <c r="BY226" s="3">
        <f t="shared" si="183"/>
        <v>0</v>
      </c>
      <c r="BZ226" s="3" t="s">
        <v>162</v>
      </c>
      <c r="CA226" s="3">
        <f t="shared" si="155"/>
        <v>0</v>
      </c>
      <c r="CB226" s="3">
        <f t="shared" si="156"/>
        <v>0</v>
      </c>
      <c r="CC226" s="3">
        <f t="shared" si="157"/>
        <v>0</v>
      </c>
      <c r="CD226" s="3">
        <f t="shared" si="158"/>
        <v>0</v>
      </c>
      <c r="CE226" s="22">
        <f t="shared" si="164"/>
        <v>0</v>
      </c>
      <c r="CF226" s="1">
        <f t="shared" si="159"/>
        <v>0</v>
      </c>
      <c r="CG226" s="1">
        <f t="shared" si="165"/>
        <v>0</v>
      </c>
      <c r="CH226" s="3" t="s">
        <v>162</v>
      </c>
      <c r="CI226" s="1">
        <f t="shared" si="166"/>
        <v>0</v>
      </c>
      <c r="CJ226" s="1">
        <f t="shared" si="167"/>
        <v>0</v>
      </c>
      <c r="CK226" s="1">
        <f t="shared" si="168"/>
        <v>0</v>
      </c>
      <c r="CL226" s="1">
        <f t="shared" si="169"/>
        <v>0</v>
      </c>
      <c r="CM226" s="2">
        <f t="shared" si="170"/>
        <v>0</v>
      </c>
      <c r="CN226" s="1">
        <f t="shared" si="171"/>
        <v>0</v>
      </c>
      <c r="CO226" s="1">
        <f t="shared" si="172"/>
        <v>0</v>
      </c>
      <c r="CP226" s="3" t="s">
        <v>162</v>
      </c>
      <c r="CQ226" s="1">
        <f t="shared" si="173"/>
        <v>0</v>
      </c>
      <c r="CR226" s="1">
        <f t="shared" si="174"/>
        <v>0</v>
      </c>
      <c r="CS226" s="1">
        <f t="shared" si="175"/>
        <v>0</v>
      </c>
      <c r="CT226" s="1">
        <f t="shared" si="176"/>
        <v>0</v>
      </c>
      <c r="CU226" s="2">
        <f t="shared" si="177"/>
        <v>0</v>
      </c>
      <c r="CV226" s="14">
        <f t="shared" si="178"/>
        <v>0</v>
      </c>
      <c r="CW226" s="1">
        <f>ROUND(PPTest!K226,1)</f>
        <v>0</v>
      </c>
      <c r="CX226" s="3">
        <f t="shared" si="160"/>
        <v>0</v>
      </c>
      <c r="CY226" s="3">
        <f t="shared" si="179"/>
        <v>0</v>
      </c>
      <c r="CZ226" s="19">
        <f t="shared" si="180"/>
        <v>0</v>
      </c>
      <c r="DA226" s="19" t="e">
        <f t="shared" si="180"/>
        <v>#DIV/0!</v>
      </c>
      <c r="DB226" s="16">
        <f t="shared" si="181"/>
        <v>0</v>
      </c>
    </row>
    <row r="227" spans="1:106" x14ac:dyDescent="0.2">
      <c r="A227" s="15">
        <f t="shared" si="182"/>
        <v>45879</v>
      </c>
      <c r="B227" s="1">
        <v>222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4"/>
      <c r="AY227" s="43"/>
      <c r="BA227" s="16">
        <v>27.67</v>
      </c>
      <c r="BB227" s="41"/>
      <c r="BC227" s="41"/>
      <c r="BD227" s="8" t="e">
        <f t="shared" si="141"/>
        <v>#DIV/0!</v>
      </c>
      <c r="BE227" s="8"/>
      <c r="BF227" s="2">
        <f t="shared" si="161"/>
        <v>0</v>
      </c>
      <c r="BG227" s="2">
        <f t="shared" si="162"/>
        <v>0</v>
      </c>
      <c r="BH227" s="2">
        <f t="shared" si="163"/>
        <v>0</v>
      </c>
      <c r="BI227" s="35">
        <f t="shared" si="140"/>
        <v>0</v>
      </c>
      <c r="BJ227" s="35" t="e">
        <f t="shared" si="142"/>
        <v>#DIV/0!</v>
      </c>
      <c r="BK227" s="3"/>
      <c r="BL227" s="3">
        <f t="shared" si="143"/>
        <v>0</v>
      </c>
      <c r="BM227" s="19" t="e">
        <f t="shared" si="144"/>
        <v>#DIV/0!</v>
      </c>
      <c r="BN227" s="19" t="e">
        <f t="shared" si="145"/>
        <v>#DIV/0!</v>
      </c>
      <c r="BO227" s="19" t="e">
        <f t="shared" si="146"/>
        <v>#DIV/0!</v>
      </c>
      <c r="BP227" s="19" t="e">
        <f t="shared" si="147"/>
        <v>#DIV/0!</v>
      </c>
      <c r="BQ227" s="19" t="e">
        <f t="shared" si="148"/>
        <v>#DIV/0!</v>
      </c>
      <c r="BR227" s="19" t="e">
        <f t="shared" si="149"/>
        <v>#DIV/0!</v>
      </c>
      <c r="BS227" s="19" t="e">
        <f t="shared" si="150"/>
        <v>#DIV/0!</v>
      </c>
      <c r="BT227" s="19" t="e">
        <f t="shared" si="151"/>
        <v>#DIV/0!</v>
      </c>
      <c r="BV227" s="16">
        <f t="shared" si="152"/>
        <v>0</v>
      </c>
      <c r="BW227" s="16">
        <f t="shared" si="153"/>
        <v>0</v>
      </c>
      <c r="BX227" s="3">
        <f t="shared" si="154"/>
        <v>0</v>
      </c>
      <c r="BY227" s="3">
        <f t="shared" si="183"/>
        <v>0</v>
      </c>
      <c r="BZ227" s="3" t="s">
        <v>162</v>
      </c>
      <c r="CA227" s="3">
        <f t="shared" si="155"/>
        <v>0</v>
      </c>
      <c r="CB227" s="3">
        <f t="shared" si="156"/>
        <v>0</v>
      </c>
      <c r="CC227" s="3">
        <f t="shared" si="157"/>
        <v>0</v>
      </c>
      <c r="CD227" s="3">
        <f t="shared" si="158"/>
        <v>0</v>
      </c>
      <c r="CE227" s="22">
        <f t="shared" si="164"/>
        <v>0</v>
      </c>
      <c r="CF227" s="1">
        <f t="shared" si="159"/>
        <v>0</v>
      </c>
      <c r="CG227" s="1">
        <f t="shared" si="165"/>
        <v>0</v>
      </c>
      <c r="CH227" s="3" t="s">
        <v>162</v>
      </c>
      <c r="CI227" s="1">
        <f t="shared" si="166"/>
        <v>0</v>
      </c>
      <c r="CJ227" s="1">
        <f t="shared" si="167"/>
        <v>0</v>
      </c>
      <c r="CK227" s="1">
        <f t="shared" si="168"/>
        <v>0</v>
      </c>
      <c r="CL227" s="1">
        <f t="shared" si="169"/>
        <v>0</v>
      </c>
      <c r="CM227" s="2">
        <f t="shared" si="170"/>
        <v>0</v>
      </c>
      <c r="CN227" s="1">
        <f t="shared" si="171"/>
        <v>0</v>
      </c>
      <c r="CO227" s="1">
        <f t="shared" si="172"/>
        <v>0</v>
      </c>
      <c r="CP227" s="3" t="s">
        <v>162</v>
      </c>
      <c r="CQ227" s="1">
        <f t="shared" si="173"/>
        <v>0</v>
      </c>
      <c r="CR227" s="1">
        <f t="shared" si="174"/>
        <v>0</v>
      </c>
      <c r="CS227" s="1">
        <f t="shared" si="175"/>
        <v>0</v>
      </c>
      <c r="CT227" s="1">
        <f t="shared" si="176"/>
        <v>0</v>
      </c>
      <c r="CU227" s="2">
        <f t="shared" si="177"/>
        <v>0</v>
      </c>
      <c r="CV227" s="14">
        <f t="shared" si="178"/>
        <v>0</v>
      </c>
      <c r="CW227" s="1">
        <f>ROUND(PPTest!K227,1)</f>
        <v>0</v>
      </c>
      <c r="CX227" s="3">
        <f t="shared" si="160"/>
        <v>0</v>
      </c>
      <c r="CY227" s="3">
        <f t="shared" si="179"/>
        <v>0</v>
      </c>
      <c r="CZ227" s="19">
        <f t="shared" si="180"/>
        <v>0</v>
      </c>
      <c r="DA227" s="19" t="e">
        <f t="shared" si="180"/>
        <v>#DIV/0!</v>
      </c>
      <c r="DB227" s="16">
        <f t="shared" si="181"/>
        <v>0</v>
      </c>
    </row>
    <row r="228" spans="1:106" x14ac:dyDescent="0.2">
      <c r="A228" s="15">
        <f t="shared" si="182"/>
        <v>45880</v>
      </c>
      <c r="B228" s="1">
        <v>223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4"/>
      <c r="AY228" s="43"/>
      <c r="BA228" s="16">
        <v>27.47</v>
      </c>
      <c r="BB228" s="41"/>
      <c r="BC228" s="41"/>
      <c r="BD228" s="8" t="e">
        <f t="shared" si="141"/>
        <v>#DIV/0!</v>
      </c>
      <c r="BE228" s="8"/>
      <c r="BF228" s="2">
        <f t="shared" si="161"/>
        <v>0</v>
      </c>
      <c r="BG228" s="2">
        <f t="shared" si="162"/>
        <v>0</v>
      </c>
      <c r="BH228" s="2">
        <f t="shared" si="163"/>
        <v>0</v>
      </c>
      <c r="BI228" s="35">
        <f t="shared" si="140"/>
        <v>0</v>
      </c>
      <c r="BJ228" s="35" t="e">
        <f t="shared" si="142"/>
        <v>#DIV/0!</v>
      </c>
      <c r="BK228" s="3"/>
      <c r="BL228" s="3">
        <f t="shared" si="143"/>
        <v>0</v>
      </c>
      <c r="BM228" s="19" t="e">
        <f t="shared" si="144"/>
        <v>#DIV/0!</v>
      </c>
      <c r="BN228" s="19" t="e">
        <f t="shared" si="145"/>
        <v>#DIV/0!</v>
      </c>
      <c r="BO228" s="19" t="e">
        <f t="shared" si="146"/>
        <v>#DIV/0!</v>
      </c>
      <c r="BP228" s="19" t="e">
        <f t="shared" si="147"/>
        <v>#DIV/0!</v>
      </c>
      <c r="BQ228" s="19" t="e">
        <f t="shared" si="148"/>
        <v>#DIV/0!</v>
      </c>
      <c r="BR228" s="19" t="e">
        <f t="shared" si="149"/>
        <v>#DIV/0!</v>
      </c>
      <c r="BS228" s="19" t="e">
        <f t="shared" si="150"/>
        <v>#DIV/0!</v>
      </c>
      <c r="BT228" s="19" t="e">
        <f t="shared" si="151"/>
        <v>#DIV/0!</v>
      </c>
      <c r="BV228" s="16">
        <f t="shared" si="152"/>
        <v>0</v>
      </c>
      <c r="BW228" s="16">
        <f t="shared" si="153"/>
        <v>0</v>
      </c>
      <c r="BX228" s="3">
        <f t="shared" si="154"/>
        <v>0</v>
      </c>
      <c r="BY228" s="3">
        <f t="shared" si="183"/>
        <v>0</v>
      </c>
      <c r="BZ228" s="3" t="s">
        <v>162</v>
      </c>
      <c r="CA228" s="3">
        <f t="shared" si="155"/>
        <v>0</v>
      </c>
      <c r="CB228" s="3">
        <f t="shared" si="156"/>
        <v>0</v>
      </c>
      <c r="CC228" s="3">
        <f t="shared" si="157"/>
        <v>0</v>
      </c>
      <c r="CD228" s="3">
        <f t="shared" si="158"/>
        <v>0</v>
      </c>
      <c r="CE228" s="22">
        <f t="shared" si="164"/>
        <v>0</v>
      </c>
      <c r="CF228" s="1">
        <f t="shared" si="159"/>
        <v>0</v>
      </c>
      <c r="CG228" s="1">
        <f t="shared" si="165"/>
        <v>0</v>
      </c>
      <c r="CH228" s="3" t="s">
        <v>162</v>
      </c>
      <c r="CI228" s="1">
        <f t="shared" si="166"/>
        <v>0</v>
      </c>
      <c r="CJ228" s="1">
        <f t="shared" si="167"/>
        <v>0</v>
      </c>
      <c r="CK228" s="1">
        <f t="shared" si="168"/>
        <v>0</v>
      </c>
      <c r="CL228" s="1">
        <f t="shared" si="169"/>
        <v>0</v>
      </c>
      <c r="CM228" s="2">
        <f t="shared" si="170"/>
        <v>0</v>
      </c>
      <c r="CN228" s="1">
        <f t="shared" si="171"/>
        <v>0</v>
      </c>
      <c r="CO228" s="1">
        <f t="shared" si="172"/>
        <v>0</v>
      </c>
      <c r="CP228" s="3" t="s">
        <v>162</v>
      </c>
      <c r="CQ228" s="1">
        <f t="shared" si="173"/>
        <v>0</v>
      </c>
      <c r="CR228" s="1">
        <f t="shared" si="174"/>
        <v>0</v>
      </c>
      <c r="CS228" s="1">
        <f t="shared" si="175"/>
        <v>0</v>
      </c>
      <c r="CT228" s="1">
        <f t="shared" si="176"/>
        <v>0</v>
      </c>
      <c r="CU228" s="2">
        <f t="shared" si="177"/>
        <v>0</v>
      </c>
      <c r="CV228" s="14">
        <f t="shared" si="178"/>
        <v>0</v>
      </c>
      <c r="CW228" s="1">
        <f>ROUND(PPTest!K228,1)</f>
        <v>0</v>
      </c>
      <c r="CX228" s="3">
        <f t="shared" si="160"/>
        <v>0</v>
      </c>
      <c r="CY228" s="3">
        <f t="shared" si="179"/>
        <v>0</v>
      </c>
      <c r="CZ228" s="19">
        <f t="shared" si="180"/>
        <v>0</v>
      </c>
      <c r="DA228" s="19" t="e">
        <f t="shared" si="180"/>
        <v>#DIV/0!</v>
      </c>
      <c r="DB228" s="16">
        <f t="shared" si="181"/>
        <v>0</v>
      </c>
    </row>
    <row r="229" spans="1:106" x14ac:dyDescent="0.2">
      <c r="A229" s="15">
        <f t="shared" si="182"/>
        <v>45881</v>
      </c>
      <c r="B229" s="1">
        <v>224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4"/>
      <c r="AY229" s="43"/>
      <c r="BA229" s="16">
        <v>27.27</v>
      </c>
      <c r="BB229" s="41"/>
      <c r="BC229" s="41"/>
      <c r="BD229" s="8" t="e">
        <f t="shared" si="141"/>
        <v>#DIV/0!</v>
      </c>
      <c r="BE229" s="8"/>
      <c r="BF229" s="2">
        <f t="shared" si="161"/>
        <v>0</v>
      </c>
      <c r="BG229" s="2">
        <f t="shared" si="162"/>
        <v>0</v>
      </c>
      <c r="BH229" s="2">
        <f t="shared" si="163"/>
        <v>0</v>
      </c>
      <c r="BI229" s="35">
        <f t="shared" si="140"/>
        <v>0</v>
      </c>
      <c r="BJ229" s="35" t="e">
        <f t="shared" si="142"/>
        <v>#DIV/0!</v>
      </c>
      <c r="BK229" s="3"/>
      <c r="BL229" s="3">
        <f t="shared" si="143"/>
        <v>0</v>
      </c>
      <c r="BM229" s="19" t="e">
        <f t="shared" si="144"/>
        <v>#DIV/0!</v>
      </c>
      <c r="BN229" s="19" t="e">
        <f t="shared" si="145"/>
        <v>#DIV/0!</v>
      </c>
      <c r="BO229" s="19" t="e">
        <f t="shared" si="146"/>
        <v>#DIV/0!</v>
      </c>
      <c r="BP229" s="19" t="e">
        <f t="shared" si="147"/>
        <v>#DIV/0!</v>
      </c>
      <c r="BQ229" s="19" t="e">
        <f t="shared" si="148"/>
        <v>#DIV/0!</v>
      </c>
      <c r="BR229" s="19" t="e">
        <f t="shared" si="149"/>
        <v>#DIV/0!</v>
      </c>
      <c r="BS229" s="19" t="e">
        <f t="shared" si="150"/>
        <v>#DIV/0!</v>
      </c>
      <c r="BT229" s="19" t="e">
        <f t="shared" si="151"/>
        <v>#DIV/0!</v>
      </c>
      <c r="BV229" s="16">
        <f t="shared" si="152"/>
        <v>0</v>
      </c>
      <c r="BW229" s="16">
        <f t="shared" si="153"/>
        <v>0</v>
      </c>
      <c r="BX229" s="3">
        <f t="shared" si="154"/>
        <v>0</v>
      </c>
      <c r="BY229" s="3">
        <f t="shared" si="183"/>
        <v>0</v>
      </c>
      <c r="BZ229" s="3" t="s">
        <v>162</v>
      </c>
      <c r="CA229" s="3">
        <f t="shared" si="155"/>
        <v>0</v>
      </c>
      <c r="CB229" s="3">
        <f t="shared" si="156"/>
        <v>0</v>
      </c>
      <c r="CC229" s="3">
        <f t="shared" si="157"/>
        <v>0</v>
      </c>
      <c r="CD229" s="3">
        <f t="shared" si="158"/>
        <v>0</v>
      </c>
      <c r="CE229" s="22">
        <f t="shared" si="164"/>
        <v>0</v>
      </c>
      <c r="CF229" s="1">
        <f t="shared" si="159"/>
        <v>0</v>
      </c>
      <c r="CG229" s="1">
        <f t="shared" si="165"/>
        <v>0</v>
      </c>
      <c r="CH229" s="3" t="s">
        <v>162</v>
      </c>
      <c r="CI229" s="1">
        <f t="shared" si="166"/>
        <v>0</v>
      </c>
      <c r="CJ229" s="1">
        <f t="shared" si="167"/>
        <v>0</v>
      </c>
      <c r="CK229" s="1">
        <f t="shared" si="168"/>
        <v>0</v>
      </c>
      <c r="CL229" s="1">
        <f t="shared" si="169"/>
        <v>0</v>
      </c>
      <c r="CM229" s="2">
        <f t="shared" si="170"/>
        <v>0</v>
      </c>
      <c r="CN229" s="1">
        <f t="shared" si="171"/>
        <v>0</v>
      </c>
      <c r="CO229" s="1">
        <f t="shared" si="172"/>
        <v>0</v>
      </c>
      <c r="CP229" s="3" t="s">
        <v>162</v>
      </c>
      <c r="CQ229" s="1">
        <f t="shared" si="173"/>
        <v>0</v>
      </c>
      <c r="CR229" s="1">
        <f t="shared" si="174"/>
        <v>0</v>
      </c>
      <c r="CS229" s="1">
        <f t="shared" si="175"/>
        <v>0</v>
      </c>
      <c r="CT229" s="1">
        <f t="shared" si="176"/>
        <v>0</v>
      </c>
      <c r="CU229" s="2">
        <f t="shared" si="177"/>
        <v>0</v>
      </c>
      <c r="CV229" s="14">
        <f t="shared" si="178"/>
        <v>0</v>
      </c>
      <c r="CW229" s="1">
        <f>ROUND(PPTest!K229,1)</f>
        <v>0</v>
      </c>
      <c r="CX229" s="3">
        <f t="shared" si="160"/>
        <v>0</v>
      </c>
      <c r="CY229" s="3">
        <f t="shared" si="179"/>
        <v>0</v>
      </c>
      <c r="CZ229" s="19">
        <f t="shared" si="180"/>
        <v>0</v>
      </c>
      <c r="DA229" s="19" t="e">
        <f t="shared" si="180"/>
        <v>#DIV/0!</v>
      </c>
      <c r="DB229" s="16">
        <f t="shared" si="181"/>
        <v>0</v>
      </c>
    </row>
    <row r="230" spans="1:106" x14ac:dyDescent="0.2">
      <c r="A230" s="15">
        <f t="shared" si="182"/>
        <v>45882</v>
      </c>
      <c r="B230" s="1">
        <v>225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4"/>
      <c r="AY230" s="43"/>
      <c r="BA230" s="16">
        <v>27.06</v>
      </c>
      <c r="BB230" s="41"/>
      <c r="BC230" s="41"/>
      <c r="BD230" s="8" t="e">
        <f t="shared" si="141"/>
        <v>#DIV/0!</v>
      </c>
      <c r="BE230" s="8"/>
      <c r="BF230" s="2">
        <f t="shared" si="161"/>
        <v>0</v>
      </c>
      <c r="BG230" s="2">
        <f t="shared" si="162"/>
        <v>0</v>
      </c>
      <c r="BH230" s="2">
        <f t="shared" si="163"/>
        <v>0</v>
      </c>
      <c r="BI230" s="35">
        <f t="shared" si="140"/>
        <v>0</v>
      </c>
      <c r="BJ230" s="35" t="e">
        <f t="shared" si="142"/>
        <v>#DIV/0!</v>
      </c>
      <c r="BK230" s="3"/>
      <c r="BL230" s="3">
        <f t="shared" si="143"/>
        <v>0</v>
      </c>
      <c r="BM230" s="19" t="e">
        <f t="shared" si="144"/>
        <v>#DIV/0!</v>
      </c>
      <c r="BN230" s="19" t="e">
        <f t="shared" si="145"/>
        <v>#DIV/0!</v>
      </c>
      <c r="BO230" s="19" t="e">
        <f t="shared" si="146"/>
        <v>#DIV/0!</v>
      </c>
      <c r="BP230" s="19" t="e">
        <f t="shared" si="147"/>
        <v>#DIV/0!</v>
      </c>
      <c r="BQ230" s="19" t="e">
        <f t="shared" si="148"/>
        <v>#DIV/0!</v>
      </c>
      <c r="BR230" s="19" t="e">
        <f t="shared" si="149"/>
        <v>#DIV/0!</v>
      </c>
      <c r="BS230" s="19" t="e">
        <f t="shared" si="150"/>
        <v>#DIV/0!</v>
      </c>
      <c r="BT230" s="19" t="e">
        <f t="shared" si="151"/>
        <v>#DIV/0!</v>
      </c>
      <c r="BV230" s="16">
        <f t="shared" si="152"/>
        <v>0</v>
      </c>
      <c r="BW230" s="16">
        <f t="shared" si="153"/>
        <v>0</v>
      </c>
      <c r="BX230" s="3">
        <f t="shared" si="154"/>
        <v>0</v>
      </c>
      <c r="BY230" s="3">
        <f t="shared" si="183"/>
        <v>0</v>
      </c>
      <c r="BZ230" s="3" t="s">
        <v>162</v>
      </c>
      <c r="CA230" s="3">
        <f t="shared" si="155"/>
        <v>0</v>
      </c>
      <c r="CB230" s="3">
        <f t="shared" si="156"/>
        <v>0</v>
      </c>
      <c r="CC230" s="3">
        <f t="shared" si="157"/>
        <v>0</v>
      </c>
      <c r="CD230" s="3">
        <f t="shared" si="158"/>
        <v>0</v>
      </c>
      <c r="CE230" s="22">
        <f t="shared" si="164"/>
        <v>0</v>
      </c>
      <c r="CF230" s="1">
        <f t="shared" si="159"/>
        <v>0</v>
      </c>
      <c r="CG230" s="1">
        <f t="shared" si="165"/>
        <v>0</v>
      </c>
      <c r="CH230" s="3" t="s">
        <v>162</v>
      </c>
      <c r="CI230" s="1">
        <f t="shared" si="166"/>
        <v>0</v>
      </c>
      <c r="CJ230" s="1">
        <f t="shared" si="167"/>
        <v>0</v>
      </c>
      <c r="CK230" s="1">
        <f t="shared" si="168"/>
        <v>0</v>
      </c>
      <c r="CL230" s="1">
        <f t="shared" si="169"/>
        <v>0</v>
      </c>
      <c r="CM230" s="2">
        <f t="shared" si="170"/>
        <v>0</v>
      </c>
      <c r="CN230" s="1">
        <f t="shared" si="171"/>
        <v>0</v>
      </c>
      <c r="CO230" s="1">
        <f t="shared" si="172"/>
        <v>0</v>
      </c>
      <c r="CP230" s="3" t="s">
        <v>162</v>
      </c>
      <c r="CQ230" s="1">
        <f t="shared" si="173"/>
        <v>0</v>
      </c>
      <c r="CR230" s="1">
        <f t="shared" si="174"/>
        <v>0</v>
      </c>
      <c r="CS230" s="1">
        <f t="shared" si="175"/>
        <v>0</v>
      </c>
      <c r="CT230" s="1">
        <f t="shared" si="176"/>
        <v>0</v>
      </c>
      <c r="CU230" s="2">
        <f t="shared" si="177"/>
        <v>0</v>
      </c>
      <c r="CV230" s="14">
        <f t="shared" si="178"/>
        <v>0</v>
      </c>
      <c r="CW230" s="1">
        <f>ROUND(PPTest!K230,1)</f>
        <v>0</v>
      </c>
      <c r="CX230" s="3">
        <f t="shared" si="160"/>
        <v>0</v>
      </c>
      <c r="CY230" s="3">
        <f t="shared" si="179"/>
        <v>0</v>
      </c>
      <c r="CZ230" s="19">
        <f t="shared" si="180"/>
        <v>0</v>
      </c>
      <c r="DA230" s="19" t="e">
        <f t="shared" si="180"/>
        <v>#DIV/0!</v>
      </c>
      <c r="DB230" s="16">
        <f t="shared" si="181"/>
        <v>0</v>
      </c>
    </row>
    <row r="231" spans="1:106" x14ac:dyDescent="0.2">
      <c r="A231" s="15">
        <f t="shared" si="182"/>
        <v>45883</v>
      </c>
      <c r="B231" s="1">
        <v>226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4"/>
      <c r="AY231" s="43"/>
      <c r="BA231" s="16">
        <v>26.86</v>
      </c>
      <c r="BB231" s="41"/>
      <c r="BC231" s="41"/>
      <c r="BD231" s="8" t="e">
        <f t="shared" si="141"/>
        <v>#DIV/0!</v>
      </c>
      <c r="BE231" s="8"/>
      <c r="BF231" s="2">
        <f t="shared" si="161"/>
        <v>0</v>
      </c>
      <c r="BG231" s="2">
        <f t="shared" si="162"/>
        <v>0</v>
      </c>
      <c r="BH231" s="2">
        <f t="shared" si="163"/>
        <v>0</v>
      </c>
      <c r="BI231" s="35">
        <f t="shared" si="140"/>
        <v>0</v>
      </c>
      <c r="BJ231" s="35" t="e">
        <f t="shared" si="142"/>
        <v>#DIV/0!</v>
      </c>
      <c r="BK231" s="3"/>
      <c r="BL231" s="3">
        <f t="shared" si="143"/>
        <v>0</v>
      </c>
      <c r="BM231" s="19" t="e">
        <f t="shared" si="144"/>
        <v>#DIV/0!</v>
      </c>
      <c r="BN231" s="19" t="e">
        <f t="shared" si="145"/>
        <v>#DIV/0!</v>
      </c>
      <c r="BO231" s="19" t="e">
        <f t="shared" si="146"/>
        <v>#DIV/0!</v>
      </c>
      <c r="BP231" s="19" t="e">
        <f t="shared" si="147"/>
        <v>#DIV/0!</v>
      </c>
      <c r="BQ231" s="19" t="e">
        <f t="shared" si="148"/>
        <v>#DIV/0!</v>
      </c>
      <c r="BR231" s="19" t="e">
        <f t="shared" si="149"/>
        <v>#DIV/0!</v>
      </c>
      <c r="BS231" s="19" t="e">
        <f t="shared" si="150"/>
        <v>#DIV/0!</v>
      </c>
      <c r="BT231" s="19" t="e">
        <f t="shared" si="151"/>
        <v>#DIV/0!</v>
      </c>
      <c r="BV231" s="16">
        <f t="shared" si="152"/>
        <v>0</v>
      </c>
      <c r="BW231" s="16">
        <f t="shared" si="153"/>
        <v>0</v>
      </c>
      <c r="BX231" s="3">
        <f t="shared" si="154"/>
        <v>0</v>
      </c>
      <c r="BY231" s="3">
        <f t="shared" si="183"/>
        <v>0</v>
      </c>
      <c r="BZ231" s="3" t="s">
        <v>162</v>
      </c>
      <c r="CA231" s="3">
        <f t="shared" si="155"/>
        <v>0</v>
      </c>
      <c r="CB231" s="3">
        <f t="shared" si="156"/>
        <v>0</v>
      </c>
      <c r="CC231" s="3">
        <f t="shared" si="157"/>
        <v>0</v>
      </c>
      <c r="CD231" s="3">
        <f t="shared" si="158"/>
        <v>0</v>
      </c>
      <c r="CE231" s="22">
        <f t="shared" si="164"/>
        <v>0</v>
      </c>
      <c r="CF231" s="1">
        <f t="shared" si="159"/>
        <v>0</v>
      </c>
      <c r="CG231" s="1">
        <f t="shared" si="165"/>
        <v>0</v>
      </c>
      <c r="CH231" s="3" t="s">
        <v>162</v>
      </c>
      <c r="CI231" s="1">
        <f t="shared" si="166"/>
        <v>0</v>
      </c>
      <c r="CJ231" s="1">
        <f t="shared" si="167"/>
        <v>0</v>
      </c>
      <c r="CK231" s="1">
        <f t="shared" si="168"/>
        <v>0</v>
      </c>
      <c r="CL231" s="1">
        <f t="shared" si="169"/>
        <v>0</v>
      </c>
      <c r="CM231" s="2">
        <f t="shared" si="170"/>
        <v>0</v>
      </c>
      <c r="CN231" s="1">
        <f t="shared" si="171"/>
        <v>0</v>
      </c>
      <c r="CO231" s="1">
        <f t="shared" si="172"/>
        <v>0</v>
      </c>
      <c r="CP231" s="3" t="s">
        <v>162</v>
      </c>
      <c r="CQ231" s="1">
        <f t="shared" si="173"/>
        <v>0</v>
      </c>
      <c r="CR231" s="1">
        <f t="shared" si="174"/>
        <v>0</v>
      </c>
      <c r="CS231" s="1">
        <f t="shared" si="175"/>
        <v>0</v>
      </c>
      <c r="CT231" s="1">
        <f t="shared" si="176"/>
        <v>0</v>
      </c>
      <c r="CU231" s="2">
        <f t="shared" si="177"/>
        <v>0</v>
      </c>
      <c r="CV231" s="14">
        <f t="shared" si="178"/>
        <v>0</v>
      </c>
      <c r="CW231" s="1">
        <f>ROUND(PPTest!K231,1)</f>
        <v>0</v>
      </c>
      <c r="CX231" s="3">
        <f t="shared" si="160"/>
        <v>0</v>
      </c>
      <c r="CY231" s="3">
        <f t="shared" si="179"/>
        <v>0</v>
      </c>
      <c r="CZ231" s="19">
        <f t="shared" si="180"/>
        <v>0</v>
      </c>
      <c r="DA231" s="19" t="e">
        <f t="shared" si="180"/>
        <v>#DIV/0!</v>
      </c>
      <c r="DB231" s="16">
        <f t="shared" si="181"/>
        <v>0</v>
      </c>
    </row>
    <row r="232" spans="1:106" x14ac:dyDescent="0.2">
      <c r="A232" s="15">
        <f t="shared" si="182"/>
        <v>45884</v>
      </c>
      <c r="B232" s="1">
        <v>227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4"/>
      <c r="AY232" s="43"/>
      <c r="BA232" s="16">
        <v>26.64</v>
      </c>
      <c r="BB232" s="41"/>
      <c r="BC232" s="41"/>
      <c r="BD232" s="8" t="e">
        <f t="shared" si="141"/>
        <v>#DIV/0!</v>
      </c>
      <c r="BE232" s="8"/>
      <c r="BF232" s="2">
        <f t="shared" si="161"/>
        <v>0</v>
      </c>
      <c r="BG232" s="2">
        <f t="shared" si="162"/>
        <v>0</v>
      </c>
      <c r="BH232" s="2">
        <f t="shared" si="163"/>
        <v>0</v>
      </c>
      <c r="BI232" s="35">
        <f t="shared" si="140"/>
        <v>0</v>
      </c>
      <c r="BJ232" s="35" t="e">
        <f t="shared" si="142"/>
        <v>#DIV/0!</v>
      </c>
      <c r="BK232" s="3"/>
      <c r="BL232" s="3">
        <f t="shared" si="143"/>
        <v>0</v>
      </c>
      <c r="BM232" s="19" t="e">
        <f t="shared" si="144"/>
        <v>#DIV/0!</v>
      </c>
      <c r="BN232" s="19" t="e">
        <f t="shared" si="145"/>
        <v>#DIV/0!</v>
      </c>
      <c r="BO232" s="19" t="e">
        <f t="shared" si="146"/>
        <v>#DIV/0!</v>
      </c>
      <c r="BP232" s="19" t="e">
        <f t="shared" si="147"/>
        <v>#DIV/0!</v>
      </c>
      <c r="BQ232" s="19" t="e">
        <f t="shared" si="148"/>
        <v>#DIV/0!</v>
      </c>
      <c r="BR232" s="19" t="e">
        <f t="shared" si="149"/>
        <v>#DIV/0!</v>
      </c>
      <c r="BS232" s="19" t="e">
        <f t="shared" si="150"/>
        <v>#DIV/0!</v>
      </c>
      <c r="BT232" s="19" t="e">
        <f t="shared" si="151"/>
        <v>#DIV/0!</v>
      </c>
      <c r="BV232" s="16">
        <f t="shared" si="152"/>
        <v>0</v>
      </c>
      <c r="BW232" s="16">
        <f t="shared" si="153"/>
        <v>0</v>
      </c>
      <c r="BX232" s="3">
        <f t="shared" si="154"/>
        <v>0</v>
      </c>
      <c r="BY232" s="3">
        <f t="shared" si="183"/>
        <v>0</v>
      </c>
      <c r="BZ232" s="3" t="s">
        <v>162</v>
      </c>
      <c r="CA232" s="3">
        <f t="shared" si="155"/>
        <v>0</v>
      </c>
      <c r="CB232" s="3">
        <f t="shared" si="156"/>
        <v>0</v>
      </c>
      <c r="CC232" s="3">
        <f t="shared" si="157"/>
        <v>0</v>
      </c>
      <c r="CD232" s="3">
        <f t="shared" si="158"/>
        <v>0</v>
      </c>
      <c r="CE232" s="22">
        <f t="shared" si="164"/>
        <v>0</v>
      </c>
      <c r="CF232" s="1">
        <f t="shared" si="159"/>
        <v>0</v>
      </c>
      <c r="CG232" s="1">
        <f t="shared" si="165"/>
        <v>0</v>
      </c>
      <c r="CH232" s="3" t="s">
        <v>162</v>
      </c>
      <c r="CI232" s="1">
        <f t="shared" si="166"/>
        <v>0</v>
      </c>
      <c r="CJ232" s="1">
        <f t="shared" si="167"/>
        <v>0</v>
      </c>
      <c r="CK232" s="1">
        <f t="shared" si="168"/>
        <v>0</v>
      </c>
      <c r="CL232" s="1">
        <f t="shared" si="169"/>
        <v>0</v>
      </c>
      <c r="CM232" s="2">
        <f t="shared" si="170"/>
        <v>0</v>
      </c>
      <c r="CN232" s="1">
        <f t="shared" si="171"/>
        <v>0</v>
      </c>
      <c r="CO232" s="1">
        <f t="shared" si="172"/>
        <v>0</v>
      </c>
      <c r="CP232" s="3" t="s">
        <v>162</v>
      </c>
      <c r="CQ232" s="1">
        <f t="shared" si="173"/>
        <v>0</v>
      </c>
      <c r="CR232" s="1">
        <f t="shared" si="174"/>
        <v>0</v>
      </c>
      <c r="CS232" s="1">
        <f t="shared" si="175"/>
        <v>0</v>
      </c>
      <c r="CT232" s="1">
        <f t="shared" si="176"/>
        <v>0</v>
      </c>
      <c r="CU232" s="2">
        <f t="shared" si="177"/>
        <v>0</v>
      </c>
      <c r="CV232" s="14">
        <f t="shared" si="178"/>
        <v>0</v>
      </c>
      <c r="CW232" s="1">
        <f>ROUND(PPTest!K232,1)</f>
        <v>0</v>
      </c>
      <c r="CX232" s="3">
        <f t="shared" si="160"/>
        <v>0</v>
      </c>
      <c r="CY232" s="3">
        <f t="shared" si="179"/>
        <v>0</v>
      </c>
      <c r="CZ232" s="19">
        <f t="shared" si="180"/>
        <v>0</v>
      </c>
      <c r="DA232" s="19" t="e">
        <f t="shared" si="180"/>
        <v>#DIV/0!</v>
      </c>
      <c r="DB232" s="16">
        <f t="shared" si="181"/>
        <v>0</v>
      </c>
    </row>
    <row r="233" spans="1:106" x14ac:dyDescent="0.2">
      <c r="A233" s="15">
        <f t="shared" si="182"/>
        <v>45885</v>
      </c>
      <c r="B233" s="1">
        <v>228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4"/>
      <c r="AY233" s="43"/>
      <c r="BA233" s="16">
        <v>26.43</v>
      </c>
      <c r="BB233" s="41"/>
      <c r="BC233" s="41"/>
      <c r="BD233" s="8" t="e">
        <f t="shared" si="141"/>
        <v>#DIV/0!</v>
      </c>
      <c r="BE233" s="8"/>
      <c r="BF233" s="2">
        <f t="shared" si="161"/>
        <v>0</v>
      </c>
      <c r="BG233" s="2">
        <f t="shared" si="162"/>
        <v>0</v>
      </c>
      <c r="BH233" s="2">
        <f t="shared" si="163"/>
        <v>0</v>
      </c>
      <c r="BI233" s="35">
        <f t="shared" si="140"/>
        <v>0</v>
      </c>
      <c r="BJ233" s="35" t="e">
        <f t="shared" si="142"/>
        <v>#DIV/0!</v>
      </c>
      <c r="BK233" s="3"/>
      <c r="BL233" s="3">
        <f t="shared" si="143"/>
        <v>0</v>
      </c>
      <c r="BM233" s="19" t="e">
        <f t="shared" si="144"/>
        <v>#DIV/0!</v>
      </c>
      <c r="BN233" s="19" t="e">
        <f t="shared" si="145"/>
        <v>#DIV/0!</v>
      </c>
      <c r="BO233" s="19" t="e">
        <f t="shared" si="146"/>
        <v>#DIV/0!</v>
      </c>
      <c r="BP233" s="19" t="e">
        <f t="shared" si="147"/>
        <v>#DIV/0!</v>
      </c>
      <c r="BQ233" s="19" t="e">
        <f t="shared" si="148"/>
        <v>#DIV/0!</v>
      </c>
      <c r="BR233" s="19" t="e">
        <f t="shared" si="149"/>
        <v>#DIV/0!</v>
      </c>
      <c r="BS233" s="19" t="e">
        <f t="shared" si="150"/>
        <v>#DIV/0!</v>
      </c>
      <c r="BT233" s="19" t="e">
        <f t="shared" si="151"/>
        <v>#DIV/0!</v>
      </c>
      <c r="BV233" s="16">
        <f t="shared" si="152"/>
        <v>0</v>
      </c>
      <c r="BW233" s="16">
        <f t="shared" si="153"/>
        <v>0</v>
      </c>
      <c r="BX233" s="3">
        <f t="shared" si="154"/>
        <v>0</v>
      </c>
      <c r="BY233" s="3">
        <f t="shared" si="183"/>
        <v>0</v>
      </c>
      <c r="BZ233" s="3" t="s">
        <v>162</v>
      </c>
      <c r="CA233" s="3">
        <f t="shared" si="155"/>
        <v>0</v>
      </c>
      <c r="CB233" s="3">
        <f t="shared" si="156"/>
        <v>0</v>
      </c>
      <c r="CC233" s="3">
        <f t="shared" si="157"/>
        <v>0</v>
      </c>
      <c r="CD233" s="3">
        <f t="shared" si="158"/>
        <v>0</v>
      </c>
      <c r="CE233" s="22">
        <f t="shared" si="164"/>
        <v>0</v>
      </c>
      <c r="CF233" s="1">
        <f t="shared" si="159"/>
        <v>0</v>
      </c>
      <c r="CG233" s="1">
        <f t="shared" si="165"/>
        <v>0</v>
      </c>
      <c r="CH233" s="3" t="s">
        <v>162</v>
      </c>
      <c r="CI233" s="1">
        <f t="shared" si="166"/>
        <v>0</v>
      </c>
      <c r="CJ233" s="1">
        <f t="shared" si="167"/>
        <v>0</v>
      </c>
      <c r="CK233" s="1">
        <f t="shared" si="168"/>
        <v>0</v>
      </c>
      <c r="CL233" s="1">
        <f t="shared" si="169"/>
        <v>0</v>
      </c>
      <c r="CM233" s="2">
        <f t="shared" si="170"/>
        <v>0</v>
      </c>
      <c r="CN233" s="1">
        <f t="shared" si="171"/>
        <v>0</v>
      </c>
      <c r="CO233" s="1">
        <f t="shared" si="172"/>
        <v>0</v>
      </c>
      <c r="CP233" s="3" t="s">
        <v>162</v>
      </c>
      <c r="CQ233" s="1">
        <f t="shared" si="173"/>
        <v>0</v>
      </c>
      <c r="CR233" s="1">
        <f t="shared" si="174"/>
        <v>0</v>
      </c>
      <c r="CS233" s="1">
        <f t="shared" si="175"/>
        <v>0</v>
      </c>
      <c r="CT233" s="1">
        <f t="shared" si="176"/>
        <v>0</v>
      </c>
      <c r="CU233" s="2">
        <f t="shared" si="177"/>
        <v>0</v>
      </c>
      <c r="CV233" s="14">
        <f t="shared" si="178"/>
        <v>0</v>
      </c>
      <c r="CW233" s="1">
        <f>ROUND(PPTest!K233,1)</f>
        <v>0</v>
      </c>
      <c r="CX233" s="3">
        <f t="shared" si="160"/>
        <v>0</v>
      </c>
      <c r="CY233" s="3">
        <f t="shared" si="179"/>
        <v>0</v>
      </c>
      <c r="CZ233" s="19">
        <f t="shared" si="180"/>
        <v>0</v>
      </c>
      <c r="DA233" s="19" t="e">
        <f t="shared" si="180"/>
        <v>#DIV/0!</v>
      </c>
      <c r="DB233" s="16">
        <f t="shared" si="181"/>
        <v>0</v>
      </c>
    </row>
    <row r="234" spans="1:106" x14ac:dyDescent="0.2">
      <c r="A234" s="15">
        <f t="shared" si="182"/>
        <v>45886</v>
      </c>
      <c r="B234" s="1">
        <v>229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4"/>
      <c r="AY234" s="43"/>
      <c r="BA234" s="16">
        <v>26.22</v>
      </c>
      <c r="BB234" s="41"/>
      <c r="BC234" s="41"/>
      <c r="BD234" s="8" t="e">
        <f t="shared" si="141"/>
        <v>#DIV/0!</v>
      </c>
      <c r="BE234" s="8"/>
      <c r="BF234" s="2">
        <f t="shared" si="161"/>
        <v>0</v>
      </c>
      <c r="BG234" s="2">
        <f t="shared" si="162"/>
        <v>0</v>
      </c>
      <c r="BH234" s="2">
        <f t="shared" si="163"/>
        <v>0</v>
      </c>
      <c r="BI234" s="35">
        <f t="shared" si="140"/>
        <v>0</v>
      </c>
      <c r="BJ234" s="35" t="e">
        <f t="shared" si="142"/>
        <v>#DIV/0!</v>
      </c>
      <c r="BK234" s="3"/>
      <c r="BL234" s="3">
        <f t="shared" si="143"/>
        <v>0</v>
      </c>
      <c r="BM234" s="19" t="e">
        <f t="shared" si="144"/>
        <v>#DIV/0!</v>
      </c>
      <c r="BN234" s="19" t="e">
        <f t="shared" si="145"/>
        <v>#DIV/0!</v>
      </c>
      <c r="BO234" s="19" t="e">
        <f t="shared" si="146"/>
        <v>#DIV/0!</v>
      </c>
      <c r="BP234" s="19" t="e">
        <f t="shared" si="147"/>
        <v>#DIV/0!</v>
      </c>
      <c r="BQ234" s="19" t="e">
        <f t="shared" si="148"/>
        <v>#DIV/0!</v>
      </c>
      <c r="BR234" s="19" t="e">
        <f t="shared" si="149"/>
        <v>#DIV/0!</v>
      </c>
      <c r="BS234" s="19" t="e">
        <f t="shared" si="150"/>
        <v>#DIV/0!</v>
      </c>
      <c r="BT234" s="19" t="e">
        <f t="shared" si="151"/>
        <v>#DIV/0!</v>
      </c>
      <c r="BV234" s="16">
        <f t="shared" si="152"/>
        <v>0</v>
      </c>
      <c r="BW234" s="16">
        <f t="shared" si="153"/>
        <v>0</v>
      </c>
      <c r="BX234" s="3">
        <f t="shared" si="154"/>
        <v>0</v>
      </c>
      <c r="BY234" s="3">
        <f t="shared" si="183"/>
        <v>0</v>
      </c>
      <c r="BZ234" s="3" t="s">
        <v>162</v>
      </c>
      <c r="CA234" s="3">
        <f t="shared" si="155"/>
        <v>0</v>
      </c>
      <c r="CB234" s="3">
        <f t="shared" si="156"/>
        <v>0</v>
      </c>
      <c r="CC234" s="3">
        <f t="shared" si="157"/>
        <v>0</v>
      </c>
      <c r="CD234" s="3">
        <f t="shared" si="158"/>
        <v>0</v>
      </c>
      <c r="CE234" s="22">
        <f t="shared" si="164"/>
        <v>0</v>
      </c>
      <c r="CF234" s="1">
        <f t="shared" si="159"/>
        <v>0</v>
      </c>
      <c r="CG234" s="1">
        <f t="shared" si="165"/>
        <v>0</v>
      </c>
      <c r="CH234" s="3" t="s">
        <v>162</v>
      </c>
      <c r="CI234" s="1">
        <f t="shared" si="166"/>
        <v>0</v>
      </c>
      <c r="CJ234" s="1">
        <f t="shared" si="167"/>
        <v>0</v>
      </c>
      <c r="CK234" s="1">
        <f t="shared" si="168"/>
        <v>0</v>
      </c>
      <c r="CL234" s="1">
        <f t="shared" si="169"/>
        <v>0</v>
      </c>
      <c r="CM234" s="2">
        <f t="shared" si="170"/>
        <v>0</v>
      </c>
      <c r="CN234" s="1">
        <f t="shared" si="171"/>
        <v>0</v>
      </c>
      <c r="CO234" s="1">
        <f t="shared" si="172"/>
        <v>0</v>
      </c>
      <c r="CP234" s="3" t="s">
        <v>162</v>
      </c>
      <c r="CQ234" s="1">
        <f t="shared" si="173"/>
        <v>0</v>
      </c>
      <c r="CR234" s="1">
        <f t="shared" si="174"/>
        <v>0</v>
      </c>
      <c r="CS234" s="1">
        <f t="shared" si="175"/>
        <v>0</v>
      </c>
      <c r="CT234" s="1">
        <f t="shared" si="176"/>
        <v>0</v>
      </c>
      <c r="CU234" s="2">
        <f t="shared" si="177"/>
        <v>0</v>
      </c>
      <c r="CV234" s="14">
        <f t="shared" si="178"/>
        <v>0</v>
      </c>
      <c r="CW234" s="1">
        <f>ROUND(PPTest!K234,1)</f>
        <v>0</v>
      </c>
      <c r="CX234" s="3">
        <f t="shared" si="160"/>
        <v>0</v>
      </c>
      <c r="CY234" s="3">
        <f t="shared" si="179"/>
        <v>0</v>
      </c>
      <c r="CZ234" s="19">
        <f t="shared" si="180"/>
        <v>0</v>
      </c>
      <c r="DA234" s="19" t="e">
        <f t="shared" si="180"/>
        <v>#DIV/0!</v>
      </c>
      <c r="DB234" s="16">
        <f t="shared" si="181"/>
        <v>0</v>
      </c>
    </row>
    <row r="235" spans="1:106" x14ac:dyDescent="0.2">
      <c r="A235" s="15">
        <f t="shared" si="182"/>
        <v>45887</v>
      </c>
      <c r="B235" s="1">
        <v>230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4"/>
      <c r="AY235" s="43"/>
      <c r="BA235" s="16">
        <v>25.99</v>
      </c>
      <c r="BB235" s="41"/>
      <c r="BC235" s="41"/>
      <c r="BD235" s="8" t="e">
        <f t="shared" si="141"/>
        <v>#DIV/0!</v>
      </c>
      <c r="BE235" s="8"/>
      <c r="BF235" s="2">
        <f t="shared" si="161"/>
        <v>0</v>
      </c>
      <c r="BG235" s="2">
        <f t="shared" si="162"/>
        <v>0</v>
      </c>
      <c r="BH235" s="2">
        <f t="shared" si="163"/>
        <v>0</v>
      </c>
      <c r="BI235" s="35">
        <f t="shared" si="140"/>
        <v>0</v>
      </c>
      <c r="BJ235" s="35" t="e">
        <f t="shared" si="142"/>
        <v>#DIV/0!</v>
      </c>
      <c r="BK235" s="3"/>
      <c r="BL235" s="3">
        <f t="shared" si="143"/>
        <v>0</v>
      </c>
      <c r="BM235" s="19" t="e">
        <f t="shared" si="144"/>
        <v>#DIV/0!</v>
      </c>
      <c r="BN235" s="19" t="e">
        <f t="shared" si="145"/>
        <v>#DIV/0!</v>
      </c>
      <c r="BO235" s="19" t="e">
        <f t="shared" si="146"/>
        <v>#DIV/0!</v>
      </c>
      <c r="BP235" s="19" t="e">
        <f t="shared" si="147"/>
        <v>#DIV/0!</v>
      </c>
      <c r="BQ235" s="19" t="e">
        <f t="shared" si="148"/>
        <v>#DIV/0!</v>
      </c>
      <c r="BR235" s="19" t="e">
        <f t="shared" si="149"/>
        <v>#DIV/0!</v>
      </c>
      <c r="BS235" s="19" t="e">
        <f t="shared" si="150"/>
        <v>#DIV/0!</v>
      </c>
      <c r="BT235" s="19" t="e">
        <f t="shared" si="151"/>
        <v>#DIV/0!</v>
      </c>
      <c r="BV235" s="16">
        <f t="shared" si="152"/>
        <v>0</v>
      </c>
      <c r="BW235" s="16">
        <f t="shared" si="153"/>
        <v>0</v>
      </c>
      <c r="BX235" s="3">
        <f t="shared" si="154"/>
        <v>0</v>
      </c>
      <c r="BY235" s="3">
        <f t="shared" si="183"/>
        <v>0</v>
      </c>
      <c r="BZ235" s="3" t="s">
        <v>162</v>
      </c>
      <c r="CA235" s="3">
        <f t="shared" si="155"/>
        <v>0</v>
      </c>
      <c r="CB235" s="3">
        <f t="shared" si="156"/>
        <v>0</v>
      </c>
      <c r="CC235" s="3">
        <f t="shared" si="157"/>
        <v>0</v>
      </c>
      <c r="CD235" s="3">
        <f t="shared" si="158"/>
        <v>0</v>
      </c>
      <c r="CE235" s="22">
        <f t="shared" si="164"/>
        <v>0</v>
      </c>
      <c r="CF235" s="1">
        <f t="shared" si="159"/>
        <v>0</v>
      </c>
      <c r="CG235" s="1">
        <f t="shared" si="165"/>
        <v>0</v>
      </c>
      <c r="CH235" s="3" t="s">
        <v>162</v>
      </c>
      <c r="CI235" s="1">
        <f t="shared" si="166"/>
        <v>0</v>
      </c>
      <c r="CJ235" s="1">
        <f t="shared" si="167"/>
        <v>0</v>
      </c>
      <c r="CK235" s="1">
        <f t="shared" si="168"/>
        <v>0</v>
      </c>
      <c r="CL235" s="1">
        <f t="shared" si="169"/>
        <v>0</v>
      </c>
      <c r="CM235" s="2">
        <f t="shared" si="170"/>
        <v>0</v>
      </c>
      <c r="CN235" s="1">
        <f t="shared" si="171"/>
        <v>0</v>
      </c>
      <c r="CO235" s="1">
        <f t="shared" si="172"/>
        <v>0</v>
      </c>
      <c r="CP235" s="3" t="s">
        <v>162</v>
      </c>
      <c r="CQ235" s="1">
        <f t="shared" si="173"/>
        <v>0</v>
      </c>
      <c r="CR235" s="1">
        <f t="shared" si="174"/>
        <v>0</v>
      </c>
      <c r="CS235" s="1">
        <f t="shared" si="175"/>
        <v>0</v>
      </c>
      <c r="CT235" s="1">
        <f t="shared" si="176"/>
        <v>0</v>
      </c>
      <c r="CU235" s="2">
        <f t="shared" si="177"/>
        <v>0</v>
      </c>
      <c r="CV235" s="14">
        <f t="shared" si="178"/>
        <v>0</v>
      </c>
      <c r="CW235" s="1">
        <f>ROUND(PPTest!K235,1)</f>
        <v>0</v>
      </c>
      <c r="CX235" s="3">
        <f t="shared" si="160"/>
        <v>0</v>
      </c>
      <c r="CY235" s="3">
        <f t="shared" si="179"/>
        <v>0</v>
      </c>
      <c r="CZ235" s="19">
        <f t="shared" si="180"/>
        <v>0</v>
      </c>
      <c r="DA235" s="19" t="e">
        <f t="shared" si="180"/>
        <v>#DIV/0!</v>
      </c>
      <c r="DB235" s="16">
        <f t="shared" si="181"/>
        <v>0</v>
      </c>
    </row>
    <row r="236" spans="1:106" x14ac:dyDescent="0.2">
      <c r="A236" s="15">
        <f t="shared" si="182"/>
        <v>45888</v>
      </c>
      <c r="B236" s="1">
        <v>231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4"/>
      <c r="AY236" s="43"/>
      <c r="BA236" s="16">
        <v>25.77</v>
      </c>
      <c r="BB236" s="41"/>
      <c r="BC236" s="41"/>
      <c r="BD236" s="8" t="e">
        <f t="shared" si="141"/>
        <v>#DIV/0!</v>
      </c>
      <c r="BE236" s="8"/>
      <c r="BF236" s="2">
        <f t="shared" si="161"/>
        <v>0</v>
      </c>
      <c r="BG236" s="2">
        <f t="shared" si="162"/>
        <v>0</v>
      </c>
      <c r="BH236" s="2">
        <f t="shared" si="163"/>
        <v>0</v>
      </c>
      <c r="BI236" s="35">
        <f t="shared" si="140"/>
        <v>0</v>
      </c>
      <c r="BJ236" s="35" t="e">
        <f t="shared" si="142"/>
        <v>#DIV/0!</v>
      </c>
      <c r="BK236" s="3"/>
      <c r="BL236" s="3">
        <f t="shared" si="143"/>
        <v>0</v>
      </c>
      <c r="BM236" s="19" t="e">
        <f t="shared" si="144"/>
        <v>#DIV/0!</v>
      </c>
      <c r="BN236" s="19" t="e">
        <f t="shared" si="145"/>
        <v>#DIV/0!</v>
      </c>
      <c r="BO236" s="19" t="e">
        <f t="shared" si="146"/>
        <v>#DIV/0!</v>
      </c>
      <c r="BP236" s="19" t="e">
        <f t="shared" si="147"/>
        <v>#DIV/0!</v>
      </c>
      <c r="BQ236" s="19" t="e">
        <f t="shared" si="148"/>
        <v>#DIV/0!</v>
      </c>
      <c r="BR236" s="19" t="e">
        <f t="shared" si="149"/>
        <v>#DIV/0!</v>
      </c>
      <c r="BS236" s="19" t="e">
        <f t="shared" si="150"/>
        <v>#DIV/0!</v>
      </c>
      <c r="BT236" s="19" t="e">
        <f t="shared" si="151"/>
        <v>#DIV/0!</v>
      </c>
      <c r="BV236" s="16">
        <f t="shared" si="152"/>
        <v>0</v>
      </c>
      <c r="BW236" s="16">
        <f t="shared" si="153"/>
        <v>0</v>
      </c>
      <c r="BX236" s="3">
        <f t="shared" si="154"/>
        <v>0</v>
      </c>
      <c r="BY236" s="3">
        <f t="shared" si="183"/>
        <v>0</v>
      </c>
      <c r="BZ236" s="3" t="s">
        <v>162</v>
      </c>
      <c r="CA236" s="3">
        <f t="shared" si="155"/>
        <v>0</v>
      </c>
      <c r="CB236" s="3">
        <f t="shared" si="156"/>
        <v>0</v>
      </c>
      <c r="CC236" s="3">
        <f t="shared" si="157"/>
        <v>0</v>
      </c>
      <c r="CD236" s="3">
        <f t="shared" si="158"/>
        <v>0</v>
      </c>
      <c r="CE236" s="22">
        <f t="shared" si="164"/>
        <v>0</v>
      </c>
      <c r="CF236" s="1">
        <f t="shared" si="159"/>
        <v>0</v>
      </c>
      <c r="CG236" s="1">
        <f t="shared" si="165"/>
        <v>0</v>
      </c>
      <c r="CH236" s="3" t="s">
        <v>162</v>
      </c>
      <c r="CI236" s="1">
        <f t="shared" si="166"/>
        <v>0</v>
      </c>
      <c r="CJ236" s="1">
        <f t="shared" si="167"/>
        <v>0</v>
      </c>
      <c r="CK236" s="1">
        <f t="shared" si="168"/>
        <v>0</v>
      </c>
      <c r="CL236" s="1">
        <f t="shared" si="169"/>
        <v>0</v>
      </c>
      <c r="CM236" s="2">
        <f t="shared" si="170"/>
        <v>0</v>
      </c>
      <c r="CN236" s="1">
        <f t="shared" si="171"/>
        <v>0</v>
      </c>
      <c r="CO236" s="1">
        <f t="shared" si="172"/>
        <v>0</v>
      </c>
      <c r="CP236" s="3" t="s">
        <v>162</v>
      </c>
      <c r="CQ236" s="1">
        <f t="shared" si="173"/>
        <v>0</v>
      </c>
      <c r="CR236" s="1">
        <f t="shared" si="174"/>
        <v>0</v>
      </c>
      <c r="CS236" s="1">
        <f t="shared" si="175"/>
        <v>0</v>
      </c>
      <c r="CT236" s="1">
        <f t="shared" si="176"/>
        <v>0</v>
      </c>
      <c r="CU236" s="2">
        <f t="shared" si="177"/>
        <v>0</v>
      </c>
      <c r="CV236" s="14">
        <f t="shared" si="178"/>
        <v>0</v>
      </c>
      <c r="CW236" s="1">
        <f>ROUND(PPTest!K236,1)</f>
        <v>0</v>
      </c>
      <c r="CX236" s="3">
        <f t="shared" si="160"/>
        <v>0</v>
      </c>
      <c r="CY236" s="3">
        <f t="shared" si="179"/>
        <v>0</v>
      </c>
      <c r="CZ236" s="19">
        <f t="shared" si="180"/>
        <v>0</v>
      </c>
      <c r="DA236" s="19" t="e">
        <f t="shared" si="180"/>
        <v>#DIV/0!</v>
      </c>
      <c r="DB236" s="16">
        <f t="shared" si="181"/>
        <v>0</v>
      </c>
    </row>
    <row r="237" spans="1:106" x14ac:dyDescent="0.2">
      <c r="A237" s="15">
        <f t="shared" si="182"/>
        <v>45889</v>
      </c>
      <c r="B237" s="1">
        <v>232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4"/>
      <c r="AY237" s="43"/>
      <c r="BA237" s="16">
        <v>25.55</v>
      </c>
      <c r="BB237" s="41"/>
      <c r="BC237" s="41"/>
      <c r="BD237" s="8" t="e">
        <f t="shared" si="141"/>
        <v>#DIV/0!</v>
      </c>
      <c r="BE237" s="8"/>
      <c r="BF237" s="2">
        <f t="shared" si="161"/>
        <v>0</v>
      </c>
      <c r="BG237" s="2">
        <f t="shared" si="162"/>
        <v>0</v>
      </c>
      <c r="BH237" s="2">
        <f t="shared" si="163"/>
        <v>0</v>
      </c>
      <c r="BI237" s="35">
        <f t="shared" si="140"/>
        <v>0</v>
      </c>
      <c r="BJ237" s="35" t="e">
        <f t="shared" si="142"/>
        <v>#DIV/0!</v>
      </c>
      <c r="BK237" s="3"/>
      <c r="BL237" s="3">
        <f t="shared" si="143"/>
        <v>0</v>
      </c>
      <c r="BM237" s="19" t="e">
        <f t="shared" si="144"/>
        <v>#DIV/0!</v>
      </c>
      <c r="BN237" s="19" t="e">
        <f t="shared" si="145"/>
        <v>#DIV/0!</v>
      </c>
      <c r="BO237" s="19" t="e">
        <f t="shared" si="146"/>
        <v>#DIV/0!</v>
      </c>
      <c r="BP237" s="19" t="e">
        <f t="shared" si="147"/>
        <v>#DIV/0!</v>
      </c>
      <c r="BQ237" s="19" t="e">
        <f t="shared" si="148"/>
        <v>#DIV/0!</v>
      </c>
      <c r="BR237" s="19" t="e">
        <f t="shared" si="149"/>
        <v>#DIV/0!</v>
      </c>
      <c r="BS237" s="19" t="e">
        <f t="shared" si="150"/>
        <v>#DIV/0!</v>
      </c>
      <c r="BT237" s="19" t="e">
        <f t="shared" si="151"/>
        <v>#DIV/0!</v>
      </c>
      <c r="BV237" s="16">
        <f t="shared" si="152"/>
        <v>0</v>
      </c>
      <c r="BW237" s="16">
        <f t="shared" si="153"/>
        <v>0</v>
      </c>
      <c r="BX237" s="3">
        <f t="shared" si="154"/>
        <v>0</v>
      </c>
      <c r="BY237" s="3">
        <f t="shared" si="183"/>
        <v>0</v>
      </c>
      <c r="BZ237" s="3" t="s">
        <v>162</v>
      </c>
      <c r="CA237" s="3">
        <f t="shared" si="155"/>
        <v>0</v>
      </c>
      <c r="CB237" s="3">
        <f t="shared" si="156"/>
        <v>0</v>
      </c>
      <c r="CC237" s="3">
        <f t="shared" si="157"/>
        <v>0</v>
      </c>
      <c r="CD237" s="3">
        <f t="shared" si="158"/>
        <v>0</v>
      </c>
      <c r="CE237" s="22">
        <f t="shared" si="164"/>
        <v>0</v>
      </c>
      <c r="CF237" s="1">
        <f t="shared" si="159"/>
        <v>0</v>
      </c>
      <c r="CG237" s="1">
        <f t="shared" si="165"/>
        <v>0</v>
      </c>
      <c r="CH237" s="3" t="s">
        <v>162</v>
      </c>
      <c r="CI237" s="1">
        <f t="shared" si="166"/>
        <v>0</v>
      </c>
      <c r="CJ237" s="1">
        <f t="shared" si="167"/>
        <v>0</v>
      </c>
      <c r="CK237" s="1">
        <f t="shared" si="168"/>
        <v>0</v>
      </c>
      <c r="CL237" s="1">
        <f t="shared" si="169"/>
        <v>0</v>
      </c>
      <c r="CM237" s="2">
        <f t="shared" si="170"/>
        <v>0</v>
      </c>
      <c r="CN237" s="1">
        <f t="shared" si="171"/>
        <v>0</v>
      </c>
      <c r="CO237" s="1">
        <f t="shared" si="172"/>
        <v>0</v>
      </c>
      <c r="CP237" s="3" t="s">
        <v>162</v>
      </c>
      <c r="CQ237" s="1">
        <f t="shared" si="173"/>
        <v>0</v>
      </c>
      <c r="CR237" s="1">
        <f t="shared" si="174"/>
        <v>0</v>
      </c>
      <c r="CS237" s="1">
        <f t="shared" si="175"/>
        <v>0</v>
      </c>
      <c r="CT237" s="1">
        <f t="shared" si="176"/>
        <v>0</v>
      </c>
      <c r="CU237" s="2">
        <f t="shared" si="177"/>
        <v>0</v>
      </c>
      <c r="CV237" s="14">
        <f t="shared" si="178"/>
        <v>0</v>
      </c>
      <c r="CW237" s="1">
        <f>ROUND(PPTest!K237,1)</f>
        <v>0</v>
      </c>
      <c r="CX237" s="3">
        <f t="shared" si="160"/>
        <v>0</v>
      </c>
      <c r="CY237" s="3">
        <f t="shared" si="179"/>
        <v>0</v>
      </c>
      <c r="CZ237" s="19">
        <f t="shared" si="180"/>
        <v>0</v>
      </c>
      <c r="DA237" s="19" t="e">
        <f t="shared" si="180"/>
        <v>#DIV/0!</v>
      </c>
      <c r="DB237" s="16">
        <f t="shared" si="181"/>
        <v>0</v>
      </c>
    </row>
    <row r="238" spans="1:106" x14ac:dyDescent="0.2">
      <c r="A238" s="15">
        <f t="shared" si="182"/>
        <v>45890</v>
      </c>
      <c r="B238" s="1">
        <v>233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4"/>
      <c r="AY238" s="43"/>
      <c r="BA238" s="16">
        <v>25.32</v>
      </c>
      <c r="BB238" s="41"/>
      <c r="BC238" s="41"/>
      <c r="BD238" s="8" t="e">
        <f t="shared" si="141"/>
        <v>#DIV/0!</v>
      </c>
      <c r="BE238" s="8"/>
      <c r="BF238" s="2">
        <f t="shared" si="161"/>
        <v>0</v>
      </c>
      <c r="BG238" s="2">
        <f t="shared" si="162"/>
        <v>0</v>
      </c>
      <c r="BH238" s="2">
        <f t="shared" si="163"/>
        <v>0</v>
      </c>
      <c r="BI238" s="35">
        <f t="shared" si="140"/>
        <v>0</v>
      </c>
      <c r="BJ238" s="35" t="e">
        <f t="shared" si="142"/>
        <v>#DIV/0!</v>
      </c>
      <c r="BK238" s="3"/>
      <c r="BL238" s="3">
        <f t="shared" si="143"/>
        <v>0</v>
      </c>
      <c r="BM238" s="19" t="e">
        <f t="shared" si="144"/>
        <v>#DIV/0!</v>
      </c>
      <c r="BN238" s="19" t="e">
        <f t="shared" si="145"/>
        <v>#DIV/0!</v>
      </c>
      <c r="BO238" s="19" t="e">
        <f t="shared" si="146"/>
        <v>#DIV/0!</v>
      </c>
      <c r="BP238" s="19" t="e">
        <f t="shared" si="147"/>
        <v>#DIV/0!</v>
      </c>
      <c r="BQ238" s="19" t="e">
        <f t="shared" si="148"/>
        <v>#DIV/0!</v>
      </c>
      <c r="BR238" s="19" t="e">
        <f t="shared" si="149"/>
        <v>#DIV/0!</v>
      </c>
      <c r="BS238" s="19" t="e">
        <f t="shared" si="150"/>
        <v>#DIV/0!</v>
      </c>
      <c r="BT238" s="19" t="e">
        <f t="shared" si="151"/>
        <v>#DIV/0!</v>
      </c>
      <c r="BV238" s="16">
        <f t="shared" si="152"/>
        <v>0</v>
      </c>
      <c r="BW238" s="16">
        <f t="shared" si="153"/>
        <v>0</v>
      </c>
      <c r="BX238" s="3">
        <f t="shared" si="154"/>
        <v>0</v>
      </c>
      <c r="BY238" s="3">
        <f t="shared" si="183"/>
        <v>0</v>
      </c>
      <c r="BZ238" s="3" t="s">
        <v>162</v>
      </c>
      <c r="CA238" s="3">
        <f t="shared" si="155"/>
        <v>0</v>
      </c>
      <c r="CB238" s="3">
        <f t="shared" si="156"/>
        <v>0</v>
      </c>
      <c r="CC238" s="3">
        <f t="shared" si="157"/>
        <v>0</v>
      </c>
      <c r="CD238" s="3">
        <f t="shared" si="158"/>
        <v>0</v>
      </c>
      <c r="CE238" s="22">
        <f t="shared" si="164"/>
        <v>0</v>
      </c>
      <c r="CF238" s="1">
        <f t="shared" si="159"/>
        <v>0</v>
      </c>
      <c r="CG238" s="1">
        <f t="shared" si="165"/>
        <v>0</v>
      </c>
      <c r="CH238" s="3" t="s">
        <v>162</v>
      </c>
      <c r="CI238" s="1">
        <f t="shared" si="166"/>
        <v>0</v>
      </c>
      <c r="CJ238" s="1">
        <f t="shared" si="167"/>
        <v>0</v>
      </c>
      <c r="CK238" s="1">
        <f t="shared" si="168"/>
        <v>0</v>
      </c>
      <c r="CL238" s="1">
        <f t="shared" si="169"/>
        <v>0</v>
      </c>
      <c r="CM238" s="2">
        <f t="shared" si="170"/>
        <v>0</v>
      </c>
      <c r="CN238" s="1">
        <f t="shared" si="171"/>
        <v>0</v>
      </c>
      <c r="CO238" s="1">
        <f t="shared" si="172"/>
        <v>0</v>
      </c>
      <c r="CP238" s="3" t="s">
        <v>162</v>
      </c>
      <c r="CQ238" s="1">
        <f t="shared" si="173"/>
        <v>0</v>
      </c>
      <c r="CR238" s="1">
        <f t="shared" si="174"/>
        <v>0</v>
      </c>
      <c r="CS238" s="1">
        <f t="shared" si="175"/>
        <v>0</v>
      </c>
      <c r="CT238" s="1">
        <f t="shared" si="176"/>
        <v>0</v>
      </c>
      <c r="CU238" s="2">
        <f t="shared" si="177"/>
        <v>0</v>
      </c>
      <c r="CV238" s="14">
        <f t="shared" si="178"/>
        <v>0</v>
      </c>
      <c r="CW238" s="1">
        <f>ROUND(PPTest!K238,1)</f>
        <v>0</v>
      </c>
      <c r="CX238" s="3">
        <f t="shared" si="160"/>
        <v>0</v>
      </c>
      <c r="CY238" s="3">
        <f t="shared" si="179"/>
        <v>0</v>
      </c>
      <c r="CZ238" s="19">
        <f t="shared" si="180"/>
        <v>0</v>
      </c>
      <c r="DA238" s="19" t="e">
        <f t="shared" si="180"/>
        <v>#DIV/0!</v>
      </c>
      <c r="DB238" s="16">
        <f t="shared" si="181"/>
        <v>0</v>
      </c>
    </row>
    <row r="239" spans="1:106" x14ac:dyDescent="0.2">
      <c r="A239" s="15">
        <f t="shared" si="182"/>
        <v>45891</v>
      </c>
      <c r="B239" s="1">
        <v>234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4"/>
      <c r="AY239" s="43"/>
      <c r="BA239" s="16">
        <v>25.09</v>
      </c>
      <c r="BB239" s="41"/>
      <c r="BC239" s="41"/>
      <c r="BD239" s="8" t="e">
        <f t="shared" si="141"/>
        <v>#DIV/0!</v>
      </c>
      <c r="BE239" s="8"/>
      <c r="BF239" s="2">
        <f t="shared" si="161"/>
        <v>0</v>
      </c>
      <c r="BG239" s="2">
        <f t="shared" si="162"/>
        <v>0</v>
      </c>
      <c r="BH239" s="2">
        <f t="shared" si="163"/>
        <v>0</v>
      </c>
      <c r="BI239" s="35">
        <f t="shared" si="140"/>
        <v>0</v>
      </c>
      <c r="BJ239" s="35" t="e">
        <f t="shared" si="142"/>
        <v>#DIV/0!</v>
      </c>
      <c r="BK239" s="3"/>
      <c r="BL239" s="3">
        <f t="shared" si="143"/>
        <v>0</v>
      </c>
      <c r="BM239" s="19" t="e">
        <f t="shared" si="144"/>
        <v>#DIV/0!</v>
      </c>
      <c r="BN239" s="19" t="e">
        <f t="shared" si="145"/>
        <v>#DIV/0!</v>
      </c>
      <c r="BO239" s="19" t="e">
        <f t="shared" si="146"/>
        <v>#DIV/0!</v>
      </c>
      <c r="BP239" s="19" t="e">
        <f t="shared" si="147"/>
        <v>#DIV/0!</v>
      </c>
      <c r="BQ239" s="19" t="e">
        <f t="shared" si="148"/>
        <v>#DIV/0!</v>
      </c>
      <c r="BR239" s="19" t="e">
        <f t="shared" si="149"/>
        <v>#DIV/0!</v>
      </c>
      <c r="BS239" s="19" t="e">
        <f t="shared" si="150"/>
        <v>#DIV/0!</v>
      </c>
      <c r="BT239" s="19" t="e">
        <f t="shared" si="151"/>
        <v>#DIV/0!</v>
      </c>
      <c r="BV239" s="16">
        <f t="shared" si="152"/>
        <v>0</v>
      </c>
      <c r="BW239" s="16">
        <f t="shared" si="153"/>
        <v>0</v>
      </c>
      <c r="BX239" s="3">
        <f t="shared" si="154"/>
        <v>0</v>
      </c>
      <c r="BY239" s="3">
        <f t="shared" si="183"/>
        <v>0</v>
      </c>
      <c r="BZ239" s="3" t="s">
        <v>162</v>
      </c>
      <c r="CA239" s="3">
        <f t="shared" si="155"/>
        <v>0</v>
      </c>
      <c r="CB239" s="3">
        <f t="shared" si="156"/>
        <v>0</v>
      </c>
      <c r="CC239" s="3">
        <f t="shared" si="157"/>
        <v>0</v>
      </c>
      <c r="CD239" s="3">
        <f t="shared" si="158"/>
        <v>0</v>
      </c>
      <c r="CE239" s="22">
        <f t="shared" si="164"/>
        <v>0</v>
      </c>
      <c r="CF239" s="1">
        <f t="shared" si="159"/>
        <v>0</v>
      </c>
      <c r="CG239" s="1">
        <f t="shared" si="165"/>
        <v>0</v>
      </c>
      <c r="CH239" s="3" t="s">
        <v>162</v>
      </c>
      <c r="CI239" s="1">
        <f t="shared" si="166"/>
        <v>0</v>
      </c>
      <c r="CJ239" s="1">
        <f t="shared" si="167"/>
        <v>0</v>
      </c>
      <c r="CK239" s="1">
        <f t="shared" si="168"/>
        <v>0</v>
      </c>
      <c r="CL239" s="1">
        <f t="shared" si="169"/>
        <v>0</v>
      </c>
      <c r="CM239" s="2">
        <f t="shared" si="170"/>
        <v>0</v>
      </c>
      <c r="CN239" s="1">
        <f t="shared" si="171"/>
        <v>0</v>
      </c>
      <c r="CO239" s="1">
        <f t="shared" si="172"/>
        <v>0</v>
      </c>
      <c r="CP239" s="3" t="s">
        <v>162</v>
      </c>
      <c r="CQ239" s="1">
        <f t="shared" si="173"/>
        <v>0</v>
      </c>
      <c r="CR239" s="1">
        <f t="shared" si="174"/>
        <v>0</v>
      </c>
      <c r="CS239" s="1">
        <f t="shared" si="175"/>
        <v>0</v>
      </c>
      <c r="CT239" s="1">
        <f t="shared" si="176"/>
        <v>0</v>
      </c>
      <c r="CU239" s="2">
        <f t="shared" si="177"/>
        <v>0</v>
      </c>
      <c r="CV239" s="14">
        <f t="shared" si="178"/>
        <v>0</v>
      </c>
      <c r="CW239" s="1">
        <f>ROUND(PPTest!K239,1)</f>
        <v>0</v>
      </c>
      <c r="CX239" s="3">
        <f t="shared" si="160"/>
        <v>0</v>
      </c>
      <c r="CY239" s="3">
        <f t="shared" si="179"/>
        <v>0</v>
      </c>
      <c r="CZ239" s="19">
        <f t="shared" si="180"/>
        <v>0</v>
      </c>
      <c r="DA239" s="19" t="e">
        <f t="shared" si="180"/>
        <v>#DIV/0!</v>
      </c>
      <c r="DB239" s="16">
        <f t="shared" si="181"/>
        <v>0</v>
      </c>
    </row>
    <row r="240" spans="1:106" x14ac:dyDescent="0.2">
      <c r="A240" s="15">
        <f t="shared" si="182"/>
        <v>45892</v>
      </c>
      <c r="B240" s="1">
        <v>235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4"/>
      <c r="AY240" s="43"/>
      <c r="BA240" s="16">
        <v>24.86</v>
      </c>
      <c r="BB240" s="41"/>
      <c r="BC240" s="41"/>
      <c r="BD240" s="8" t="e">
        <f t="shared" si="141"/>
        <v>#DIV/0!</v>
      </c>
      <c r="BE240" s="8"/>
      <c r="BF240" s="2">
        <f t="shared" si="161"/>
        <v>0</v>
      </c>
      <c r="BG240" s="2">
        <f t="shared" si="162"/>
        <v>0</v>
      </c>
      <c r="BH240" s="2">
        <f t="shared" si="163"/>
        <v>0</v>
      </c>
      <c r="BI240" s="35">
        <f t="shared" si="140"/>
        <v>0</v>
      </c>
      <c r="BJ240" s="35" t="e">
        <f t="shared" si="142"/>
        <v>#DIV/0!</v>
      </c>
      <c r="BK240" s="3"/>
      <c r="BL240" s="3">
        <f t="shared" si="143"/>
        <v>0</v>
      </c>
      <c r="BM240" s="19" t="e">
        <f t="shared" si="144"/>
        <v>#DIV/0!</v>
      </c>
      <c r="BN240" s="19" t="e">
        <f t="shared" si="145"/>
        <v>#DIV/0!</v>
      </c>
      <c r="BO240" s="19" t="e">
        <f t="shared" si="146"/>
        <v>#DIV/0!</v>
      </c>
      <c r="BP240" s="19" t="e">
        <f t="shared" si="147"/>
        <v>#DIV/0!</v>
      </c>
      <c r="BQ240" s="19" t="e">
        <f t="shared" si="148"/>
        <v>#DIV/0!</v>
      </c>
      <c r="BR240" s="19" t="e">
        <f t="shared" si="149"/>
        <v>#DIV/0!</v>
      </c>
      <c r="BS240" s="19" t="e">
        <f t="shared" si="150"/>
        <v>#DIV/0!</v>
      </c>
      <c r="BT240" s="19" t="e">
        <f t="shared" si="151"/>
        <v>#DIV/0!</v>
      </c>
      <c r="BV240" s="16">
        <f t="shared" si="152"/>
        <v>0</v>
      </c>
      <c r="BW240" s="16">
        <f t="shared" si="153"/>
        <v>0</v>
      </c>
      <c r="BX240" s="3">
        <f t="shared" si="154"/>
        <v>0</v>
      </c>
      <c r="BY240" s="3">
        <f t="shared" si="183"/>
        <v>0</v>
      </c>
      <c r="BZ240" s="3" t="s">
        <v>162</v>
      </c>
      <c r="CA240" s="3">
        <f t="shared" si="155"/>
        <v>0</v>
      </c>
      <c r="CB240" s="3">
        <f t="shared" si="156"/>
        <v>0</v>
      </c>
      <c r="CC240" s="3">
        <f t="shared" si="157"/>
        <v>0</v>
      </c>
      <c r="CD240" s="3">
        <f t="shared" si="158"/>
        <v>0</v>
      </c>
      <c r="CE240" s="22">
        <f t="shared" si="164"/>
        <v>0</v>
      </c>
      <c r="CF240" s="1">
        <f t="shared" si="159"/>
        <v>0</v>
      </c>
      <c r="CG240" s="1">
        <f t="shared" si="165"/>
        <v>0</v>
      </c>
      <c r="CH240" s="3" t="s">
        <v>162</v>
      </c>
      <c r="CI240" s="1">
        <f t="shared" si="166"/>
        <v>0</v>
      </c>
      <c r="CJ240" s="1">
        <f t="shared" si="167"/>
        <v>0</v>
      </c>
      <c r="CK240" s="1">
        <f t="shared" si="168"/>
        <v>0</v>
      </c>
      <c r="CL240" s="1">
        <f t="shared" si="169"/>
        <v>0</v>
      </c>
      <c r="CM240" s="2">
        <f t="shared" si="170"/>
        <v>0</v>
      </c>
      <c r="CN240" s="1">
        <f t="shared" si="171"/>
        <v>0</v>
      </c>
      <c r="CO240" s="1">
        <f t="shared" si="172"/>
        <v>0</v>
      </c>
      <c r="CP240" s="3" t="s">
        <v>162</v>
      </c>
      <c r="CQ240" s="1">
        <f t="shared" si="173"/>
        <v>0</v>
      </c>
      <c r="CR240" s="1">
        <f t="shared" si="174"/>
        <v>0</v>
      </c>
      <c r="CS240" s="1">
        <f t="shared" si="175"/>
        <v>0</v>
      </c>
      <c r="CT240" s="1">
        <f t="shared" si="176"/>
        <v>0</v>
      </c>
      <c r="CU240" s="2">
        <f t="shared" si="177"/>
        <v>0</v>
      </c>
      <c r="CV240" s="14">
        <f t="shared" si="178"/>
        <v>0</v>
      </c>
      <c r="CW240" s="1">
        <f>ROUND(PPTest!K240,1)</f>
        <v>0</v>
      </c>
      <c r="CX240" s="3">
        <f t="shared" si="160"/>
        <v>0</v>
      </c>
      <c r="CY240" s="3">
        <f t="shared" si="179"/>
        <v>0</v>
      </c>
      <c r="CZ240" s="19">
        <f t="shared" si="180"/>
        <v>0</v>
      </c>
      <c r="DA240" s="19" t="e">
        <f t="shared" si="180"/>
        <v>#DIV/0!</v>
      </c>
      <c r="DB240" s="16">
        <f t="shared" si="181"/>
        <v>0</v>
      </c>
    </row>
    <row r="241" spans="1:106" x14ac:dyDescent="0.2">
      <c r="A241" s="15">
        <f t="shared" si="182"/>
        <v>45893</v>
      </c>
      <c r="B241" s="1">
        <v>236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4"/>
      <c r="AY241" s="43"/>
      <c r="BA241" s="16">
        <v>24.62</v>
      </c>
      <c r="BB241" s="41"/>
      <c r="BC241" s="41"/>
      <c r="BD241" s="8" t="e">
        <f t="shared" si="141"/>
        <v>#DIV/0!</v>
      </c>
      <c r="BE241" s="8"/>
      <c r="BF241" s="2">
        <f t="shared" si="161"/>
        <v>0</v>
      </c>
      <c r="BG241" s="2">
        <f t="shared" si="162"/>
        <v>0</v>
      </c>
      <c r="BH241" s="2">
        <f t="shared" si="163"/>
        <v>0</v>
      </c>
      <c r="BI241" s="35">
        <f t="shared" si="140"/>
        <v>0</v>
      </c>
      <c r="BJ241" s="35" t="e">
        <f t="shared" si="142"/>
        <v>#DIV/0!</v>
      </c>
      <c r="BK241" s="3"/>
      <c r="BL241" s="3">
        <f t="shared" si="143"/>
        <v>0</v>
      </c>
      <c r="BM241" s="19" t="e">
        <f t="shared" si="144"/>
        <v>#DIV/0!</v>
      </c>
      <c r="BN241" s="19" t="e">
        <f t="shared" si="145"/>
        <v>#DIV/0!</v>
      </c>
      <c r="BO241" s="19" t="e">
        <f t="shared" si="146"/>
        <v>#DIV/0!</v>
      </c>
      <c r="BP241" s="19" t="e">
        <f t="shared" si="147"/>
        <v>#DIV/0!</v>
      </c>
      <c r="BQ241" s="19" t="e">
        <f t="shared" si="148"/>
        <v>#DIV/0!</v>
      </c>
      <c r="BR241" s="19" t="e">
        <f t="shared" si="149"/>
        <v>#DIV/0!</v>
      </c>
      <c r="BS241" s="19" t="e">
        <f t="shared" si="150"/>
        <v>#DIV/0!</v>
      </c>
      <c r="BT241" s="19" t="e">
        <f t="shared" si="151"/>
        <v>#DIV/0!</v>
      </c>
      <c r="BV241" s="16">
        <f t="shared" si="152"/>
        <v>0</v>
      </c>
      <c r="BW241" s="16">
        <f t="shared" si="153"/>
        <v>0</v>
      </c>
      <c r="BX241" s="3">
        <f t="shared" si="154"/>
        <v>0</v>
      </c>
      <c r="BY241" s="3">
        <f t="shared" si="183"/>
        <v>0</v>
      </c>
      <c r="BZ241" s="3" t="s">
        <v>162</v>
      </c>
      <c r="CA241" s="3">
        <f t="shared" si="155"/>
        <v>0</v>
      </c>
      <c r="CB241" s="3">
        <f t="shared" si="156"/>
        <v>0</v>
      </c>
      <c r="CC241" s="3">
        <f t="shared" si="157"/>
        <v>0</v>
      </c>
      <c r="CD241" s="3">
        <f t="shared" si="158"/>
        <v>0</v>
      </c>
      <c r="CE241" s="22">
        <f t="shared" si="164"/>
        <v>0</v>
      </c>
      <c r="CF241" s="1">
        <f t="shared" si="159"/>
        <v>0</v>
      </c>
      <c r="CG241" s="1">
        <f t="shared" si="165"/>
        <v>0</v>
      </c>
      <c r="CH241" s="3" t="s">
        <v>162</v>
      </c>
      <c r="CI241" s="1">
        <f t="shared" si="166"/>
        <v>0</v>
      </c>
      <c r="CJ241" s="1">
        <f t="shared" si="167"/>
        <v>0</v>
      </c>
      <c r="CK241" s="1">
        <f t="shared" si="168"/>
        <v>0</v>
      </c>
      <c r="CL241" s="1">
        <f t="shared" si="169"/>
        <v>0</v>
      </c>
      <c r="CM241" s="2">
        <f t="shared" si="170"/>
        <v>0</v>
      </c>
      <c r="CN241" s="1">
        <f t="shared" si="171"/>
        <v>0</v>
      </c>
      <c r="CO241" s="1">
        <f t="shared" si="172"/>
        <v>0</v>
      </c>
      <c r="CP241" s="3" t="s">
        <v>162</v>
      </c>
      <c r="CQ241" s="1">
        <f t="shared" si="173"/>
        <v>0</v>
      </c>
      <c r="CR241" s="1">
        <f t="shared" si="174"/>
        <v>0</v>
      </c>
      <c r="CS241" s="1">
        <f t="shared" si="175"/>
        <v>0</v>
      </c>
      <c r="CT241" s="1">
        <f t="shared" si="176"/>
        <v>0</v>
      </c>
      <c r="CU241" s="2">
        <f t="shared" si="177"/>
        <v>0</v>
      </c>
      <c r="CV241" s="14">
        <f t="shared" si="178"/>
        <v>0</v>
      </c>
      <c r="CW241" s="1">
        <f>ROUND(PPTest!K241,1)</f>
        <v>0</v>
      </c>
      <c r="CX241" s="3">
        <f t="shared" si="160"/>
        <v>0</v>
      </c>
      <c r="CY241" s="3">
        <f t="shared" si="179"/>
        <v>0</v>
      </c>
      <c r="CZ241" s="19">
        <f t="shared" si="180"/>
        <v>0</v>
      </c>
      <c r="DA241" s="19" t="e">
        <f t="shared" si="180"/>
        <v>#DIV/0!</v>
      </c>
      <c r="DB241" s="16">
        <f t="shared" si="181"/>
        <v>0</v>
      </c>
    </row>
    <row r="242" spans="1:106" x14ac:dyDescent="0.2">
      <c r="A242" s="15">
        <f t="shared" si="182"/>
        <v>45894</v>
      </c>
      <c r="B242" s="1">
        <v>237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4"/>
      <c r="AY242" s="43"/>
      <c r="BA242" s="16">
        <v>24.39</v>
      </c>
      <c r="BB242" s="41"/>
      <c r="BC242" s="41"/>
      <c r="BD242" s="8" t="e">
        <f t="shared" si="141"/>
        <v>#DIV/0!</v>
      </c>
      <c r="BE242" s="8"/>
      <c r="BF242" s="2">
        <f t="shared" si="161"/>
        <v>0</v>
      </c>
      <c r="BG242" s="2">
        <f t="shared" si="162"/>
        <v>0</v>
      </c>
      <c r="BH242" s="2">
        <f t="shared" si="163"/>
        <v>0</v>
      </c>
      <c r="BI242" s="35">
        <f t="shared" si="140"/>
        <v>0</v>
      </c>
      <c r="BJ242" s="35" t="e">
        <f t="shared" si="142"/>
        <v>#DIV/0!</v>
      </c>
      <c r="BK242" s="3"/>
      <c r="BL242" s="3">
        <f t="shared" si="143"/>
        <v>0</v>
      </c>
      <c r="BM242" s="19" t="e">
        <f t="shared" si="144"/>
        <v>#DIV/0!</v>
      </c>
      <c r="BN242" s="19" t="e">
        <f t="shared" si="145"/>
        <v>#DIV/0!</v>
      </c>
      <c r="BO242" s="19" t="e">
        <f t="shared" si="146"/>
        <v>#DIV/0!</v>
      </c>
      <c r="BP242" s="19" t="e">
        <f t="shared" si="147"/>
        <v>#DIV/0!</v>
      </c>
      <c r="BQ242" s="19" t="e">
        <f t="shared" si="148"/>
        <v>#DIV/0!</v>
      </c>
      <c r="BR242" s="19" t="e">
        <f t="shared" si="149"/>
        <v>#DIV/0!</v>
      </c>
      <c r="BS242" s="19" t="e">
        <f t="shared" si="150"/>
        <v>#DIV/0!</v>
      </c>
      <c r="BT242" s="19" t="e">
        <f t="shared" si="151"/>
        <v>#DIV/0!</v>
      </c>
      <c r="BV242" s="16">
        <f t="shared" si="152"/>
        <v>0</v>
      </c>
      <c r="BW242" s="16">
        <f t="shared" si="153"/>
        <v>0</v>
      </c>
      <c r="BX242" s="3">
        <f t="shared" si="154"/>
        <v>0</v>
      </c>
      <c r="BY242" s="3">
        <f t="shared" si="183"/>
        <v>0</v>
      </c>
      <c r="BZ242" s="3" t="s">
        <v>162</v>
      </c>
      <c r="CA242" s="3">
        <f t="shared" si="155"/>
        <v>0</v>
      </c>
      <c r="CB242" s="3">
        <f t="shared" si="156"/>
        <v>0</v>
      </c>
      <c r="CC242" s="3">
        <f t="shared" si="157"/>
        <v>0</v>
      </c>
      <c r="CD242" s="3">
        <f t="shared" si="158"/>
        <v>0</v>
      </c>
      <c r="CE242" s="22">
        <f t="shared" si="164"/>
        <v>0</v>
      </c>
      <c r="CF242" s="1">
        <f t="shared" si="159"/>
        <v>0</v>
      </c>
      <c r="CG242" s="1">
        <f t="shared" si="165"/>
        <v>0</v>
      </c>
      <c r="CH242" s="3" t="s">
        <v>162</v>
      </c>
      <c r="CI242" s="1">
        <f t="shared" si="166"/>
        <v>0</v>
      </c>
      <c r="CJ242" s="1">
        <f t="shared" si="167"/>
        <v>0</v>
      </c>
      <c r="CK242" s="1">
        <f t="shared" si="168"/>
        <v>0</v>
      </c>
      <c r="CL242" s="1">
        <f t="shared" si="169"/>
        <v>0</v>
      </c>
      <c r="CM242" s="2">
        <f t="shared" si="170"/>
        <v>0</v>
      </c>
      <c r="CN242" s="1">
        <f t="shared" si="171"/>
        <v>0</v>
      </c>
      <c r="CO242" s="1">
        <f t="shared" si="172"/>
        <v>0</v>
      </c>
      <c r="CP242" s="3" t="s">
        <v>162</v>
      </c>
      <c r="CQ242" s="1">
        <f t="shared" si="173"/>
        <v>0</v>
      </c>
      <c r="CR242" s="1">
        <f t="shared" si="174"/>
        <v>0</v>
      </c>
      <c r="CS242" s="1">
        <f t="shared" si="175"/>
        <v>0</v>
      </c>
      <c r="CT242" s="1">
        <f t="shared" si="176"/>
        <v>0</v>
      </c>
      <c r="CU242" s="2">
        <f t="shared" si="177"/>
        <v>0</v>
      </c>
      <c r="CV242" s="14">
        <f t="shared" si="178"/>
        <v>0</v>
      </c>
      <c r="CW242" s="1">
        <f>ROUND(PPTest!K242,1)</f>
        <v>0</v>
      </c>
      <c r="CX242" s="3">
        <f t="shared" si="160"/>
        <v>0</v>
      </c>
      <c r="CY242" s="3">
        <f t="shared" si="179"/>
        <v>0</v>
      </c>
      <c r="CZ242" s="19">
        <f t="shared" si="180"/>
        <v>0</v>
      </c>
      <c r="DA242" s="19" t="e">
        <f t="shared" si="180"/>
        <v>#DIV/0!</v>
      </c>
      <c r="DB242" s="16">
        <f t="shared" si="181"/>
        <v>0</v>
      </c>
    </row>
    <row r="243" spans="1:106" x14ac:dyDescent="0.2">
      <c r="A243" s="15">
        <f t="shared" si="182"/>
        <v>45895</v>
      </c>
      <c r="B243" s="1">
        <v>238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4"/>
      <c r="AY243" s="43"/>
      <c r="BA243" s="16">
        <v>24.16</v>
      </c>
      <c r="BB243" s="41"/>
      <c r="BC243" s="41"/>
      <c r="BD243" s="8" t="e">
        <f t="shared" si="141"/>
        <v>#DIV/0!</v>
      </c>
      <c r="BE243" s="8"/>
      <c r="BF243" s="2">
        <f t="shared" si="161"/>
        <v>0</v>
      </c>
      <c r="BG243" s="2">
        <f t="shared" si="162"/>
        <v>0</v>
      </c>
      <c r="BH243" s="2">
        <f t="shared" si="163"/>
        <v>0</v>
      </c>
      <c r="BI243" s="35">
        <f t="shared" si="140"/>
        <v>0</v>
      </c>
      <c r="BJ243" s="35" t="e">
        <f t="shared" si="142"/>
        <v>#DIV/0!</v>
      </c>
      <c r="BK243" s="3"/>
      <c r="BL243" s="3">
        <f t="shared" si="143"/>
        <v>0</v>
      </c>
      <c r="BM243" s="19" t="e">
        <f t="shared" si="144"/>
        <v>#DIV/0!</v>
      </c>
      <c r="BN243" s="19" t="e">
        <f t="shared" si="145"/>
        <v>#DIV/0!</v>
      </c>
      <c r="BO243" s="19" t="e">
        <f t="shared" si="146"/>
        <v>#DIV/0!</v>
      </c>
      <c r="BP243" s="19" t="e">
        <f t="shared" si="147"/>
        <v>#DIV/0!</v>
      </c>
      <c r="BQ243" s="19" t="e">
        <f t="shared" si="148"/>
        <v>#DIV/0!</v>
      </c>
      <c r="BR243" s="19" t="e">
        <f t="shared" si="149"/>
        <v>#DIV/0!</v>
      </c>
      <c r="BS243" s="19" t="e">
        <f t="shared" si="150"/>
        <v>#DIV/0!</v>
      </c>
      <c r="BT243" s="19" t="e">
        <f t="shared" si="151"/>
        <v>#DIV/0!</v>
      </c>
      <c r="BV243" s="16">
        <f t="shared" si="152"/>
        <v>0</v>
      </c>
      <c r="BW243" s="16">
        <f t="shared" si="153"/>
        <v>0</v>
      </c>
      <c r="BX243" s="3">
        <f t="shared" si="154"/>
        <v>0</v>
      </c>
      <c r="BY243" s="3">
        <f t="shared" si="183"/>
        <v>0</v>
      </c>
      <c r="BZ243" s="3" t="s">
        <v>162</v>
      </c>
      <c r="CA243" s="3">
        <f t="shared" si="155"/>
        <v>0</v>
      </c>
      <c r="CB243" s="3">
        <f t="shared" si="156"/>
        <v>0</v>
      </c>
      <c r="CC243" s="3">
        <f t="shared" si="157"/>
        <v>0</v>
      </c>
      <c r="CD243" s="3">
        <f t="shared" si="158"/>
        <v>0</v>
      </c>
      <c r="CE243" s="22">
        <f t="shared" si="164"/>
        <v>0</v>
      </c>
      <c r="CF243" s="1">
        <f t="shared" si="159"/>
        <v>0</v>
      </c>
      <c r="CG243" s="1">
        <f t="shared" si="165"/>
        <v>0</v>
      </c>
      <c r="CH243" s="3" t="s">
        <v>162</v>
      </c>
      <c r="CI243" s="1">
        <f t="shared" si="166"/>
        <v>0</v>
      </c>
      <c r="CJ243" s="1">
        <f t="shared" si="167"/>
        <v>0</v>
      </c>
      <c r="CK243" s="1">
        <f t="shared" si="168"/>
        <v>0</v>
      </c>
      <c r="CL243" s="1">
        <f t="shared" si="169"/>
        <v>0</v>
      </c>
      <c r="CM243" s="2">
        <f t="shared" si="170"/>
        <v>0</v>
      </c>
      <c r="CN243" s="1">
        <f t="shared" si="171"/>
        <v>0</v>
      </c>
      <c r="CO243" s="1">
        <f t="shared" si="172"/>
        <v>0</v>
      </c>
      <c r="CP243" s="3" t="s">
        <v>162</v>
      </c>
      <c r="CQ243" s="1">
        <f t="shared" si="173"/>
        <v>0</v>
      </c>
      <c r="CR243" s="1">
        <f t="shared" si="174"/>
        <v>0</v>
      </c>
      <c r="CS243" s="1">
        <f t="shared" si="175"/>
        <v>0</v>
      </c>
      <c r="CT243" s="1">
        <f t="shared" si="176"/>
        <v>0</v>
      </c>
      <c r="CU243" s="2">
        <f t="shared" si="177"/>
        <v>0</v>
      </c>
      <c r="CV243" s="14">
        <f t="shared" si="178"/>
        <v>0</v>
      </c>
      <c r="CW243" s="1">
        <f>ROUND(PPTest!K243,1)</f>
        <v>0</v>
      </c>
      <c r="CX243" s="3">
        <f t="shared" si="160"/>
        <v>0</v>
      </c>
      <c r="CY243" s="3">
        <f t="shared" si="179"/>
        <v>0</v>
      </c>
      <c r="CZ243" s="19">
        <f t="shared" si="180"/>
        <v>0</v>
      </c>
      <c r="DA243" s="19" t="e">
        <f t="shared" si="180"/>
        <v>#DIV/0!</v>
      </c>
      <c r="DB243" s="16">
        <f t="shared" si="181"/>
        <v>0</v>
      </c>
    </row>
    <row r="244" spans="1:106" x14ac:dyDescent="0.2">
      <c r="A244" s="15">
        <f t="shared" si="182"/>
        <v>45896</v>
      </c>
      <c r="B244" s="1">
        <v>239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43"/>
      <c r="BA244" s="16">
        <v>23.92</v>
      </c>
      <c r="BB244" s="41"/>
      <c r="BC244" s="41"/>
      <c r="BD244" s="8" t="e">
        <f t="shared" si="141"/>
        <v>#DIV/0!</v>
      </c>
      <c r="BE244" s="8"/>
      <c r="BF244" s="2">
        <f t="shared" si="161"/>
        <v>0</v>
      </c>
      <c r="BG244" s="2">
        <f t="shared" si="162"/>
        <v>0</v>
      </c>
      <c r="BH244" s="2">
        <f t="shared" si="163"/>
        <v>0</v>
      </c>
      <c r="BI244" s="35">
        <f t="shared" si="140"/>
        <v>0</v>
      </c>
      <c r="BJ244" s="35" t="e">
        <f t="shared" si="142"/>
        <v>#DIV/0!</v>
      </c>
      <c r="BK244" s="3"/>
      <c r="BL244" s="3">
        <f t="shared" si="143"/>
        <v>0</v>
      </c>
      <c r="BM244" s="19" t="e">
        <f t="shared" si="144"/>
        <v>#DIV/0!</v>
      </c>
      <c r="BN244" s="19" t="e">
        <f t="shared" si="145"/>
        <v>#DIV/0!</v>
      </c>
      <c r="BO244" s="19" t="e">
        <f t="shared" si="146"/>
        <v>#DIV/0!</v>
      </c>
      <c r="BP244" s="19" t="e">
        <f t="shared" si="147"/>
        <v>#DIV/0!</v>
      </c>
      <c r="BQ244" s="19" t="e">
        <f t="shared" si="148"/>
        <v>#DIV/0!</v>
      </c>
      <c r="BR244" s="19" t="e">
        <f t="shared" si="149"/>
        <v>#DIV/0!</v>
      </c>
      <c r="BS244" s="19" t="e">
        <f t="shared" si="150"/>
        <v>#DIV/0!</v>
      </c>
      <c r="BT244" s="19" t="e">
        <f t="shared" si="151"/>
        <v>#DIV/0!</v>
      </c>
      <c r="BV244" s="16">
        <f t="shared" si="152"/>
        <v>0</v>
      </c>
      <c r="BW244" s="16">
        <f t="shared" si="153"/>
        <v>0</v>
      </c>
      <c r="BX244" s="3">
        <f t="shared" si="154"/>
        <v>0</v>
      </c>
      <c r="BY244" s="3">
        <f t="shared" si="183"/>
        <v>0</v>
      </c>
      <c r="BZ244" s="3" t="s">
        <v>162</v>
      </c>
      <c r="CA244" s="3">
        <f t="shared" si="155"/>
        <v>0</v>
      </c>
      <c r="CB244" s="3">
        <f t="shared" si="156"/>
        <v>0</v>
      </c>
      <c r="CC244" s="3">
        <f t="shared" si="157"/>
        <v>0</v>
      </c>
      <c r="CD244" s="3">
        <f t="shared" si="158"/>
        <v>0</v>
      </c>
      <c r="CE244" s="22">
        <f t="shared" si="164"/>
        <v>0</v>
      </c>
      <c r="CF244" s="1">
        <f t="shared" si="159"/>
        <v>0</v>
      </c>
      <c r="CG244" s="1">
        <f t="shared" si="165"/>
        <v>0</v>
      </c>
      <c r="CH244" s="3" t="s">
        <v>162</v>
      </c>
      <c r="CI244" s="1">
        <f t="shared" si="166"/>
        <v>0</v>
      </c>
      <c r="CJ244" s="1">
        <f t="shared" si="167"/>
        <v>0</v>
      </c>
      <c r="CK244" s="1">
        <f t="shared" si="168"/>
        <v>0</v>
      </c>
      <c r="CL244" s="1">
        <f t="shared" si="169"/>
        <v>0</v>
      </c>
      <c r="CM244" s="2">
        <f t="shared" si="170"/>
        <v>0</v>
      </c>
      <c r="CN244" s="1">
        <f t="shared" si="171"/>
        <v>0</v>
      </c>
      <c r="CO244" s="1">
        <f t="shared" si="172"/>
        <v>0</v>
      </c>
      <c r="CP244" s="3" t="s">
        <v>162</v>
      </c>
      <c r="CQ244" s="1">
        <f t="shared" si="173"/>
        <v>0</v>
      </c>
      <c r="CR244" s="1">
        <f t="shared" si="174"/>
        <v>0</v>
      </c>
      <c r="CS244" s="1">
        <f t="shared" si="175"/>
        <v>0</v>
      </c>
      <c r="CT244" s="1">
        <f t="shared" si="176"/>
        <v>0</v>
      </c>
      <c r="CU244" s="2">
        <f t="shared" si="177"/>
        <v>0</v>
      </c>
      <c r="CV244" s="14">
        <f t="shared" si="178"/>
        <v>0</v>
      </c>
      <c r="CW244" s="1">
        <f>ROUND(PPTest!K244,1)</f>
        <v>0</v>
      </c>
      <c r="CX244" s="3">
        <f t="shared" si="160"/>
        <v>0</v>
      </c>
      <c r="CY244" s="3">
        <f t="shared" si="179"/>
        <v>0</v>
      </c>
      <c r="CZ244" s="19">
        <f t="shared" si="180"/>
        <v>0</v>
      </c>
      <c r="DA244" s="19" t="e">
        <f t="shared" si="180"/>
        <v>#DIV/0!</v>
      </c>
      <c r="DB244" s="16">
        <f t="shared" si="181"/>
        <v>0</v>
      </c>
    </row>
    <row r="245" spans="1:106" x14ac:dyDescent="0.2">
      <c r="A245" s="15">
        <f t="shared" si="182"/>
        <v>45897</v>
      </c>
      <c r="B245" s="1">
        <v>240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4"/>
      <c r="AY245" s="43"/>
      <c r="BA245" s="16">
        <v>23.67</v>
      </c>
      <c r="BB245" s="41"/>
      <c r="BC245" s="41"/>
      <c r="BD245" s="8" t="e">
        <f t="shared" si="141"/>
        <v>#DIV/0!</v>
      </c>
      <c r="BE245" s="8"/>
      <c r="BF245" s="2">
        <f t="shared" si="161"/>
        <v>0</v>
      </c>
      <c r="BG245" s="2">
        <f t="shared" si="162"/>
        <v>0</v>
      </c>
      <c r="BH245" s="2">
        <f t="shared" si="163"/>
        <v>0</v>
      </c>
      <c r="BI245" s="35">
        <f t="shared" si="140"/>
        <v>0</v>
      </c>
      <c r="BJ245" s="35" t="e">
        <f t="shared" si="142"/>
        <v>#DIV/0!</v>
      </c>
      <c r="BK245" s="3"/>
      <c r="BL245" s="3">
        <f t="shared" si="143"/>
        <v>0</v>
      </c>
      <c r="BM245" s="19" t="e">
        <f t="shared" si="144"/>
        <v>#DIV/0!</v>
      </c>
      <c r="BN245" s="19" t="e">
        <f t="shared" si="145"/>
        <v>#DIV/0!</v>
      </c>
      <c r="BO245" s="19" t="e">
        <f t="shared" si="146"/>
        <v>#DIV/0!</v>
      </c>
      <c r="BP245" s="19" t="e">
        <f t="shared" si="147"/>
        <v>#DIV/0!</v>
      </c>
      <c r="BQ245" s="19" t="e">
        <f t="shared" si="148"/>
        <v>#DIV/0!</v>
      </c>
      <c r="BR245" s="19" t="e">
        <f t="shared" si="149"/>
        <v>#DIV/0!</v>
      </c>
      <c r="BS245" s="19" t="e">
        <f t="shared" si="150"/>
        <v>#DIV/0!</v>
      </c>
      <c r="BT245" s="19" t="e">
        <f t="shared" si="151"/>
        <v>#DIV/0!</v>
      </c>
      <c r="BV245" s="16">
        <f t="shared" si="152"/>
        <v>0</v>
      </c>
      <c r="BW245" s="16">
        <f t="shared" si="153"/>
        <v>0</v>
      </c>
      <c r="BX245" s="3">
        <f t="shared" si="154"/>
        <v>0</v>
      </c>
      <c r="BY245" s="3">
        <f t="shared" si="183"/>
        <v>0</v>
      </c>
      <c r="BZ245" s="3" t="s">
        <v>162</v>
      </c>
      <c r="CA245" s="3">
        <f t="shared" si="155"/>
        <v>0</v>
      </c>
      <c r="CB245" s="3">
        <f t="shared" si="156"/>
        <v>0</v>
      </c>
      <c r="CC245" s="3">
        <f t="shared" si="157"/>
        <v>0</v>
      </c>
      <c r="CD245" s="3">
        <f t="shared" si="158"/>
        <v>0</v>
      </c>
      <c r="CE245" s="22">
        <f t="shared" si="164"/>
        <v>0</v>
      </c>
      <c r="CF245" s="1">
        <f t="shared" si="159"/>
        <v>0</v>
      </c>
      <c r="CG245" s="1">
        <f t="shared" si="165"/>
        <v>0</v>
      </c>
      <c r="CH245" s="3" t="s">
        <v>162</v>
      </c>
      <c r="CI245" s="1">
        <f t="shared" si="166"/>
        <v>0</v>
      </c>
      <c r="CJ245" s="1">
        <f t="shared" si="167"/>
        <v>0</v>
      </c>
      <c r="CK245" s="1">
        <f t="shared" si="168"/>
        <v>0</v>
      </c>
      <c r="CL245" s="1">
        <f t="shared" si="169"/>
        <v>0</v>
      </c>
      <c r="CM245" s="2">
        <f t="shared" si="170"/>
        <v>0</v>
      </c>
      <c r="CN245" s="1">
        <f t="shared" si="171"/>
        <v>0</v>
      </c>
      <c r="CO245" s="1">
        <f t="shared" si="172"/>
        <v>0</v>
      </c>
      <c r="CP245" s="3" t="s">
        <v>162</v>
      </c>
      <c r="CQ245" s="1">
        <f t="shared" si="173"/>
        <v>0</v>
      </c>
      <c r="CR245" s="1">
        <f t="shared" si="174"/>
        <v>0</v>
      </c>
      <c r="CS245" s="1">
        <f t="shared" si="175"/>
        <v>0</v>
      </c>
      <c r="CT245" s="1">
        <f t="shared" si="176"/>
        <v>0</v>
      </c>
      <c r="CU245" s="2">
        <f t="shared" si="177"/>
        <v>0</v>
      </c>
      <c r="CV245" s="14">
        <f t="shared" si="178"/>
        <v>0</v>
      </c>
      <c r="CW245" s="1">
        <f>ROUND(PPTest!K245,1)</f>
        <v>0</v>
      </c>
      <c r="CX245" s="3">
        <f t="shared" si="160"/>
        <v>0</v>
      </c>
      <c r="CY245" s="3">
        <f t="shared" si="179"/>
        <v>0</v>
      </c>
      <c r="CZ245" s="19">
        <f t="shared" si="180"/>
        <v>0</v>
      </c>
      <c r="DA245" s="19" t="e">
        <f t="shared" si="180"/>
        <v>#DIV/0!</v>
      </c>
      <c r="DB245" s="16">
        <f t="shared" si="181"/>
        <v>0</v>
      </c>
    </row>
    <row r="246" spans="1:106" x14ac:dyDescent="0.2">
      <c r="A246" s="15">
        <f t="shared" si="182"/>
        <v>45898</v>
      </c>
      <c r="B246" s="1">
        <v>241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4"/>
      <c r="AY246" s="43"/>
      <c r="BA246" s="16">
        <v>23.43</v>
      </c>
      <c r="BB246" s="41"/>
      <c r="BC246" s="41"/>
      <c r="BD246" s="8" t="e">
        <f t="shared" si="141"/>
        <v>#DIV/0!</v>
      </c>
      <c r="BE246" s="8"/>
      <c r="BF246" s="2">
        <f t="shared" si="161"/>
        <v>0</v>
      </c>
      <c r="BG246" s="2">
        <f t="shared" si="162"/>
        <v>0</v>
      </c>
      <c r="BH246" s="2">
        <f t="shared" si="163"/>
        <v>0</v>
      </c>
      <c r="BI246" s="35">
        <f t="shared" si="140"/>
        <v>0</v>
      </c>
      <c r="BJ246" s="35" t="e">
        <f t="shared" si="142"/>
        <v>#DIV/0!</v>
      </c>
      <c r="BK246" s="3"/>
      <c r="BL246" s="3">
        <f t="shared" si="143"/>
        <v>0</v>
      </c>
      <c r="BM246" s="19" t="e">
        <f t="shared" si="144"/>
        <v>#DIV/0!</v>
      </c>
      <c r="BN246" s="19" t="e">
        <f t="shared" si="145"/>
        <v>#DIV/0!</v>
      </c>
      <c r="BO246" s="19" t="e">
        <f t="shared" si="146"/>
        <v>#DIV/0!</v>
      </c>
      <c r="BP246" s="19" t="e">
        <f t="shared" si="147"/>
        <v>#DIV/0!</v>
      </c>
      <c r="BQ246" s="19" t="e">
        <f t="shared" si="148"/>
        <v>#DIV/0!</v>
      </c>
      <c r="BR246" s="19" t="e">
        <f t="shared" si="149"/>
        <v>#DIV/0!</v>
      </c>
      <c r="BS246" s="19" t="e">
        <f t="shared" si="150"/>
        <v>#DIV/0!</v>
      </c>
      <c r="BT246" s="19" t="e">
        <f t="shared" si="151"/>
        <v>#DIV/0!</v>
      </c>
      <c r="BV246" s="16">
        <f t="shared" si="152"/>
        <v>0</v>
      </c>
      <c r="BW246" s="16">
        <f t="shared" si="153"/>
        <v>0</v>
      </c>
      <c r="BX246" s="3">
        <f t="shared" si="154"/>
        <v>0</v>
      </c>
      <c r="BY246" s="3">
        <f t="shared" si="183"/>
        <v>0</v>
      </c>
      <c r="BZ246" s="3" t="s">
        <v>162</v>
      </c>
      <c r="CA246" s="3">
        <f t="shared" si="155"/>
        <v>0</v>
      </c>
      <c r="CB246" s="3">
        <f t="shared" si="156"/>
        <v>0</v>
      </c>
      <c r="CC246" s="3">
        <f t="shared" si="157"/>
        <v>0</v>
      </c>
      <c r="CD246" s="3">
        <f t="shared" si="158"/>
        <v>0</v>
      </c>
      <c r="CE246" s="22">
        <f t="shared" si="164"/>
        <v>0</v>
      </c>
      <c r="CF246" s="1">
        <f t="shared" si="159"/>
        <v>0</v>
      </c>
      <c r="CG246" s="1">
        <f t="shared" si="165"/>
        <v>0</v>
      </c>
      <c r="CH246" s="3" t="s">
        <v>162</v>
      </c>
      <c r="CI246" s="1">
        <f t="shared" si="166"/>
        <v>0</v>
      </c>
      <c r="CJ246" s="1">
        <f t="shared" si="167"/>
        <v>0</v>
      </c>
      <c r="CK246" s="1">
        <f t="shared" si="168"/>
        <v>0</v>
      </c>
      <c r="CL246" s="1">
        <f t="shared" si="169"/>
        <v>0</v>
      </c>
      <c r="CM246" s="2">
        <f t="shared" si="170"/>
        <v>0</v>
      </c>
      <c r="CN246" s="1">
        <f t="shared" si="171"/>
        <v>0</v>
      </c>
      <c r="CO246" s="1">
        <f t="shared" si="172"/>
        <v>0</v>
      </c>
      <c r="CP246" s="3" t="s">
        <v>162</v>
      </c>
      <c r="CQ246" s="1">
        <f t="shared" si="173"/>
        <v>0</v>
      </c>
      <c r="CR246" s="1">
        <f t="shared" si="174"/>
        <v>0</v>
      </c>
      <c r="CS246" s="1">
        <f t="shared" si="175"/>
        <v>0</v>
      </c>
      <c r="CT246" s="1">
        <f t="shared" si="176"/>
        <v>0</v>
      </c>
      <c r="CU246" s="2">
        <f t="shared" si="177"/>
        <v>0</v>
      </c>
      <c r="CV246" s="14">
        <f t="shared" si="178"/>
        <v>0</v>
      </c>
      <c r="CW246" s="1">
        <f>ROUND(PPTest!K246,1)</f>
        <v>0</v>
      </c>
      <c r="CX246" s="3">
        <f t="shared" si="160"/>
        <v>0</v>
      </c>
      <c r="CY246" s="3">
        <f t="shared" si="179"/>
        <v>0</v>
      </c>
      <c r="CZ246" s="19">
        <f t="shared" si="180"/>
        <v>0</v>
      </c>
      <c r="DA246" s="19" t="e">
        <f t="shared" si="180"/>
        <v>#DIV/0!</v>
      </c>
      <c r="DB246" s="16">
        <f t="shared" si="181"/>
        <v>0</v>
      </c>
    </row>
    <row r="247" spans="1:106" x14ac:dyDescent="0.2">
      <c r="A247" s="15">
        <f t="shared" si="182"/>
        <v>45899</v>
      </c>
      <c r="B247" s="1">
        <v>242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4"/>
      <c r="AY247" s="43"/>
      <c r="BA247" s="16">
        <v>23.19</v>
      </c>
      <c r="BB247" s="41"/>
      <c r="BC247" s="41"/>
      <c r="BD247" s="8" t="e">
        <f t="shared" si="141"/>
        <v>#DIV/0!</v>
      </c>
      <c r="BE247" s="8"/>
      <c r="BF247" s="2">
        <f t="shared" si="161"/>
        <v>0</v>
      </c>
      <c r="BG247" s="2">
        <f t="shared" si="162"/>
        <v>0</v>
      </c>
      <c r="BH247" s="2">
        <f t="shared" si="163"/>
        <v>0</v>
      </c>
      <c r="BI247" s="35">
        <f t="shared" si="140"/>
        <v>0</v>
      </c>
      <c r="BJ247" s="35" t="e">
        <f t="shared" si="142"/>
        <v>#DIV/0!</v>
      </c>
      <c r="BK247" s="3"/>
      <c r="BL247" s="3">
        <f t="shared" si="143"/>
        <v>0</v>
      </c>
      <c r="BM247" s="19" t="e">
        <f t="shared" si="144"/>
        <v>#DIV/0!</v>
      </c>
      <c r="BN247" s="19" t="e">
        <f t="shared" si="145"/>
        <v>#DIV/0!</v>
      </c>
      <c r="BO247" s="19" t="e">
        <f t="shared" si="146"/>
        <v>#DIV/0!</v>
      </c>
      <c r="BP247" s="19" t="e">
        <f t="shared" si="147"/>
        <v>#DIV/0!</v>
      </c>
      <c r="BQ247" s="19" t="e">
        <f t="shared" si="148"/>
        <v>#DIV/0!</v>
      </c>
      <c r="BR247" s="19" t="e">
        <f t="shared" si="149"/>
        <v>#DIV/0!</v>
      </c>
      <c r="BS247" s="19" t="e">
        <f t="shared" si="150"/>
        <v>#DIV/0!</v>
      </c>
      <c r="BT247" s="19" t="e">
        <f t="shared" si="151"/>
        <v>#DIV/0!</v>
      </c>
      <c r="BV247" s="16">
        <f t="shared" si="152"/>
        <v>0</v>
      </c>
      <c r="BW247" s="16">
        <f t="shared" si="153"/>
        <v>0</v>
      </c>
      <c r="BX247" s="3">
        <f t="shared" si="154"/>
        <v>0</v>
      </c>
      <c r="BY247" s="3">
        <f t="shared" si="183"/>
        <v>0</v>
      </c>
      <c r="BZ247" s="3" t="s">
        <v>162</v>
      </c>
      <c r="CA247" s="3">
        <f t="shared" si="155"/>
        <v>0</v>
      </c>
      <c r="CB247" s="3">
        <f t="shared" si="156"/>
        <v>0</v>
      </c>
      <c r="CC247" s="3">
        <f t="shared" si="157"/>
        <v>0</v>
      </c>
      <c r="CD247" s="3">
        <f t="shared" si="158"/>
        <v>0</v>
      </c>
      <c r="CE247" s="22">
        <f t="shared" si="164"/>
        <v>0</v>
      </c>
      <c r="CF247" s="1">
        <f t="shared" si="159"/>
        <v>0</v>
      </c>
      <c r="CG247" s="1">
        <f t="shared" si="165"/>
        <v>0</v>
      </c>
      <c r="CH247" s="3" t="s">
        <v>162</v>
      </c>
      <c r="CI247" s="1">
        <f t="shared" si="166"/>
        <v>0</v>
      </c>
      <c r="CJ247" s="1">
        <f t="shared" si="167"/>
        <v>0</v>
      </c>
      <c r="CK247" s="1">
        <f t="shared" si="168"/>
        <v>0</v>
      </c>
      <c r="CL247" s="1">
        <f t="shared" si="169"/>
        <v>0</v>
      </c>
      <c r="CM247" s="2">
        <f t="shared" si="170"/>
        <v>0</v>
      </c>
      <c r="CN247" s="1">
        <f t="shared" si="171"/>
        <v>0</v>
      </c>
      <c r="CO247" s="1">
        <f t="shared" si="172"/>
        <v>0</v>
      </c>
      <c r="CP247" s="3" t="s">
        <v>162</v>
      </c>
      <c r="CQ247" s="1">
        <f t="shared" si="173"/>
        <v>0</v>
      </c>
      <c r="CR247" s="1">
        <f t="shared" si="174"/>
        <v>0</v>
      </c>
      <c r="CS247" s="1">
        <f t="shared" si="175"/>
        <v>0</v>
      </c>
      <c r="CT247" s="1">
        <f t="shared" si="176"/>
        <v>0</v>
      </c>
      <c r="CU247" s="2">
        <f t="shared" si="177"/>
        <v>0</v>
      </c>
      <c r="CV247" s="14">
        <f t="shared" si="178"/>
        <v>0</v>
      </c>
      <c r="CW247" s="1">
        <f>ROUND(PPTest!K247,1)</f>
        <v>0</v>
      </c>
      <c r="CX247" s="3">
        <f t="shared" si="160"/>
        <v>0</v>
      </c>
      <c r="CY247" s="3">
        <f t="shared" si="179"/>
        <v>0</v>
      </c>
      <c r="CZ247" s="19">
        <f t="shared" si="180"/>
        <v>0</v>
      </c>
      <c r="DA247" s="19" t="e">
        <f t="shared" si="180"/>
        <v>#DIV/0!</v>
      </c>
      <c r="DB247" s="16">
        <f t="shared" si="181"/>
        <v>0</v>
      </c>
    </row>
    <row r="248" spans="1:106" x14ac:dyDescent="0.2">
      <c r="A248" s="15">
        <f t="shared" si="182"/>
        <v>45900</v>
      </c>
      <c r="B248" s="1">
        <v>243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4"/>
      <c r="AY248" s="43"/>
      <c r="BA248" s="16">
        <v>22.94</v>
      </c>
      <c r="BB248" s="41"/>
      <c r="BC248" s="41"/>
      <c r="BD248" s="8" t="e">
        <f t="shared" si="141"/>
        <v>#DIV/0!</v>
      </c>
      <c r="BE248" s="8"/>
      <c r="BF248" s="2">
        <f t="shared" si="161"/>
        <v>0</v>
      </c>
      <c r="BG248" s="2">
        <f t="shared" si="162"/>
        <v>0</v>
      </c>
      <c r="BH248" s="2">
        <f t="shared" si="163"/>
        <v>0</v>
      </c>
      <c r="BI248" s="35">
        <f t="shared" si="140"/>
        <v>0</v>
      </c>
      <c r="BJ248" s="35" t="e">
        <f t="shared" si="142"/>
        <v>#DIV/0!</v>
      </c>
      <c r="BK248" s="3"/>
      <c r="BL248" s="3">
        <f t="shared" si="143"/>
        <v>0</v>
      </c>
      <c r="BM248" s="19" t="e">
        <f t="shared" si="144"/>
        <v>#DIV/0!</v>
      </c>
      <c r="BN248" s="19" t="e">
        <f t="shared" si="145"/>
        <v>#DIV/0!</v>
      </c>
      <c r="BO248" s="19" t="e">
        <f t="shared" si="146"/>
        <v>#DIV/0!</v>
      </c>
      <c r="BP248" s="19" t="e">
        <f t="shared" si="147"/>
        <v>#DIV/0!</v>
      </c>
      <c r="BQ248" s="19" t="e">
        <f t="shared" si="148"/>
        <v>#DIV/0!</v>
      </c>
      <c r="BR248" s="19" t="e">
        <f t="shared" si="149"/>
        <v>#DIV/0!</v>
      </c>
      <c r="BS248" s="19" t="e">
        <f t="shared" si="150"/>
        <v>#DIV/0!</v>
      </c>
      <c r="BT248" s="19" t="e">
        <f t="shared" si="151"/>
        <v>#DIV/0!</v>
      </c>
      <c r="BV248" s="16">
        <f t="shared" si="152"/>
        <v>0</v>
      </c>
      <c r="BW248" s="16">
        <f t="shared" si="153"/>
        <v>0</v>
      </c>
      <c r="BX248" s="3">
        <f t="shared" si="154"/>
        <v>0</v>
      </c>
      <c r="BY248" s="3">
        <f t="shared" si="183"/>
        <v>0</v>
      </c>
      <c r="BZ248" s="3" t="s">
        <v>162</v>
      </c>
      <c r="CA248" s="3">
        <f t="shared" si="155"/>
        <v>0</v>
      </c>
      <c r="CB248" s="3">
        <f t="shared" si="156"/>
        <v>0</v>
      </c>
      <c r="CC248" s="3">
        <f t="shared" si="157"/>
        <v>0</v>
      </c>
      <c r="CD248" s="3">
        <f t="shared" si="158"/>
        <v>0</v>
      </c>
      <c r="CE248" s="22">
        <f t="shared" si="164"/>
        <v>0</v>
      </c>
      <c r="CF248" s="1">
        <f t="shared" si="159"/>
        <v>0</v>
      </c>
      <c r="CG248" s="1">
        <f t="shared" si="165"/>
        <v>0</v>
      </c>
      <c r="CH248" s="3" t="s">
        <v>162</v>
      </c>
      <c r="CI248" s="1">
        <f t="shared" si="166"/>
        <v>0</v>
      </c>
      <c r="CJ248" s="1">
        <f t="shared" si="167"/>
        <v>0</v>
      </c>
      <c r="CK248" s="1">
        <f t="shared" si="168"/>
        <v>0</v>
      </c>
      <c r="CL248" s="1">
        <f t="shared" si="169"/>
        <v>0</v>
      </c>
      <c r="CM248" s="2">
        <f t="shared" si="170"/>
        <v>0</v>
      </c>
      <c r="CN248" s="1">
        <f t="shared" si="171"/>
        <v>0</v>
      </c>
      <c r="CO248" s="1">
        <f t="shared" si="172"/>
        <v>0</v>
      </c>
      <c r="CP248" s="3" t="s">
        <v>162</v>
      </c>
      <c r="CQ248" s="1">
        <f t="shared" si="173"/>
        <v>0</v>
      </c>
      <c r="CR248" s="1">
        <f t="shared" si="174"/>
        <v>0</v>
      </c>
      <c r="CS248" s="1">
        <f t="shared" si="175"/>
        <v>0</v>
      </c>
      <c r="CT248" s="1">
        <f t="shared" si="176"/>
        <v>0</v>
      </c>
      <c r="CU248" s="2">
        <f t="shared" si="177"/>
        <v>0</v>
      </c>
      <c r="CV248" s="14">
        <f t="shared" si="178"/>
        <v>0</v>
      </c>
      <c r="CW248" s="1">
        <f>ROUND(PPTest!K248,1)</f>
        <v>0</v>
      </c>
      <c r="CX248" s="3">
        <f t="shared" si="160"/>
        <v>0</v>
      </c>
      <c r="CY248" s="3">
        <f t="shared" si="179"/>
        <v>0</v>
      </c>
      <c r="CZ248" s="19">
        <f t="shared" si="180"/>
        <v>0</v>
      </c>
      <c r="DA248" s="19" t="e">
        <f t="shared" si="180"/>
        <v>#DIV/0!</v>
      </c>
      <c r="DB248" s="16">
        <f t="shared" si="181"/>
        <v>0</v>
      </c>
    </row>
    <row r="249" spans="1:106" x14ac:dyDescent="0.2">
      <c r="A249" s="15">
        <f t="shared" si="182"/>
        <v>45901</v>
      </c>
      <c r="B249" s="1">
        <v>244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4"/>
      <c r="AY249" s="43"/>
      <c r="BA249" s="16">
        <v>22.69</v>
      </c>
      <c r="BB249" s="41"/>
      <c r="BC249" s="41"/>
      <c r="BD249" s="8" t="e">
        <f t="shared" si="141"/>
        <v>#DIV/0!</v>
      </c>
      <c r="BE249" s="8"/>
      <c r="BF249" s="2">
        <f t="shared" si="161"/>
        <v>0</v>
      </c>
      <c r="BG249" s="2">
        <f t="shared" si="162"/>
        <v>0</v>
      </c>
      <c r="BH249" s="2">
        <f t="shared" si="163"/>
        <v>0</v>
      </c>
      <c r="BI249" s="35">
        <f t="shared" si="140"/>
        <v>0</v>
      </c>
      <c r="BJ249" s="35" t="e">
        <f t="shared" si="142"/>
        <v>#DIV/0!</v>
      </c>
      <c r="BK249" s="3"/>
      <c r="BL249" s="3">
        <f t="shared" si="143"/>
        <v>0</v>
      </c>
      <c r="BM249" s="19" t="e">
        <f t="shared" si="144"/>
        <v>#DIV/0!</v>
      </c>
      <c r="BN249" s="19" t="e">
        <f t="shared" si="145"/>
        <v>#DIV/0!</v>
      </c>
      <c r="BO249" s="19" t="e">
        <f t="shared" si="146"/>
        <v>#DIV/0!</v>
      </c>
      <c r="BP249" s="19" t="e">
        <f t="shared" si="147"/>
        <v>#DIV/0!</v>
      </c>
      <c r="BQ249" s="19" t="e">
        <f t="shared" si="148"/>
        <v>#DIV/0!</v>
      </c>
      <c r="BR249" s="19" t="e">
        <f t="shared" si="149"/>
        <v>#DIV/0!</v>
      </c>
      <c r="BS249" s="19" t="e">
        <f t="shared" si="150"/>
        <v>#DIV/0!</v>
      </c>
      <c r="BT249" s="19" t="e">
        <f t="shared" si="151"/>
        <v>#DIV/0!</v>
      </c>
      <c r="BV249" s="16">
        <f t="shared" si="152"/>
        <v>0</v>
      </c>
      <c r="BW249" s="16">
        <f t="shared" si="153"/>
        <v>0</v>
      </c>
      <c r="BX249" s="3">
        <f t="shared" si="154"/>
        <v>0</v>
      </c>
      <c r="BY249" s="3">
        <f t="shared" si="183"/>
        <v>0</v>
      </c>
      <c r="BZ249" s="3" t="s">
        <v>162</v>
      </c>
      <c r="CA249" s="3">
        <f t="shared" si="155"/>
        <v>0</v>
      </c>
      <c r="CB249" s="3">
        <f t="shared" si="156"/>
        <v>0</v>
      </c>
      <c r="CC249" s="3">
        <f t="shared" si="157"/>
        <v>0</v>
      </c>
      <c r="CD249" s="3">
        <f t="shared" si="158"/>
        <v>0</v>
      </c>
      <c r="CE249" s="22">
        <f t="shared" si="164"/>
        <v>0</v>
      </c>
      <c r="CF249" s="1">
        <f t="shared" si="159"/>
        <v>0</v>
      </c>
      <c r="CG249" s="1">
        <f t="shared" si="165"/>
        <v>0</v>
      </c>
      <c r="CH249" s="3" t="s">
        <v>162</v>
      </c>
      <c r="CI249" s="1">
        <f t="shared" si="166"/>
        <v>0</v>
      </c>
      <c r="CJ249" s="1">
        <f t="shared" si="167"/>
        <v>0</v>
      </c>
      <c r="CK249" s="1">
        <f t="shared" si="168"/>
        <v>0</v>
      </c>
      <c r="CL249" s="1">
        <f t="shared" si="169"/>
        <v>0</v>
      </c>
      <c r="CM249" s="2">
        <f t="shared" si="170"/>
        <v>0</v>
      </c>
      <c r="CN249" s="1">
        <f t="shared" si="171"/>
        <v>0</v>
      </c>
      <c r="CO249" s="1">
        <f t="shared" si="172"/>
        <v>0</v>
      </c>
      <c r="CP249" s="3" t="s">
        <v>162</v>
      </c>
      <c r="CQ249" s="1">
        <f t="shared" si="173"/>
        <v>0</v>
      </c>
      <c r="CR249" s="1">
        <f t="shared" si="174"/>
        <v>0</v>
      </c>
      <c r="CS249" s="1">
        <f t="shared" si="175"/>
        <v>0</v>
      </c>
      <c r="CT249" s="1">
        <f t="shared" si="176"/>
        <v>0</v>
      </c>
      <c r="CU249" s="2">
        <f t="shared" si="177"/>
        <v>0</v>
      </c>
      <c r="CV249" s="14">
        <f t="shared" si="178"/>
        <v>0</v>
      </c>
      <c r="CW249" s="1">
        <f>ROUND(PPTest!K249,1)</f>
        <v>0</v>
      </c>
      <c r="CX249" s="3">
        <f t="shared" si="160"/>
        <v>0</v>
      </c>
      <c r="CY249" s="3">
        <f t="shared" si="179"/>
        <v>0</v>
      </c>
      <c r="CZ249" s="19">
        <f t="shared" si="180"/>
        <v>0</v>
      </c>
      <c r="DA249" s="19" t="e">
        <f t="shared" si="180"/>
        <v>#DIV/0!</v>
      </c>
      <c r="DB249" s="16">
        <f t="shared" si="181"/>
        <v>0</v>
      </c>
    </row>
    <row r="250" spans="1:106" x14ac:dyDescent="0.2">
      <c r="A250" s="15">
        <f t="shared" si="182"/>
        <v>45902</v>
      </c>
      <c r="B250" s="1">
        <v>245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4"/>
      <c r="AY250" s="43"/>
      <c r="BA250" s="16">
        <v>22.45</v>
      </c>
      <c r="BB250" s="41"/>
      <c r="BC250" s="41"/>
      <c r="BD250" s="8" t="e">
        <f t="shared" si="141"/>
        <v>#DIV/0!</v>
      </c>
      <c r="BE250" s="8"/>
      <c r="BF250" s="2">
        <f t="shared" si="161"/>
        <v>0</v>
      </c>
      <c r="BG250" s="2">
        <f t="shared" si="162"/>
        <v>0</v>
      </c>
      <c r="BH250" s="2">
        <f t="shared" si="163"/>
        <v>0</v>
      </c>
      <c r="BI250" s="35">
        <f t="shared" si="140"/>
        <v>0</v>
      </c>
      <c r="BJ250" s="35" t="e">
        <f t="shared" si="142"/>
        <v>#DIV/0!</v>
      </c>
      <c r="BK250" s="3"/>
      <c r="BL250" s="3">
        <f t="shared" si="143"/>
        <v>0</v>
      </c>
      <c r="BM250" s="19" t="e">
        <f t="shared" si="144"/>
        <v>#DIV/0!</v>
      </c>
      <c r="BN250" s="19" t="e">
        <f t="shared" si="145"/>
        <v>#DIV/0!</v>
      </c>
      <c r="BO250" s="19" t="e">
        <f t="shared" si="146"/>
        <v>#DIV/0!</v>
      </c>
      <c r="BP250" s="19" t="e">
        <f t="shared" si="147"/>
        <v>#DIV/0!</v>
      </c>
      <c r="BQ250" s="19" t="e">
        <f t="shared" si="148"/>
        <v>#DIV/0!</v>
      </c>
      <c r="BR250" s="19" t="e">
        <f t="shared" si="149"/>
        <v>#DIV/0!</v>
      </c>
      <c r="BS250" s="19" t="e">
        <f t="shared" si="150"/>
        <v>#DIV/0!</v>
      </c>
      <c r="BT250" s="19" t="e">
        <f t="shared" si="151"/>
        <v>#DIV/0!</v>
      </c>
      <c r="BV250" s="16">
        <f t="shared" si="152"/>
        <v>0</v>
      </c>
      <c r="BW250" s="16">
        <f t="shared" si="153"/>
        <v>0</v>
      </c>
      <c r="BX250" s="3">
        <f t="shared" si="154"/>
        <v>0</v>
      </c>
      <c r="BY250" s="3">
        <f t="shared" si="183"/>
        <v>0</v>
      </c>
      <c r="BZ250" s="3" t="s">
        <v>162</v>
      </c>
      <c r="CA250" s="3">
        <f t="shared" si="155"/>
        <v>0</v>
      </c>
      <c r="CB250" s="3">
        <f t="shared" si="156"/>
        <v>0</v>
      </c>
      <c r="CC250" s="3">
        <f t="shared" si="157"/>
        <v>0</v>
      </c>
      <c r="CD250" s="3">
        <f t="shared" si="158"/>
        <v>0</v>
      </c>
      <c r="CE250" s="22">
        <f t="shared" si="164"/>
        <v>0</v>
      </c>
      <c r="CF250" s="1">
        <f t="shared" si="159"/>
        <v>0</v>
      </c>
      <c r="CG250" s="1">
        <f t="shared" si="165"/>
        <v>0</v>
      </c>
      <c r="CH250" s="3" t="s">
        <v>162</v>
      </c>
      <c r="CI250" s="1">
        <f t="shared" si="166"/>
        <v>0</v>
      </c>
      <c r="CJ250" s="1">
        <f t="shared" si="167"/>
        <v>0</v>
      </c>
      <c r="CK250" s="1">
        <f t="shared" si="168"/>
        <v>0</v>
      </c>
      <c r="CL250" s="1">
        <f t="shared" si="169"/>
        <v>0</v>
      </c>
      <c r="CM250" s="2">
        <f t="shared" si="170"/>
        <v>0</v>
      </c>
      <c r="CN250" s="1">
        <f t="shared" si="171"/>
        <v>0</v>
      </c>
      <c r="CO250" s="1">
        <f t="shared" si="172"/>
        <v>0</v>
      </c>
      <c r="CP250" s="3" t="s">
        <v>162</v>
      </c>
      <c r="CQ250" s="1">
        <f t="shared" si="173"/>
        <v>0</v>
      </c>
      <c r="CR250" s="1">
        <f t="shared" si="174"/>
        <v>0</v>
      </c>
      <c r="CS250" s="1">
        <f t="shared" si="175"/>
        <v>0</v>
      </c>
      <c r="CT250" s="1">
        <f t="shared" si="176"/>
        <v>0</v>
      </c>
      <c r="CU250" s="2">
        <f t="shared" si="177"/>
        <v>0</v>
      </c>
      <c r="CV250" s="14">
        <f t="shared" si="178"/>
        <v>0</v>
      </c>
      <c r="CW250" s="1">
        <f>ROUND(PPTest!K250,1)</f>
        <v>0</v>
      </c>
      <c r="CX250" s="3">
        <f t="shared" si="160"/>
        <v>0</v>
      </c>
      <c r="CY250" s="3">
        <f t="shared" si="179"/>
        <v>0</v>
      </c>
      <c r="CZ250" s="19">
        <f t="shared" si="180"/>
        <v>0</v>
      </c>
      <c r="DA250" s="19" t="e">
        <f t="shared" si="180"/>
        <v>#DIV/0!</v>
      </c>
      <c r="DB250" s="16">
        <f t="shared" si="181"/>
        <v>0</v>
      </c>
    </row>
    <row r="251" spans="1:106" x14ac:dyDescent="0.2">
      <c r="A251" s="15">
        <f t="shared" si="182"/>
        <v>45903</v>
      </c>
      <c r="B251" s="1">
        <v>246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4"/>
      <c r="AY251" s="43"/>
      <c r="BA251" s="16">
        <v>22.2</v>
      </c>
      <c r="BB251" s="41"/>
      <c r="BC251" s="41"/>
      <c r="BD251" s="8" t="e">
        <f t="shared" si="141"/>
        <v>#DIV/0!</v>
      </c>
      <c r="BE251" s="8"/>
      <c r="BF251" s="2">
        <f t="shared" si="161"/>
        <v>0</v>
      </c>
      <c r="BG251" s="2">
        <f t="shared" si="162"/>
        <v>0</v>
      </c>
      <c r="BH251" s="2">
        <f t="shared" si="163"/>
        <v>0</v>
      </c>
      <c r="BI251" s="35">
        <f t="shared" si="140"/>
        <v>0</v>
      </c>
      <c r="BJ251" s="35" t="e">
        <f t="shared" si="142"/>
        <v>#DIV/0!</v>
      </c>
      <c r="BK251" s="3"/>
      <c r="BL251" s="3">
        <f t="shared" si="143"/>
        <v>0</v>
      </c>
      <c r="BM251" s="19" t="e">
        <f t="shared" si="144"/>
        <v>#DIV/0!</v>
      </c>
      <c r="BN251" s="19" t="e">
        <f t="shared" si="145"/>
        <v>#DIV/0!</v>
      </c>
      <c r="BO251" s="19" t="e">
        <f t="shared" si="146"/>
        <v>#DIV/0!</v>
      </c>
      <c r="BP251" s="19" t="e">
        <f t="shared" si="147"/>
        <v>#DIV/0!</v>
      </c>
      <c r="BQ251" s="19" t="e">
        <f t="shared" si="148"/>
        <v>#DIV/0!</v>
      </c>
      <c r="BR251" s="19" t="e">
        <f t="shared" si="149"/>
        <v>#DIV/0!</v>
      </c>
      <c r="BS251" s="19" t="e">
        <f t="shared" si="150"/>
        <v>#DIV/0!</v>
      </c>
      <c r="BT251" s="19" t="e">
        <f t="shared" si="151"/>
        <v>#DIV/0!</v>
      </c>
      <c r="BV251" s="16">
        <f t="shared" si="152"/>
        <v>0</v>
      </c>
      <c r="BW251" s="16">
        <f t="shared" si="153"/>
        <v>0</v>
      </c>
      <c r="BX251" s="3">
        <f t="shared" si="154"/>
        <v>0</v>
      </c>
      <c r="BY251" s="3">
        <f t="shared" si="183"/>
        <v>0</v>
      </c>
      <c r="BZ251" s="3" t="s">
        <v>162</v>
      </c>
      <c r="CA251" s="3">
        <f t="shared" si="155"/>
        <v>0</v>
      </c>
      <c r="CB251" s="3">
        <f t="shared" si="156"/>
        <v>0</v>
      </c>
      <c r="CC251" s="3">
        <f t="shared" si="157"/>
        <v>0</v>
      </c>
      <c r="CD251" s="3">
        <f t="shared" si="158"/>
        <v>0</v>
      </c>
      <c r="CE251" s="22">
        <f t="shared" si="164"/>
        <v>0</v>
      </c>
      <c r="CF251" s="1">
        <f t="shared" si="159"/>
        <v>0</v>
      </c>
      <c r="CG251" s="1">
        <f t="shared" si="165"/>
        <v>0</v>
      </c>
      <c r="CH251" s="3" t="s">
        <v>162</v>
      </c>
      <c r="CI251" s="1">
        <f t="shared" si="166"/>
        <v>0</v>
      </c>
      <c r="CJ251" s="1">
        <f t="shared" si="167"/>
        <v>0</v>
      </c>
      <c r="CK251" s="1">
        <f t="shared" si="168"/>
        <v>0</v>
      </c>
      <c r="CL251" s="1">
        <f t="shared" si="169"/>
        <v>0</v>
      </c>
      <c r="CM251" s="2">
        <f t="shared" si="170"/>
        <v>0</v>
      </c>
      <c r="CN251" s="1">
        <f t="shared" si="171"/>
        <v>0</v>
      </c>
      <c r="CO251" s="1">
        <f t="shared" si="172"/>
        <v>0</v>
      </c>
      <c r="CP251" s="3" t="s">
        <v>162</v>
      </c>
      <c r="CQ251" s="1">
        <f t="shared" si="173"/>
        <v>0</v>
      </c>
      <c r="CR251" s="1">
        <f t="shared" si="174"/>
        <v>0</v>
      </c>
      <c r="CS251" s="1">
        <f t="shared" si="175"/>
        <v>0</v>
      </c>
      <c r="CT251" s="1">
        <f t="shared" si="176"/>
        <v>0</v>
      </c>
      <c r="CU251" s="2">
        <f t="shared" si="177"/>
        <v>0</v>
      </c>
      <c r="CV251" s="14">
        <f t="shared" si="178"/>
        <v>0</v>
      </c>
      <c r="CW251" s="1">
        <f>ROUND(PPTest!K251,1)</f>
        <v>0</v>
      </c>
      <c r="CX251" s="3">
        <f t="shared" si="160"/>
        <v>0</v>
      </c>
      <c r="CY251" s="3">
        <f t="shared" si="179"/>
        <v>0</v>
      </c>
      <c r="CZ251" s="19">
        <f t="shared" si="180"/>
        <v>0</v>
      </c>
      <c r="DA251" s="19" t="e">
        <f t="shared" si="180"/>
        <v>#DIV/0!</v>
      </c>
      <c r="DB251" s="16">
        <f t="shared" si="181"/>
        <v>0</v>
      </c>
    </row>
    <row r="252" spans="1:106" x14ac:dyDescent="0.2">
      <c r="A252" s="15">
        <f t="shared" si="182"/>
        <v>45904</v>
      </c>
      <c r="B252" s="1">
        <v>247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4"/>
      <c r="AY252" s="43"/>
      <c r="BA252" s="16">
        <v>21.95</v>
      </c>
      <c r="BB252" s="41"/>
      <c r="BC252" s="41"/>
      <c r="BD252" s="8" t="e">
        <f t="shared" si="141"/>
        <v>#DIV/0!</v>
      </c>
      <c r="BE252" s="8"/>
      <c r="BF252" s="2">
        <f t="shared" si="161"/>
        <v>0</v>
      </c>
      <c r="BG252" s="2">
        <f t="shared" si="162"/>
        <v>0</v>
      </c>
      <c r="BH252" s="2">
        <f t="shared" si="163"/>
        <v>0</v>
      </c>
      <c r="BI252" s="35">
        <f t="shared" si="140"/>
        <v>0</v>
      </c>
      <c r="BJ252" s="35" t="e">
        <f t="shared" si="142"/>
        <v>#DIV/0!</v>
      </c>
      <c r="BK252" s="3"/>
      <c r="BL252" s="3">
        <f t="shared" si="143"/>
        <v>0</v>
      </c>
      <c r="BM252" s="19" t="e">
        <f t="shared" si="144"/>
        <v>#DIV/0!</v>
      </c>
      <c r="BN252" s="19" t="e">
        <f t="shared" si="145"/>
        <v>#DIV/0!</v>
      </c>
      <c r="BO252" s="19" t="e">
        <f t="shared" si="146"/>
        <v>#DIV/0!</v>
      </c>
      <c r="BP252" s="19" t="e">
        <f t="shared" si="147"/>
        <v>#DIV/0!</v>
      </c>
      <c r="BQ252" s="19" t="e">
        <f t="shared" si="148"/>
        <v>#DIV/0!</v>
      </c>
      <c r="BR252" s="19" t="e">
        <f t="shared" si="149"/>
        <v>#DIV/0!</v>
      </c>
      <c r="BS252" s="19" t="e">
        <f t="shared" si="150"/>
        <v>#DIV/0!</v>
      </c>
      <c r="BT252" s="19" t="e">
        <f t="shared" si="151"/>
        <v>#DIV/0!</v>
      </c>
      <c r="BV252" s="16">
        <f t="shared" si="152"/>
        <v>0</v>
      </c>
      <c r="BW252" s="16">
        <f t="shared" si="153"/>
        <v>0</v>
      </c>
      <c r="BX252" s="3">
        <f t="shared" si="154"/>
        <v>0</v>
      </c>
      <c r="BY252" s="3">
        <f t="shared" si="183"/>
        <v>0</v>
      </c>
      <c r="BZ252" s="3" t="s">
        <v>162</v>
      </c>
      <c r="CA252" s="3">
        <f t="shared" si="155"/>
        <v>0</v>
      </c>
      <c r="CB252" s="3">
        <f t="shared" si="156"/>
        <v>0</v>
      </c>
      <c r="CC252" s="3">
        <f t="shared" si="157"/>
        <v>0</v>
      </c>
      <c r="CD252" s="3">
        <f t="shared" si="158"/>
        <v>0</v>
      </c>
      <c r="CE252" s="22">
        <f t="shared" si="164"/>
        <v>0</v>
      </c>
      <c r="CF252" s="1">
        <f t="shared" si="159"/>
        <v>0</v>
      </c>
      <c r="CG252" s="1">
        <f t="shared" si="165"/>
        <v>0</v>
      </c>
      <c r="CH252" s="3" t="s">
        <v>162</v>
      </c>
      <c r="CI252" s="1">
        <f t="shared" si="166"/>
        <v>0</v>
      </c>
      <c r="CJ252" s="1">
        <f t="shared" si="167"/>
        <v>0</v>
      </c>
      <c r="CK252" s="1">
        <f t="shared" si="168"/>
        <v>0</v>
      </c>
      <c r="CL252" s="1">
        <f t="shared" si="169"/>
        <v>0</v>
      </c>
      <c r="CM252" s="2">
        <f t="shared" si="170"/>
        <v>0</v>
      </c>
      <c r="CN252" s="1">
        <f t="shared" si="171"/>
        <v>0</v>
      </c>
      <c r="CO252" s="1">
        <f t="shared" si="172"/>
        <v>0</v>
      </c>
      <c r="CP252" s="3" t="s">
        <v>162</v>
      </c>
      <c r="CQ252" s="1">
        <f t="shared" si="173"/>
        <v>0</v>
      </c>
      <c r="CR252" s="1">
        <f t="shared" si="174"/>
        <v>0</v>
      </c>
      <c r="CS252" s="1">
        <f t="shared" si="175"/>
        <v>0</v>
      </c>
      <c r="CT252" s="1">
        <f t="shared" si="176"/>
        <v>0</v>
      </c>
      <c r="CU252" s="2">
        <f t="shared" si="177"/>
        <v>0</v>
      </c>
      <c r="CV252" s="14">
        <f t="shared" si="178"/>
        <v>0</v>
      </c>
      <c r="CW252" s="1">
        <f>ROUND(PPTest!K252,1)</f>
        <v>0</v>
      </c>
      <c r="CX252" s="3">
        <f t="shared" si="160"/>
        <v>0</v>
      </c>
      <c r="CY252" s="3">
        <f t="shared" si="179"/>
        <v>0</v>
      </c>
      <c r="CZ252" s="19">
        <f t="shared" si="180"/>
        <v>0</v>
      </c>
      <c r="DA252" s="19" t="e">
        <f t="shared" si="180"/>
        <v>#DIV/0!</v>
      </c>
      <c r="DB252" s="16">
        <f t="shared" si="181"/>
        <v>0</v>
      </c>
    </row>
    <row r="253" spans="1:106" x14ac:dyDescent="0.2">
      <c r="A253" s="15">
        <f t="shared" si="182"/>
        <v>45905</v>
      </c>
      <c r="B253" s="1">
        <v>248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4"/>
      <c r="AY253" s="43"/>
      <c r="BA253" s="16">
        <v>21.7</v>
      </c>
      <c r="BB253" s="41"/>
      <c r="BC253" s="41"/>
      <c r="BD253" s="8" t="e">
        <f t="shared" si="141"/>
        <v>#DIV/0!</v>
      </c>
      <c r="BE253" s="8"/>
      <c r="BF253" s="2">
        <f t="shared" si="161"/>
        <v>0</v>
      </c>
      <c r="BG253" s="2">
        <f t="shared" si="162"/>
        <v>0</v>
      </c>
      <c r="BH253" s="2">
        <f t="shared" si="163"/>
        <v>0</v>
      </c>
      <c r="BI253" s="35">
        <f t="shared" si="140"/>
        <v>0</v>
      </c>
      <c r="BJ253" s="35" t="e">
        <f t="shared" si="142"/>
        <v>#DIV/0!</v>
      </c>
      <c r="BK253" s="3"/>
      <c r="BL253" s="3">
        <f t="shared" si="143"/>
        <v>0</v>
      </c>
      <c r="BM253" s="19" t="e">
        <f t="shared" si="144"/>
        <v>#DIV/0!</v>
      </c>
      <c r="BN253" s="19" t="e">
        <f t="shared" si="145"/>
        <v>#DIV/0!</v>
      </c>
      <c r="BO253" s="19" t="e">
        <f t="shared" si="146"/>
        <v>#DIV/0!</v>
      </c>
      <c r="BP253" s="19" t="e">
        <f t="shared" si="147"/>
        <v>#DIV/0!</v>
      </c>
      <c r="BQ253" s="19" t="e">
        <f t="shared" si="148"/>
        <v>#DIV/0!</v>
      </c>
      <c r="BR253" s="19" t="e">
        <f t="shared" si="149"/>
        <v>#DIV/0!</v>
      </c>
      <c r="BS253" s="19" t="e">
        <f t="shared" si="150"/>
        <v>#DIV/0!</v>
      </c>
      <c r="BT253" s="19" t="e">
        <f t="shared" si="151"/>
        <v>#DIV/0!</v>
      </c>
      <c r="BV253" s="16">
        <f t="shared" si="152"/>
        <v>0</v>
      </c>
      <c r="BW253" s="16">
        <f t="shared" si="153"/>
        <v>0</v>
      </c>
      <c r="BX253" s="3">
        <f t="shared" si="154"/>
        <v>0</v>
      </c>
      <c r="BY253" s="3">
        <f t="shared" si="183"/>
        <v>0</v>
      </c>
      <c r="BZ253" s="3" t="s">
        <v>162</v>
      </c>
      <c r="CA253" s="3">
        <f t="shared" si="155"/>
        <v>0</v>
      </c>
      <c r="CB253" s="3">
        <f t="shared" si="156"/>
        <v>0</v>
      </c>
      <c r="CC253" s="3">
        <f t="shared" si="157"/>
        <v>0</v>
      </c>
      <c r="CD253" s="3">
        <f t="shared" si="158"/>
        <v>0</v>
      </c>
      <c r="CE253" s="22">
        <f t="shared" si="164"/>
        <v>0</v>
      </c>
      <c r="CF253" s="1">
        <f t="shared" si="159"/>
        <v>0</v>
      </c>
      <c r="CG253" s="1">
        <f t="shared" si="165"/>
        <v>0</v>
      </c>
      <c r="CH253" s="3" t="s">
        <v>162</v>
      </c>
      <c r="CI253" s="1">
        <f t="shared" si="166"/>
        <v>0</v>
      </c>
      <c r="CJ253" s="1">
        <f t="shared" si="167"/>
        <v>0</v>
      </c>
      <c r="CK253" s="1">
        <f t="shared" si="168"/>
        <v>0</v>
      </c>
      <c r="CL253" s="1">
        <f t="shared" si="169"/>
        <v>0</v>
      </c>
      <c r="CM253" s="2">
        <f t="shared" si="170"/>
        <v>0</v>
      </c>
      <c r="CN253" s="1">
        <f t="shared" si="171"/>
        <v>0</v>
      </c>
      <c r="CO253" s="1">
        <f t="shared" si="172"/>
        <v>0</v>
      </c>
      <c r="CP253" s="3" t="s">
        <v>162</v>
      </c>
      <c r="CQ253" s="1">
        <f t="shared" si="173"/>
        <v>0</v>
      </c>
      <c r="CR253" s="1">
        <f t="shared" si="174"/>
        <v>0</v>
      </c>
      <c r="CS253" s="1">
        <f t="shared" si="175"/>
        <v>0</v>
      </c>
      <c r="CT253" s="1">
        <f t="shared" si="176"/>
        <v>0</v>
      </c>
      <c r="CU253" s="2">
        <f t="shared" si="177"/>
        <v>0</v>
      </c>
      <c r="CV253" s="14">
        <f t="shared" si="178"/>
        <v>0</v>
      </c>
      <c r="CW253" s="1">
        <f>ROUND(PPTest!K253,1)</f>
        <v>0</v>
      </c>
      <c r="CX253" s="3">
        <f t="shared" si="160"/>
        <v>0</v>
      </c>
      <c r="CY253" s="3">
        <f t="shared" si="179"/>
        <v>0</v>
      </c>
      <c r="CZ253" s="19">
        <f t="shared" si="180"/>
        <v>0</v>
      </c>
      <c r="DA253" s="19" t="e">
        <f t="shared" si="180"/>
        <v>#DIV/0!</v>
      </c>
      <c r="DB253" s="16">
        <f t="shared" si="181"/>
        <v>0</v>
      </c>
    </row>
    <row r="254" spans="1:106" x14ac:dyDescent="0.2">
      <c r="A254" s="15">
        <f t="shared" si="182"/>
        <v>45906</v>
      </c>
      <c r="B254" s="1">
        <v>249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4"/>
      <c r="AY254" s="43"/>
      <c r="BA254" s="16">
        <v>21.46</v>
      </c>
      <c r="BB254" s="41"/>
      <c r="BC254" s="41"/>
      <c r="BD254" s="8" t="e">
        <f t="shared" si="141"/>
        <v>#DIV/0!</v>
      </c>
      <c r="BE254" s="8"/>
      <c r="BF254" s="2">
        <f t="shared" si="161"/>
        <v>0</v>
      </c>
      <c r="BG254" s="2">
        <f t="shared" si="162"/>
        <v>0</v>
      </c>
      <c r="BH254" s="2">
        <f t="shared" si="163"/>
        <v>0</v>
      </c>
      <c r="BI254" s="35">
        <f t="shared" si="140"/>
        <v>0</v>
      </c>
      <c r="BJ254" s="35" t="e">
        <f t="shared" si="142"/>
        <v>#DIV/0!</v>
      </c>
      <c r="BK254" s="3"/>
      <c r="BL254" s="3">
        <f t="shared" si="143"/>
        <v>0</v>
      </c>
      <c r="BM254" s="19" t="e">
        <f t="shared" si="144"/>
        <v>#DIV/0!</v>
      </c>
      <c r="BN254" s="19" t="e">
        <f t="shared" si="145"/>
        <v>#DIV/0!</v>
      </c>
      <c r="BO254" s="19" t="e">
        <f t="shared" si="146"/>
        <v>#DIV/0!</v>
      </c>
      <c r="BP254" s="19" t="e">
        <f t="shared" si="147"/>
        <v>#DIV/0!</v>
      </c>
      <c r="BQ254" s="19" t="e">
        <f t="shared" si="148"/>
        <v>#DIV/0!</v>
      </c>
      <c r="BR254" s="19" t="e">
        <f t="shared" si="149"/>
        <v>#DIV/0!</v>
      </c>
      <c r="BS254" s="19" t="e">
        <f t="shared" si="150"/>
        <v>#DIV/0!</v>
      </c>
      <c r="BT254" s="19" t="e">
        <f t="shared" si="151"/>
        <v>#DIV/0!</v>
      </c>
      <c r="BV254" s="16">
        <f t="shared" si="152"/>
        <v>0</v>
      </c>
      <c r="BW254" s="16">
        <f t="shared" si="153"/>
        <v>0</v>
      </c>
      <c r="BX254" s="3">
        <f t="shared" si="154"/>
        <v>0</v>
      </c>
      <c r="BY254" s="3">
        <f t="shared" si="183"/>
        <v>0</v>
      </c>
      <c r="BZ254" s="3" t="s">
        <v>162</v>
      </c>
      <c r="CA254" s="3">
        <f t="shared" si="155"/>
        <v>0</v>
      </c>
      <c r="CB254" s="3">
        <f t="shared" si="156"/>
        <v>0</v>
      </c>
      <c r="CC254" s="3">
        <f t="shared" si="157"/>
        <v>0</v>
      </c>
      <c r="CD254" s="3">
        <f t="shared" si="158"/>
        <v>0</v>
      </c>
      <c r="CE254" s="22">
        <f t="shared" si="164"/>
        <v>0</v>
      </c>
      <c r="CF254" s="1">
        <f t="shared" si="159"/>
        <v>0</v>
      </c>
      <c r="CG254" s="1">
        <f t="shared" si="165"/>
        <v>0</v>
      </c>
      <c r="CH254" s="3" t="s">
        <v>162</v>
      </c>
      <c r="CI254" s="1">
        <f t="shared" si="166"/>
        <v>0</v>
      </c>
      <c r="CJ254" s="1">
        <f t="shared" si="167"/>
        <v>0</v>
      </c>
      <c r="CK254" s="1">
        <f t="shared" si="168"/>
        <v>0</v>
      </c>
      <c r="CL254" s="1">
        <f t="shared" si="169"/>
        <v>0</v>
      </c>
      <c r="CM254" s="2">
        <f t="shared" si="170"/>
        <v>0</v>
      </c>
      <c r="CN254" s="1">
        <f t="shared" si="171"/>
        <v>0</v>
      </c>
      <c r="CO254" s="1">
        <f t="shared" si="172"/>
        <v>0</v>
      </c>
      <c r="CP254" s="3" t="s">
        <v>162</v>
      </c>
      <c r="CQ254" s="1">
        <f t="shared" si="173"/>
        <v>0</v>
      </c>
      <c r="CR254" s="1">
        <f t="shared" si="174"/>
        <v>0</v>
      </c>
      <c r="CS254" s="1">
        <f t="shared" si="175"/>
        <v>0</v>
      </c>
      <c r="CT254" s="1">
        <f t="shared" si="176"/>
        <v>0</v>
      </c>
      <c r="CU254" s="2">
        <f t="shared" si="177"/>
        <v>0</v>
      </c>
      <c r="CV254" s="14">
        <f t="shared" si="178"/>
        <v>0</v>
      </c>
      <c r="CW254" s="1">
        <f>ROUND(PPTest!K254,1)</f>
        <v>0</v>
      </c>
      <c r="CX254" s="3">
        <f t="shared" si="160"/>
        <v>0</v>
      </c>
      <c r="CY254" s="3">
        <f t="shared" si="179"/>
        <v>0</v>
      </c>
      <c r="CZ254" s="19">
        <f t="shared" si="180"/>
        <v>0</v>
      </c>
      <c r="DA254" s="19" t="e">
        <f t="shared" si="180"/>
        <v>#DIV/0!</v>
      </c>
      <c r="DB254" s="16">
        <f t="shared" si="181"/>
        <v>0</v>
      </c>
    </row>
    <row r="255" spans="1:106" x14ac:dyDescent="0.2">
      <c r="A255" s="15">
        <f t="shared" si="182"/>
        <v>45907</v>
      </c>
      <c r="B255" s="1">
        <v>250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4"/>
      <c r="AY255" s="43"/>
      <c r="BA255" s="16">
        <v>21.21</v>
      </c>
      <c r="BB255" s="41"/>
      <c r="BC255" s="41"/>
      <c r="BD255" s="8" t="e">
        <f t="shared" si="141"/>
        <v>#DIV/0!</v>
      </c>
      <c r="BE255" s="8"/>
      <c r="BF255" s="2">
        <f t="shared" si="161"/>
        <v>0</v>
      </c>
      <c r="BG255" s="2">
        <f t="shared" si="162"/>
        <v>0</v>
      </c>
      <c r="BH255" s="2">
        <f t="shared" si="163"/>
        <v>0</v>
      </c>
      <c r="BI255" s="35">
        <f t="shared" si="140"/>
        <v>0</v>
      </c>
      <c r="BJ255" s="35" t="e">
        <f t="shared" si="142"/>
        <v>#DIV/0!</v>
      </c>
      <c r="BK255" s="3"/>
      <c r="BL255" s="3">
        <f t="shared" si="143"/>
        <v>0</v>
      </c>
      <c r="BM255" s="19" t="e">
        <f t="shared" si="144"/>
        <v>#DIV/0!</v>
      </c>
      <c r="BN255" s="19" t="e">
        <f t="shared" si="145"/>
        <v>#DIV/0!</v>
      </c>
      <c r="BO255" s="19" t="e">
        <f t="shared" si="146"/>
        <v>#DIV/0!</v>
      </c>
      <c r="BP255" s="19" t="e">
        <f t="shared" si="147"/>
        <v>#DIV/0!</v>
      </c>
      <c r="BQ255" s="19" t="e">
        <f t="shared" si="148"/>
        <v>#DIV/0!</v>
      </c>
      <c r="BR255" s="19" t="e">
        <f t="shared" si="149"/>
        <v>#DIV/0!</v>
      </c>
      <c r="BS255" s="19" t="e">
        <f t="shared" si="150"/>
        <v>#DIV/0!</v>
      </c>
      <c r="BT255" s="19" t="e">
        <f t="shared" si="151"/>
        <v>#DIV/0!</v>
      </c>
      <c r="BV255" s="16">
        <f t="shared" si="152"/>
        <v>0</v>
      </c>
      <c r="BW255" s="16">
        <f t="shared" si="153"/>
        <v>0</v>
      </c>
      <c r="BX255" s="3">
        <f t="shared" si="154"/>
        <v>0</v>
      </c>
      <c r="BY255" s="3">
        <f t="shared" si="183"/>
        <v>0</v>
      </c>
      <c r="BZ255" s="3" t="s">
        <v>162</v>
      </c>
      <c r="CA255" s="3">
        <f t="shared" si="155"/>
        <v>0</v>
      </c>
      <c r="CB255" s="3">
        <f t="shared" si="156"/>
        <v>0</v>
      </c>
      <c r="CC255" s="3">
        <f t="shared" si="157"/>
        <v>0</v>
      </c>
      <c r="CD255" s="3">
        <f t="shared" si="158"/>
        <v>0</v>
      </c>
      <c r="CE255" s="22">
        <f t="shared" si="164"/>
        <v>0</v>
      </c>
      <c r="CF255" s="1">
        <f t="shared" si="159"/>
        <v>0</v>
      </c>
      <c r="CG255" s="1">
        <f t="shared" si="165"/>
        <v>0</v>
      </c>
      <c r="CH255" s="3" t="s">
        <v>162</v>
      </c>
      <c r="CI255" s="1">
        <f t="shared" si="166"/>
        <v>0</v>
      </c>
      <c r="CJ255" s="1">
        <f t="shared" si="167"/>
        <v>0</v>
      </c>
      <c r="CK255" s="1">
        <f t="shared" si="168"/>
        <v>0</v>
      </c>
      <c r="CL255" s="1">
        <f t="shared" si="169"/>
        <v>0</v>
      </c>
      <c r="CM255" s="2">
        <f t="shared" si="170"/>
        <v>0</v>
      </c>
      <c r="CN255" s="1">
        <f t="shared" si="171"/>
        <v>0</v>
      </c>
      <c r="CO255" s="1">
        <f t="shared" si="172"/>
        <v>0</v>
      </c>
      <c r="CP255" s="3" t="s">
        <v>162</v>
      </c>
      <c r="CQ255" s="1">
        <f t="shared" si="173"/>
        <v>0</v>
      </c>
      <c r="CR255" s="1">
        <f t="shared" si="174"/>
        <v>0</v>
      </c>
      <c r="CS255" s="1">
        <f t="shared" si="175"/>
        <v>0</v>
      </c>
      <c r="CT255" s="1">
        <f t="shared" si="176"/>
        <v>0</v>
      </c>
      <c r="CU255" s="2">
        <f t="shared" si="177"/>
        <v>0</v>
      </c>
      <c r="CV255" s="14">
        <f t="shared" si="178"/>
        <v>0</v>
      </c>
      <c r="CW255" s="1">
        <f>ROUND(PPTest!K255,1)</f>
        <v>0</v>
      </c>
      <c r="CX255" s="3">
        <f t="shared" si="160"/>
        <v>0</v>
      </c>
      <c r="CY255" s="3">
        <f t="shared" si="179"/>
        <v>0</v>
      </c>
      <c r="CZ255" s="19">
        <f t="shared" si="180"/>
        <v>0</v>
      </c>
      <c r="DA255" s="19" t="e">
        <f t="shared" si="180"/>
        <v>#DIV/0!</v>
      </c>
      <c r="DB255" s="16">
        <f t="shared" si="181"/>
        <v>0</v>
      </c>
    </row>
    <row r="256" spans="1:106" x14ac:dyDescent="0.2">
      <c r="A256" s="15">
        <f t="shared" si="182"/>
        <v>45908</v>
      </c>
      <c r="B256" s="1">
        <v>251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4"/>
      <c r="AY256" s="43"/>
      <c r="BA256" s="16">
        <v>20.95</v>
      </c>
      <c r="BB256" s="41"/>
      <c r="BC256" s="41"/>
      <c r="BD256" s="8" t="e">
        <f t="shared" si="141"/>
        <v>#DIV/0!</v>
      </c>
      <c r="BE256" s="8"/>
      <c r="BF256" s="2">
        <f t="shared" si="161"/>
        <v>0</v>
      </c>
      <c r="BG256" s="2">
        <f t="shared" si="162"/>
        <v>0</v>
      </c>
      <c r="BH256" s="2">
        <f t="shared" si="163"/>
        <v>0</v>
      </c>
      <c r="BI256" s="35">
        <f t="shared" si="140"/>
        <v>0</v>
      </c>
      <c r="BJ256" s="35" t="e">
        <f t="shared" si="142"/>
        <v>#DIV/0!</v>
      </c>
      <c r="BK256" s="3"/>
      <c r="BL256" s="3">
        <f t="shared" si="143"/>
        <v>0</v>
      </c>
      <c r="BM256" s="19" t="e">
        <f t="shared" si="144"/>
        <v>#DIV/0!</v>
      </c>
      <c r="BN256" s="19" t="e">
        <f t="shared" si="145"/>
        <v>#DIV/0!</v>
      </c>
      <c r="BO256" s="19" t="e">
        <f t="shared" si="146"/>
        <v>#DIV/0!</v>
      </c>
      <c r="BP256" s="19" t="e">
        <f t="shared" si="147"/>
        <v>#DIV/0!</v>
      </c>
      <c r="BQ256" s="19" t="e">
        <f t="shared" si="148"/>
        <v>#DIV/0!</v>
      </c>
      <c r="BR256" s="19" t="e">
        <f t="shared" si="149"/>
        <v>#DIV/0!</v>
      </c>
      <c r="BS256" s="19" t="e">
        <f t="shared" si="150"/>
        <v>#DIV/0!</v>
      </c>
      <c r="BT256" s="19" t="e">
        <f t="shared" si="151"/>
        <v>#DIV/0!</v>
      </c>
      <c r="BV256" s="16">
        <f t="shared" si="152"/>
        <v>0</v>
      </c>
      <c r="BW256" s="16">
        <f t="shared" si="153"/>
        <v>0</v>
      </c>
      <c r="BX256" s="3">
        <f t="shared" si="154"/>
        <v>0</v>
      </c>
      <c r="BY256" s="3">
        <f t="shared" si="183"/>
        <v>0</v>
      </c>
      <c r="BZ256" s="3" t="s">
        <v>162</v>
      </c>
      <c r="CA256" s="3">
        <f t="shared" si="155"/>
        <v>0</v>
      </c>
      <c r="CB256" s="3">
        <f t="shared" si="156"/>
        <v>0</v>
      </c>
      <c r="CC256" s="3">
        <f t="shared" si="157"/>
        <v>0</v>
      </c>
      <c r="CD256" s="3">
        <f t="shared" si="158"/>
        <v>0</v>
      </c>
      <c r="CE256" s="22">
        <f t="shared" si="164"/>
        <v>0</v>
      </c>
      <c r="CF256" s="1">
        <f t="shared" si="159"/>
        <v>0</v>
      </c>
      <c r="CG256" s="1">
        <f t="shared" si="165"/>
        <v>0</v>
      </c>
      <c r="CH256" s="3" t="s">
        <v>162</v>
      </c>
      <c r="CI256" s="1">
        <f t="shared" si="166"/>
        <v>0</v>
      </c>
      <c r="CJ256" s="1">
        <f t="shared" si="167"/>
        <v>0</v>
      </c>
      <c r="CK256" s="1">
        <f t="shared" si="168"/>
        <v>0</v>
      </c>
      <c r="CL256" s="1">
        <f t="shared" si="169"/>
        <v>0</v>
      </c>
      <c r="CM256" s="2">
        <f t="shared" si="170"/>
        <v>0</v>
      </c>
      <c r="CN256" s="1">
        <f t="shared" si="171"/>
        <v>0</v>
      </c>
      <c r="CO256" s="1">
        <f t="shared" si="172"/>
        <v>0</v>
      </c>
      <c r="CP256" s="3" t="s">
        <v>162</v>
      </c>
      <c r="CQ256" s="1">
        <f t="shared" si="173"/>
        <v>0</v>
      </c>
      <c r="CR256" s="1">
        <f t="shared" si="174"/>
        <v>0</v>
      </c>
      <c r="CS256" s="1">
        <f t="shared" si="175"/>
        <v>0</v>
      </c>
      <c r="CT256" s="1">
        <f t="shared" si="176"/>
        <v>0</v>
      </c>
      <c r="CU256" s="2">
        <f t="shared" si="177"/>
        <v>0</v>
      </c>
      <c r="CV256" s="14">
        <f t="shared" si="178"/>
        <v>0</v>
      </c>
      <c r="CW256" s="1">
        <f>ROUND(PPTest!K256,1)</f>
        <v>0</v>
      </c>
      <c r="CX256" s="3">
        <f t="shared" si="160"/>
        <v>0</v>
      </c>
      <c r="CY256" s="3">
        <f t="shared" si="179"/>
        <v>0</v>
      </c>
      <c r="CZ256" s="19">
        <f t="shared" si="180"/>
        <v>0</v>
      </c>
      <c r="DA256" s="19" t="e">
        <f t="shared" si="180"/>
        <v>#DIV/0!</v>
      </c>
      <c r="DB256" s="16">
        <f t="shared" si="181"/>
        <v>0</v>
      </c>
    </row>
    <row r="257" spans="1:106" x14ac:dyDescent="0.2">
      <c r="A257" s="15">
        <f t="shared" si="182"/>
        <v>45909</v>
      </c>
      <c r="B257" s="1">
        <v>252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4"/>
      <c r="AY257" s="43"/>
      <c r="BA257" s="16">
        <v>20.7</v>
      </c>
      <c r="BB257" s="41"/>
      <c r="BC257" s="41"/>
      <c r="BD257" s="8" t="e">
        <f t="shared" si="141"/>
        <v>#DIV/0!</v>
      </c>
      <c r="BE257" s="8"/>
      <c r="BF257" s="2">
        <f t="shared" si="161"/>
        <v>0</v>
      </c>
      <c r="BG257" s="2">
        <f t="shared" si="162"/>
        <v>0</v>
      </c>
      <c r="BH257" s="2">
        <f t="shared" si="163"/>
        <v>0</v>
      </c>
      <c r="BI257" s="35">
        <f t="shared" si="140"/>
        <v>0</v>
      </c>
      <c r="BJ257" s="35" t="e">
        <f t="shared" si="142"/>
        <v>#DIV/0!</v>
      </c>
      <c r="BK257" s="3"/>
      <c r="BL257" s="3">
        <f t="shared" si="143"/>
        <v>0</v>
      </c>
      <c r="BM257" s="19" t="e">
        <f t="shared" si="144"/>
        <v>#DIV/0!</v>
      </c>
      <c r="BN257" s="19" t="e">
        <f t="shared" si="145"/>
        <v>#DIV/0!</v>
      </c>
      <c r="BO257" s="19" t="e">
        <f t="shared" si="146"/>
        <v>#DIV/0!</v>
      </c>
      <c r="BP257" s="19" t="e">
        <f t="shared" si="147"/>
        <v>#DIV/0!</v>
      </c>
      <c r="BQ257" s="19" t="e">
        <f t="shared" si="148"/>
        <v>#DIV/0!</v>
      </c>
      <c r="BR257" s="19" t="e">
        <f t="shared" si="149"/>
        <v>#DIV/0!</v>
      </c>
      <c r="BS257" s="19" t="e">
        <f t="shared" si="150"/>
        <v>#DIV/0!</v>
      </c>
      <c r="BT257" s="19" t="e">
        <f t="shared" si="151"/>
        <v>#DIV/0!</v>
      </c>
      <c r="BV257" s="16">
        <f t="shared" si="152"/>
        <v>0</v>
      </c>
      <c r="BW257" s="16">
        <f t="shared" si="153"/>
        <v>0</v>
      </c>
      <c r="BX257" s="3">
        <f t="shared" si="154"/>
        <v>0</v>
      </c>
      <c r="BY257" s="3">
        <f t="shared" si="183"/>
        <v>0</v>
      </c>
      <c r="BZ257" s="3" t="s">
        <v>162</v>
      </c>
      <c r="CA257" s="3">
        <f t="shared" si="155"/>
        <v>0</v>
      </c>
      <c r="CB257" s="3">
        <f t="shared" si="156"/>
        <v>0</v>
      </c>
      <c r="CC257" s="3">
        <f t="shared" si="157"/>
        <v>0</v>
      </c>
      <c r="CD257" s="3">
        <f t="shared" si="158"/>
        <v>0</v>
      </c>
      <c r="CE257" s="22">
        <f t="shared" si="164"/>
        <v>0</v>
      </c>
      <c r="CF257" s="1">
        <f t="shared" si="159"/>
        <v>0</v>
      </c>
      <c r="CG257" s="1">
        <f t="shared" si="165"/>
        <v>0</v>
      </c>
      <c r="CH257" s="3" t="s">
        <v>162</v>
      </c>
      <c r="CI257" s="1">
        <f t="shared" si="166"/>
        <v>0</v>
      </c>
      <c r="CJ257" s="1">
        <f t="shared" si="167"/>
        <v>0</v>
      </c>
      <c r="CK257" s="1">
        <f t="shared" si="168"/>
        <v>0</v>
      </c>
      <c r="CL257" s="1">
        <f t="shared" si="169"/>
        <v>0</v>
      </c>
      <c r="CM257" s="2">
        <f t="shared" si="170"/>
        <v>0</v>
      </c>
      <c r="CN257" s="1">
        <f t="shared" si="171"/>
        <v>0</v>
      </c>
      <c r="CO257" s="1">
        <f t="shared" si="172"/>
        <v>0</v>
      </c>
      <c r="CP257" s="3" t="s">
        <v>162</v>
      </c>
      <c r="CQ257" s="1">
        <f t="shared" si="173"/>
        <v>0</v>
      </c>
      <c r="CR257" s="1">
        <f t="shared" si="174"/>
        <v>0</v>
      </c>
      <c r="CS257" s="1">
        <f t="shared" si="175"/>
        <v>0</v>
      </c>
      <c r="CT257" s="1">
        <f t="shared" si="176"/>
        <v>0</v>
      </c>
      <c r="CU257" s="2">
        <f t="shared" si="177"/>
        <v>0</v>
      </c>
      <c r="CV257" s="14">
        <f t="shared" si="178"/>
        <v>0</v>
      </c>
      <c r="CW257" s="1">
        <f>ROUND(PPTest!K257,1)</f>
        <v>0</v>
      </c>
      <c r="CX257" s="3">
        <f t="shared" si="160"/>
        <v>0</v>
      </c>
      <c r="CY257" s="3">
        <f t="shared" si="179"/>
        <v>0</v>
      </c>
      <c r="CZ257" s="19">
        <f t="shared" si="180"/>
        <v>0</v>
      </c>
      <c r="DA257" s="19" t="e">
        <f t="shared" si="180"/>
        <v>#DIV/0!</v>
      </c>
      <c r="DB257" s="16">
        <f t="shared" si="181"/>
        <v>0</v>
      </c>
    </row>
    <row r="258" spans="1:106" x14ac:dyDescent="0.2">
      <c r="A258" s="15">
        <f t="shared" si="182"/>
        <v>45910</v>
      </c>
      <c r="B258" s="1">
        <v>253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4"/>
      <c r="AY258" s="43"/>
      <c r="BA258" s="16">
        <v>20.45</v>
      </c>
      <c r="BB258" s="41"/>
      <c r="BC258" s="41"/>
      <c r="BD258" s="8" t="e">
        <f t="shared" si="141"/>
        <v>#DIV/0!</v>
      </c>
      <c r="BE258" s="8"/>
      <c r="BF258" s="2">
        <f t="shared" si="161"/>
        <v>0</v>
      </c>
      <c r="BG258" s="2">
        <f t="shared" si="162"/>
        <v>0</v>
      </c>
      <c r="BH258" s="2">
        <f t="shared" si="163"/>
        <v>0</v>
      </c>
      <c r="BI258" s="35">
        <f t="shared" si="140"/>
        <v>0</v>
      </c>
      <c r="BJ258" s="35" t="e">
        <f t="shared" si="142"/>
        <v>#DIV/0!</v>
      </c>
      <c r="BK258" s="3"/>
      <c r="BL258" s="3">
        <f t="shared" si="143"/>
        <v>0</v>
      </c>
      <c r="BM258" s="19" t="e">
        <f t="shared" si="144"/>
        <v>#DIV/0!</v>
      </c>
      <c r="BN258" s="19" t="e">
        <f t="shared" si="145"/>
        <v>#DIV/0!</v>
      </c>
      <c r="BO258" s="19" t="e">
        <f t="shared" si="146"/>
        <v>#DIV/0!</v>
      </c>
      <c r="BP258" s="19" t="e">
        <f t="shared" si="147"/>
        <v>#DIV/0!</v>
      </c>
      <c r="BQ258" s="19" t="e">
        <f t="shared" si="148"/>
        <v>#DIV/0!</v>
      </c>
      <c r="BR258" s="19" t="e">
        <f t="shared" si="149"/>
        <v>#DIV/0!</v>
      </c>
      <c r="BS258" s="19" t="e">
        <f t="shared" si="150"/>
        <v>#DIV/0!</v>
      </c>
      <c r="BT258" s="19" t="e">
        <f t="shared" si="151"/>
        <v>#DIV/0!</v>
      </c>
      <c r="BV258" s="16">
        <f t="shared" si="152"/>
        <v>0</v>
      </c>
      <c r="BW258" s="16">
        <f t="shared" si="153"/>
        <v>0</v>
      </c>
      <c r="BX258" s="3">
        <f t="shared" si="154"/>
        <v>0</v>
      </c>
      <c r="BY258" s="3">
        <f t="shared" si="183"/>
        <v>0</v>
      </c>
      <c r="BZ258" s="3" t="s">
        <v>162</v>
      </c>
      <c r="CA258" s="3">
        <f t="shared" si="155"/>
        <v>0</v>
      </c>
      <c r="CB258" s="3">
        <f t="shared" si="156"/>
        <v>0</v>
      </c>
      <c r="CC258" s="3">
        <f t="shared" si="157"/>
        <v>0</v>
      </c>
      <c r="CD258" s="3">
        <f t="shared" si="158"/>
        <v>0</v>
      </c>
      <c r="CE258" s="22">
        <f t="shared" si="164"/>
        <v>0</v>
      </c>
      <c r="CF258" s="1">
        <f t="shared" si="159"/>
        <v>0</v>
      </c>
      <c r="CG258" s="1">
        <f t="shared" si="165"/>
        <v>0</v>
      </c>
      <c r="CH258" s="3" t="s">
        <v>162</v>
      </c>
      <c r="CI258" s="1">
        <f t="shared" si="166"/>
        <v>0</v>
      </c>
      <c r="CJ258" s="1">
        <f t="shared" si="167"/>
        <v>0</v>
      </c>
      <c r="CK258" s="1">
        <f t="shared" si="168"/>
        <v>0</v>
      </c>
      <c r="CL258" s="1">
        <f t="shared" si="169"/>
        <v>0</v>
      </c>
      <c r="CM258" s="2">
        <f t="shared" si="170"/>
        <v>0</v>
      </c>
      <c r="CN258" s="1">
        <f t="shared" si="171"/>
        <v>0</v>
      </c>
      <c r="CO258" s="1">
        <f t="shared" si="172"/>
        <v>0</v>
      </c>
      <c r="CP258" s="3" t="s">
        <v>162</v>
      </c>
      <c r="CQ258" s="1">
        <f t="shared" si="173"/>
        <v>0</v>
      </c>
      <c r="CR258" s="1">
        <f t="shared" si="174"/>
        <v>0</v>
      </c>
      <c r="CS258" s="1">
        <f t="shared" si="175"/>
        <v>0</v>
      </c>
      <c r="CT258" s="1">
        <f t="shared" si="176"/>
        <v>0</v>
      </c>
      <c r="CU258" s="2">
        <f t="shared" si="177"/>
        <v>0</v>
      </c>
      <c r="CV258" s="14">
        <f t="shared" si="178"/>
        <v>0</v>
      </c>
      <c r="CW258" s="1">
        <f>ROUND(PPTest!K258,1)</f>
        <v>0</v>
      </c>
      <c r="CX258" s="3">
        <f t="shared" si="160"/>
        <v>0</v>
      </c>
      <c r="CY258" s="3">
        <f t="shared" si="179"/>
        <v>0</v>
      </c>
      <c r="CZ258" s="19">
        <f t="shared" si="180"/>
        <v>0</v>
      </c>
      <c r="DA258" s="19" t="e">
        <f t="shared" si="180"/>
        <v>#DIV/0!</v>
      </c>
      <c r="DB258" s="16">
        <f t="shared" si="181"/>
        <v>0</v>
      </c>
    </row>
    <row r="259" spans="1:106" x14ac:dyDescent="0.2">
      <c r="A259" s="15">
        <f t="shared" si="182"/>
        <v>45911</v>
      </c>
      <c r="B259" s="1">
        <v>254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4"/>
      <c r="AY259" s="43"/>
      <c r="BA259" s="16">
        <v>20.2</v>
      </c>
      <c r="BB259" s="41"/>
      <c r="BC259" s="41"/>
      <c r="BD259" s="8" t="e">
        <f t="shared" si="141"/>
        <v>#DIV/0!</v>
      </c>
      <c r="BE259" s="8"/>
      <c r="BF259" s="2">
        <f t="shared" si="161"/>
        <v>0</v>
      </c>
      <c r="BG259" s="2">
        <f t="shared" si="162"/>
        <v>0</v>
      </c>
      <c r="BH259" s="2">
        <f t="shared" si="163"/>
        <v>0</v>
      </c>
      <c r="BI259" s="35">
        <f t="shared" si="140"/>
        <v>0</v>
      </c>
      <c r="BJ259" s="35" t="e">
        <f t="shared" si="142"/>
        <v>#DIV/0!</v>
      </c>
      <c r="BK259" s="3"/>
      <c r="BL259" s="3">
        <f t="shared" si="143"/>
        <v>0</v>
      </c>
      <c r="BM259" s="19" t="e">
        <f t="shared" si="144"/>
        <v>#DIV/0!</v>
      </c>
      <c r="BN259" s="19" t="e">
        <f t="shared" si="145"/>
        <v>#DIV/0!</v>
      </c>
      <c r="BO259" s="19" t="e">
        <f t="shared" si="146"/>
        <v>#DIV/0!</v>
      </c>
      <c r="BP259" s="19" t="e">
        <f t="shared" si="147"/>
        <v>#DIV/0!</v>
      </c>
      <c r="BQ259" s="19" t="e">
        <f t="shared" si="148"/>
        <v>#DIV/0!</v>
      </c>
      <c r="BR259" s="19" t="e">
        <f t="shared" si="149"/>
        <v>#DIV/0!</v>
      </c>
      <c r="BS259" s="19" t="e">
        <f t="shared" si="150"/>
        <v>#DIV/0!</v>
      </c>
      <c r="BT259" s="19" t="e">
        <f t="shared" si="151"/>
        <v>#DIV/0!</v>
      </c>
      <c r="BV259" s="16">
        <f t="shared" si="152"/>
        <v>0</v>
      </c>
      <c r="BW259" s="16">
        <f t="shared" si="153"/>
        <v>0</v>
      </c>
      <c r="BX259" s="3">
        <f t="shared" si="154"/>
        <v>0</v>
      </c>
      <c r="BY259" s="3">
        <f t="shared" si="183"/>
        <v>0</v>
      </c>
      <c r="BZ259" s="3" t="s">
        <v>162</v>
      </c>
      <c r="CA259" s="3">
        <f t="shared" si="155"/>
        <v>0</v>
      </c>
      <c r="CB259" s="3">
        <f t="shared" si="156"/>
        <v>0</v>
      </c>
      <c r="CC259" s="3">
        <f t="shared" si="157"/>
        <v>0</v>
      </c>
      <c r="CD259" s="3">
        <f t="shared" si="158"/>
        <v>0</v>
      </c>
      <c r="CE259" s="22">
        <f t="shared" si="164"/>
        <v>0</v>
      </c>
      <c r="CF259" s="1">
        <f t="shared" si="159"/>
        <v>0</v>
      </c>
      <c r="CG259" s="1">
        <f t="shared" si="165"/>
        <v>0</v>
      </c>
      <c r="CH259" s="3" t="s">
        <v>162</v>
      </c>
      <c r="CI259" s="1">
        <f t="shared" si="166"/>
        <v>0</v>
      </c>
      <c r="CJ259" s="1">
        <f t="shared" si="167"/>
        <v>0</v>
      </c>
      <c r="CK259" s="1">
        <f t="shared" si="168"/>
        <v>0</v>
      </c>
      <c r="CL259" s="1">
        <f t="shared" si="169"/>
        <v>0</v>
      </c>
      <c r="CM259" s="2">
        <f t="shared" si="170"/>
        <v>0</v>
      </c>
      <c r="CN259" s="1">
        <f t="shared" si="171"/>
        <v>0</v>
      </c>
      <c r="CO259" s="1">
        <f t="shared" si="172"/>
        <v>0</v>
      </c>
      <c r="CP259" s="3" t="s">
        <v>162</v>
      </c>
      <c r="CQ259" s="1">
        <f t="shared" si="173"/>
        <v>0</v>
      </c>
      <c r="CR259" s="1">
        <f t="shared" si="174"/>
        <v>0</v>
      </c>
      <c r="CS259" s="1">
        <f t="shared" si="175"/>
        <v>0</v>
      </c>
      <c r="CT259" s="1">
        <f t="shared" si="176"/>
        <v>0</v>
      </c>
      <c r="CU259" s="2">
        <f t="shared" si="177"/>
        <v>0</v>
      </c>
      <c r="CV259" s="14">
        <f t="shared" si="178"/>
        <v>0</v>
      </c>
      <c r="CW259" s="1">
        <f>ROUND(PPTest!K259,1)</f>
        <v>0</v>
      </c>
      <c r="CX259" s="3">
        <f t="shared" si="160"/>
        <v>0</v>
      </c>
      <c r="CY259" s="3">
        <f t="shared" si="179"/>
        <v>0</v>
      </c>
      <c r="CZ259" s="19">
        <f t="shared" si="180"/>
        <v>0</v>
      </c>
      <c r="DA259" s="19" t="e">
        <f t="shared" si="180"/>
        <v>#DIV/0!</v>
      </c>
      <c r="DB259" s="16">
        <f t="shared" si="181"/>
        <v>0</v>
      </c>
    </row>
    <row r="260" spans="1:106" x14ac:dyDescent="0.2">
      <c r="A260" s="15">
        <f t="shared" si="182"/>
        <v>45912</v>
      </c>
      <c r="B260" s="1">
        <v>255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4"/>
      <c r="AY260" s="43"/>
      <c r="BA260" s="16">
        <v>19.940000000000001</v>
      </c>
      <c r="BB260" s="41"/>
      <c r="BC260" s="41"/>
      <c r="BD260" s="8" t="e">
        <f t="shared" si="141"/>
        <v>#DIV/0!</v>
      </c>
      <c r="BE260" s="8"/>
      <c r="BF260" s="2">
        <f t="shared" si="161"/>
        <v>0</v>
      </c>
      <c r="BG260" s="2">
        <f t="shared" si="162"/>
        <v>0</v>
      </c>
      <c r="BH260" s="2">
        <f t="shared" si="163"/>
        <v>0</v>
      </c>
      <c r="BI260" s="35">
        <f t="shared" si="140"/>
        <v>0</v>
      </c>
      <c r="BJ260" s="35" t="e">
        <f t="shared" si="142"/>
        <v>#DIV/0!</v>
      </c>
      <c r="BK260" s="3"/>
      <c r="BL260" s="3">
        <f t="shared" si="143"/>
        <v>0</v>
      </c>
      <c r="BM260" s="19" t="e">
        <f t="shared" si="144"/>
        <v>#DIV/0!</v>
      </c>
      <c r="BN260" s="19" t="e">
        <f t="shared" si="145"/>
        <v>#DIV/0!</v>
      </c>
      <c r="BO260" s="19" t="e">
        <f t="shared" si="146"/>
        <v>#DIV/0!</v>
      </c>
      <c r="BP260" s="19" t="e">
        <f t="shared" si="147"/>
        <v>#DIV/0!</v>
      </c>
      <c r="BQ260" s="19" t="e">
        <f t="shared" si="148"/>
        <v>#DIV/0!</v>
      </c>
      <c r="BR260" s="19" t="e">
        <f t="shared" si="149"/>
        <v>#DIV/0!</v>
      </c>
      <c r="BS260" s="19" t="e">
        <f t="shared" si="150"/>
        <v>#DIV/0!</v>
      </c>
      <c r="BT260" s="19" t="e">
        <f t="shared" si="151"/>
        <v>#DIV/0!</v>
      </c>
      <c r="BV260" s="16">
        <f t="shared" si="152"/>
        <v>0</v>
      </c>
      <c r="BW260" s="16">
        <f t="shared" si="153"/>
        <v>0</v>
      </c>
      <c r="BX260" s="3">
        <f t="shared" si="154"/>
        <v>0</v>
      </c>
      <c r="BY260" s="3">
        <f t="shared" si="183"/>
        <v>0</v>
      </c>
      <c r="BZ260" s="3" t="s">
        <v>162</v>
      </c>
      <c r="CA260" s="3">
        <f t="shared" si="155"/>
        <v>0</v>
      </c>
      <c r="CB260" s="3">
        <f t="shared" si="156"/>
        <v>0</v>
      </c>
      <c r="CC260" s="3">
        <f t="shared" si="157"/>
        <v>0</v>
      </c>
      <c r="CD260" s="3">
        <f t="shared" si="158"/>
        <v>0</v>
      </c>
      <c r="CE260" s="22">
        <f t="shared" si="164"/>
        <v>0</v>
      </c>
      <c r="CF260" s="1">
        <f t="shared" si="159"/>
        <v>0</v>
      </c>
      <c r="CG260" s="1">
        <f t="shared" si="165"/>
        <v>0</v>
      </c>
      <c r="CH260" s="3" t="s">
        <v>162</v>
      </c>
      <c r="CI260" s="1">
        <f t="shared" si="166"/>
        <v>0</v>
      </c>
      <c r="CJ260" s="1">
        <f t="shared" si="167"/>
        <v>0</v>
      </c>
      <c r="CK260" s="1">
        <f t="shared" si="168"/>
        <v>0</v>
      </c>
      <c r="CL260" s="1">
        <f t="shared" si="169"/>
        <v>0</v>
      </c>
      <c r="CM260" s="2">
        <f t="shared" si="170"/>
        <v>0</v>
      </c>
      <c r="CN260" s="1">
        <f t="shared" si="171"/>
        <v>0</v>
      </c>
      <c r="CO260" s="1">
        <f t="shared" si="172"/>
        <v>0</v>
      </c>
      <c r="CP260" s="3" t="s">
        <v>162</v>
      </c>
      <c r="CQ260" s="1">
        <f t="shared" si="173"/>
        <v>0</v>
      </c>
      <c r="CR260" s="1">
        <f t="shared" si="174"/>
        <v>0</v>
      </c>
      <c r="CS260" s="1">
        <f t="shared" si="175"/>
        <v>0</v>
      </c>
      <c r="CT260" s="1">
        <f t="shared" si="176"/>
        <v>0</v>
      </c>
      <c r="CU260" s="2">
        <f t="shared" si="177"/>
        <v>0</v>
      </c>
      <c r="CV260" s="14">
        <f t="shared" si="178"/>
        <v>0</v>
      </c>
      <c r="CW260" s="1">
        <f>ROUND(PPTest!K260,1)</f>
        <v>0</v>
      </c>
      <c r="CX260" s="3">
        <f t="shared" si="160"/>
        <v>0</v>
      </c>
      <c r="CY260" s="3">
        <f t="shared" si="179"/>
        <v>0</v>
      </c>
      <c r="CZ260" s="19">
        <f t="shared" si="180"/>
        <v>0</v>
      </c>
      <c r="DA260" s="19" t="e">
        <f t="shared" si="180"/>
        <v>#DIV/0!</v>
      </c>
      <c r="DB260" s="16">
        <f t="shared" si="181"/>
        <v>0</v>
      </c>
    </row>
    <row r="261" spans="1:106" x14ac:dyDescent="0.2">
      <c r="A261" s="15">
        <f t="shared" si="182"/>
        <v>45913</v>
      </c>
      <c r="B261" s="1">
        <v>256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4"/>
      <c r="AY261" s="43"/>
      <c r="BA261" s="16">
        <v>19.68</v>
      </c>
      <c r="BB261" s="41"/>
      <c r="BC261" s="41"/>
      <c r="BD261" s="8" t="e">
        <f t="shared" si="141"/>
        <v>#DIV/0!</v>
      </c>
      <c r="BE261" s="8"/>
      <c r="BF261" s="2">
        <f t="shared" si="161"/>
        <v>0</v>
      </c>
      <c r="BG261" s="2">
        <f t="shared" si="162"/>
        <v>0</v>
      </c>
      <c r="BH261" s="2">
        <f t="shared" si="163"/>
        <v>0</v>
      </c>
      <c r="BI261" s="35">
        <f t="shared" ref="BI261:BI324" si="184">ROUND((0.6105*(EXP((17.273*P261)/(P261+237.3))))*BH261/100,3)</f>
        <v>0</v>
      </c>
      <c r="BJ261" s="35" t="e">
        <f t="shared" si="142"/>
        <v>#DIV/0!</v>
      </c>
      <c r="BK261" s="3"/>
      <c r="BL261" s="3">
        <f t="shared" si="143"/>
        <v>0</v>
      </c>
      <c r="BM261" s="19" t="e">
        <f t="shared" si="144"/>
        <v>#DIV/0!</v>
      </c>
      <c r="BN261" s="19" t="e">
        <f t="shared" si="145"/>
        <v>#DIV/0!</v>
      </c>
      <c r="BO261" s="19" t="e">
        <f t="shared" si="146"/>
        <v>#DIV/0!</v>
      </c>
      <c r="BP261" s="19" t="e">
        <f t="shared" si="147"/>
        <v>#DIV/0!</v>
      </c>
      <c r="BQ261" s="19" t="e">
        <f t="shared" si="148"/>
        <v>#DIV/0!</v>
      </c>
      <c r="BR261" s="19" t="e">
        <f t="shared" si="149"/>
        <v>#DIV/0!</v>
      </c>
      <c r="BS261" s="19" t="e">
        <f t="shared" si="150"/>
        <v>#DIV/0!</v>
      </c>
      <c r="BT261" s="19" t="e">
        <f t="shared" si="151"/>
        <v>#DIV/0!</v>
      </c>
      <c r="BV261" s="16">
        <f t="shared" si="152"/>
        <v>0</v>
      </c>
      <c r="BW261" s="16">
        <f t="shared" si="153"/>
        <v>0</v>
      </c>
      <c r="BX261" s="3">
        <f t="shared" si="154"/>
        <v>0</v>
      </c>
      <c r="BY261" s="3">
        <f t="shared" si="183"/>
        <v>0</v>
      </c>
      <c r="BZ261" s="3" t="s">
        <v>162</v>
      </c>
      <c r="CA261" s="3">
        <f t="shared" si="155"/>
        <v>0</v>
      </c>
      <c r="CB261" s="3">
        <f t="shared" si="156"/>
        <v>0</v>
      </c>
      <c r="CC261" s="3">
        <f t="shared" si="157"/>
        <v>0</v>
      </c>
      <c r="CD261" s="3">
        <f t="shared" si="158"/>
        <v>0</v>
      </c>
      <c r="CE261" s="22">
        <f t="shared" si="164"/>
        <v>0</v>
      </c>
      <c r="CF261" s="1">
        <f t="shared" si="159"/>
        <v>0</v>
      </c>
      <c r="CG261" s="1">
        <f t="shared" si="165"/>
        <v>0</v>
      </c>
      <c r="CH261" s="3" t="s">
        <v>162</v>
      </c>
      <c r="CI261" s="1">
        <f t="shared" si="166"/>
        <v>0</v>
      </c>
      <c r="CJ261" s="1">
        <f t="shared" si="167"/>
        <v>0</v>
      </c>
      <c r="CK261" s="1">
        <f t="shared" si="168"/>
        <v>0</v>
      </c>
      <c r="CL261" s="1">
        <f t="shared" si="169"/>
        <v>0</v>
      </c>
      <c r="CM261" s="2">
        <f t="shared" si="170"/>
        <v>0</v>
      </c>
      <c r="CN261" s="1">
        <f t="shared" si="171"/>
        <v>0</v>
      </c>
      <c r="CO261" s="1">
        <f t="shared" si="172"/>
        <v>0</v>
      </c>
      <c r="CP261" s="3" t="s">
        <v>162</v>
      </c>
      <c r="CQ261" s="1">
        <f t="shared" si="173"/>
        <v>0</v>
      </c>
      <c r="CR261" s="1">
        <f t="shared" si="174"/>
        <v>0</v>
      </c>
      <c r="CS261" s="1">
        <f t="shared" si="175"/>
        <v>0</v>
      </c>
      <c r="CT261" s="1">
        <f t="shared" si="176"/>
        <v>0</v>
      </c>
      <c r="CU261" s="2">
        <f t="shared" si="177"/>
        <v>0</v>
      </c>
      <c r="CV261" s="14">
        <f t="shared" si="178"/>
        <v>0</v>
      </c>
      <c r="CW261" s="1">
        <f>ROUND(PPTest!K261,1)</f>
        <v>0</v>
      </c>
      <c r="CX261" s="3">
        <f t="shared" si="160"/>
        <v>0</v>
      </c>
      <c r="CY261" s="3">
        <f t="shared" si="179"/>
        <v>0</v>
      </c>
      <c r="CZ261" s="19">
        <f t="shared" si="180"/>
        <v>0</v>
      </c>
      <c r="DA261" s="19" t="e">
        <f t="shared" si="180"/>
        <v>#DIV/0!</v>
      </c>
      <c r="DB261" s="16">
        <f t="shared" si="181"/>
        <v>0</v>
      </c>
    </row>
    <row r="262" spans="1:106" x14ac:dyDescent="0.2">
      <c r="A262" s="15">
        <f t="shared" si="182"/>
        <v>45914</v>
      </c>
      <c r="B262" s="1">
        <v>257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4"/>
      <c r="AY262" s="43"/>
      <c r="BA262" s="16">
        <v>19.43</v>
      </c>
      <c r="BB262" s="41"/>
      <c r="BC262" s="41"/>
      <c r="BD262" s="8" t="e">
        <f t="shared" ref="BD262:BD325" si="185">BC262/BB262</f>
        <v>#DIV/0!</v>
      </c>
      <c r="BE262" s="8"/>
      <c r="BF262" s="2">
        <f t="shared" si="161"/>
        <v>0</v>
      </c>
      <c r="BG262" s="2">
        <f t="shared" si="162"/>
        <v>0</v>
      </c>
      <c r="BH262" s="2">
        <f t="shared" si="163"/>
        <v>0</v>
      </c>
      <c r="BI262" s="35">
        <f t="shared" si="184"/>
        <v>0</v>
      </c>
      <c r="BJ262" s="35" t="e">
        <f t="shared" ref="BJ262:BJ325" si="186">ROUND(BI262/BH262*(100-BH262),3)</f>
        <v>#DIV/0!</v>
      </c>
      <c r="BK262" s="3"/>
      <c r="BL262" s="3">
        <f t="shared" ref="BL262:BL325" si="187">SUM(AG262:AN262)</f>
        <v>0</v>
      </c>
      <c r="BM262" s="19" t="e">
        <f t="shared" ref="BM262:BM325" si="188">ROUND(AG262/$BL262,3)</f>
        <v>#DIV/0!</v>
      </c>
      <c r="BN262" s="19" t="e">
        <f t="shared" ref="BN262:BN325" si="189">ROUND(AH262/$BL262,3)</f>
        <v>#DIV/0!</v>
      </c>
      <c r="BO262" s="19" t="e">
        <f t="shared" ref="BO262:BO325" si="190">ROUND(AI262/$BL262,3)</f>
        <v>#DIV/0!</v>
      </c>
      <c r="BP262" s="19" t="e">
        <f t="shared" ref="BP262:BP325" si="191">ROUND(AJ262/$BL262,3)</f>
        <v>#DIV/0!</v>
      </c>
      <c r="BQ262" s="19" t="e">
        <f t="shared" ref="BQ262:BQ325" si="192">ROUND(AK262/$BL262,3)</f>
        <v>#DIV/0!</v>
      </c>
      <c r="BR262" s="19" t="e">
        <f t="shared" ref="BR262:BR325" si="193">ROUND(AL262/$BL262,3)</f>
        <v>#DIV/0!</v>
      </c>
      <c r="BS262" s="19" t="e">
        <f t="shared" ref="BS262:BS325" si="194">ROUND(AM262/$BL262,3)</f>
        <v>#DIV/0!</v>
      </c>
      <c r="BT262" s="19" t="e">
        <f t="shared" ref="BT262:BT325" si="195">ROUND(AN262/$BL262,3)</f>
        <v>#DIV/0!</v>
      </c>
      <c r="BV262" s="16">
        <f t="shared" ref="BV262:BV325" si="196">BB262</f>
        <v>0</v>
      </c>
      <c r="BW262" s="16">
        <f t="shared" ref="BW262:BW325" si="197">BC262</f>
        <v>0</v>
      </c>
      <c r="BX262" s="3">
        <f t="shared" ref="BX262:BX325" si="198">ROUND(E262,1)</f>
        <v>0</v>
      </c>
      <c r="BY262" s="3">
        <f t="shared" si="183"/>
        <v>0</v>
      </c>
      <c r="BZ262" s="3" t="s">
        <v>162</v>
      </c>
      <c r="CA262" s="3">
        <f t="shared" ref="CA262:CA325" si="199">ROUND(I262,1)</f>
        <v>0</v>
      </c>
      <c r="CB262" s="3">
        <f t="shared" ref="CB262:CB325" si="200">ROUND(J262,1)</f>
        <v>0</v>
      </c>
      <c r="CC262" s="3">
        <f t="shared" ref="CC262:CC325" si="201">ROUND(K262,1)</f>
        <v>0</v>
      </c>
      <c r="CD262" s="3">
        <f t="shared" ref="CD262:CD325" si="202">ROUND(L262,1)</f>
        <v>0</v>
      </c>
      <c r="CE262" s="22">
        <f t="shared" si="164"/>
        <v>0</v>
      </c>
      <c r="CF262" s="1">
        <f t="shared" ref="CF262:CF325" si="203">ROUND(P262,1)</f>
        <v>0</v>
      </c>
      <c r="CG262" s="1">
        <f t="shared" si="165"/>
        <v>0</v>
      </c>
      <c r="CH262" s="3" t="s">
        <v>162</v>
      </c>
      <c r="CI262" s="1">
        <f t="shared" si="166"/>
        <v>0</v>
      </c>
      <c r="CJ262" s="1">
        <f t="shared" si="167"/>
        <v>0</v>
      </c>
      <c r="CK262" s="1">
        <f t="shared" si="168"/>
        <v>0</v>
      </c>
      <c r="CL262" s="1">
        <f t="shared" si="169"/>
        <v>0</v>
      </c>
      <c r="CM262" s="2">
        <f t="shared" si="170"/>
        <v>0</v>
      </c>
      <c r="CN262" s="1">
        <f t="shared" si="171"/>
        <v>0</v>
      </c>
      <c r="CO262" s="1">
        <f t="shared" si="172"/>
        <v>0</v>
      </c>
      <c r="CP262" s="3" t="s">
        <v>162</v>
      </c>
      <c r="CQ262" s="1">
        <f t="shared" si="173"/>
        <v>0</v>
      </c>
      <c r="CR262" s="1">
        <f t="shared" si="174"/>
        <v>0</v>
      </c>
      <c r="CS262" s="1">
        <f t="shared" si="175"/>
        <v>0</v>
      </c>
      <c r="CT262" s="1">
        <f t="shared" si="176"/>
        <v>0</v>
      </c>
      <c r="CU262" s="2">
        <f t="shared" si="177"/>
        <v>0</v>
      </c>
      <c r="CV262" s="14">
        <f t="shared" si="178"/>
        <v>0</v>
      </c>
      <c r="CW262" s="1">
        <f>ROUND(PPTest!K262,1)</f>
        <v>0</v>
      </c>
      <c r="CX262" s="3">
        <f t="shared" ref="CX262:CX326" si="204">ROUND(M262,2)</f>
        <v>0</v>
      </c>
      <c r="CY262" s="3">
        <f t="shared" si="179"/>
        <v>0</v>
      </c>
      <c r="CZ262" s="19">
        <f t="shared" si="180"/>
        <v>0</v>
      </c>
      <c r="DA262" s="19" t="e">
        <f t="shared" si="180"/>
        <v>#DIV/0!</v>
      </c>
      <c r="DB262" s="16">
        <f t="shared" si="181"/>
        <v>0</v>
      </c>
    </row>
    <row r="263" spans="1:106" x14ac:dyDescent="0.2">
      <c r="A263" s="15">
        <f t="shared" si="182"/>
        <v>45915</v>
      </c>
      <c r="B263" s="1">
        <v>258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4"/>
      <c r="AY263" s="43"/>
      <c r="BA263" s="16">
        <v>19.170000000000002</v>
      </c>
      <c r="BB263" s="41"/>
      <c r="BC263" s="41"/>
      <c r="BD263" s="8" t="e">
        <f t="shared" si="185"/>
        <v>#DIV/0!</v>
      </c>
      <c r="BE263" s="8"/>
      <c r="BF263" s="2">
        <f t="shared" ref="BF263:BF326" si="205">ROUND(Q263-BF$2,1)</f>
        <v>0</v>
      </c>
      <c r="BG263" s="2">
        <f t="shared" ref="BG263:BG326" si="206">ROUND(F263-BG$2,1)</f>
        <v>0</v>
      </c>
      <c r="BH263" s="2">
        <f t="shared" ref="BH263:BH326" si="207">ROUND(Z263-BH$2,1)</f>
        <v>0</v>
      </c>
      <c r="BI263" s="35">
        <f t="shared" si="184"/>
        <v>0</v>
      </c>
      <c r="BJ263" s="35" t="e">
        <f t="shared" si="186"/>
        <v>#DIV/0!</v>
      </c>
      <c r="BK263" s="3"/>
      <c r="BL263" s="3">
        <f t="shared" si="187"/>
        <v>0</v>
      </c>
      <c r="BM263" s="19" t="e">
        <f t="shared" si="188"/>
        <v>#DIV/0!</v>
      </c>
      <c r="BN263" s="19" t="e">
        <f t="shared" si="189"/>
        <v>#DIV/0!</v>
      </c>
      <c r="BO263" s="19" t="e">
        <f t="shared" si="190"/>
        <v>#DIV/0!</v>
      </c>
      <c r="BP263" s="19" t="e">
        <f t="shared" si="191"/>
        <v>#DIV/0!</v>
      </c>
      <c r="BQ263" s="19" t="e">
        <f t="shared" si="192"/>
        <v>#DIV/0!</v>
      </c>
      <c r="BR263" s="19" t="e">
        <f t="shared" si="193"/>
        <v>#DIV/0!</v>
      </c>
      <c r="BS263" s="19" t="e">
        <f t="shared" si="194"/>
        <v>#DIV/0!</v>
      </c>
      <c r="BT263" s="19" t="e">
        <f t="shared" si="195"/>
        <v>#DIV/0!</v>
      </c>
      <c r="BV263" s="16">
        <f t="shared" si="196"/>
        <v>0</v>
      </c>
      <c r="BW263" s="16">
        <f t="shared" si="197"/>
        <v>0</v>
      </c>
      <c r="BX263" s="3">
        <f t="shared" si="198"/>
        <v>0</v>
      </c>
      <c r="BY263" s="3">
        <f t="shared" si="183"/>
        <v>0</v>
      </c>
      <c r="BZ263" s="3" t="s">
        <v>162</v>
      </c>
      <c r="CA263" s="3">
        <f t="shared" si="199"/>
        <v>0</v>
      </c>
      <c r="CB263" s="3">
        <f t="shared" si="200"/>
        <v>0</v>
      </c>
      <c r="CC263" s="3">
        <f t="shared" si="201"/>
        <v>0</v>
      </c>
      <c r="CD263" s="3">
        <f t="shared" si="202"/>
        <v>0</v>
      </c>
      <c r="CE263" s="22">
        <f t="shared" ref="CE263:CE326" si="208">ROUND(BG263,1)</f>
        <v>0</v>
      </c>
      <c r="CF263" s="1">
        <f t="shared" si="203"/>
        <v>0</v>
      </c>
      <c r="CG263" s="1">
        <f t="shared" ref="CG263:CG326" si="209">ROUND(R263,1)</f>
        <v>0</v>
      </c>
      <c r="CH263" s="3" t="s">
        <v>162</v>
      </c>
      <c r="CI263" s="1">
        <f t="shared" ref="CI263:CI326" si="210">ROUND(T263,1)</f>
        <v>0</v>
      </c>
      <c r="CJ263" s="1">
        <f t="shared" ref="CJ263:CJ326" si="211">ROUND(U263,1)</f>
        <v>0</v>
      </c>
      <c r="CK263" s="1">
        <f t="shared" ref="CK263:CK326" si="212">ROUND(V263,1)</f>
        <v>0</v>
      </c>
      <c r="CL263" s="1">
        <f t="shared" ref="CL263:CL326" si="213">ROUND(W263,1)</f>
        <v>0</v>
      </c>
      <c r="CM263" s="2">
        <f t="shared" ref="CM263:CM326" si="214">ROUND(BF263,1)</f>
        <v>0</v>
      </c>
      <c r="CN263" s="1">
        <f t="shared" ref="CN263:CN326" si="215">ROUND(Y263,1)</f>
        <v>0</v>
      </c>
      <c r="CO263" s="1">
        <f t="shared" ref="CO263:CO326" si="216">ROUND(AA263,1)</f>
        <v>0</v>
      </c>
      <c r="CP263" s="3" t="s">
        <v>162</v>
      </c>
      <c r="CQ263" s="1">
        <f t="shared" ref="CQ263:CQ326" si="217">ROUND(AC263,1)</f>
        <v>0</v>
      </c>
      <c r="CR263" s="1">
        <f t="shared" ref="CR263:CR326" si="218">ROUND(AD263,1)</f>
        <v>0</v>
      </c>
      <c r="CS263" s="1">
        <f t="shared" ref="CS263:CS326" si="219">ROUND(AE263,1)</f>
        <v>0</v>
      </c>
      <c r="CT263" s="1">
        <f t="shared" ref="CT263:CT326" si="220">ROUND(AF263,1)</f>
        <v>0</v>
      </c>
      <c r="CU263" s="2">
        <f t="shared" ref="CU263:CU326" si="221">ROUND(BH263,1)</f>
        <v>0</v>
      </c>
      <c r="CV263" s="14">
        <f t="shared" ref="CV263:CV326" si="222">AY263</f>
        <v>0</v>
      </c>
      <c r="CW263" s="1">
        <f>ROUND(PPTest!K263,1)</f>
        <v>0</v>
      </c>
      <c r="CX263" s="3">
        <f t="shared" si="204"/>
        <v>0</v>
      </c>
      <c r="CY263" s="3">
        <f t="shared" ref="CY263:CY326" si="223">ROUND(X263,2)</f>
        <v>0</v>
      </c>
      <c r="CZ263" s="19">
        <f t="shared" ref="CZ263:DA326" si="224">BI263</f>
        <v>0</v>
      </c>
      <c r="DA263" s="19" t="e">
        <f t="shared" si="224"/>
        <v>#DIV/0!</v>
      </c>
      <c r="DB263" s="16">
        <f t="shared" ref="DB263:DB326" si="225">AV263</f>
        <v>0</v>
      </c>
    </row>
    <row r="264" spans="1:106" x14ac:dyDescent="0.2">
      <c r="A264" s="15">
        <f t="shared" ref="A264:A327" si="226">A263+1</f>
        <v>45916</v>
      </c>
      <c r="B264" s="1">
        <v>259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4"/>
      <c r="AY264" s="43"/>
      <c r="BA264" s="16">
        <v>18.920000000000002</v>
      </c>
      <c r="BB264" s="41"/>
      <c r="BC264" s="41"/>
      <c r="BD264" s="8" t="e">
        <f t="shared" si="185"/>
        <v>#DIV/0!</v>
      </c>
      <c r="BE264" s="8"/>
      <c r="BF264" s="2">
        <f t="shared" si="205"/>
        <v>0</v>
      </c>
      <c r="BG264" s="2">
        <f t="shared" si="206"/>
        <v>0</v>
      </c>
      <c r="BH264" s="2">
        <f t="shared" si="207"/>
        <v>0</v>
      </c>
      <c r="BI264" s="35">
        <f t="shared" si="184"/>
        <v>0</v>
      </c>
      <c r="BJ264" s="35" t="e">
        <f t="shared" si="186"/>
        <v>#DIV/0!</v>
      </c>
      <c r="BK264" s="3"/>
      <c r="BL264" s="3">
        <f t="shared" si="187"/>
        <v>0</v>
      </c>
      <c r="BM264" s="19" t="e">
        <f t="shared" si="188"/>
        <v>#DIV/0!</v>
      </c>
      <c r="BN264" s="19" t="e">
        <f t="shared" si="189"/>
        <v>#DIV/0!</v>
      </c>
      <c r="BO264" s="19" t="e">
        <f t="shared" si="190"/>
        <v>#DIV/0!</v>
      </c>
      <c r="BP264" s="19" t="e">
        <f t="shared" si="191"/>
        <v>#DIV/0!</v>
      </c>
      <c r="BQ264" s="19" t="e">
        <f t="shared" si="192"/>
        <v>#DIV/0!</v>
      </c>
      <c r="BR264" s="19" t="e">
        <f t="shared" si="193"/>
        <v>#DIV/0!</v>
      </c>
      <c r="BS264" s="19" t="e">
        <f t="shared" si="194"/>
        <v>#DIV/0!</v>
      </c>
      <c r="BT264" s="19" t="e">
        <f t="shared" si="195"/>
        <v>#DIV/0!</v>
      </c>
      <c r="BV264" s="16">
        <f t="shared" si="196"/>
        <v>0</v>
      </c>
      <c r="BW264" s="16">
        <f t="shared" si="197"/>
        <v>0</v>
      </c>
      <c r="BX264" s="3">
        <f t="shared" si="198"/>
        <v>0</v>
      </c>
      <c r="BY264" s="3">
        <f t="shared" si="183"/>
        <v>0</v>
      </c>
      <c r="BZ264" s="3" t="s">
        <v>162</v>
      </c>
      <c r="CA264" s="3">
        <f t="shared" si="199"/>
        <v>0</v>
      </c>
      <c r="CB264" s="3">
        <f t="shared" si="200"/>
        <v>0</v>
      </c>
      <c r="CC264" s="3">
        <f t="shared" si="201"/>
        <v>0</v>
      </c>
      <c r="CD264" s="3">
        <f t="shared" si="202"/>
        <v>0</v>
      </c>
      <c r="CE264" s="22">
        <f t="shared" si="208"/>
        <v>0</v>
      </c>
      <c r="CF264" s="1">
        <f t="shared" si="203"/>
        <v>0</v>
      </c>
      <c r="CG264" s="1">
        <f t="shared" si="209"/>
        <v>0</v>
      </c>
      <c r="CH264" s="3" t="s">
        <v>162</v>
      </c>
      <c r="CI264" s="1">
        <f t="shared" si="210"/>
        <v>0</v>
      </c>
      <c r="CJ264" s="1">
        <f t="shared" si="211"/>
        <v>0</v>
      </c>
      <c r="CK264" s="1">
        <f t="shared" si="212"/>
        <v>0</v>
      </c>
      <c r="CL264" s="1">
        <f t="shared" si="213"/>
        <v>0</v>
      </c>
      <c r="CM264" s="2">
        <f t="shared" si="214"/>
        <v>0</v>
      </c>
      <c r="CN264" s="1">
        <f t="shared" si="215"/>
        <v>0</v>
      </c>
      <c r="CO264" s="1">
        <f t="shared" si="216"/>
        <v>0</v>
      </c>
      <c r="CP264" s="3" t="s">
        <v>162</v>
      </c>
      <c r="CQ264" s="1">
        <f t="shared" si="217"/>
        <v>0</v>
      </c>
      <c r="CR264" s="1">
        <f t="shared" si="218"/>
        <v>0</v>
      </c>
      <c r="CS264" s="1">
        <f t="shared" si="219"/>
        <v>0</v>
      </c>
      <c r="CT264" s="1">
        <f t="shared" si="220"/>
        <v>0</v>
      </c>
      <c r="CU264" s="2">
        <f t="shared" si="221"/>
        <v>0</v>
      </c>
      <c r="CV264" s="14">
        <f t="shared" si="222"/>
        <v>0</v>
      </c>
      <c r="CW264" s="1">
        <f>ROUND(PPTest!K264,1)</f>
        <v>0</v>
      </c>
      <c r="CX264" s="3">
        <f t="shared" si="204"/>
        <v>0</v>
      </c>
      <c r="CY264" s="3">
        <f t="shared" si="223"/>
        <v>0</v>
      </c>
      <c r="CZ264" s="19">
        <f t="shared" si="224"/>
        <v>0</v>
      </c>
      <c r="DA264" s="19" t="e">
        <f t="shared" si="224"/>
        <v>#DIV/0!</v>
      </c>
      <c r="DB264" s="16">
        <f t="shared" si="225"/>
        <v>0</v>
      </c>
    </row>
    <row r="265" spans="1:106" x14ac:dyDescent="0.2">
      <c r="A265" s="15">
        <f t="shared" si="226"/>
        <v>45917</v>
      </c>
      <c r="B265" s="1">
        <v>260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4"/>
      <c r="AY265" s="43"/>
      <c r="BA265" s="16">
        <v>18.66</v>
      </c>
      <c r="BB265" s="41"/>
      <c r="BC265" s="41"/>
      <c r="BD265" s="8" t="e">
        <f t="shared" si="185"/>
        <v>#DIV/0!</v>
      </c>
      <c r="BE265" s="8"/>
      <c r="BF265" s="2">
        <f t="shared" si="205"/>
        <v>0</v>
      </c>
      <c r="BG265" s="2">
        <f t="shared" si="206"/>
        <v>0</v>
      </c>
      <c r="BH265" s="2">
        <f t="shared" si="207"/>
        <v>0</v>
      </c>
      <c r="BI265" s="35">
        <f t="shared" si="184"/>
        <v>0</v>
      </c>
      <c r="BJ265" s="35" t="e">
        <f t="shared" si="186"/>
        <v>#DIV/0!</v>
      </c>
      <c r="BK265" s="3"/>
      <c r="BL265" s="3">
        <f t="shared" si="187"/>
        <v>0</v>
      </c>
      <c r="BM265" s="19" t="e">
        <f t="shared" si="188"/>
        <v>#DIV/0!</v>
      </c>
      <c r="BN265" s="19" t="e">
        <f t="shared" si="189"/>
        <v>#DIV/0!</v>
      </c>
      <c r="BO265" s="19" t="e">
        <f t="shared" si="190"/>
        <v>#DIV/0!</v>
      </c>
      <c r="BP265" s="19" t="e">
        <f t="shared" si="191"/>
        <v>#DIV/0!</v>
      </c>
      <c r="BQ265" s="19" t="e">
        <f t="shared" si="192"/>
        <v>#DIV/0!</v>
      </c>
      <c r="BR265" s="19" t="e">
        <f t="shared" si="193"/>
        <v>#DIV/0!</v>
      </c>
      <c r="BS265" s="19" t="e">
        <f t="shared" si="194"/>
        <v>#DIV/0!</v>
      </c>
      <c r="BT265" s="19" t="e">
        <f t="shared" si="195"/>
        <v>#DIV/0!</v>
      </c>
      <c r="BV265" s="16">
        <f t="shared" si="196"/>
        <v>0</v>
      </c>
      <c r="BW265" s="16">
        <f t="shared" si="197"/>
        <v>0</v>
      </c>
      <c r="BX265" s="3">
        <f t="shared" si="198"/>
        <v>0</v>
      </c>
      <c r="BY265" s="3">
        <f t="shared" ref="BY265:BY328" si="227">ROUND(G265,1)</f>
        <v>0</v>
      </c>
      <c r="BZ265" s="3" t="s">
        <v>162</v>
      </c>
      <c r="CA265" s="3">
        <f t="shared" si="199"/>
        <v>0</v>
      </c>
      <c r="CB265" s="3">
        <f t="shared" si="200"/>
        <v>0</v>
      </c>
      <c r="CC265" s="3">
        <f t="shared" si="201"/>
        <v>0</v>
      </c>
      <c r="CD265" s="3">
        <f t="shared" si="202"/>
        <v>0</v>
      </c>
      <c r="CE265" s="22">
        <f t="shared" si="208"/>
        <v>0</v>
      </c>
      <c r="CF265" s="1">
        <f t="shared" si="203"/>
        <v>0</v>
      </c>
      <c r="CG265" s="1">
        <f t="shared" si="209"/>
        <v>0</v>
      </c>
      <c r="CH265" s="3" t="s">
        <v>162</v>
      </c>
      <c r="CI265" s="1">
        <f t="shared" si="210"/>
        <v>0</v>
      </c>
      <c r="CJ265" s="1">
        <f t="shared" si="211"/>
        <v>0</v>
      </c>
      <c r="CK265" s="1">
        <f t="shared" si="212"/>
        <v>0</v>
      </c>
      <c r="CL265" s="1">
        <f t="shared" si="213"/>
        <v>0</v>
      </c>
      <c r="CM265" s="2">
        <f t="shared" si="214"/>
        <v>0</v>
      </c>
      <c r="CN265" s="1">
        <f t="shared" si="215"/>
        <v>0</v>
      </c>
      <c r="CO265" s="1">
        <f t="shared" si="216"/>
        <v>0</v>
      </c>
      <c r="CP265" s="3" t="s">
        <v>162</v>
      </c>
      <c r="CQ265" s="1">
        <f t="shared" si="217"/>
        <v>0</v>
      </c>
      <c r="CR265" s="1">
        <f t="shared" si="218"/>
        <v>0</v>
      </c>
      <c r="CS265" s="1">
        <f t="shared" si="219"/>
        <v>0</v>
      </c>
      <c r="CT265" s="1">
        <f t="shared" si="220"/>
        <v>0</v>
      </c>
      <c r="CU265" s="2">
        <f t="shared" si="221"/>
        <v>0</v>
      </c>
      <c r="CV265" s="14">
        <f t="shared" si="222"/>
        <v>0</v>
      </c>
      <c r="CW265" s="1">
        <f>ROUND(PPTest!K265,1)</f>
        <v>0</v>
      </c>
      <c r="CX265" s="3">
        <f t="shared" si="204"/>
        <v>0</v>
      </c>
      <c r="CY265" s="3">
        <f t="shared" si="223"/>
        <v>0</v>
      </c>
      <c r="CZ265" s="19">
        <f t="shared" si="224"/>
        <v>0</v>
      </c>
      <c r="DA265" s="19" t="e">
        <f t="shared" si="224"/>
        <v>#DIV/0!</v>
      </c>
      <c r="DB265" s="16">
        <f t="shared" si="225"/>
        <v>0</v>
      </c>
    </row>
    <row r="266" spans="1:106" x14ac:dyDescent="0.2">
      <c r="A266" s="15">
        <f t="shared" si="226"/>
        <v>45918</v>
      </c>
      <c r="B266" s="1">
        <v>261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4"/>
      <c r="AY266" s="12"/>
      <c r="AZ266" s="14"/>
      <c r="BA266" s="16">
        <v>18.399999999999999</v>
      </c>
      <c r="BB266" s="41"/>
      <c r="BC266" s="41"/>
      <c r="BD266" s="8" t="e">
        <f t="shared" si="185"/>
        <v>#DIV/0!</v>
      </c>
      <c r="BE266" s="8"/>
      <c r="BF266" s="2">
        <f t="shared" si="205"/>
        <v>0</v>
      </c>
      <c r="BG266" s="2">
        <f t="shared" si="206"/>
        <v>0</v>
      </c>
      <c r="BH266" s="2">
        <f t="shared" si="207"/>
        <v>0</v>
      </c>
      <c r="BI266" s="35">
        <f t="shared" si="184"/>
        <v>0</v>
      </c>
      <c r="BJ266" s="35" t="e">
        <f t="shared" si="186"/>
        <v>#DIV/0!</v>
      </c>
      <c r="BK266" s="3"/>
      <c r="BL266" s="3">
        <f t="shared" si="187"/>
        <v>0</v>
      </c>
      <c r="BM266" s="19" t="e">
        <f t="shared" si="188"/>
        <v>#DIV/0!</v>
      </c>
      <c r="BN266" s="19" t="e">
        <f t="shared" si="189"/>
        <v>#DIV/0!</v>
      </c>
      <c r="BO266" s="19" t="e">
        <f t="shared" si="190"/>
        <v>#DIV/0!</v>
      </c>
      <c r="BP266" s="19" t="e">
        <f t="shared" si="191"/>
        <v>#DIV/0!</v>
      </c>
      <c r="BQ266" s="19" t="e">
        <f t="shared" si="192"/>
        <v>#DIV/0!</v>
      </c>
      <c r="BR266" s="19" t="e">
        <f t="shared" si="193"/>
        <v>#DIV/0!</v>
      </c>
      <c r="BS266" s="19" t="e">
        <f t="shared" si="194"/>
        <v>#DIV/0!</v>
      </c>
      <c r="BT266" s="19" t="e">
        <f t="shared" si="195"/>
        <v>#DIV/0!</v>
      </c>
      <c r="BV266" s="16">
        <f t="shared" si="196"/>
        <v>0</v>
      </c>
      <c r="BW266" s="16">
        <f t="shared" si="197"/>
        <v>0</v>
      </c>
      <c r="BX266" s="3">
        <f t="shared" si="198"/>
        <v>0</v>
      </c>
      <c r="BY266" s="3">
        <f t="shared" si="227"/>
        <v>0</v>
      </c>
      <c r="BZ266" s="3" t="s">
        <v>162</v>
      </c>
      <c r="CA266" s="3">
        <f t="shared" si="199"/>
        <v>0</v>
      </c>
      <c r="CB266" s="3">
        <f t="shared" si="200"/>
        <v>0</v>
      </c>
      <c r="CC266" s="3">
        <f t="shared" si="201"/>
        <v>0</v>
      </c>
      <c r="CD266" s="3">
        <f t="shared" si="202"/>
        <v>0</v>
      </c>
      <c r="CE266" s="22">
        <f t="shared" si="208"/>
        <v>0</v>
      </c>
      <c r="CF266" s="1">
        <f t="shared" si="203"/>
        <v>0</v>
      </c>
      <c r="CG266" s="1">
        <f t="shared" si="209"/>
        <v>0</v>
      </c>
      <c r="CH266" s="3" t="s">
        <v>162</v>
      </c>
      <c r="CI266" s="1">
        <f t="shared" si="210"/>
        <v>0</v>
      </c>
      <c r="CJ266" s="1">
        <f t="shared" si="211"/>
        <v>0</v>
      </c>
      <c r="CK266" s="1">
        <f t="shared" si="212"/>
        <v>0</v>
      </c>
      <c r="CL266" s="1">
        <f t="shared" si="213"/>
        <v>0</v>
      </c>
      <c r="CM266" s="2">
        <f t="shared" si="214"/>
        <v>0</v>
      </c>
      <c r="CN266" s="1">
        <f t="shared" si="215"/>
        <v>0</v>
      </c>
      <c r="CO266" s="1">
        <f t="shared" si="216"/>
        <v>0</v>
      </c>
      <c r="CP266" s="3" t="s">
        <v>162</v>
      </c>
      <c r="CQ266" s="1">
        <f t="shared" si="217"/>
        <v>0</v>
      </c>
      <c r="CR266" s="1">
        <f t="shared" si="218"/>
        <v>0</v>
      </c>
      <c r="CS266" s="1">
        <f t="shared" si="219"/>
        <v>0</v>
      </c>
      <c r="CT266" s="1">
        <f t="shared" si="220"/>
        <v>0</v>
      </c>
      <c r="CU266" s="2">
        <f t="shared" si="221"/>
        <v>0</v>
      </c>
      <c r="CV266" s="14">
        <f t="shared" si="222"/>
        <v>0</v>
      </c>
      <c r="CW266" s="1">
        <f>ROUND(PPTest!K266,1)</f>
        <v>0</v>
      </c>
      <c r="CX266" s="3">
        <f t="shared" si="204"/>
        <v>0</v>
      </c>
      <c r="CY266" s="3">
        <f t="shared" si="223"/>
        <v>0</v>
      </c>
      <c r="CZ266" s="19">
        <f t="shared" si="224"/>
        <v>0</v>
      </c>
      <c r="DA266" s="19" t="e">
        <f t="shared" si="224"/>
        <v>#DIV/0!</v>
      </c>
      <c r="DB266" s="16">
        <f t="shared" si="225"/>
        <v>0</v>
      </c>
    </row>
    <row r="267" spans="1:106" x14ac:dyDescent="0.2">
      <c r="A267" s="15">
        <f t="shared" si="226"/>
        <v>45919</v>
      </c>
      <c r="B267" s="1">
        <v>262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4"/>
      <c r="AY267" s="12"/>
      <c r="AZ267" s="14"/>
      <c r="BA267" s="16">
        <v>18.149999999999999</v>
      </c>
      <c r="BB267" s="41"/>
      <c r="BC267" s="41"/>
      <c r="BD267" s="8" t="e">
        <f t="shared" si="185"/>
        <v>#DIV/0!</v>
      </c>
      <c r="BE267" s="8"/>
      <c r="BF267" s="2">
        <f t="shared" si="205"/>
        <v>0</v>
      </c>
      <c r="BG267" s="2">
        <f t="shared" si="206"/>
        <v>0</v>
      </c>
      <c r="BH267" s="2">
        <f t="shared" si="207"/>
        <v>0</v>
      </c>
      <c r="BI267" s="35">
        <f t="shared" si="184"/>
        <v>0</v>
      </c>
      <c r="BJ267" s="35" t="e">
        <f t="shared" si="186"/>
        <v>#DIV/0!</v>
      </c>
      <c r="BK267" s="3"/>
      <c r="BL267" s="3">
        <f t="shared" si="187"/>
        <v>0</v>
      </c>
      <c r="BM267" s="19" t="e">
        <f t="shared" si="188"/>
        <v>#DIV/0!</v>
      </c>
      <c r="BN267" s="19" t="e">
        <f t="shared" si="189"/>
        <v>#DIV/0!</v>
      </c>
      <c r="BO267" s="19" t="e">
        <f t="shared" si="190"/>
        <v>#DIV/0!</v>
      </c>
      <c r="BP267" s="19" t="e">
        <f t="shared" si="191"/>
        <v>#DIV/0!</v>
      </c>
      <c r="BQ267" s="19" t="e">
        <f t="shared" si="192"/>
        <v>#DIV/0!</v>
      </c>
      <c r="BR267" s="19" t="e">
        <f t="shared" si="193"/>
        <v>#DIV/0!</v>
      </c>
      <c r="BS267" s="19" t="e">
        <f t="shared" si="194"/>
        <v>#DIV/0!</v>
      </c>
      <c r="BT267" s="19" t="e">
        <f t="shared" si="195"/>
        <v>#DIV/0!</v>
      </c>
      <c r="BV267" s="16">
        <f t="shared" si="196"/>
        <v>0</v>
      </c>
      <c r="BW267" s="16">
        <f t="shared" si="197"/>
        <v>0</v>
      </c>
      <c r="BX267" s="3">
        <f t="shared" si="198"/>
        <v>0</v>
      </c>
      <c r="BY267" s="3">
        <f t="shared" si="227"/>
        <v>0</v>
      </c>
      <c r="BZ267" s="3" t="s">
        <v>162</v>
      </c>
      <c r="CA267" s="3">
        <f t="shared" si="199"/>
        <v>0</v>
      </c>
      <c r="CB267" s="3">
        <f t="shared" si="200"/>
        <v>0</v>
      </c>
      <c r="CC267" s="3">
        <f t="shared" si="201"/>
        <v>0</v>
      </c>
      <c r="CD267" s="3">
        <f t="shared" si="202"/>
        <v>0</v>
      </c>
      <c r="CE267" s="22">
        <f t="shared" si="208"/>
        <v>0</v>
      </c>
      <c r="CF267" s="1">
        <f t="shared" si="203"/>
        <v>0</v>
      </c>
      <c r="CG267" s="1">
        <f t="shared" si="209"/>
        <v>0</v>
      </c>
      <c r="CH267" s="3" t="s">
        <v>162</v>
      </c>
      <c r="CI267" s="1">
        <f t="shared" si="210"/>
        <v>0</v>
      </c>
      <c r="CJ267" s="1">
        <f t="shared" si="211"/>
        <v>0</v>
      </c>
      <c r="CK267" s="1">
        <f t="shared" si="212"/>
        <v>0</v>
      </c>
      <c r="CL267" s="1">
        <f t="shared" si="213"/>
        <v>0</v>
      </c>
      <c r="CM267" s="2">
        <f t="shared" si="214"/>
        <v>0</v>
      </c>
      <c r="CN267" s="1">
        <f t="shared" si="215"/>
        <v>0</v>
      </c>
      <c r="CO267" s="1">
        <f t="shared" si="216"/>
        <v>0</v>
      </c>
      <c r="CP267" s="3" t="s">
        <v>162</v>
      </c>
      <c r="CQ267" s="1">
        <f t="shared" si="217"/>
        <v>0</v>
      </c>
      <c r="CR267" s="1">
        <f t="shared" si="218"/>
        <v>0</v>
      </c>
      <c r="CS267" s="1">
        <f t="shared" si="219"/>
        <v>0</v>
      </c>
      <c r="CT267" s="1">
        <f t="shared" si="220"/>
        <v>0</v>
      </c>
      <c r="CU267" s="2">
        <f t="shared" si="221"/>
        <v>0</v>
      </c>
      <c r="CV267" s="14">
        <f t="shared" si="222"/>
        <v>0</v>
      </c>
      <c r="CW267" s="1">
        <f>ROUND(PPTest!K267,1)</f>
        <v>0</v>
      </c>
      <c r="CX267" s="3">
        <f t="shared" si="204"/>
        <v>0</v>
      </c>
      <c r="CY267" s="3">
        <f t="shared" si="223"/>
        <v>0</v>
      </c>
      <c r="CZ267" s="19">
        <f t="shared" si="224"/>
        <v>0</v>
      </c>
      <c r="DA267" s="19" t="e">
        <f t="shared" si="224"/>
        <v>#DIV/0!</v>
      </c>
      <c r="DB267" s="16">
        <f t="shared" si="225"/>
        <v>0</v>
      </c>
    </row>
    <row r="268" spans="1:106" x14ac:dyDescent="0.2">
      <c r="A268" s="15">
        <f t="shared" si="226"/>
        <v>45920</v>
      </c>
      <c r="B268" s="1">
        <v>263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4"/>
      <c r="AY268" s="12"/>
      <c r="AZ268" s="14"/>
      <c r="BA268" s="16">
        <v>17.89</v>
      </c>
      <c r="BB268" s="41"/>
      <c r="BC268" s="41"/>
      <c r="BD268" s="8" t="e">
        <f t="shared" si="185"/>
        <v>#DIV/0!</v>
      </c>
      <c r="BE268" s="8"/>
      <c r="BF268" s="2">
        <f t="shared" si="205"/>
        <v>0</v>
      </c>
      <c r="BG268" s="2">
        <f t="shared" si="206"/>
        <v>0</v>
      </c>
      <c r="BH268" s="2">
        <f t="shared" si="207"/>
        <v>0</v>
      </c>
      <c r="BI268" s="35">
        <f t="shared" si="184"/>
        <v>0</v>
      </c>
      <c r="BJ268" s="35" t="e">
        <f t="shared" si="186"/>
        <v>#DIV/0!</v>
      </c>
      <c r="BK268" s="3"/>
      <c r="BL268" s="3">
        <f t="shared" si="187"/>
        <v>0</v>
      </c>
      <c r="BM268" s="19" t="e">
        <f t="shared" si="188"/>
        <v>#DIV/0!</v>
      </c>
      <c r="BN268" s="19" t="e">
        <f t="shared" si="189"/>
        <v>#DIV/0!</v>
      </c>
      <c r="BO268" s="19" t="e">
        <f t="shared" si="190"/>
        <v>#DIV/0!</v>
      </c>
      <c r="BP268" s="19" t="e">
        <f t="shared" si="191"/>
        <v>#DIV/0!</v>
      </c>
      <c r="BQ268" s="19" t="e">
        <f t="shared" si="192"/>
        <v>#DIV/0!</v>
      </c>
      <c r="BR268" s="19" t="e">
        <f t="shared" si="193"/>
        <v>#DIV/0!</v>
      </c>
      <c r="BS268" s="19" t="e">
        <f t="shared" si="194"/>
        <v>#DIV/0!</v>
      </c>
      <c r="BT268" s="19" t="e">
        <f t="shared" si="195"/>
        <v>#DIV/0!</v>
      </c>
      <c r="BV268" s="16">
        <f t="shared" si="196"/>
        <v>0</v>
      </c>
      <c r="BW268" s="16">
        <f t="shared" si="197"/>
        <v>0</v>
      </c>
      <c r="BX268" s="3">
        <f t="shared" si="198"/>
        <v>0</v>
      </c>
      <c r="BY268" s="3">
        <f t="shared" si="227"/>
        <v>0</v>
      </c>
      <c r="BZ268" s="3" t="s">
        <v>162</v>
      </c>
      <c r="CA268" s="3">
        <f t="shared" si="199"/>
        <v>0</v>
      </c>
      <c r="CB268" s="3">
        <f t="shared" si="200"/>
        <v>0</v>
      </c>
      <c r="CC268" s="3">
        <f t="shared" si="201"/>
        <v>0</v>
      </c>
      <c r="CD268" s="3">
        <f t="shared" si="202"/>
        <v>0</v>
      </c>
      <c r="CE268" s="22">
        <f t="shared" si="208"/>
        <v>0</v>
      </c>
      <c r="CF268" s="1">
        <f t="shared" si="203"/>
        <v>0</v>
      </c>
      <c r="CG268" s="1">
        <f t="shared" si="209"/>
        <v>0</v>
      </c>
      <c r="CH268" s="3" t="s">
        <v>162</v>
      </c>
      <c r="CI268" s="1">
        <f t="shared" si="210"/>
        <v>0</v>
      </c>
      <c r="CJ268" s="1">
        <f t="shared" si="211"/>
        <v>0</v>
      </c>
      <c r="CK268" s="1">
        <f t="shared" si="212"/>
        <v>0</v>
      </c>
      <c r="CL268" s="1">
        <f t="shared" si="213"/>
        <v>0</v>
      </c>
      <c r="CM268" s="2">
        <f t="shared" si="214"/>
        <v>0</v>
      </c>
      <c r="CN268" s="1">
        <f t="shared" si="215"/>
        <v>0</v>
      </c>
      <c r="CO268" s="1">
        <f t="shared" si="216"/>
        <v>0</v>
      </c>
      <c r="CP268" s="3" t="s">
        <v>162</v>
      </c>
      <c r="CQ268" s="1">
        <f t="shared" si="217"/>
        <v>0</v>
      </c>
      <c r="CR268" s="1">
        <f t="shared" si="218"/>
        <v>0</v>
      </c>
      <c r="CS268" s="1">
        <f t="shared" si="219"/>
        <v>0</v>
      </c>
      <c r="CT268" s="1">
        <f t="shared" si="220"/>
        <v>0</v>
      </c>
      <c r="CU268" s="2">
        <f t="shared" si="221"/>
        <v>0</v>
      </c>
      <c r="CV268" s="14">
        <f t="shared" si="222"/>
        <v>0</v>
      </c>
      <c r="CW268" s="1">
        <f>ROUND(PPTest!K268,1)</f>
        <v>0</v>
      </c>
      <c r="CX268" s="3">
        <f t="shared" si="204"/>
        <v>0</v>
      </c>
      <c r="CY268" s="3">
        <f t="shared" si="223"/>
        <v>0</v>
      </c>
      <c r="CZ268" s="19">
        <f t="shared" si="224"/>
        <v>0</v>
      </c>
      <c r="DA268" s="19" t="e">
        <f t="shared" si="224"/>
        <v>#DIV/0!</v>
      </c>
      <c r="DB268" s="16">
        <f t="shared" si="225"/>
        <v>0</v>
      </c>
    </row>
    <row r="269" spans="1:106" x14ac:dyDescent="0.2">
      <c r="A269" s="15">
        <f t="shared" si="226"/>
        <v>45921</v>
      </c>
      <c r="B269" s="1">
        <v>264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4"/>
      <c r="AY269" s="12"/>
      <c r="AZ269" s="14"/>
      <c r="BA269" s="16">
        <v>17.64</v>
      </c>
      <c r="BB269" s="41"/>
      <c r="BC269" s="41"/>
      <c r="BD269" s="8" t="e">
        <f t="shared" si="185"/>
        <v>#DIV/0!</v>
      </c>
      <c r="BE269" s="8"/>
      <c r="BF269" s="2">
        <f t="shared" si="205"/>
        <v>0</v>
      </c>
      <c r="BG269" s="2">
        <f t="shared" si="206"/>
        <v>0</v>
      </c>
      <c r="BH269" s="2">
        <f t="shared" si="207"/>
        <v>0</v>
      </c>
      <c r="BI269" s="35">
        <f t="shared" si="184"/>
        <v>0</v>
      </c>
      <c r="BJ269" s="35" t="e">
        <f t="shared" si="186"/>
        <v>#DIV/0!</v>
      </c>
      <c r="BK269" s="3"/>
      <c r="BL269" s="3">
        <f t="shared" si="187"/>
        <v>0</v>
      </c>
      <c r="BM269" s="19" t="e">
        <f t="shared" si="188"/>
        <v>#DIV/0!</v>
      </c>
      <c r="BN269" s="19" t="e">
        <f t="shared" si="189"/>
        <v>#DIV/0!</v>
      </c>
      <c r="BO269" s="19" t="e">
        <f t="shared" si="190"/>
        <v>#DIV/0!</v>
      </c>
      <c r="BP269" s="19" t="e">
        <f t="shared" si="191"/>
        <v>#DIV/0!</v>
      </c>
      <c r="BQ269" s="19" t="e">
        <f t="shared" si="192"/>
        <v>#DIV/0!</v>
      </c>
      <c r="BR269" s="19" t="e">
        <f t="shared" si="193"/>
        <v>#DIV/0!</v>
      </c>
      <c r="BS269" s="19" t="e">
        <f t="shared" si="194"/>
        <v>#DIV/0!</v>
      </c>
      <c r="BT269" s="19" t="e">
        <f t="shared" si="195"/>
        <v>#DIV/0!</v>
      </c>
      <c r="BV269" s="16">
        <f t="shared" si="196"/>
        <v>0</v>
      </c>
      <c r="BW269" s="16">
        <f t="shared" si="197"/>
        <v>0</v>
      </c>
      <c r="BX269" s="3">
        <f t="shared" si="198"/>
        <v>0</v>
      </c>
      <c r="BY269" s="3">
        <f t="shared" si="227"/>
        <v>0</v>
      </c>
      <c r="BZ269" s="3" t="s">
        <v>162</v>
      </c>
      <c r="CA269" s="3">
        <f t="shared" si="199"/>
        <v>0</v>
      </c>
      <c r="CB269" s="3">
        <f t="shared" si="200"/>
        <v>0</v>
      </c>
      <c r="CC269" s="3">
        <f t="shared" si="201"/>
        <v>0</v>
      </c>
      <c r="CD269" s="3">
        <f t="shared" si="202"/>
        <v>0</v>
      </c>
      <c r="CE269" s="22">
        <f t="shared" si="208"/>
        <v>0</v>
      </c>
      <c r="CF269" s="1">
        <f t="shared" si="203"/>
        <v>0</v>
      </c>
      <c r="CG269" s="1">
        <f t="shared" si="209"/>
        <v>0</v>
      </c>
      <c r="CH269" s="3" t="s">
        <v>162</v>
      </c>
      <c r="CI269" s="1">
        <f t="shared" si="210"/>
        <v>0</v>
      </c>
      <c r="CJ269" s="1">
        <f t="shared" si="211"/>
        <v>0</v>
      </c>
      <c r="CK269" s="1">
        <f t="shared" si="212"/>
        <v>0</v>
      </c>
      <c r="CL269" s="1">
        <f t="shared" si="213"/>
        <v>0</v>
      </c>
      <c r="CM269" s="2">
        <f t="shared" si="214"/>
        <v>0</v>
      </c>
      <c r="CN269" s="1">
        <f t="shared" si="215"/>
        <v>0</v>
      </c>
      <c r="CO269" s="1">
        <f t="shared" si="216"/>
        <v>0</v>
      </c>
      <c r="CP269" s="3" t="s">
        <v>162</v>
      </c>
      <c r="CQ269" s="1">
        <f t="shared" si="217"/>
        <v>0</v>
      </c>
      <c r="CR269" s="1">
        <f t="shared" si="218"/>
        <v>0</v>
      </c>
      <c r="CS269" s="1">
        <f t="shared" si="219"/>
        <v>0</v>
      </c>
      <c r="CT269" s="1">
        <f t="shared" si="220"/>
        <v>0</v>
      </c>
      <c r="CU269" s="2">
        <f t="shared" si="221"/>
        <v>0</v>
      </c>
      <c r="CV269" s="14">
        <f t="shared" si="222"/>
        <v>0</v>
      </c>
      <c r="CW269" s="1">
        <f>ROUND(PPTest!K269,1)</f>
        <v>0</v>
      </c>
      <c r="CX269" s="3">
        <f t="shared" si="204"/>
        <v>0</v>
      </c>
      <c r="CY269" s="3">
        <f t="shared" si="223"/>
        <v>0</v>
      </c>
      <c r="CZ269" s="19">
        <f t="shared" si="224"/>
        <v>0</v>
      </c>
      <c r="DA269" s="19" t="e">
        <f t="shared" si="224"/>
        <v>#DIV/0!</v>
      </c>
      <c r="DB269" s="16">
        <f t="shared" si="225"/>
        <v>0</v>
      </c>
    </row>
    <row r="270" spans="1:106" x14ac:dyDescent="0.2">
      <c r="A270" s="15">
        <f t="shared" si="226"/>
        <v>45922</v>
      </c>
      <c r="B270" s="1">
        <v>265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4"/>
      <c r="AY270" s="12"/>
      <c r="AZ270" s="14"/>
      <c r="BA270" s="16">
        <v>17.38</v>
      </c>
      <c r="BB270" s="41"/>
      <c r="BC270" s="41"/>
      <c r="BD270" s="8" t="e">
        <f t="shared" si="185"/>
        <v>#DIV/0!</v>
      </c>
      <c r="BE270" s="8"/>
      <c r="BF270" s="2">
        <f t="shared" si="205"/>
        <v>0</v>
      </c>
      <c r="BG270" s="2">
        <f t="shared" si="206"/>
        <v>0</v>
      </c>
      <c r="BH270" s="2">
        <f t="shared" si="207"/>
        <v>0</v>
      </c>
      <c r="BI270" s="35">
        <f t="shared" si="184"/>
        <v>0</v>
      </c>
      <c r="BJ270" s="35" t="e">
        <f t="shared" si="186"/>
        <v>#DIV/0!</v>
      </c>
      <c r="BK270" s="3"/>
      <c r="BL270" s="3">
        <f t="shared" si="187"/>
        <v>0</v>
      </c>
      <c r="BM270" s="19" t="e">
        <f t="shared" si="188"/>
        <v>#DIV/0!</v>
      </c>
      <c r="BN270" s="19" t="e">
        <f t="shared" si="189"/>
        <v>#DIV/0!</v>
      </c>
      <c r="BO270" s="19" t="e">
        <f t="shared" si="190"/>
        <v>#DIV/0!</v>
      </c>
      <c r="BP270" s="19" t="e">
        <f t="shared" si="191"/>
        <v>#DIV/0!</v>
      </c>
      <c r="BQ270" s="19" t="e">
        <f t="shared" si="192"/>
        <v>#DIV/0!</v>
      </c>
      <c r="BR270" s="19" t="e">
        <f t="shared" si="193"/>
        <v>#DIV/0!</v>
      </c>
      <c r="BS270" s="19" t="e">
        <f t="shared" si="194"/>
        <v>#DIV/0!</v>
      </c>
      <c r="BT270" s="19" t="e">
        <f t="shared" si="195"/>
        <v>#DIV/0!</v>
      </c>
      <c r="BV270" s="16">
        <f t="shared" si="196"/>
        <v>0</v>
      </c>
      <c r="BW270" s="16">
        <f t="shared" si="197"/>
        <v>0</v>
      </c>
      <c r="BX270" s="3">
        <f t="shared" si="198"/>
        <v>0</v>
      </c>
      <c r="BY270" s="3">
        <f t="shared" si="227"/>
        <v>0</v>
      </c>
      <c r="BZ270" s="3" t="s">
        <v>162</v>
      </c>
      <c r="CA270" s="3">
        <f t="shared" si="199"/>
        <v>0</v>
      </c>
      <c r="CB270" s="3">
        <f t="shared" si="200"/>
        <v>0</v>
      </c>
      <c r="CC270" s="3">
        <f t="shared" si="201"/>
        <v>0</v>
      </c>
      <c r="CD270" s="3">
        <f t="shared" si="202"/>
        <v>0</v>
      </c>
      <c r="CE270" s="22">
        <f t="shared" si="208"/>
        <v>0</v>
      </c>
      <c r="CF270" s="1">
        <f t="shared" si="203"/>
        <v>0</v>
      </c>
      <c r="CG270" s="1">
        <f t="shared" si="209"/>
        <v>0</v>
      </c>
      <c r="CH270" s="3" t="s">
        <v>162</v>
      </c>
      <c r="CI270" s="1">
        <f t="shared" si="210"/>
        <v>0</v>
      </c>
      <c r="CJ270" s="1">
        <f t="shared" si="211"/>
        <v>0</v>
      </c>
      <c r="CK270" s="1">
        <f t="shared" si="212"/>
        <v>0</v>
      </c>
      <c r="CL270" s="1">
        <f t="shared" si="213"/>
        <v>0</v>
      </c>
      <c r="CM270" s="2">
        <f t="shared" si="214"/>
        <v>0</v>
      </c>
      <c r="CN270" s="1">
        <f t="shared" si="215"/>
        <v>0</v>
      </c>
      <c r="CO270" s="1">
        <f t="shared" si="216"/>
        <v>0</v>
      </c>
      <c r="CP270" s="3" t="s">
        <v>162</v>
      </c>
      <c r="CQ270" s="1">
        <f t="shared" si="217"/>
        <v>0</v>
      </c>
      <c r="CR270" s="1">
        <f t="shared" si="218"/>
        <v>0</v>
      </c>
      <c r="CS270" s="1">
        <f t="shared" si="219"/>
        <v>0</v>
      </c>
      <c r="CT270" s="1">
        <f t="shared" si="220"/>
        <v>0</v>
      </c>
      <c r="CU270" s="2">
        <f t="shared" si="221"/>
        <v>0</v>
      </c>
      <c r="CV270" s="14">
        <f t="shared" si="222"/>
        <v>0</v>
      </c>
      <c r="CW270" s="1">
        <f>ROUND(PPTest!K270,1)</f>
        <v>0</v>
      </c>
      <c r="CX270" s="3">
        <f t="shared" si="204"/>
        <v>0</v>
      </c>
      <c r="CY270" s="3">
        <f t="shared" si="223"/>
        <v>0</v>
      </c>
      <c r="CZ270" s="19">
        <f t="shared" si="224"/>
        <v>0</v>
      </c>
      <c r="DA270" s="19" t="e">
        <f t="shared" si="224"/>
        <v>#DIV/0!</v>
      </c>
      <c r="DB270" s="16">
        <f t="shared" si="225"/>
        <v>0</v>
      </c>
    </row>
    <row r="271" spans="1:106" x14ac:dyDescent="0.2">
      <c r="A271" s="15">
        <f t="shared" si="226"/>
        <v>45923</v>
      </c>
      <c r="B271" s="1">
        <v>266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4"/>
      <c r="AY271" s="12"/>
      <c r="AZ271" s="14"/>
      <c r="BA271" s="16">
        <v>17.13</v>
      </c>
      <c r="BB271" s="41"/>
      <c r="BC271" s="41"/>
      <c r="BD271" s="8" t="e">
        <f t="shared" si="185"/>
        <v>#DIV/0!</v>
      </c>
      <c r="BE271" s="8"/>
      <c r="BF271" s="2">
        <f t="shared" si="205"/>
        <v>0</v>
      </c>
      <c r="BG271" s="2">
        <f t="shared" si="206"/>
        <v>0</v>
      </c>
      <c r="BH271" s="2">
        <f t="shared" si="207"/>
        <v>0</v>
      </c>
      <c r="BI271" s="35">
        <f t="shared" si="184"/>
        <v>0</v>
      </c>
      <c r="BJ271" s="35" t="e">
        <f t="shared" si="186"/>
        <v>#DIV/0!</v>
      </c>
      <c r="BK271" s="3"/>
      <c r="BL271" s="3">
        <f t="shared" si="187"/>
        <v>0</v>
      </c>
      <c r="BM271" s="19" t="e">
        <f t="shared" si="188"/>
        <v>#DIV/0!</v>
      </c>
      <c r="BN271" s="19" t="e">
        <f t="shared" si="189"/>
        <v>#DIV/0!</v>
      </c>
      <c r="BO271" s="19" t="e">
        <f t="shared" si="190"/>
        <v>#DIV/0!</v>
      </c>
      <c r="BP271" s="19" t="e">
        <f t="shared" si="191"/>
        <v>#DIV/0!</v>
      </c>
      <c r="BQ271" s="19" t="e">
        <f t="shared" si="192"/>
        <v>#DIV/0!</v>
      </c>
      <c r="BR271" s="19" t="e">
        <f t="shared" si="193"/>
        <v>#DIV/0!</v>
      </c>
      <c r="BS271" s="19" t="e">
        <f t="shared" si="194"/>
        <v>#DIV/0!</v>
      </c>
      <c r="BT271" s="19" t="e">
        <f t="shared" si="195"/>
        <v>#DIV/0!</v>
      </c>
      <c r="BV271" s="16">
        <f t="shared" si="196"/>
        <v>0</v>
      </c>
      <c r="BW271" s="16">
        <f t="shared" si="197"/>
        <v>0</v>
      </c>
      <c r="BX271" s="3">
        <f t="shared" si="198"/>
        <v>0</v>
      </c>
      <c r="BY271" s="3">
        <f t="shared" si="227"/>
        <v>0</v>
      </c>
      <c r="BZ271" s="3" t="s">
        <v>162</v>
      </c>
      <c r="CA271" s="3">
        <f t="shared" si="199"/>
        <v>0</v>
      </c>
      <c r="CB271" s="3">
        <f t="shared" si="200"/>
        <v>0</v>
      </c>
      <c r="CC271" s="3">
        <f t="shared" si="201"/>
        <v>0</v>
      </c>
      <c r="CD271" s="3">
        <f t="shared" si="202"/>
        <v>0</v>
      </c>
      <c r="CE271" s="22">
        <f t="shared" si="208"/>
        <v>0</v>
      </c>
      <c r="CF271" s="1">
        <f t="shared" si="203"/>
        <v>0</v>
      </c>
      <c r="CG271" s="1">
        <f t="shared" si="209"/>
        <v>0</v>
      </c>
      <c r="CH271" s="3" t="s">
        <v>162</v>
      </c>
      <c r="CI271" s="1">
        <f t="shared" si="210"/>
        <v>0</v>
      </c>
      <c r="CJ271" s="1">
        <f t="shared" si="211"/>
        <v>0</v>
      </c>
      <c r="CK271" s="1">
        <f t="shared" si="212"/>
        <v>0</v>
      </c>
      <c r="CL271" s="1">
        <f t="shared" si="213"/>
        <v>0</v>
      </c>
      <c r="CM271" s="2">
        <f t="shared" si="214"/>
        <v>0</v>
      </c>
      <c r="CN271" s="1">
        <f t="shared" si="215"/>
        <v>0</v>
      </c>
      <c r="CO271" s="1">
        <f t="shared" si="216"/>
        <v>0</v>
      </c>
      <c r="CP271" s="3" t="s">
        <v>162</v>
      </c>
      <c r="CQ271" s="1">
        <f t="shared" si="217"/>
        <v>0</v>
      </c>
      <c r="CR271" s="1">
        <f t="shared" si="218"/>
        <v>0</v>
      </c>
      <c r="CS271" s="1">
        <f t="shared" si="219"/>
        <v>0</v>
      </c>
      <c r="CT271" s="1">
        <f t="shared" si="220"/>
        <v>0</v>
      </c>
      <c r="CU271" s="2">
        <f t="shared" si="221"/>
        <v>0</v>
      </c>
      <c r="CV271" s="14">
        <f t="shared" si="222"/>
        <v>0</v>
      </c>
      <c r="CW271" s="1">
        <f>ROUND(PPTest!K271,1)</f>
        <v>0</v>
      </c>
      <c r="CX271" s="3">
        <f t="shared" si="204"/>
        <v>0</v>
      </c>
      <c r="CY271" s="3">
        <f t="shared" si="223"/>
        <v>0</v>
      </c>
      <c r="CZ271" s="19">
        <f t="shared" si="224"/>
        <v>0</v>
      </c>
      <c r="DA271" s="19" t="e">
        <f t="shared" si="224"/>
        <v>#DIV/0!</v>
      </c>
      <c r="DB271" s="16">
        <f t="shared" si="225"/>
        <v>0</v>
      </c>
    </row>
    <row r="272" spans="1:106" x14ac:dyDescent="0.2">
      <c r="A272" s="15">
        <f t="shared" si="226"/>
        <v>45924</v>
      </c>
      <c r="B272" s="1">
        <v>267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4"/>
      <c r="AY272" s="12"/>
      <c r="AZ272" s="14"/>
      <c r="BA272" s="16">
        <v>16.87</v>
      </c>
      <c r="BB272" s="41"/>
      <c r="BC272" s="41"/>
      <c r="BD272" s="8" t="e">
        <f t="shared" si="185"/>
        <v>#DIV/0!</v>
      </c>
      <c r="BE272" s="8"/>
      <c r="BF272" s="2">
        <f t="shared" si="205"/>
        <v>0</v>
      </c>
      <c r="BG272" s="2">
        <f t="shared" si="206"/>
        <v>0</v>
      </c>
      <c r="BH272" s="2">
        <f t="shared" si="207"/>
        <v>0</v>
      </c>
      <c r="BI272" s="35">
        <f t="shared" si="184"/>
        <v>0</v>
      </c>
      <c r="BJ272" s="35" t="e">
        <f t="shared" si="186"/>
        <v>#DIV/0!</v>
      </c>
      <c r="BK272" s="3"/>
      <c r="BL272" s="3">
        <f t="shared" si="187"/>
        <v>0</v>
      </c>
      <c r="BM272" s="19" t="e">
        <f t="shared" si="188"/>
        <v>#DIV/0!</v>
      </c>
      <c r="BN272" s="19" t="e">
        <f t="shared" si="189"/>
        <v>#DIV/0!</v>
      </c>
      <c r="BO272" s="19" t="e">
        <f t="shared" si="190"/>
        <v>#DIV/0!</v>
      </c>
      <c r="BP272" s="19" t="e">
        <f t="shared" si="191"/>
        <v>#DIV/0!</v>
      </c>
      <c r="BQ272" s="19" t="e">
        <f t="shared" si="192"/>
        <v>#DIV/0!</v>
      </c>
      <c r="BR272" s="19" t="e">
        <f t="shared" si="193"/>
        <v>#DIV/0!</v>
      </c>
      <c r="BS272" s="19" t="e">
        <f t="shared" si="194"/>
        <v>#DIV/0!</v>
      </c>
      <c r="BT272" s="19" t="e">
        <f t="shared" si="195"/>
        <v>#DIV/0!</v>
      </c>
      <c r="BV272" s="16">
        <f t="shared" si="196"/>
        <v>0</v>
      </c>
      <c r="BW272" s="16">
        <f t="shared" si="197"/>
        <v>0</v>
      </c>
      <c r="BX272" s="3">
        <f t="shared" si="198"/>
        <v>0</v>
      </c>
      <c r="BY272" s="3">
        <f t="shared" si="227"/>
        <v>0</v>
      </c>
      <c r="BZ272" s="3" t="s">
        <v>162</v>
      </c>
      <c r="CA272" s="3">
        <f t="shared" si="199"/>
        <v>0</v>
      </c>
      <c r="CB272" s="3">
        <f t="shared" si="200"/>
        <v>0</v>
      </c>
      <c r="CC272" s="3">
        <f t="shared" si="201"/>
        <v>0</v>
      </c>
      <c r="CD272" s="3">
        <f t="shared" si="202"/>
        <v>0</v>
      </c>
      <c r="CE272" s="22">
        <f t="shared" si="208"/>
        <v>0</v>
      </c>
      <c r="CF272" s="1">
        <f t="shared" si="203"/>
        <v>0</v>
      </c>
      <c r="CG272" s="1">
        <f t="shared" si="209"/>
        <v>0</v>
      </c>
      <c r="CH272" s="3" t="s">
        <v>162</v>
      </c>
      <c r="CI272" s="1">
        <f t="shared" si="210"/>
        <v>0</v>
      </c>
      <c r="CJ272" s="1">
        <f t="shared" si="211"/>
        <v>0</v>
      </c>
      <c r="CK272" s="1">
        <f t="shared" si="212"/>
        <v>0</v>
      </c>
      <c r="CL272" s="1">
        <f t="shared" si="213"/>
        <v>0</v>
      </c>
      <c r="CM272" s="2">
        <f t="shared" si="214"/>
        <v>0</v>
      </c>
      <c r="CN272" s="1">
        <f t="shared" si="215"/>
        <v>0</v>
      </c>
      <c r="CO272" s="1">
        <f t="shared" si="216"/>
        <v>0</v>
      </c>
      <c r="CP272" s="3" t="s">
        <v>162</v>
      </c>
      <c r="CQ272" s="1">
        <f t="shared" si="217"/>
        <v>0</v>
      </c>
      <c r="CR272" s="1">
        <f t="shared" si="218"/>
        <v>0</v>
      </c>
      <c r="CS272" s="1">
        <f t="shared" si="219"/>
        <v>0</v>
      </c>
      <c r="CT272" s="1">
        <f t="shared" si="220"/>
        <v>0</v>
      </c>
      <c r="CU272" s="2">
        <f t="shared" si="221"/>
        <v>0</v>
      </c>
      <c r="CV272" s="14">
        <f t="shared" si="222"/>
        <v>0</v>
      </c>
      <c r="CW272" s="1">
        <f>ROUND(PPTest!K272,1)</f>
        <v>0</v>
      </c>
      <c r="CX272" s="3">
        <f t="shared" si="204"/>
        <v>0</v>
      </c>
      <c r="CY272" s="3">
        <f t="shared" si="223"/>
        <v>0</v>
      </c>
      <c r="CZ272" s="19">
        <f t="shared" si="224"/>
        <v>0</v>
      </c>
      <c r="DA272" s="19" t="e">
        <f t="shared" si="224"/>
        <v>#DIV/0!</v>
      </c>
      <c r="DB272" s="16">
        <f t="shared" si="225"/>
        <v>0</v>
      </c>
    </row>
    <row r="273" spans="1:106" x14ac:dyDescent="0.2">
      <c r="A273" s="15">
        <f t="shared" si="226"/>
        <v>45925</v>
      </c>
      <c r="B273" s="1">
        <v>268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4"/>
      <c r="AY273" s="12"/>
      <c r="AZ273" s="14"/>
      <c r="BA273" s="16">
        <v>16.62</v>
      </c>
      <c r="BB273" s="41"/>
      <c r="BC273" s="41"/>
      <c r="BD273" s="8" t="e">
        <f t="shared" si="185"/>
        <v>#DIV/0!</v>
      </c>
      <c r="BE273" s="8"/>
      <c r="BF273" s="2">
        <f t="shared" si="205"/>
        <v>0</v>
      </c>
      <c r="BG273" s="2">
        <f t="shared" si="206"/>
        <v>0</v>
      </c>
      <c r="BH273" s="2">
        <f t="shared" si="207"/>
        <v>0</v>
      </c>
      <c r="BI273" s="35">
        <f t="shared" si="184"/>
        <v>0</v>
      </c>
      <c r="BJ273" s="35" t="e">
        <f t="shared" si="186"/>
        <v>#DIV/0!</v>
      </c>
      <c r="BK273" s="3"/>
      <c r="BL273" s="3">
        <f t="shared" si="187"/>
        <v>0</v>
      </c>
      <c r="BM273" s="19" t="e">
        <f t="shared" si="188"/>
        <v>#DIV/0!</v>
      </c>
      <c r="BN273" s="19" t="e">
        <f t="shared" si="189"/>
        <v>#DIV/0!</v>
      </c>
      <c r="BO273" s="19" t="e">
        <f t="shared" si="190"/>
        <v>#DIV/0!</v>
      </c>
      <c r="BP273" s="19" t="e">
        <f t="shared" si="191"/>
        <v>#DIV/0!</v>
      </c>
      <c r="BQ273" s="19" t="e">
        <f t="shared" si="192"/>
        <v>#DIV/0!</v>
      </c>
      <c r="BR273" s="19" t="e">
        <f t="shared" si="193"/>
        <v>#DIV/0!</v>
      </c>
      <c r="BS273" s="19" t="e">
        <f t="shared" si="194"/>
        <v>#DIV/0!</v>
      </c>
      <c r="BT273" s="19" t="e">
        <f t="shared" si="195"/>
        <v>#DIV/0!</v>
      </c>
      <c r="BV273" s="16">
        <f t="shared" si="196"/>
        <v>0</v>
      </c>
      <c r="BW273" s="16">
        <f t="shared" si="197"/>
        <v>0</v>
      </c>
      <c r="BX273" s="3">
        <f t="shared" si="198"/>
        <v>0</v>
      </c>
      <c r="BY273" s="3">
        <f t="shared" si="227"/>
        <v>0</v>
      </c>
      <c r="BZ273" s="3" t="s">
        <v>162</v>
      </c>
      <c r="CA273" s="3">
        <f t="shared" si="199"/>
        <v>0</v>
      </c>
      <c r="CB273" s="3">
        <f t="shared" si="200"/>
        <v>0</v>
      </c>
      <c r="CC273" s="3">
        <f t="shared" si="201"/>
        <v>0</v>
      </c>
      <c r="CD273" s="3">
        <f t="shared" si="202"/>
        <v>0</v>
      </c>
      <c r="CE273" s="22">
        <f t="shared" si="208"/>
        <v>0</v>
      </c>
      <c r="CF273" s="1">
        <f t="shared" si="203"/>
        <v>0</v>
      </c>
      <c r="CG273" s="1">
        <f t="shared" si="209"/>
        <v>0</v>
      </c>
      <c r="CH273" s="3" t="s">
        <v>162</v>
      </c>
      <c r="CI273" s="1">
        <f t="shared" si="210"/>
        <v>0</v>
      </c>
      <c r="CJ273" s="1">
        <f t="shared" si="211"/>
        <v>0</v>
      </c>
      <c r="CK273" s="1">
        <f t="shared" si="212"/>
        <v>0</v>
      </c>
      <c r="CL273" s="1">
        <f t="shared" si="213"/>
        <v>0</v>
      </c>
      <c r="CM273" s="2">
        <f t="shared" si="214"/>
        <v>0</v>
      </c>
      <c r="CN273" s="1">
        <f t="shared" si="215"/>
        <v>0</v>
      </c>
      <c r="CO273" s="1">
        <f t="shared" si="216"/>
        <v>0</v>
      </c>
      <c r="CP273" s="3" t="s">
        <v>162</v>
      </c>
      <c r="CQ273" s="1">
        <f t="shared" si="217"/>
        <v>0</v>
      </c>
      <c r="CR273" s="1">
        <f t="shared" si="218"/>
        <v>0</v>
      </c>
      <c r="CS273" s="1">
        <f t="shared" si="219"/>
        <v>0</v>
      </c>
      <c r="CT273" s="1">
        <f t="shared" si="220"/>
        <v>0</v>
      </c>
      <c r="CU273" s="2">
        <f t="shared" si="221"/>
        <v>0</v>
      </c>
      <c r="CV273" s="14">
        <f t="shared" si="222"/>
        <v>0</v>
      </c>
      <c r="CW273" s="1">
        <f>ROUND(PPTest!K273,1)</f>
        <v>0</v>
      </c>
      <c r="CX273" s="3">
        <f t="shared" si="204"/>
        <v>0</v>
      </c>
      <c r="CY273" s="3">
        <f t="shared" si="223"/>
        <v>0</v>
      </c>
      <c r="CZ273" s="19">
        <f t="shared" si="224"/>
        <v>0</v>
      </c>
      <c r="DA273" s="19" t="e">
        <f t="shared" si="224"/>
        <v>#DIV/0!</v>
      </c>
      <c r="DB273" s="16">
        <f t="shared" si="225"/>
        <v>0</v>
      </c>
    </row>
    <row r="274" spans="1:106" x14ac:dyDescent="0.2">
      <c r="A274" s="15">
        <f t="shared" si="226"/>
        <v>45926</v>
      </c>
      <c r="B274" s="1">
        <v>269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4"/>
      <c r="AY274" s="12"/>
      <c r="AZ274" s="14"/>
      <c r="BA274" s="16">
        <v>16.37</v>
      </c>
      <c r="BB274" s="41"/>
      <c r="BC274" s="41"/>
      <c r="BD274" s="8" t="e">
        <f t="shared" si="185"/>
        <v>#DIV/0!</v>
      </c>
      <c r="BE274" s="8"/>
      <c r="BF274" s="2">
        <f t="shared" si="205"/>
        <v>0</v>
      </c>
      <c r="BG274" s="2">
        <f t="shared" si="206"/>
        <v>0</v>
      </c>
      <c r="BH274" s="2">
        <f t="shared" si="207"/>
        <v>0</v>
      </c>
      <c r="BI274" s="35">
        <f t="shared" si="184"/>
        <v>0</v>
      </c>
      <c r="BJ274" s="35" t="e">
        <f t="shared" si="186"/>
        <v>#DIV/0!</v>
      </c>
      <c r="BK274" s="3"/>
      <c r="BL274" s="3">
        <f t="shared" si="187"/>
        <v>0</v>
      </c>
      <c r="BM274" s="19" t="e">
        <f t="shared" si="188"/>
        <v>#DIV/0!</v>
      </c>
      <c r="BN274" s="19" t="e">
        <f t="shared" si="189"/>
        <v>#DIV/0!</v>
      </c>
      <c r="BO274" s="19" t="e">
        <f t="shared" si="190"/>
        <v>#DIV/0!</v>
      </c>
      <c r="BP274" s="19" t="e">
        <f t="shared" si="191"/>
        <v>#DIV/0!</v>
      </c>
      <c r="BQ274" s="19" t="e">
        <f t="shared" si="192"/>
        <v>#DIV/0!</v>
      </c>
      <c r="BR274" s="19" t="e">
        <f t="shared" si="193"/>
        <v>#DIV/0!</v>
      </c>
      <c r="BS274" s="19" t="e">
        <f t="shared" si="194"/>
        <v>#DIV/0!</v>
      </c>
      <c r="BT274" s="19" t="e">
        <f t="shared" si="195"/>
        <v>#DIV/0!</v>
      </c>
      <c r="BV274" s="16">
        <f t="shared" si="196"/>
        <v>0</v>
      </c>
      <c r="BW274" s="16">
        <f t="shared" si="197"/>
        <v>0</v>
      </c>
      <c r="BX274" s="3">
        <f t="shared" si="198"/>
        <v>0</v>
      </c>
      <c r="BY274" s="3">
        <f t="shared" si="227"/>
        <v>0</v>
      </c>
      <c r="BZ274" s="3" t="s">
        <v>162</v>
      </c>
      <c r="CA274" s="3">
        <f t="shared" si="199"/>
        <v>0</v>
      </c>
      <c r="CB274" s="3">
        <f t="shared" si="200"/>
        <v>0</v>
      </c>
      <c r="CC274" s="3">
        <f t="shared" si="201"/>
        <v>0</v>
      </c>
      <c r="CD274" s="3">
        <f t="shared" si="202"/>
        <v>0</v>
      </c>
      <c r="CE274" s="22">
        <f t="shared" si="208"/>
        <v>0</v>
      </c>
      <c r="CF274" s="1">
        <f t="shared" si="203"/>
        <v>0</v>
      </c>
      <c r="CG274" s="1">
        <f t="shared" si="209"/>
        <v>0</v>
      </c>
      <c r="CH274" s="3" t="s">
        <v>162</v>
      </c>
      <c r="CI274" s="1">
        <f t="shared" si="210"/>
        <v>0</v>
      </c>
      <c r="CJ274" s="1">
        <f t="shared" si="211"/>
        <v>0</v>
      </c>
      <c r="CK274" s="1">
        <f t="shared" si="212"/>
        <v>0</v>
      </c>
      <c r="CL274" s="1">
        <f t="shared" si="213"/>
        <v>0</v>
      </c>
      <c r="CM274" s="2">
        <f t="shared" si="214"/>
        <v>0</v>
      </c>
      <c r="CN274" s="1">
        <f t="shared" si="215"/>
        <v>0</v>
      </c>
      <c r="CO274" s="1">
        <f t="shared" si="216"/>
        <v>0</v>
      </c>
      <c r="CP274" s="3" t="s">
        <v>162</v>
      </c>
      <c r="CQ274" s="1">
        <f t="shared" si="217"/>
        <v>0</v>
      </c>
      <c r="CR274" s="1">
        <f t="shared" si="218"/>
        <v>0</v>
      </c>
      <c r="CS274" s="1">
        <f t="shared" si="219"/>
        <v>0</v>
      </c>
      <c r="CT274" s="1">
        <f t="shared" si="220"/>
        <v>0</v>
      </c>
      <c r="CU274" s="2">
        <f t="shared" si="221"/>
        <v>0</v>
      </c>
      <c r="CV274" s="14">
        <f t="shared" si="222"/>
        <v>0</v>
      </c>
      <c r="CW274" s="1">
        <f>ROUND(PPTest!K274,1)</f>
        <v>0</v>
      </c>
      <c r="CX274" s="3">
        <f t="shared" si="204"/>
        <v>0</v>
      </c>
      <c r="CY274" s="3">
        <f t="shared" si="223"/>
        <v>0</v>
      </c>
      <c r="CZ274" s="19">
        <f t="shared" si="224"/>
        <v>0</v>
      </c>
      <c r="DA274" s="19" t="e">
        <f t="shared" si="224"/>
        <v>#DIV/0!</v>
      </c>
      <c r="DB274" s="16">
        <f t="shared" si="225"/>
        <v>0</v>
      </c>
    </row>
    <row r="275" spans="1:106" x14ac:dyDescent="0.2">
      <c r="A275" s="15">
        <f t="shared" si="226"/>
        <v>45927</v>
      </c>
      <c r="B275" s="1">
        <v>270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4"/>
      <c r="AY275" s="12"/>
      <c r="AZ275" s="14"/>
      <c r="BA275" s="16">
        <v>16.12</v>
      </c>
      <c r="BB275" s="41"/>
      <c r="BC275" s="41"/>
      <c r="BD275" s="8" t="e">
        <f t="shared" si="185"/>
        <v>#DIV/0!</v>
      </c>
      <c r="BE275" s="8"/>
      <c r="BF275" s="2">
        <f t="shared" si="205"/>
        <v>0</v>
      </c>
      <c r="BG275" s="2">
        <f t="shared" si="206"/>
        <v>0</v>
      </c>
      <c r="BH275" s="2">
        <f t="shared" si="207"/>
        <v>0</v>
      </c>
      <c r="BI275" s="35">
        <f t="shared" si="184"/>
        <v>0</v>
      </c>
      <c r="BJ275" s="35" t="e">
        <f t="shared" si="186"/>
        <v>#DIV/0!</v>
      </c>
      <c r="BK275" s="3"/>
      <c r="BL275" s="3">
        <f t="shared" si="187"/>
        <v>0</v>
      </c>
      <c r="BM275" s="19" t="e">
        <f t="shared" si="188"/>
        <v>#DIV/0!</v>
      </c>
      <c r="BN275" s="19" t="e">
        <f t="shared" si="189"/>
        <v>#DIV/0!</v>
      </c>
      <c r="BO275" s="19" t="e">
        <f t="shared" si="190"/>
        <v>#DIV/0!</v>
      </c>
      <c r="BP275" s="19" t="e">
        <f t="shared" si="191"/>
        <v>#DIV/0!</v>
      </c>
      <c r="BQ275" s="19" t="e">
        <f t="shared" si="192"/>
        <v>#DIV/0!</v>
      </c>
      <c r="BR275" s="19" t="e">
        <f t="shared" si="193"/>
        <v>#DIV/0!</v>
      </c>
      <c r="BS275" s="19" t="e">
        <f t="shared" si="194"/>
        <v>#DIV/0!</v>
      </c>
      <c r="BT275" s="19" t="e">
        <f t="shared" si="195"/>
        <v>#DIV/0!</v>
      </c>
      <c r="BV275" s="16">
        <f t="shared" si="196"/>
        <v>0</v>
      </c>
      <c r="BW275" s="16">
        <f t="shared" si="197"/>
        <v>0</v>
      </c>
      <c r="BX275" s="3">
        <f t="shared" si="198"/>
        <v>0</v>
      </c>
      <c r="BY275" s="3">
        <f t="shared" si="227"/>
        <v>0</v>
      </c>
      <c r="BZ275" s="3" t="s">
        <v>162</v>
      </c>
      <c r="CA275" s="3">
        <f t="shared" si="199"/>
        <v>0</v>
      </c>
      <c r="CB275" s="3">
        <f t="shared" si="200"/>
        <v>0</v>
      </c>
      <c r="CC275" s="3">
        <f t="shared" si="201"/>
        <v>0</v>
      </c>
      <c r="CD275" s="3">
        <f t="shared" si="202"/>
        <v>0</v>
      </c>
      <c r="CE275" s="22">
        <f t="shared" si="208"/>
        <v>0</v>
      </c>
      <c r="CF275" s="1">
        <f t="shared" si="203"/>
        <v>0</v>
      </c>
      <c r="CG275" s="1">
        <f t="shared" si="209"/>
        <v>0</v>
      </c>
      <c r="CH275" s="3" t="s">
        <v>162</v>
      </c>
      <c r="CI275" s="1">
        <f t="shared" si="210"/>
        <v>0</v>
      </c>
      <c r="CJ275" s="1">
        <f t="shared" si="211"/>
        <v>0</v>
      </c>
      <c r="CK275" s="1">
        <f t="shared" si="212"/>
        <v>0</v>
      </c>
      <c r="CL275" s="1">
        <f t="shared" si="213"/>
        <v>0</v>
      </c>
      <c r="CM275" s="2">
        <f t="shared" si="214"/>
        <v>0</v>
      </c>
      <c r="CN275" s="1">
        <f t="shared" si="215"/>
        <v>0</v>
      </c>
      <c r="CO275" s="1">
        <f t="shared" si="216"/>
        <v>0</v>
      </c>
      <c r="CP275" s="3" t="s">
        <v>162</v>
      </c>
      <c r="CQ275" s="1">
        <f t="shared" si="217"/>
        <v>0</v>
      </c>
      <c r="CR275" s="1">
        <f t="shared" si="218"/>
        <v>0</v>
      </c>
      <c r="CS275" s="1">
        <f t="shared" si="219"/>
        <v>0</v>
      </c>
      <c r="CT275" s="1">
        <f t="shared" si="220"/>
        <v>0</v>
      </c>
      <c r="CU275" s="2">
        <f t="shared" si="221"/>
        <v>0</v>
      </c>
      <c r="CV275" s="14">
        <f t="shared" si="222"/>
        <v>0</v>
      </c>
      <c r="CW275" s="1">
        <f>ROUND(PPTest!K275,1)</f>
        <v>0</v>
      </c>
      <c r="CX275" s="3">
        <f t="shared" si="204"/>
        <v>0</v>
      </c>
      <c r="CY275" s="3">
        <f t="shared" si="223"/>
        <v>0</v>
      </c>
      <c r="CZ275" s="19">
        <f t="shared" si="224"/>
        <v>0</v>
      </c>
      <c r="DA275" s="19" t="e">
        <f t="shared" si="224"/>
        <v>#DIV/0!</v>
      </c>
      <c r="DB275" s="16">
        <f t="shared" si="225"/>
        <v>0</v>
      </c>
    </row>
    <row r="276" spans="1:106" x14ac:dyDescent="0.2">
      <c r="A276" s="15">
        <f t="shared" si="226"/>
        <v>45928</v>
      </c>
      <c r="B276" s="1">
        <v>271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2"/>
      <c r="AZ276" s="14"/>
      <c r="BA276" s="16">
        <v>15.86</v>
      </c>
      <c r="BB276" s="41"/>
      <c r="BC276" s="41"/>
      <c r="BD276" s="8" t="e">
        <f t="shared" si="185"/>
        <v>#DIV/0!</v>
      </c>
      <c r="BE276" s="8"/>
      <c r="BF276" s="2">
        <f t="shared" si="205"/>
        <v>0</v>
      </c>
      <c r="BG276" s="2">
        <f t="shared" si="206"/>
        <v>0</v>
      </c>
      <c r="BH276" s="2">
        <f t="shared" si="207"/>
        <v>0</v>
      </c>
      <c r="BI276" s="35">
        <f t="shared" si="184"/>
        <v>0</v>
      </c>
      <c r="BJ276" s="35" t="e">
        <f t="shared" si="186"/>
        <v>#DIV/0!</v>
      </c>
      <c r="BK276" s="3"/>
      <c r="BL276" s="3">
        <f t="shared" si="187"/>
        <v>0</v>
      </c>
      <c r="BM276" s="19" t="e">
        <f t="shared" si="188"/>
        <v>#DIV/0!</v>
      </c>
      <c r="BN276" s="19" t="e">
        <f t="shared" si="189"/>
        <v>#DIV/0!</v>
      </c>
      <c r="BO276" s="19" t="e">
        <f t="shared" si="190"/>
        <v>#DIV/0!</v>
      </c>
      <c r="BP276" s="19" t="e">
        <f t="shared" si="191"/>
        <v>#DIV/0!</v>
      </c>
      <c r="BQ276" s="19" t="e">
        <f t="shared" si="192"/>
        <v>#DIV/0!</v>
      </c>
      <c r="BR276" s="19" t="e">
        <f t="shared" si="193"/>
        <v>#DIV/0!</v>
      </c>
      <c r="BS276" s="19" t="e">
        <f t="shared" si="194"/>
        <v>#DIV/0!</v>
      </c>
      <c r="BT276" s="19" t="e">
        <f t="shared" si="195"/>
        <v>#DIV/0!</v>
      </c>
      <c r="BV276" s="16">
        <f t="shared" si="196"/>
        <v>0</v>
      </c>
      <c r="BW276" s="16">
        <f t="shared" si="197"/>
        <v>0</v>
      </c>
      <c r="BX276" s="3">
        <f t="shared" si="198"/>
        <v>0</v>
      </c>
      <c r="BY276" s="3">
        <f t="shared" si="227"/>
        <v>0</v>
      </c>
      <c r="BZ276" s="3" t="s">
        <v>162</v>
      </c>
      <c r="CA276" s="3">
        <f t="shared" si="199"/>
        <v>0</v>
      </c>
      <c r="CB276" s="3">
        <f t="shared" si="200"/>
        <v>0</v>
      </c>
      <c r="CC276" s="3">
        <f t="shared" si="201"/>
        <v>0</v>
      </c>
      <c r="CD276" s="3">
        <f t="shared" si="202"/>
        <v>0</v>
      </c>
      <c r="CE276" s="22">
        <f t="shared" si="208"/>
        <v>0</v>
      </c>
      <c r="CF276" s="1">
        <f t="shared" si="203"/>
        <v>0</v>
      </c>
      <c r="CG276" s="1">
        <f t="shared" si="209"/>
        <v>0</v>
      </c>
      <c r="CH276" s="3" t="s">
        <v>162</v>
      </c>
      <c r="CI276" s="1">
        <f t="shared" si="210"/>
        <v>0</v>
      </c>
      <c r="CJ276" s="1">
        <f t="shared" si="211"/>
        <v>0</v>
      </c>
      <c r="CK276" s="1">
        <f t="shared" si="212"/>
        <v>0</v>
      </c>
      <c r="CL276" s="1">
        <f t="shared" si="213"/>
        <v>0</v>
      </c>
      <c r="CM276" s="2">
        <f t="shared" si="214"/>
        <v>0</v>
      </c>
      <c r="CN276" s="1">
        <f t="shared" si="215"/>
        <v>0</v>
      </c>
      <c r="CO276" s="1">
        <f t="shared" si="216"/>
        <v>0</v>
      </c>
      <c r="CP276" s="3" t="s">
        <v>162</v>
      </c>
      <c r="CQ276" s="1">
        <f t="shared" si="217"/>
        <v>0</v>
      </c>
      <c r="CR276" s="1">
        <f t="shared" si="218"/>
        <v>0</v>
      </c>
      <c r="CS276" s="1">
        <f t="shared" si="219"/>
        <v>0</v>
      </c>
      <c r="CT276" s="1">
        <f t="shared" si="220"/>
        <v>0</v>
      </c>
      <c r="CU276" s="2">
        <f t="shared" si="221"/>
        <v>0</v>
      </c>
      <c r="CV276" s="14">
        <f t="shared" si="222"/>
        <v>0</v>
      </c>
      <c r="CW276" s="1">
        <f>ROUND(PPTest!K276,1)</f>
        <v>0</v>
      </c>
      <c r="CX276" s="3">
        <f t="shared" si="204"/>
        <v>0</v>
      </c>
      <c r="CY276" s="3">
        <f t="shared" si="223"/>
        <v>0</v>
      </c>
      <c r="CZ276" s="19">
        <f t="shared" si="224"/>
        <v>0</v>
      </c>
      <c r="DA276" s="19" t="e">
        <f t="shared" si="224"/>
        <v>#DIV/0!</v>
      </c>
      <c r="DB276" s="16">
        <f t="shared" si="225"/>
        <v>0</v>
      </c>
    </row>
    <row r="277" spans="1:106" x14ac:dyDescent="0.2">
      <c r="A277" s="15">
        <f t="shared" si="226"/>
        <v>45929</v>
      </c>
      <c r="B277" s="1">
        <v>272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2"/>
      <c r="AZ277" s="14"/>
      <c r="BA277" s="16">
        <v>15.61</v>
      </c>
      <c r="BB277" s="41"/>
      <c r="BC277" s="41"/>
      <c r="BD277" s="8" t="e">
        <f t="shared" si="185"/>
        <v>#DIV/0!</v>
      </c>
      <c r="BE277" s="8"/>
      <c r="BF277" s="2">
        <f t="shared" si="205"/>
        <v>0</v>
      </c>
      <c r="BG277" s="2">
        <f t="shared" si="206"/>
        <v>0</v>
      </c>
      <c r="BH277" s="2">
        <f t="shared" si="207"/>
        <v>0</v>
      </c>
      <c r="BI277" s="35">
        <f t="shared" si="184"/>
        <v>0</v>
      </c>
      <c r="BJ277" s="35" t="e">
        <f t="shared" si="186"/>
        <v>#DIV/0!</v>
      </c>
      <c r="BK277" s="3"/>
      <c r="BL277" s="3">
        <f t="shared" si="187"/>
        <v>0</v>
      </c>
      <c r="BM277" s="19" t="e">
        <f t="shared" si="188"/>
        <v>#DIV/0!</v>
      </c>
      <c r="BN277" s="19" t="e">
        <f t="shared" si="189"/>
        <v>#DIV/0!</v>
      </c>
      <c r="BO277" s="19" t="e">
        <f t="shared" si="190"/>
        <v>#DIV/0!</v>
      </c>
      <c r="BP277" s="19" t="e">
        <f t="shared" si="191"/>
        <v>#DIV/0!</v>
      </c>
      <c r="BQ277" s="19" t="e">
        <f t="shared" si="192"/>
        <v>#DIV/0!</v>
      </c>
      <c r="BR277" s="19" t="e">
        <f t="shared" si="193"/>
        <v>#DIV/0!</v>
      </c>
      <c r="BS277" s="19" t="e">
        <f t="shared" si="194"/>
        <v>#DIV/0!</v>
      </c>
      <c r="BT277" s="19" t="e">
        <f t="shared" si="195"/>
        <v>#DIV/0!</v>
      </c>
      <c r="BV277" s="16">
        <f t="shared" si="196"/>
        <v>0</v>
      </c>
      <c r="BW277" s="16">
        <f t="shared" si="197"/>
        <v>0</v>
      </c>
      <c r="BX277" s="3">
        <f t="shared" si="198"/>
        <v>0</v>
      </c>
      <c r="BY277" s="3">
        <f t="shared" si="227"/>
        <v>0</v>
      </c>
      <c r="BZ277" s="3" t="s">
        <v>162</v>
      </c>
      <c r="CA277" s="3">
        <f t="shared" si="199"/>
        <v>0</v>
      </c>
      <c r="CB277" s="3">
        <f t="shared" si="200"/>
        <v>0</v>
      </c>
      <c r="CC277" s="3">
        <f t="shared" si="201"/>
        <v>0</v>
      </c>
      <c r="CD277" s="3">
        <f t="shared" si="202"/>
        <v>0</v>
      </c>
      <c r="CE277" s="22">
        <f t="shared" si="208"/>
        <v>0</v>
      </c>
      <c r="CF277" s="1">
        <f t="shared" si="203"/>
        <v>0</v>
      </c>
      <c r="CG277" s="1">
        <f t="shared" si="209"/>
        <v>0</v>
      </c>
      <c r="CH277" s="3" t="s">
        <v>162</v>
      </c>
      <c r="CI277" s="1">
        <f t="shared" si="210"/>
        <v>0</v>
      </c>
      <c r="CJ277" s="1">
        <f t="shared" si="211"/>
        <v>0</v>
      </c>
      <c r="CK277" s="1">
        <f t="shared" si="212"/>
        <v>0</v>
      </c>
      <c r="CL277" s="1">
        <f t="shared" si="213"/>
        <v>0</v>
      </c>
      <c r="CM277" s="2">
        <f t="shared" si="214"/>
        <v>0</v>
      </c>
      <c r="CN277" s="1">
        <f t="shared" si="215"/>
        <v>0</v>
      </c>
      <c r="CO277" s="1">
        <f t="shared" si="216"/>
        <v>0</v>
      </c>
      <c r="CP277" s="3" t="s">
        <v>162</v>
      </c>
      <c r="CQ277" s="1">
        <f t="shared" si="217"/>
        <v>0</v>
      </c>
      <c r="CR277" s="1">
        <f t="shared" si="218"/>
        <v>0</v>
      </c>
      <c r="CS277" s="1">
        <f t="shared" si="219"/>
        <v>0</v>
      </c>
      <c r="CT277" s="1">
        <f t="shared" si="220"/>
        <v>0</v>
      </c>
      <c r="CU277" s="2">
        <f t="shared" si="221"/>
        <v>0</v>
      </c>
      <c r="CV277" s="14">
        <f t="shared" si="222"/>
        <v>0</v>
      </c>
      <c r="CW277" s="1">
        <f>ROUND(PPTest!K277,1)</f>
        <v>0</v>
      </c>
      <c r="CX277" s="3">
        <f t="shared" si="204"/>
        <v>0</v>
      </c>
      <c r="CY277" s="3">
        <f t="shared" si="223"/>
        <v>0</v>
      </c>
      <c r="CZ277" s="19">
        <f t="shared" si="224"/>
        <v>0</v>
      </c>
      <c r="DA277" s="19" t="e">
        <f t="shared" si="224"/>
        <v>#DIV/0!</v>
      </c>
      <c r="DB277" s="16">
        <f t="shared" si="225"/>
        <v>0</v>
      </c>
    </row>
    <row r="278" spans="1:106" x14ac:dyDescent="0.2">
      <c r="A278" s="15">
        <f t="shared" si="226"/>
        <v>45930</v>
      </c>
      <c r="B278" s="1">
        <v>273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2"/>
      <c r="AZ278" s="14"/>
      <c r="BA278" s="16">
        <v>15.36</v>
      </c>
      <c r="BB278" s="41"/>
      <c r="BC278" s="41"/>
      <c r="BD278" s="8" t="e">
        <f t="shared" si="185"/>
        <v>#DIV/0!</v>
      </c>
      <c r="BE278" s="8"/>
      <c r="BF278" s="2">
        <f t="shared" si="205"/>
        <v>0</v>
      </c>
      <c r="BG278" s="2">
        <f t="shared" si="206"/>
        <v>0</v>
      </c>
      <c r="BH278" s="2">
        <f t="shared" si="207"/>
        <v>0</v>
      </c>
      <c r="BI278" s="35">
        <f t="shared" si="184"/>
        <v>0</v>
      </c>
      <c r="BJ278" s="35" t="e">
        <f t="shared" si="186"/>
        <v>#DIV/0!</v>
      </c>
      <c r="BK278" s="3"/>
      <c r="BL278" s="3">
        <f t="shared" si="187"/>
        <v>0</v>
      </c>
      <c r="BM278" s="19" t="e">
        <f t="shared" si="188"/>
        <v>#DIV/0!</v>
      </c>
      <c r="BN278" s="19" t="e">
        <f t="shared" si="189"/>
        <v>#DIV/0!</v>
      </c>
      <c r="BO278" s="19" t="e">
        <f t="shared" si="190"/>
        <v>#DIV/0!</v>
      </c>
      <c r="BP278" s="19" t="e">
        <f t="shared" si="191"/>
        <v>#DIV/0!</v>
      </c>
      <c r="BQ278" s="19" t="e">
        <f t="shared" si="192"/>
        <v>#DIV/0!</v>
      </c>
      <c r="BR278" s="19" t="e">
        <f t="shared" si="193"/>
        <v>#DIV/0!</v>
      </c>
      <c r="BS278" s="19" t="e">
        <f t="shared" si="194"/>
        <v>#DIV/0!</v>
      </c>
      <c r="BT278" s="19" t="e">
        <f t="shared" si="195"/>
        <v>#DIV/0!</v>
      </c>
      <c r="BV278" s="16">
        <f t="shared" si="196"/>
        <v>0</v>
      </c>
      <c r="BW278" s="16">
        <f t="shared" si="197"/>
        <v>0</v>
      </c>
      <c r="BX278" s="3">
        <f t="shared" si="198"/>
        <v>0</v>
      </c>
      <c r="BY278" s="3">
        <f t="shared" si="227"/>
        <v>0</v>
      </c>
      <c r="BZ278" s="3" t="s">
        <v>162</v>
      </c>
      <c r="CA278" s="3">
        <f t="shared" si="199"/>
        <v>0</v>
      </c>
      <c r="CB278" s="3">
        <f t="shared" si="200"/>
        <v>0</v>
      </c>
      <c r="CC278" s="3">
        <f t="shared" si="201"/>
        <v>0</v>
      </c>
      <c r="CD278" s="3">
        <f t="shared" si="202"/>
        <v>0</v>
      </c>
      <c r="CE278" s="22">
        <f t="shared" si="208"/>
        <v>0</v>
      </c>
      <c r="CF278" s="1">
        <f t="shared" si="203"/>
        <v>0</v>
      </c>
      <c r="CG278" s="1">
        <f t="shared" si="209"/>
        <v>0</v>
      </c>
      <c r="CH278" s="3" t="s">
        <v>162</v>
      </c>
      <c r="CI278" s="1">
        <f t="shared" si="210"/>
        <v>0</v>
      </c>
      <c r="CJ278" s="1">
        <f t="shared" si="211"/>
        <v>0</v>
      </c>
      <c r="CK278" s="1">
        <f t="shared" si="212"/>
        <v>0</v>
      </c>
      <c r="CL278" s="1">
        <f t="shared" si="213"/>
        <v>0</v>
      </c>
      <c r="CM278" s="2">
        <f t="shared" si="214"/>
        <v>0</v>
      </c>
      <c r="CN278" s="1">
        <f t="shared" si="215"/>
        <v>0</v>
      </c>
      <c r="CO278" s="1">
        <f t="shared" si="216"/>
        <v>0</v>
      </c>
      <c r="CP278" s="3" t="s">
        <v>162</v>
      </c>
      <c r="CQ278" s="1">
        <f t="shared" si="217"/>
        <v>0</v>
      </c>
      <c r="CR278" s="1">
        <f t="shared" si="218"/>
        <v>0</v>
      </c>
      <c r="CS278" s="1">
        <f t="shared" si="219"/>
        <v>0</v>
      </c>
      <c r="CT278" s="1">
        <f t="shared" si="220"/>
        <v>0</v>
      </c>
      <c r="CU278" s="2">
        <f t="shared" si="221"/>
        <v>0</v>
      </c>
      <c r="CV278" s="14">
        <f t="shared" si="222"/>
        <v>0</v>
      </c>
      <c r="CW278" s="1">
        <f>ROUND(PPTest!K278,1)</f>
        <v>0</v>
      </c>
      <c r="CX278" s="3">
        <f t="shared" si="204"/>
        <v>0</v>
      </c>
      <c r="CY278" s="3">
        <f t="shared" si="223"/>
        <v>0</v>
      </c>
      <c r="CZ278" s="19">
        <f t="shared" si="224"/>
        <v>0</v>
      </c>
      <c r="DA278" s="19" t="e">
        <f t="shared" si="224"/>
        <v>#DIV/0!</v>
      </c>
      <c r="DB278" s="16">
        <f t="shared" si="225"/>
        <v>0</v>
      </c>
    </row>
    <row r="279" spans="1:106" x14ac:dyDescent="0.2">
      <c r="A279" s="15">
        <f t="shared" si="226"/>
        <v>45931</v>
      </c>
      <c r="B279" s="1">
        <v>274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2"/>
      <c r="AZ279" s="14"/>
      <c r="BA279" s="16">
        <v>15.12</v>
      </c>
      <c r="BB279" s="41"/>
      <c r="BC279" s="41"/>
      <c r="BD279" s="8" t="e">
        <f t="shared" si="185"/>
        <v>#DIV/0!</v>
      </c>
      <c r="BE279" s="8"/>
      <c r="BF279" s="2">
        <f t="shared" si="205"/>
        <v>0</v>
      </c>
      <c r="BG279" s="2">
        <f t="shared" si="206"/>
        <v>0</v>
      </c>
      <c r="BH279" s="2">
        <f t="shared" si="207"/>
        <v>0</v>
      </c>
      <c r="BI279" s="35">
        <f t="shared" si="184"/>
        <v>0</v>
      </c>
      <c r="BJ279" s="35" t="e">
        <f t="shared" si="186"/>
        <v>#DIV/0!</v>
      </c>
      <c r="BK279" s="3"/>
      <c r="BL279" s="3">
        <f t="shared" si="187"/>
        <v>0</v>
      </c>
      <c r="BM279" s="19" t="e">
        <f t="shared" si="188"/>
        <v>#DIV/0!</v>
      </c>
      <c r="BN279" s="19" t="e">
        <f t="shared" si="189"/>
        <v>#DIV/0!</v>
      </c>
      <c r="BO279" s="19" t="e">
        <f t="shared" si="190"/>
        <v>#DIV/0!</v>
      </c>
      <c r="BP279" s="19" t="e">
        <f t="shared" si="191"/>
        <v>#DIV/0!</v>
      </c>
      <c r="BQ279" s="19" t="e">
        <f t="shared" si="192"/>
        <v>#DIV/0!</v>
      </c>
      <c r="BR279" s="19" t="e">
        <f t="shared" si="193"/>
        <v>#DIV/0!</v>
      </c>
      <c r="BS279" s="19" t="e">
        <f t="shared" si="194"/>
        <v>#DIV/0!</v>
      </c>
      <c r="BT279" s="19" t="e">
        <f t="shared" si="195"/>
        <v>#DIV/0!</v>
      </c>
      <c r="BV279" s="16">
        <f t="shared" si="196"/>
        <v>0</v>
      </c>
      <c r="BW279" s="16">
        <f t="shared" si="197"/>
        <v>0</v>
      </c>
      <c r="BX279" s="3">
        <f t="shared" si="198"/>
        <v>0</v>
      </c>
      <c r="BY279" s="3">
        <f t="shared" si="227"/>
        <v>0</v>
      </c>
      <c r="BZ279" s="3" t="s">
        <v>162</v>
      </c>
      <c r="CA279" s="3">
        <f t="shared" si="199"/>
        <v>0</v>
      </c>
      <c r="CB279" s="3">
        <f t="shared" si="200"/>
        <v>0</v>
      </c>
      <c r="CC279" s="3">
        <f t="shared" si="201"/>
        <v>0</v>
      </c>
      <c r="CD279" s="3">
        <f t="shared" si="202"/>
        <v>0</v>
      </c>
      <c r="CE279" s="22">
        <f t="shared" si="208"/>
        <v>0</v>
      </c>
      <c r="CF279" s="1">
        <f t="shared" si="203"/>
        <v>0</v>
      </c>
      <c r="CG279" s="1">
        <f t="shared" si="209"/>
        <v>0</v>
      </c>
      <c r="CH279" s="3" t="s">
        <v>162</v>
      </c>
      <c r="CI279" s="1">
        <f t="shared" si="210"/>
        <v>0</v>
      </c>
      <c r="CJ279" s="1">
        <f t="shared" si="211"/>
        <v>0</v>
      </c>
      <c r="CK279" s="1">
        <f t="shared" si="212"/>
        <v>0</v>
      </c>
      <c r="CL279" s="1">
        <f t="shared" si="213"/>
        <v>0</v>
      </c>
      <c r="CM279" s="2">
        <f t="shared" si="214"/>
        <v>0</v>
      </c>
      <c r="CN279" s="1">
        <f t="shared" si="215"/>
        <v>0</v>
      </c>
      <c r="CO279" s="1">
        <f t="shared" si="216"/>
        <v>0</v>
      </c>
      <c r="CP279" s="3" t="s">
        <v>162</v>
      </c>
      <c r="CQ279" s="1">
        <f t="shared" si="217"/>
        <v>0</v>
      </c>
      <c r="CR279" s="1">
        <f t="shared" si="218"/>
        <v>0</v>
      </c>
      <c r="CS279" s="1">
        <f t="shared" si="219"/>
        <v>0</v>
      </c>
      <c r="CT279" s="1">
        <f t="shared" si="220"/>
        <v>0</v>
      </c>
      <c r="CU279" s="2">
        <f t="shared" si="221"/>
        <v>0</v>
      </c>
      <c r="CV279" s="14">
        <f t="shared" si="222"/>
        <v>0</v>
      </c>
      <c r="CW279" s="1">
        <f>ROUND(PPTest!K279,1)</f>
        <v>0</v>
      </c>
      <c r="CX279" s="3">
        <f t="shared" si="204"/>
        <v>0</v>
      </c>
      <c r="CY279" s="3">
        <f t="shared" si="223"/>
        <v>0</v>
      </c>
      <c r="CZ279" s="19">
        <f t="shared" si="224"/>
        <v>0</v>
      </c>
      <c r="DA279" s="19" t="e">
        <f t="shared" si="224"/>
        <v>#DIV/0!</v>
      </c>
      <c r="DB279" s="16">
        <f t="shared" si="225"/>
        <v>0</v>
      </c>
    </row>
    <row r="280" spans="1:106" x14ac:dyDescent="0.2">
      <c r="A280" s="15">
        <f t="shared" si="226"/>
        <v>45932</v>
      </c>
      <c r="B280" s="1">
        <v>275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2"/>
      <c r="AZ280" s="14"/>
      <c r="BA280" s="16">
        <v>14.87</v>
      </c>
      <c r="BB280" s="41"/>
      <c r="BC280" s="41"/>
      <c r="BD280" s="8" t="e">
        <f t="shared" si="185"/>
        <v>#DIV/0!</v>
      </c>
      <c r="BE280" s="8"/>
      <c r="BF280" s="2">
        <f t="shared" si="205"/>
        <v>0</v>
      </c>
      <c r="BG280" s="2">
        <f t="shared" si="206"/>
        <v>0</v>
      </c>
      <c r="BH280" s="2">
        <f t="shared" si="207"/>
        <v>0</v>
      </c>
      <c r="BI280" s="35">
        <f t="shared" si="184"/>
        <v>0</v>
      </c>
      <c r="BJ280" s="35" t="e">
        <f t="shared" si="186"/>
        <v>#DIV/0!</v>
      </c>
      <c r="BK280" s="3"/>
      <c r="BL280" s="3">
        <f t="shared" si="187"/>
        <v>0</v>
      </c>
      <c r="BM280" s="19" t="e">
        <f t="shared" si="188"/>
        <v>#DIV/0!</v>
      </c>
      <c r="BN280" s="19" t="e">
        <f t="shared" si="189"/>
        <v>#DIV/0!</v>
      </c>
      <c r="BO280" s="19" t="e">
        <f t="shared" si="190"/>
        <v>#DIV/0!</v>
      </c>
      <c r="BP280" s="19" t="e">
        <f t="shared" si="191"/>
        <v>#DIV/0!</v>
      </c>
      <c r="BQ280" s="19" t="e">
        <f t="shared" si="192"/>
        <v>#DIV/0!</v>
      </c>
      <c r="BR280" s="19" t="e">
        <f t="shared" si="193"/>
        <v>#DIV/0!</v>
      </c>
      <c r="BS280" s="19" t="e">
        <f t="shared" si="194"/>
        <v>#DIV/0!</v>
      </c>
      <c r="BT280" s="19" t="e">
        <f t="shared" si="195"/>
        <v>#DIV/0!</v>
      </c>
      <c r="BV280" s="16">
        <f t="shared" si="196"/>
        <v>0</v>
      </c>
      <c r="BW280" s="16">
        <f t="shared" si="197"/>
        <v>0</v>
      </c>
      <c r="BX280" s="3">
        <f t="shared" si="198"/>
        <v>0</v>
      </c>
      <c r="BY280" s="3">
        <f t="shared" si="227"/>
        <v>0</v>
      </c>
      <c r="BZ280" s="3" t="s">
        <v>162</v>
      </c>
      <c r="CA280" s="3">
        <f t="shared" si="199"/>
        <v>0</v>
      </c>
      <c r="CB280" s="3">
        <f t="shared" si="200"/>
        <v>0</v>
      </c>
      <c r="CC280" s="3">
        <f t="shared" si="201"/>
        <v>0</v>
      </c>
      <c r="CD280" s="3">
        <f t="shared" si="202"/>
        <v>0</v>
      </c>
      <c r="CE280" s="22">
        <f t="shared" si="208"/>
        <v>0</v>
      </c>
      <c r="CF280" s="1">
        <f t="shared" si="203"/>
        <v>0</v>
      </c>
      <c r="CG280" s="1">
        <f t="shared" si="209"/>
        <v>0</v>
      </c>
      <c r="CH280" s="3" t="s">
        <v>162</v>
      </c>
      <c r="CI280" s="1">
        <f t="shared" si="210"/>
        <v>0</v>
      </c>
      <c r="CJ280" s="1">
        <f t="shared" si="211"/>
        <v>0</v>
      </c>
      <c r="CK280" s="1">
        <f t="shared" si="212"/>
        <v>0</v>
      </c>
      <c r="CL280" s="1">
        <f t="shared" si="213"/>
        <v>0</v>
      </c>
      <c r="CM280" s="2">
        <f t="shared" si="214"/>
        <v>0</v>
      </c>
      <c r="CN280" s="1">
        <f t="shared" si="215"/>
        <v>0</v>
      </c>
      <c r="CO280" s="1">
        <f t="shared" si="216"/>
        <v>0</v>
      </c>
      <c r="CP280" s="3" t="s">
        <v>162</v>
      </c>
      <c r="CQ280" s="1">
        <f t="shared" si="217"/>
        <v>0</v>
      </c>
      <c r="CR280" s="1">
        <f t="shared" si="218"/>
        <v>0</v>
      </c>
      <c r="CS280" s="1">
        <f t="shared" si="219"/>
        <v>0</v>
      </c>
      <c r="CT280" s="1">
        <f t="shared" si="220"/>
        <v>0</v>
      </c>
      <c r="CU280" s="2">
        <f t="shared" si="221"/>
        <v>0</v>
      </c>
      <c r="CV280" s="14">
        <f t="shared" si="222"/>
        <v>0</v>
      </c>
      <c r="CW280" s="1">
        <f>ROUND(PPTest!K280,1)</f>
        <v>0</v>
      </c>
      <c r="CX280" s="3">
        <f t="shared" si="204"/>
        <v>0</v>
      </c>
      <c r="CY280" s="3">
        <f t="shared" si="223"/>
        <v>0</v>
      </c>
      <c r="CZ280" s="19">
        <f t="shared" si="224"/>
        <v>0</v>
      </c>
      <c r="DA280" s="19" t="e">
        <f t="shared" si="224"/>
        <v>#DIV/0!</v>
      </c>
      <c r="DB280" s="16">
        <f t="shared" si="225"/>
        <v>0</v>
      </c>
    </row>
    <row r="281" spans="1:106" x14ac:dyDescent="0.2">
      <c r="A281" s="15">
        <f t="shared" si="226"/>
        <v>45933</v>
      </c>
      <c r="B281" s="1">
        <v>276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2"/>
      <c r="AZ281" s="14"/>
      <c r="BA281" s="16">
        <v>14.63</v>
      </c>
      <c r="BB281" s="41"/>
      <c r="BC281" s="41"/>
      <c r="BD281" s="8" t="e">
        <f t="shared" si="185"/>
        <v>#DIV/0!</v>
      </c>
      <c r="BE281" s="8"/>
      <c r="BF281" s="2">
        <f t="shared" si="205"/>
        <v>0</v>
      </c>
      <c r="BG281" s="2">
        <f t="shared" si="206"/>
        <v>0</v>
      </c>
      <c r="BH281" s="2">
        <f t="shared" si="207"/>
        <v>0</v>
      </c>
      <c r="BI281" s="35">
        <f t="shared" si="184"/>
        <v>0</v>
      </c>
      <c r="BJ281" s="35" t="e">
        <f t="shared" si="186"/>
        <v>#DIV/0!</v>
      </c>
      <c r="BK281" s="3"/>
      <c r="BL281" s="3">
        <f t="shared" si="187"/>
        <v>0</v>
      </c>
      <c r="BM281" s="19" t="e">
        <f t="shared" si="188"/>
        <v>#DIV/0!</v>
      </c>
      <c r="BN281" s="19" t="e">
        <f t="shared" si="189"/>
        <v>#DIV/0!</v>
      </c>
      <c r="BO281" s="19" t="e">
        <f t="shared" si="190"/>
        <v>#DIV/0!</v>
      </c>
      <c r="BP281" s="19" t="e">
        <f t="shared" si="191"/>
        <v>#DIV/0!</v>
      </c>
      <c r="BQ281" s="19" t="e">
        <f t="shared" si="192"/>
        <v>#DIV/0!</v>
      </c>
      <c r="BR281" s="19" t="e">
        <f t="shared" si="193"/>
        <v>#DIV/0!</v>
      </c>
      <c r="BS281" s="19" t="e">
        <f t="shared" si="194"/>
        <v>#DIV/0!</v>
      </c>
      <c r="BT281" s="19" t="e">
        <f t="shared" si="195"/>
        <v>#DIV/0!</v>
      </c>
      <c r="BV281" s="16">
        <f t="shared" si="196"/>
        <v>0</v>
      </c>
      <c r="BW281" s="16">
        <f t="shared" si="197"/>
        <v>0</v>
      </c>
      <c r="BX281" s="3">
        <f t="shared" si="198"/>
        <v>0</v>
      </c>
      <c r="BY281" s="3">
        <f t="shared" si="227"/>
        <v>0</v>
      </c>
      <c r="BZ281" s="3" t="s">
        <v>162</v>
      </c>
      <c r="CA281" s="3">
        <f t="shared" si="199"/>
        <v>0</v>
      </c>
      <c r="CB281" s="3">
        <f t="shared" si="200"/>
        <v>0</v>
      </c>
      <c r="CC281" s="3">
        <f t="shared" si="201"/>
        <v>0</v>
      </c>
      <c r="CD281" s="3">
        <f t="shared" si="202"/>
        <v>0</v>
      </c>
      <c r="CE281" s="22">
        <f t="shared" si="208"/>
        <v>0</v>
      </c>
      <c r="CF281" s="1">
        <f t="shared" si="203"/>
        <v>0</v>
      </c>
      <c r="CG281" s="1">
        <f t="shared" si="209"/>
        <v>0</v>
      </c>
      <c r="CH281" s="3" t="s">
        <v>162</v>
      </c>
      <c r="CI281" s="1">
        <f t="shared" si="210"/>
        <v>0</v>
      </c>
      <c r="CJ281" s="1">
        <f t="shared" si="211"/>
        <v>0</v>
      </c>
      <c r="CK281" s="1">
        <f t="shared" si="212"/>
        <v>0</v>
      </c>
      <c r="CL281" s="1">
        <f t="shared" si="213"/>
        <v>0</v>
      </c>
      <c r="CM281" s="2">
        <f t="shared" si="214"/>
        <v>0</v>
      </c>
      <c r="CN281" s="1">
        <f t="shared" si="215"/>
        <v>0</v>
      </c>
      <c r="CO281" s="1">
        <f t="shared" si="216"/>
        <v>0</v>
      </c>
      <c r="CP281" s="3" t="s">
        <v>162</v>
      </c>
      <c r="CQ281" s="1">
        <f t="shared" si="217"/>
        <v>0</v>
      </c>
      <c r="CR281" s="1">
        <f t="shared" si="218"/>
        <v>0</v>
      </c>
      <c r="CS281" s="1">
        <f t="shared" si="219"/>
        <v>0</v>
      </c>
      <c r="CT281" s="1">
        <f t="shared" si="220"/>
        <v>0</v>
      </c>
      <c r="CU281" s="2">
        <f t="shared" si="221"/>
        <v>0</v>
      </c>
      <c r="CV281" s="14">
        <f t="shared" si="222"/>
        <v>0</v>
      </c>
      <c r="CW281" s="1">
        <f>ROUND(PPTest!K281,1)</f>
        <v>0</v>
      </c>
      <c r="CX281" s="3">
        <f t="shared" si="204"/>
        <v>0</v>
      </c>
      <c r="CY281" s="3">
        <f t="shared" si="223"/>
        <v>0</v>
      </c>
      <c r="CZ281" s="19">
        <f t="shared" si="224"/>
        <v>0</v>
      </c>
      <c r="DA281" s="19" t="e">
        <f t="shared" si="224"/>
        <v>#DIV/0!</v>
      </c>
      <c r="DB281" s="16">
        <f t="shared" si="225"/>
        <v>0</v>
      </c>
    </row>
    <row r="282" spans="1:106" x14ac:dyDescent="0.2">
      <c r="A282" s="15">
        <f t="shared" si="226"/>
        <v>45934</v>
      </c>
      <c r="B282" s="1">
        <v>277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2"/>
      <c r="AZ282" s="14"/>
      <c r="BA282" s="16">
        <v>14.38</v>
      </c>
      <c r="BB282" s="41"/>
      <c r="BC282" s="41"/>
      <c r="BD282" s="8" t="e">
        <f t="shared" si="185"/>
        <v>#DIV/0!</v>
      </c>
      <c r="BE282" s="8"/>
      <c r="BF282" s="2">
        <f t="shared" si="205"/>
        <v>0</v>
      </c>
      <c r="BG282" s="2">
        <f t="shared" si="206"/>
        <v>0</v>
      </c>
      <c r="BH282" s="2">
        <f t="shared" si="207"/>
        <v>0</v>
      </c>
      <c r="BI282" s="35">
        <f t="shared" si="184"/>
        <v>0</v>
      </c>
      <c r="BJ282" s="35" t="e">
        <f t="shared" si="186"/>
        <v>#DIV/0!</v>
      </c>
      <c r="BK282" s="3"/>
      <c r="BL282" s="3">
        <f t="shared" si="187"/>
        <v>0</v>
      </c>
      <c r="BM282" s="19" t="e">
        <f t="shared" si="188"/>
        <v>#DIV/0!</v>
      </c>
      <c r="BN282" s="19" t="e">
        <f t="shared" si="189"/>
        <v>#DIV/0!</v>
      </c>
      <c r="BO282" s="19" t="e">
        <f t="shared" si="190"/>
        <v>#DIV/0!</v>
      </c>
      <c r="BP282" s="19" t="e">
        <f t="shared" si="191"/>
        <v>#DIV/0!</v>
      </c>
      <c r="BQ282" s="19" t="e">
        <f t="shared" si="192"/>
        <v>#DIV/0!</v>
      </c>
      <c r="BR282" s="19" t="e">
        <f t="shared" si="193"/>
        <v>#DIV/0!</v>
      </c>
      <c r="BS282" s="19" t="e">
        <f t="shared" si="194"/>
        <v>#DIV/0!</v>
      </c>
      <c r="BT282" s="19" t="e">
        <f t="shared" si="195"/>
        <v>#DIV/0!</v>
      </c>
      <c r="BV282" s="16">
        <f t="shared" si="196"/>
        <v>0</v>
      </c>
      <c r="BW282" s="16">
        <f t="shared" si="197"/>
        <v>0</v>
      </c>
      <c r="BX282" s="3">
        <f t="shared" si="198"/>
        <v>0</v>
      </c>
      <c r="BY282" s="3">
        <f t="shared" si="227"/>
        <v>0</v>
      </c>
      <c r="BZ282" s="3" t="s">
        <v>162</v>
      </c>
      <c r="CA282" s="3">
        <f t="shared" si="199"/>
        <v>0</v>
      </c>
      <c r="CB282" s="3">
        <f t="shared" si="200"/>
        <v>0</v>
      </c>
      <c r="CC282" s="3">
        <f t="shared" si="201"/>
        <v>0</v>
      </c>
      <c r="CD282" s="3">
        <f t="shared" si="202"/>
        <v>0</v>
      </c>
      <c r="CE282" s="22">
        <f t="shared" si="208"/>
        <v>0</v>
      </c>
      <c r="CF282" s="1">
        <f t="shared" si="203"/>
        <v>0</v>
      </c>
      <c r="CG282" s="1">
        <f t="shared" si="209"/>
        <v>0</v>
      </c>
      <c r="CH282" s="3" t="s">
        <v>162</v>
      </c>
      <c r="CI282" s="1">
        <f t="shared" si="210"/>
        <v>0</v>
      </c>
      <c r="CJ282" s="1">
        <f t="shared" si="211"/>
        <v>0</v>
      </c>
      <c r="CK282" s="1">
        <f t="shared" si="212"/>
        <v>0</v>
      </c>
      <c r="CL282" s="1">
        <f t="shared" si="213"/>
        <v>0</v>
      </c>
      <c r="CM282" s="2">
        <f t="shared" si="214"/>
        <v>0</v>
      </c>
      <c r="CN282" s="1">
        <f t="shared" si="215"/>
        <v>0</v>
      </c>
      <c r="CO282" s="1">
        <f t="shared" si="216"/>
        <v>0</v>
      </c>
      <c r="CP282" s="3" t="s">
        <v>162</v>
      </c>
      <c r="CQ282" s="1">
        <f t="shared" si="217"/>
        <v>0</v>
      </c>
      <c r="CR282" s="1">
        <f t="shared" si="218"/>
        <v>0</v>
      </c>
      <c r="CS282" s="1">
        <f t="shared" si="219"/>
        <v>0</v>
      </c>
      <c r="CT282" s="1">
        <f t="shared" si="220"/>
        <v>0</v>
      </c>
      <c r="CU282" s="2">
        <f t="shared" si="221"/>
        <v>0</v>
      </c>
      <c r="CV282" s="14">
        <f t="shared" si="222"/>
        <v>0</v>
      </c>
      <c r="CW282" s="1">
        <f>ROUND(PPTest!K282,1)</f>
        <v>0</v>
      </c>
      <c r="CX282" s="3">
        <f t="shared" si="204"/>
        <v>0</v>
      </c>
      <c r="CY282" s="3">
        <f t="shared" si="223"/>
        <v>0</v>
      </c>
      <c r="CZ282" s="19">
        <f t="shared" si="224"/>
        <v>0</v>
      </c>
      <c r="DA282" s="19" t="e">
        <f t="shared" si="224"/>
        <v>#DIV/0!</v>
      </c>
      <c r="DB282" s="16">
        <f t="shared" si="225"/>
        <v>0</v>
      </c>
    </row>
    <row r="283" spans="1:106" x14ac:dyDescent="0.2">
      <c r="A283" s="15">
        <f t="shared" si="226"/>
        <v>45935</v>
      </c>
      <c r="B283" s="1">
        <v>278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2"/>
      <c r="AZ283" s="14"/>
      <c r="BA283" s="16">
        <v>14.15</v>
      </c>
      <c r="BB283" s="41"/>
      <c r="BC283" s="41"/>
      <c r="BD283" s="8" t="e">
        <f t="shared" si="185"/>
        <v>#DIV/0!</v>
      </c>
      <c r="BE283" s="8"/>
      <c r="BF283" s="2">
        <f t="shared" si="205"/>
        <v>0</v>
      </c>
      <c r="BG283" s="2">
        <f t="shared" si="206"/>
        <v>0</v>
      </c>
      <c r="BH283" s="2">
        <f t="shared" si="207"/>
        <v>0</v>
      </c>
      <c r="BI283" s="35">
        <f t="shared" si="184"/>
        <v>0</v>
      </c>
      <c r="BJ283" s="35" t="e">
        <f t="shared" si="186"/>
        <v>#DIV/0!</v>
      </c>
      <c r="BK283" s="3"/>
      <c r="BL283" s="3">
        <f t="shared" si="187"/>
        <v>0</v>
      </c>
      <c r="BM283" s="19" t="e">
        <f t="shared" si="188"/>
        <v>#DIV/0!</v>
      </c>
      <c r="BN283" s="19" t="e">
        <f t="shared" si="189"/>
        <v>#DIV/0!</v>
      </c>
      <c r="BO283" s="19" t="e">
        <f t="shared" si="190"/>
        <v>#DIV/0!</v>
      </c>
      <c r="BP283" s="19" t="e">
        <f t="shared" si="191"/>
        <v>#DIV/0!</v>
      </c>
      <c r="BQ283" s="19" t="e">
        <f t="shared" si="192"/>
        <v>#DIV/0!</v>
      </c>
      <c r="BR283" s="19" t="e">
        <f t="shared" si="193"/>
        <v>#DIV/0!</v>
      </c>
      <c r="BS283" s="19" t="e">
        <f t="shared" si="194"/>
        <v>#DIV/0!</v>
      </c>
      <c r="BT283" s="19" t="e">
        <f t="shared" si="195"/>
        <v>#DIV/0!</v>
      </c>
      <c r="BV283" s="16">
        <f t="shared" si="196"/>
        <v>0</v>
      </c>
      <c r="BW283" s="16">
        <f t="shared" si="197"/>
        <v>0</v>
      </c>
      <c r="BX283" s="3">
        <f t="shared" si="198"/>
        <v>0</v>
      </c>
      <c r="BY283" s="3">
        <f t="shared" si="227"/>
        <v>0</v>
      </c>
      <c r="BZ283" s="3" t="s">
        <v>162</v>
      </c>
      <c r="CA283" s="3">
        <f t="shared" si="199"/>
        <v>0</v>
      </c>
      <c r="CB283" s="3">
        <f t="shared" si="200"/>
        <v>0</v>
      </c>
      <c r="CC283" s="3">
        <f t="shared" si="201"/>
        <v>0</v>
      </c>
      <c r="CD283" s="3">
        <f t="shared" si="202"/>
        <v>0</v>
      </c>
      <c r="CE283" s="22">
        <f t="shared" si="208"/>
        <v>0</v>
      </c>
      <c r="CF283" s="1">
        <f t="shared" si="203"/>
        <v>0</v>
      </c>
      <c r="CG283" s="1">
        <f t="shared" si="209"/>
        <v>0</v>
      </c>
      <c r="CH283" s="3" t="s">
        <v>162</v>
      </c>
      <c r="CI283" s="1">
        <f t="shared" si="210"/>
        <v>0</v>
      </c>
      <c r="CJ283" s="1">
        <f t="shared" si="211"/>
        <v>0</v>
      </c>
      <c r="CK283" s="1">
        <f t="shared" si="212"/>
        <v>0</v>
      </c>
      <c r="CL283" s="1">
        <f t="shared" si="213"/>
        <v>0</v>
      </c>
      <c r="CM283" s="2">
        <f t="shared" si="214"/>
        <v>0</v>
      </c>
      <c r="CN283" s="1">
        <f t="shared" si="215"/>
        <v>0</v>
      </c>
      <c r="CO283" s="1">
        <f t="shared" si="216"/>
        <v>0</v>
      </c>
      <c r="CP283" s="3" t="s">
        <v>162</v>
      </c>
      <c r="CQ283" s="1">
        <f t="shared" si="217"/>
        <v>0</v>
      </c>
      <c r="CR283" s="1">
        <f t="shared" si="218"/>
        <v>0</v>
      </c>
      <c r="CS283" s="1">
        <f t="shared" si="219"/>
        <v>0</v>
      </c>
      <c r="CT283" s="1">
        <f t="shared" si="220"/>
        <v>0</v>
      </c>
      <c r="CU283" s="2">
        <f t="shared" si="221"/>
        <v>0</v>
      </c>
      <c r="CV283" s="14">
        <f t="shared" si="222"/>
        <v>0</v>
      </c>
      <c r="CW283" s="1">
        <f>ROUND(PPTest!K283,1)</f>
        <v>0</v>
      </c>
      <c r="CX283" s="3">
        <f t="shared" si="204"/>
        <v>0</v>
      </c>
      <c r="CY283" s="3">
        <f t="shared" si="223"/>
        <v>0</v>
      </c>
      <c r="CZ283" s="19">
        <f t="shared" si="224"/>
        <v>0</v>
      </c>
      <c r="DA283" s="19" t="e">
        <f t="shared" si="224"/>
        <v>#DIV/0!</v>
      </c>
      <c r="DB283" s="16">
        <f t="shared" si="225"/>
        <v>0</v>
      </c>
    </row>
    <row r="284" spans="1:106" x14ac:dyDescent="0.2">
      <c r="A284" s="15">
        <f t="shared" si="226"/>
        <v>45936</v>
      </c>
      <c r="B284" s="1">
        <v>279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2"/>
      <c r="AZ284" s="14"/>
      <c r="BA284" s="16">
        <v>13.9</v>
      </c>
      <c r="BB284" s="41"/>
      <c r="BC284" s="41"/>
      <c r="BD284" s="8" t="e">
        <f t="shared" si="185"/>
        <v>#DIV/0!</v>
      </c>
      <c r="BE284" s="8"/>
      <c r="BF284" s="2">
        <f t="shared" si="205"/>
        <v>0</v>
      </c>
      <c r="BG284" s="2">
        <f t="shared" si="206"/>
        <v>0</v>
      </c>
      <c r="BH284" s="2">
        <f t="shared" si="207"/>
        <v>0</v>
      </c>
      <c r="BI284" s="35">
        <f t="shared" si="184"/>
        <v>0</v>
      </c>
      <c r="BJ284" s="35" t="e">
        <f t="shared" si="186"/>
        <v>#DIV/0!</v>
      </c>
      <c r="BK284" s="3"/>
      <c r="BL284" s="3">
        <f t="shared" si="187"/>
        <v>0</v>
      </c>
      <c r="BM284" s="19" t="e">
        <f t="shared" si="188"/>
        <v>#DIV/0!</v>
      </c>
      <c r="BN284" s="19" t="e">
        <f t="shared" si="189"/>
        <v>#DIV/0!</v>
      </c>
      <c r="BO284" s="19" t="e">
        <f t="shared" si="190"/>
        <v>#DIV/0!</v>
      </c>
      <c r="BP284" s="19" t="e">
        <f t="shared" si="191"/>
        <v>#DIV/0!</v>
      </c>
      <c r="BQ284" s="19" t="e">
        <f t="shared" si="192"/>
        <v>#DIV/0!</v>
      </c>
      <c r="BR284" s="19" t="e">
        <f t="shared" si="193"/>
        <v>#DIV/0!</v>
      </c>
      <c r="BS284" s="19" t="e">
        <f t="shared" si="194"/>
        <v>#DIV/0!</v>
      </c>
      <c r="BT284" s="19" t="e">
        <f t="shared" si="195"/>
        <v>#DIV/0!</v>
      </c>
      <c r="BV284" s="16">
        <f t="shared" si="196"/>
        <v>0</v>
      </c>
      <c r="BW284" s="16">
        <f t="shared" si="197"/>
        <v>0</v>
      </c>
      <c r="BX284" s="3">
        <f t="shared" si="198"/>
        <v>0</v>
      </c>
      <c r="BY284" s="3">
        <f t="shared" si="227"/>
        <v>0</v>
      </c>
      <c r="BZ284" s="3" t="s">
        <v>162</v>
      </c>
      <c r="CA284" s="3">
        <f t="shared" si="199"/>
        <v>0</v>
      </c>
      <c r="CB284" s="3">
        <f t="shared" si="200"/>
        <v>0</v>
      </c>
      <c r="CC284" s="3">
        <f t="shared" si="201"/>
        <v>0</v>
      </c>
      <c r="CD284" s="3">
        <f t="shared" si="202"/>
        <v>0</v>
      </c>
      <c r="CE284" s="22">
        <f t="shared" si="208"/>
        <v>0</v>
      </c>
      <c r="CF284" s="1">
        <f t="shared" si="203"/>
        <v>0</v>
      </c>
      <c r="CG284" s="1">
        <f t="shared" si="209"/>
        <v>0</v>
      </c>
      <c r="CH284" s="3" t="s">
        <v>162</v>
      </c>
      <c r="CI284" s="1">
        <f t="shared" si="210"/>
        <v>0</v>
      </c>
      <c r="CJ284" s="1">
        <f t="shared" si="211"/>
        <v>0</v>
      </c>
      <c r="CK284" s="1">
        <f t="shared" si="212"/>
        <v>0</v>
      </c>
      <c r="CL284" s="1">
        <f t="shared" si="213"/>
        <v>0</v>
      </c>
      <c r="CM284" s="2">
        <f t="shared" si="214"/>
        <v>0</v>
      </c>
      <c r="CN284" s="1">
        <f t="shared" si="215"/>
        <v>0</v>
      </c>
      <c r="CO284" s="1">
        <f t="shared" si="216"/>
        <v>0</v>
      </c>
      <c r="CP284" s="3" t="s">
        <v>162</v>
      </c>
      <c r="CQ284" s="1">
        <f t="shared" si="217"/>
        <v>0</v>
      </c>
      <c r="CR284" s="1">
        <f t="shared" si="218"/>
        <v>0</v>
      </c>
      <c r="CS284" s="1">
        <f t="shared" si="219"/>
        <v>0</v>
      </c>
      <c r="CT284" s="1">
        <f t="shared" si="220"/>
        <v>0</v>
      </c>
      <c r="CU284" s="2">
        <f t="shared" si="221"/>
        <v>0</v>
      </c>
      <c r="CV284" s="14">
        <f t="shared" si="222"/>
        <v>0</v>
      </c>
      <c r="CW284" s="1">
        <f>ROUND(PPTest!K284,1)</f>
        <v>0</v>
      </c>
      <c r="CX284" s="3">
        <f t="shared" si="204"/>
        <v>0</v>
      </c>
      <c r="CY284" s="3">
        <f t="shared" si="223"/>
        <v>0</v>
      </c>
      <c r="CZ284" s="19">
        <f t="shared" si="224"/>
        <v>0</v>
      </c>
      <c r="DA284" s="19" t="e">
        <f t="shared" si="224"/>
        <v>#DIV/0!</v>
      </c>
      <c r="DB284" s="16">
        <f t="shared" si="225"/>
        <v>0</v>
      </c>
    </row>
    <row r="285" spans="1:106" x14ac:dyDescent="0.2">
      <c r="A285" s="15">
        <f t="shared" si="226"/>
        <v>45937</v>
      </c>
      <c r="B285" s="1">
        <v>280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2"/>
      <c r="AZ285" s="14"/>
      <c r="BA285" s="16">
        <v>13.67</v>
      </c>
      <c r="BB285" s="41"/>
      <c r="BC285" s="41"/>
      <c r="BD285" s="8" t="e">
        <f t="shared" si="185"/>
        <v>#DIV/0!</v>
      </c>
      <c r="BE285" s="8"/>
      <c r="BF285" s="2">
        <f t="shared" si="205"/>
        <v>0</v>
      </c>
      <c r="BG285" s="2">
        <f t="shared" si="206"/>
        <v>0</v>
      </c>
      <c r="BH285" s="2">
        <f t="shared" si="207"/>
        <v>0</v>
      </c>
      <c r="BI285" s="35">
        <f t="shared" si="184"/>
        <v>0</v>
      </c>
      <c r="BJ285" s="35" t="e">
        <f t="shared" si="186"/>
        <v>#DIV/0!</v>
      </c>
      <c r="BK285" s="3"/>
      <c r="BL285" s="3">
        <f t="shared" si="187"/>
        <v>0</v>
      </c>
      <c r="BM285" s="19" t="e">
        <f t="shared" si="188"/>
        <v>#DIV/0!</v>
      </c>
      <c r="BN285" s="19" t="e">
        <f t="shared" si="189"/>
        <v>#DIV/0!</v>
      </c>
      <c r="BO285" s="19" t="e">
        <f t="shared" si="190"/>
        <v>#DIV/0!</v>
      </c>
      <c r="BP285" s="19" t="e">
        <f t="shared" si="191"/>
        <v>#DIV/0!</v>
      </c>
      <c r="BQ285" s="19" t="e">
        <f t="shared" si="192"/>
        <v>#DIV/0!</v>
      </c>
      <c r="BR285" s="19" t="e">
        <f t="shared" si="193"/>
        <v>#DIV/0!</v>
      </c>
      <c r="BS285" s="19" t="e">
        <f t="shared" si="194"/>
        <v>#DIV/0!</v>
      </c>
      <c r="BT285" s="19" t="e">
        <f t="shared" si="195"/>
        <v>#DIV/0!</v>
      </c>
      <c r="BV285" s="16">
        <f t="shared" si="196"/>
        <v>0</v>
      </c>
      <c r="BW285" s="16">
        <f t="shared" si="197"/>
        <v>0</v>
      </c>
      <c r="BX285" s="3">
        <f t="shared" si="198"/>
        <v>0</v>
      </c>
      <c r="BY285" s="3">
        <f t="shared" si="227"/>
        <v>0</v>
      </c>
      <c r="BZ285" s="3" t="s">
        <v>162</v>
      </c>
      <c r="CA285" s="3">
        <f t="shared" si="199"/>
        <v>0</v>
      </c>
      <c r="CB285" s="3">
        <f t="shared" si="200"/>
        <v>0</v>
      </c>
      <c r="CC285" s="3">
        <f t="shared" si="201"/>
        <v>0</v>
      </c>
      <c r="CD285" s="3">
        <f t="shared" si="202"/>
        <v>0</v>
      </c>
      <c r="CE285" s="22">
        <f t="shared" si="208"/>
        <v>0</v>
      </c>
      <c r="CF285" s="1">
        <f t="shared" si="203"/>
        <v>0</v>
      </c>
      <c r="CG285" s="1">
        <f t="shared" si="209"/>
        <v>0</v>
      </c>
      <c r="CH285" s="3" t="s">
        <v>162</v>
      </c>
      <c r="CI285" s="1">
        <f t="shared" si="210"/>
        <v>0</v>
      </c>
      <c r="CJ285" s="1">
        <f t="shared" si="211"/>
        <v>0</v>
      </c>
      <c r="CK285" s="1">
        <f t="shared" si="212"/>
        <v>0</v>
      </c>
      <c r="CL285" s="1">
        <f t="shared" si="213"/>
        <v>0</v>
      </c>
      <c r="CM285" s="2">
        <f t="shared" si="214"/>
        <v>0</v>
      </c>
      <c r="CN285" s="1">
        <f t="shared" si="215"/>
        <v>0</v>
      </c>
      <c r="CO285" s="1">
        <f t="shared" si="216"/>
        <v>0</v>
      </c>
      <c r="CP285" s="3" t="s">
        <v>162</v>
      </c>
      <c r="CQ285" s="1">
        <f t="shared" si="217"/>
        <v>0</v>
      </c>
      <c r="CR285" s="1">
        <f t="shared" si="218"/>
        <v>0</v>
      </c>
      <c r="CS285" s="1">
        <f t="shared" si="219"/>
        <v>0</v>
      </c>
      <c r="CT285" s="1">
        <f t="shared" si="220"/>
        <v>0</v>
      </c>
      <c r="CU285" s="2">
        <f t="shared" si="221"/>
        <v>0</v>
      </c>
      <c r="CV285" s="14">
        <f t="shared" si="222"/>
        <v>0</v>
      </c>
      <c r="CW285" s="1">
        <f>ROUND(PPTest!K285,1)</f>
        <v>0</v>
      </c>
      <c r="CX285" s="3">
        <f t="shared" si="204"/>
        <v>0</v>
      </c>
      <c r="CY285" s="3">
        <f t="shared" si="223"/>
        <v>0</v>
      </c>
      <c r="CZ285" s="19">
        <f t="shared" si="224"/>
        <v>0</v>
      </c>
      <c r="DA285" s="19" t="e">
        <f t="shared" si="224"/>
        <v>#DIV/0!</v>
      </c>
      <c r="DB285" s="16">
        <f t="shared" si="225"/>
        <v>0</v>
      </c>
    </row>
    <row r="286" spans="1:106" x14ac:dyDescent="0.2">
      <c r="A286" s="15">
        <f t="shared" si="226"/>
        <v>45938</v>
      </c>
      <c r="B286" s="1">
        <v>281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2"/>
      <c r="AZ286" s="14"/>
      <c r="BA286" s="16">
        <v>13.43</v>
      </c>
      <c r="BB286" s="41"/>
      <c r="BC286" s="41"/>
      <c r="BD286" s="8" t="e">
        <f t="shared" si="185"/>
        <v>#DIV/0!</v>
      </c>
      <c r="BE286" s="8"/>
      <c r="BF286" s="2">
        <f t="shared" si="205"/>
        <v>0</v>
      </c>
      <c r="BG286" s="2">
        <f t="shared" si="206"/>
        <v>0</v>
      </c>
      <c r="BH286" s="2">
        <f t="shared" si="207"/>
        <v>0</v>
      </c>
      <c r="BI286" s="35">
        <f t="shared" si="184"/>
        <v>0</v>
      </c>
      <c r="BJ286" s="35" t="e">
        <f t="shared" si="186"/>
        <v>#DIV/0!</v>
      </c>
      <c r="BK286" s="3"/>
      <c r="BL286" s="3">
        <f t="shared" si="187"/>
        <v>0</v>
      </c>
      <c r="BM286" s="19" t="e">
        <f t="shared" si="188"/>
        <v>#DIV/0!</v>
      </c>
      <c r="BN286" s="19" t="e">
        <f t="shared" si="189"/>
        <v>#DIV/0!</v>
      </c>
      <c r="BO286" s="19" t="e">
        <f t="shared" si="190"/>
        <v>#DIV/0!</v>
      </c>
      <c r="BP286" s="19" t="e">
        <f t="shared" si="191"/>
        <v>#DIV/0!</v>
      </c>
      <c r="BQ286" s="19" t="e">
        <f t="shared" si="192"/>
        <v>#DIV/0!</v>
      </c>
      <c r="BR286" s="19" t="e">
        <f t="shared" si="193"/>
        <v>#DIV/0!</v>
      </c>
      <c r="BS286" s="19" t="e">
        <f t="shared" si="194"/>
        <v>#DIV/0!</v>
      </c>
      <c r="BT286" s="19" t="e">
        <f t="shared" si="195"/>
        <v>#DIV/0!</v>
      </c>
      <c r="BV286" s="16">
        <f t="shared" si="196"/>
        <v>0</v>
      </c>
      <c r="BW286" s="16">
        <f t="shared" si="197"/>
        <v>0</v>
      </c>
      <c r="BX286" s="3">
        <f t="shared" si="198"/>
        <v>0</v>
      </c>
      <c r="BY286" s="3">
        <f t="shared" si="227"/>
        <v>0</v>
      </c>
      <c r="BZ286" s="3" t="s">
        <v>162</v>
      </c>
      <c r="CA286" s="3">
        <f t="shared" si="199"/>
        <v>0</v>
      </c>
      <c r="CB286" s="3">
        <f t="shared" si="200"/>
        <v>0</v>
      </c>
      <c r="CC286" s="3">
        <f t="shared" si="201"/>
        <v>0</v>
      </c>
      <c r="CD286" s="3">
        <f t="shared" si="202"/>
        <v>0</v>
      </c>
      <c r="CE286" s="22">
        <f t="shared" si="208"/>
        <v>0</v>
      </c>
      <c r="CF286" s="1">
        <f t="shared" si="203"/>
        <v>0</v>
      </c>
      <c r="CG286" s="1">
        <f t="shared" si="209"/>
        <v>0</v>
      </c>
      <c r="CH286" s="3" t="s">
        <v>162</v>
      </c>
      <c r="CI286" s="1">
        <f t="shared" si="210"/>
        <v>0</v>
      </c>
      <c r="CJ286" s="1">
        <f t="shared" si="211"/>
        <v>0</v>
      </c>
      <c r="CK286" s="1">
        <f t="shared" si="212"/>
        <v>0</v>
      </c>
      <c r="CL286" s="1">
        <f t="shared" si="213"/>
        <v>0</v>
      </c>
      <c r="CM286" s="2">
        <f t="shared" si="214"/>
        <v>0</v>
      </c>
      <c r="CN286" s="1">
        <f t="shared" si="215"/>
        <v>0</v>
      </c>
      <c r="CO286" s="1">
        <f t="shared" si="216"/>
        <v>0</v>
      </c>
      <c r="CP286" s="3" t="s">
        <v>162</v>
      </c>
      <c r="CQ286" s="1">
        <f t="shared" si="217"/>
        <v>0</v>
      </c>
      <c r="CR286" s="1">
        <f t="shared" si="218"/>
        <v>0</v>
      </c>
      <c r="CS286" s="1">
        <f t="shared" si="219"/>
        <v>0</v>
      </c>
      <c r="CT286" s="1">
        <f t="shared" si="220"/>
        <v>0</v>
      </c>
      <c r="CU286" s="2">
        <f t="shared" si="221"/>
        <v>0</v>
      </c>
      <c r="CV286" s="14">
        <f t="shared" si="222"/>
        <v>0</v>
      </c>
      <c r="CW286" s="1">
        <f>ROUND(PPTest!K286,1)</f>
        <v>0</v>
      </c>
      <c r="CX286" s="3">
        <f t="shared" si="204"/>
        <v>0</v>
      </c>
      <c r="CY286" s="3">
        <f t="shared" si="223"/>
        <v>0</v>
      </c>
      <c r="CZ286" s="19">
        <f t="shared" si="224"/>
        <v>0</v>
      </c>
      <c r="DA286" s="19" t="e">
        <f t="shared" si="224"/>
        <v>#DIV/0!</v>
      </c>
      <c r="DB286" s="16">
        <f t="shared" si="225"/>
        <v>0</v>
      </c>
    </row>
    <row r="287" spans="1:106" x14ac:dyDescent="0.2">
      <c r="A287" s="15">
        <f t="shared" si="226"/>
        <v>45939</v>
      </c>
      <c r="B287" s="1">
        <v>282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2"/>
      <c r="AZ287" s="14"/>
      <c r="BA287" s="16">
        <v>13.2</v>
      </c>
      <c r="BB287" s="41"/>
      <c r="BC287" s="41"/>
      <c r="BD287" s="8" t="e">
        <f t="shared" si="185"/>
        <v>#DIV/0!</v>
      </c>
      <c r="BE287" s="8"/>
      <c r="BF287" s="2">
        <f t="shared" si="205"/>
        <v>0</v>
      </c>
      <c r="BG287" s="2">
        <f t="shared" si="206"/>
        <v>0</v>
      </c>
      <c r="BH287" s="2">
        <f t="shared" si="207"/>
        <v>0</v>
      </c>
      <c r="BI287" s="35">
        <f t="shared" si="184"/>
        <v>0</v>
      </c>
      <c r="BJ287" s="35" t="e">
        <f t="shared" si="186"/>
        <v>#DIV/0!</v>
      </c>
      <c r="BK287" s="3"/>
      <c r="BL287" s="3">
        <f t="shared" si="187"/>
        <v>0</v>
      </c>
      <c r="BM287" s="19" t="e">
        <f t="shared" si="188"/>
        <v>#DIV/0!</v>
      </c>
      <c r="BN287" s="19" t="e">
        <f t="shared" si="189"/>
        <v>#DIV/0!</v>
      </c>
      <c r="BO287" s="19" t="e">
        <f t="shared" si="190"/>
        <v>#DIV/0!</v>
      </c>
      <c r="BP287" s="19" t="e">
        <f t="shared" si="191"/>
        <v>#DIV/0!</v>
      </c>
      <c r="BQ287" s="19" t="e">
        <f t="shared" si="192"/>
        <v>#DIV/0!</v>
      </c>
      <c r="BR287" s="19" t="e">
        <f t="shared" si="193"/>
        <v>#DIV/0!</v>
      </c>
      <c r="BS287" s="19" t="e">
        <f t="shared" si="194"/>
        <v>#DIV/0!</v>
      </c>
      <c r="BT287" s="19" t="e">
        <f t="shared" si="195"/>
        <v>#DIV/0!</v>
      </c>
      <c r="BV287" s="16">
        <f t="shared" si="196"/>
        <v>0</v>
      </c>
      <c r="BW287" s="16">
        <f t="shared" si="197"/>
        <v>0</v>
      </c>
      <c r="BX287" s="3">
        <f t="shared" si="198"/>
        <v>0</v>
      </c>
      <c r="BY287" s="3">
        <f t="shared" si="227"/>
        <v>0</v>
      </c>
      <c r="BZ287" s="3" t="s">
        <v>162</v>
      </c>
      <c r="CA287" s="3">
        <f t="shared" si="199"/>
        <v>0</v>
      </c>
      <c r="CB287" s="3">
        <f t="shared" si="200"/>
        <v>0</v>
      </c>
      <c r="CC287" s="3">
        <f t="shared" si="201"/>
        <v>0</v>
      </c>
      <c r="CD287" s="3">
        <f t="shared" si="202"/>
        <v>0</v>
      </c>
      <c r="CE287" s="22">
        <f t="shared" si="208"/>
        <v>0</v>
      </c>
      <c r="CF287" s="1">
        <f t="shared" si="203"/>
        <v>0</v>
      </c>
      <c r="CG287" s="1">
        <f t="shared" si="209"/>
        <v>0</v>
      </c>
      <c r="CH287" s="3" t="s">
        <v>162</v>
      </c>
      <c r="CI287" s="1">
        <f t="shared" si="210"/>
        <v>0</v>
      </c>
      <c r="CJ287" s="1">
        <f t="shared" si="211"/>
        <v>0</v>
      </c>
      <c r="CK287" s="1">
        <f t="shared" si="212"/>
        <v>0</v>
      </c>
      <c r="CL287" s="1">
        <f t="shared" si="213"/>
        <v>0</v>
      </c>
      <c r="CM287" s="2">
        <f t="shared" si="214"/>
        <v>0</v>
      </c>
      <c r="CN287" s="1">
        <f t="shared" si="215"/>
        <v>0</v>
      </c>
      <c r="CO287" s="1">
        <f t="shared" si="216"/>
        <v>0</v>
      </c>
      <c r="CP287" s="3" t="s">
        <v>162</v>
      </c>
      <c r="CQ287" s="1">
        <f t="shared" si="217"/>
        <v>0</v>
      </c>
      <c r="CR287" s="1">
        <f t="shared" si="218"/>
        <v>0</v>
      </c>
      <c r="CS287" s="1">
        <f t="shared" si="219"/>
        <v>0</v>
      </c>
      <c r="CT287" s="1">
        <f t="shared" si="220"/>
        <v>0</v>
      </c>
      <c r="CU287" s="2">
        <f t="shared" si="221"/>
        <v>0</v>
      </c>
      <c r="CV287" s="14">
        <f t="shared" si="222"/>
        <v>0</v>
      </c>
      <c r="CW287" s="1">
        <f>ROUND(PPTest!K287,1)</f>
        <v>0</v>
      </c>
      <c r="CX287" s="3">
        <f t="shared" si="204"/>
        <v>0</v>
      </c>
      <c r="CY287" s="3">
        <f t="shared" si="223"/>
        <v>0</v>
      </c>
      <c r="CZ287" s="19">
        <f t="shared" si="224"/>
        <v>0</v>
      </c>
      <c r="DA287" s="19" t="e">
        <f t="shared" si="224"/>
        <v>#DIV/0!</v>
      </c>
      <c r="DB287" s="16">
        <f t="shared" si="225"/>
        <v>0</v>
      </c>
    </row>
    <row r="288" spans="1:106" x14ac:dyDescent="0.2">
      <c r="A288" s="15">
        <f t="shared" si="226"/>
        <v>45940</v>
      </c>
      <c r="B288" s="1">
        <v>283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2"/>
      <c r="AZ288" s="14"/>
      <c r="BA288" s="16">
        <v>12.96</v>
      </c>
      <c r="BB288" s="41"/>
      <c r="BC288" s="41"/>
      <c r="BD288" s="8" t="e">
        <f t="shared" si="185"/>
        <v>#DIV/0!</v>
      </c>
      <c r="BE288" s="8"/>
      <c r="BF288" s="2">
        <f t="shared" si="205"/>
        <v>0</v>
      </c>
      <c r="BG288" s="2">
        <f t="shared" si="206"/>
        <v>0</v>
      </c>
      <c r="BH288" s="2">
        <f t="shared" si="207"/>
        <v>0</v>
      </c>
      <c r="BI288" s="35">
        <f t="shared" si="184"/>
        <v>0</v>
      </c>
      <c r="BJ288" s="35" t="e">
        <f t="shared" si="186"/>
        <v>#DIV/0!</v>
      </c>
      <c r="BK288" s="3"/>
      <c r="BL288" s="3">
        <f t="shared" si="187"/>
        <v>0</v>
      </c>
      <c r="BM288" s="19" t="e">
        <f t="shared" si="188"/>
        <v>#DIV/0!</v>
      </c>
      <c r="BN288" s="19" t="e">
        <f t="shared" si="189"/>
        <v>#DIV/0!</v>
      </c>
      <c r="BO288" s="19" t="e">
        <f t="shared" si="190"/>
        <v>#DIV/0!</v>
      </c>
      <c r="BP288" s="19" t="e">
        <f t="shared" si="191"/>
        <v>#DIV/0!</v>
      </c>
      <c r="BQ288" s="19" t="e">
        <f t="shared" si="192"/>
        <v>#DIV/0!</v>
      </c>
      <c r="BR288" s="19" t="e">
        <f t="shared" si="193"/>
        <v>#DIV/0!</v>
      </c>
      <c r="BS288" s="19" t="e">
        <f t="shared" si="194"/>
        <v>#DIV/0!</v>
      </c>
      <c r="BT288" s="19" t="e">
        <f t="shared" si="195"/>
        <v>#DIV/0!</v>
      </c>
      <c r="BV288" s="16">
        <f t="shared" si="196"/>
        <v>0</v>
      </c>
      <c r="BW288" s="16">
        <f t="shared" si="197"/>
        <v>0</v>
      </c>
      <c r="BX288" s="3">
        <f t="shared" si="198"/>
        <v>0</v>
      </c>
      <c r="BY288" s="3">
        <f t="shared" si="227"/>
        <v>0</v>
      </c>
      <c r="BZ288" s="3" t="s">
        <v>162</v>
      </c>
      <c r="CA288" s="3">
        <f t="shared" si="199"/>
        <v>0</v>
      </c>
      <c r="CB288" s="3">
        <f t="shared" si="200"/>
        <v>0</v>
      </c>
      <c r="CC288" s="3">
        <f t="shared" si="201"/>
        <v>0</v>
      </c>
      <c r="CD288" s="3">
        <f t="shared" si="202"/>
        <v>0</v>
      </c>
      <c r="CE288" s="22">
        <f t="shared" si="208"/>
        <v>0</v>
      </c>
      <c r="CF288" s="1">
        <f t="shared" si="203"/>
        <v>0</v>
      </c>
      <c r="CG288" s="1">
        <f t="shared" si="209"/>
        <v>0</v>
      </c>
      <c r="CH288" s="3" t="s">
        <v>162</v>
      </c>
      <c r="CI288" s="1">
        <f t="shared" si="210"/>
        <v>0</v>
      </c>
      <c r="CJ288" s="1">
        <f t="shared" si="211"/>
        <v>0</v>
      </c>
      <c r="CK288" s="1">
        <f t="shared" si="212"/>
        <v>0</v>
      </c>
      <c r="CL288" s="1">
        <f t="shared" si="213"/>
        <v>0</v>
      </c>
      <c r="CM288" s="2">
        <f t="shared" si="214"/>
        <v>0</v>
      </c>
      <c r="CN288" s="1">
        <f t="shared" si="215"/>
        <v>0</v>
      </c>
      <c r="CO288" s="1">
        <f t="shared" si="216"/>
        <v>0</v>
      </c>
      <c r="CP288" s="3" t="s">
        <v>162</v>
      </c>
      <c r="CQ288" s="1">
        <f t="shared" si="217"/>
        <v>0</v>
      </c>
      <c r="CR288" s="1">
        <f t="shared" si="218"/>
        <v>0</v>
      </c>
      <c r="CS288" s="1">
        <f t="shared" si="219"/>
        <v>0</v>
      </c>
      <c r="CT288" s="1">
        <f t="shared" si="220"/>
        <v>0</v>
      </c>
      <c r="CU288" s="2">
        <f t="shared" si="221"/>
        <v>0</v>
      </c>
      <c r="CV288" s="14">
        <f t="shared" si="222"/>
        <v>0</v>
      </c>
      <c r="CW288" s="1">
        <f>ROUND(PPTest!K288,1)</f>
        <v>0</v>
      </c>
      <c r="CX288" s="3">
        <f t="shared" si="204"/>
        <v>0</v>
      </c>
      <c r="CY288" s="3">
        <f t="shared" si="223"/>
        <v>0</v>
      </c>
      <c r="CZ288" s="19">
        <f t="shared" si="224"/>
        <v>0</v>
      </c>
      <c r="DA288" s="19" t="e">
        <f t="shared" si="224"/>
        <v>#DIV/0!</v>
      </c>
      <c r="DB288" s="16">
        <f t="shared" si="225"/>
        <v>0</v>
      </c>
    </row>
    <row r="289" spans="1:106" x14ac:dyDescent="0.2">
      <c r="A289" s="15">
        <f t="shared" si="226"/>
        <v>45941</v>
      </c>
      <c r="B289" s="1">
        <v>284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2"/>
      <c r="AZ289" s="14"/>
      <c r="BA289" s="16">
        <v>12.74</v>
      </c>
      <c r="BB289" s="41"/>
      <c r="BC289" s="41"/>
      <c r="BD289" s="8" t="e">
        <f t="shared" si="185"/>
        <v>#DIV/0!</v>
      </c>
      <c r="BE289" s="8"/>
      <c r="BF289" s="2">
        <f t="shared" si="205"/>
        <v>0</v>
      </c>
      <c r="BG289" s="2">
        <f t="shared" si="206"/>
        <v>0</v>
      </c>
      <c r="BH289" s="2">
        <f t="shared" si="207"/>
        <v>0</v>
      </c>
      <c r="BI289" s="35">
        <f t="shared" si="184"/>
        <v>0</v>
      </c>
      <c r="BJ289" s="35" t="e">
        <f t="shared" si="186"/>
        <v>#DIV/0!</v>
      </c>
      <c r="BK289" s="3"/>
      <c r="BL289" s="3">
        <f t="shared" si="187"/>
        <v>0</v>
      </c>
      <c r="BM289" s="19" t="e">
        <f t="shared" si="188"/>
        <v>#DIV/0!</v>
      </c>
      <c r="BN289" s="19" t="e">
        <f t="shared" si="189"/>
        <v>#DIV/0!</v>
      </c>
      <c r="BO289" s="19" t="e">
        <f t="shared" si="190"/>
        <v>#DIV/0!</v>
      </c>
      <c r="BP289" s="19" t="e">
        <f t="shared" si="191"/>
        <v>#DIV/0!</v>
      </c>
      <c r="BQ289" s="19" t="e">
        <f t="shared" si="192"/>
        <v>#DIV/0!</v>
      </c>
      <c r="BR289" s="19" t="e">
        <f t="shared" si="193"/>
        <v>#DIV/0!</v>
      </c>
      <c r="BS289" s="19" t="e">
        <f t="shared" si="194"/>
        <v>#DIV/0!</v>
      </c>
      <c r="BT289" s="19" t="e">
        <f t="shared" si="195"/>
        <v>#DIV/0!</v>
      </c>
      <c r="BV289" s="16">
        <f t="shared" si="196"/>
        <v>0</v>
      </c>
      <c r="BW289" s="16">
        <f t="shared" si="197"/>
        <v>0</v>
      </c>
      <c r="BX289" s="3">
        <f t="shared" si="198"/>
        <v>0</v>
      </c>
      <c r="BY289" s="3">
        <f t="shared" si="227"/>
        <v>0</v>
      </c>
      <c r="BZ289" s="3" t="s">
        <v>162</v>
      </c>
      <c r="CA289" s="3">
        <f t="shared" si="199"/>
        <v>0</v>
      </c>
      <c r="CB289" s="3">
        <f t="shared" si="200"/>
        <v>0</v>
      </c>
      <c r="CC289" s="3">
        <f t="shared" si="201"/>
        <v>0</v>
      </c>
      <c r="CD289" s="3">
        <f t="shared" si="202"/>
        <v>0</v>
      </c>
      <c r="CE289" s="22">
        <f t="shared" si="208"/>
        <v>0</v>
      </c>
      <c r="CF289" s="1">
        <f t="shared" si="203"/>
        <v>0</v>
      </c>
      <c r="CG289" s="1">
        <f t="shared" si="209"/>
        <v>0</v>
      </c>
      <c r="CH289" s="3" t="s">
        <v>162</v>
      </c>
      <c r="CI289" s="1">
        <f t="shared" si="210"/>
        <v>0</v>
      </c>
      <c r="CJ289" s="1">
        <f t="shared" si="211"/>
        <v>0</v>
      </c>
      <c r="CK289" s="1">
        <f t="shared" si="212"/>
        <v>0</v>
      </c>
      <c r="CL289" s="1">
        <f t="shared" si="213"/>
        <v>0</v>
      </c>
      <c r="CM289" s="2">
        <f t="shared" si="214"/>
        <v>0</v>
      </c>
      <c r="CN289" s="1">
        <f t="shared" si="215"/>
        <v>0</v>
      </c>
      <c r="CO289" s="1">
        <f t="shared" si="216"/>
        <v>0</v>
      </c>
      <c r="CP289" s="3" t="s">
        <v>162</v>
      </c>
      <c r="CQ289" s="1">
        <f t="shared" si="217"/>
        <v>0</v>
      </c>
      <c r="CR289" s="1">
        <f t="shared" si="218"/>
        <v>0</v>
      </c>
      <c r="CS289" s="1">
        <f t="shared" si="219"/>
        <v>0</v>
      </c>
      <c r="CT289" s="1">
        <f t="shared" si="220"/>
        <v>0</v>
      </c>
      <c r="CU289" s="2">
        <f t="shared" si="221"/>
        <v>0</v>
      </c>
      <c r="CV289" s="14">
        <f t="shared" si="222"/>
        <v>0</v>
      </c>
      <c r="CW289" s="1">
        <f>ROUND(PPTest!K289,1)</f>
        <v>0</v>
      </c>
      <c r="CX289" s="3">
        <f t="shared" si="204"/>
        <v>0</v>
      </c>
      <c r="CY289" s="3">
        <f t="shared" si="223"/>
        <v>0</v>
      </c>
      <c r="CZ289" s="19">
        <f t="shared" si="224"/>
        <v>0</v>
      </c>
      <c r="DA289" s="19" t="e">
        <f t="shared" si="224"/>
        <v>#DIV/0!</v>
      </c>
      <c r="DB289" s="16">
        <f t="shared" si="225"/>
        <v>0</v>
      </c>
    </row>
    <row r="290" spans="1:106" x14ac:dyDescent="0.2">
      <c r="A290" s="15">
        <f t="shared" si="226"/>
        <v>45942</v>
      </c>
      <c r="B290" s="1">
        <v>285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2"/>
      <c r="AZ290" s="14"/>
      <c r="BA290" s="16">
        <v>12.51</v>
      </c>
      <c r="BB290" s="41"/>
      <c r="BC290" s="41"/>
      <c r="BD290" s="8" t="e">
        <f t="shared" si="185"/>
        <v>#DIV/0!</v>
      </c>
      <c r="BE290" s="8"/>
      <c r="BF290" s="2">
        <f t="shared" si="205"/>
        <v>0</v>
      </c>
      <c r="BG290" s="2">
        <f t="shared" si="206"/>
        <v>0</v>
      </c>
      <c r="BH290" s="2">
        <f t="shared" si="207"/>
        <v>0</v>
      </c>
      <c r="BI290" s="35">
        <f t="shared" si="184"/>
        <v>0</v>
      </c>
      <c r="BJ290" s="35" t="e">
        <f t="shared" si="186"/>
        <v>#DIV/0!</v>
      </c>
      <c r="BK290" s="3"/>
      <c r="BL290" s="3">
        <f t="shared" si="187"/>
        <v>0</v>
      </c>
      <c r="BM290" s="19" t="e">
        <f t="shared" si="188"/>
        <v>#DIV/0!</v>
      </c>
      <c r="BN290" s="19" t="e">
        <f t="shared" si="189"/>
        <v>#DIV/0!</v>
      </c>
      <c r="BO290" s="19" t="e">
        <f t="shared" si="190"/>
        <v>#DIV/0!</v>
      </c>
      <c r="BP290" s="19" t="e">
        <f t="shared" si="191"/>
        <v>#DIV/0!</v>
      </c>
      <c r="BQ290" s="19" t="e">
        <f t="shared" si="192"/>
        <v>#DIV/0!</v>
      </c>
      <c r="BR290" s="19" t="e">
        <f t="shared" si="193"/>
        <v>#DIV/0!</v>
      </c>
      <c r="BS290" s="19" t="e">
        <f t="shared" si="194"/>
        <v>#DIV/0!</v>
      </c>
      <c r="BT290" s="19" t="e">
        <f t="shared" si="195"/>
        <v>#DIV/0!</v>
      </c>
      <c r="BV290" s="16">
        <f t="shared" si="196"/>
        <v>0</v>
      </c>
      <c r="BW290" s="16">
        <f t="shared" si="197"/>
        <v>0</v>
      </c>
      <c r="BX290" s="3">
        <f t="shared" si="198"/>
        <v>0</v>
      </c>
      <c r="BY290" s="3">
        <f t="shared" si="227"/>
        <v>0</v>
      </c>
      <c r="BZ290" s="3" t="s">
        <v>162</v>
      </c>
      <c r="CA290" s="3">
        <f t="shared" si="199"/>
        <v>0</v>
      </c>
      <c r="CB290" s="3">
        <f t="shared" si="200"/>
        <v>0</v>
      </c>
      <c r="CC290" s="3">
        <f t="shared" si="201"/>
        <v>0</v>
      </c>
      <c r="CD290" s="3">
        <f t="shared" si="202"/>
        <v>0</v>
      </c>
      <c r="CE290" s="22">
        <f t="shared" si="208"/>
        <v>0</v>
      </c>
      <c r="CF290" s="1">
        <f t="shared" si="203"/>
        <v>0</v>
      </c>
      <c r="CG290" s="1">
        <f t="shared" si="209"/>
        <v>0</v>
      </c>
      <c r="CH290" s="3" t="s">
        <v>162</v>
      </c>
      <c r="CI290" s="1">
        <f t="shared" si="210"/>
        <v>0</v>
      </c>
      <c r="CJ290" s="1">
        <f t="shared" si="211"/>
        <v>0</v>
      </c>
      <c r="CK290" s="1">
        <f t="shared" si="212"/>
        <v>0</v>
      </c>
      <c r="CL290" s="1">
        <f t="shared" si="213"/>
        <v>0</v>
      </c>
      <c r="CM290" s="2">
        <f t="shared" si="214"/>
        <v>0</v>
      </c>
      <c r="CN290" s="1">
        <f t="shared" si="215"/>
        <v>0</v>
      </c>
      <c r="CO290" s="1">
        <f t="shared" si="216"/>
        <v>0</v>
      </c>
      <c r="CP290" s="3" t="s">
        <v>162</v>
      </c>
      <c r="CQ290" s="1">
        <f t="shared" si="217"/>
        <v>0</v>
      </c>
      <c r="CR290" s="1">
        <f t="shared" si="218"/>
        <v>0</v>
      </c>
      <c r="CS290" s="1">
        <f t="shared" si="219"/>
        <v>0</v>
      </c>
      <c r="CT290" s="1">
        <f t="shared" si="220"/>
        <v>0</v>
      </c>
      <c r="CU290" s="2">
        <f t="shared" si="221"/>
        <v>0</v>
      </c>
      <c r="CV290" s="14">
        <f t="shared" si="222"/>
        <v>0</v>
      </c>
      <c r="CW290" s="1">
        <f>ROUND(PPTest!K290,1)</f>
        <v>0</v>
      </c>
      <c r="CX290" s="3">
        <f t="shared" si="204"/>
        <v>0</v>
      </c>
      <c r="CY290" s="3">
        <f t="shared" si="223"/>
        <v>0</v>
      </c>
      <c r="CZ290" s="19">
        <f t="shared" si="224"/>
        <v>0</v>
      </c>
      <c r="DA290" s="19" t="e">
        <f t="shared" si="224"/>
        <v>#DIV/0!</v>
      </c>
      <c r="DB290" s="16">
        <f t="shared" si="225"/>
        <v>0</v>
      </c>
    </row>
    <row r="291" spans="1:106" x14ac:dyDescent="0.2">
      <c r="A291" s="15">
        <f t="shared" si="226"/>
        <v>45943</v>
      </c>
      <c r="B291" s="1">
        <v>286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2"/>
      <c r="AZ291" s="14"/>
      <c r="BA291" s="16">
        <v>12.28</v>
      </c>
      <c r="BB291" s="41"/>
      <c r="BC291" s="41"/>
      <c r="BD291" s="8" t="e">
        <f t="shared" si="185"/>
        <v>#DIV/0!</v>
      </c>
      <c r="BE291" s="8"/>
      <c r="BF291" s="2">
        <f t="shared" si="205"/>
        <v>0</v>
      </c>
      <c r="BG291" s="2">
        <f t="shared" si="206"/>
        <v>0</v>
      </c>
      <c r="BH291" s="2">
        <f t="shared" si="207"/>
        <v>0</v>
      </c>
      <c r="BI291" s="35">
        <f t="shared" si="184"/>
        <v>0</v>
      </c>
      <c r="BJ291" s="35" t="e">
        <f t="shared" si="186"/>
        <v>#DIV/0!</v>
      </c>
      <c r="BK291" s="3"/>
      <c r="BL291" s="3">
        <f t="shared" si="187"/>
        <v>0</v>
      </c>
      <c r="BM291" s="19" t="e">
        <f t="shared" si="188"/>
        <v>#DIV/0!</v>
      </c>
      <c r="BN291" s="19" t="e">
        <f t="shared" si="189"/>
        <v>#DIV/0!</v>
      </c>
      <c r="BO291" s="19" t="e">
        <f t="shared" si="190"/>
        <v>#DIV/0!</v>
      </c>
      <c r="BP291" s="19" t="e">
        <f t="shared" si="191"/>
        <v>#DIV/0!</v>
      </c>
      <c r="BQ291" s="19" t="e">
        <f t="shared" si="192"/>
        <v>#DIV/0!</v>
      </c>
      <c r="BR291" s="19" t="e">
        <f t="shared" si="193"/>
        <v>#DIV/0!</v>
      </c>
      <c r="BS291" s="19" t="e">
        <f t="shared" si="194"/>
        <v>#DIV/0!</v>
      </c>
      <c r="BT291" s="19" t="e">
        <f t="shared" si="195"/>
        <v>#DIV/0!</v>
      </c>
      <c r="BV291" s="16">
        <f t="shared" si="196"/>
        <v>0</v>
      </c>
      <c r="BW291" s="16">
        <f t="shared" si="197"/>
        <v>0</v>
      </c>
      <c r="BX291" s="3">
        <f t="shared" si="198"/>
        <v>0</v>
      </c>
      <c r="BY291" s="3">
        <f t="shared" si="227"/>
        <v>0</v>
      </c>
      <c r="BZ291" s="3" t="s">
        <v>162</v>
      </c>
      <c r="CA291" s="3">
        <f t="shared" si="199"/>
        <v>0</v>
      </c>
      <c r="CB291" s="3">
        <f t="shared" si="200"/>
        <v>0</v>
      </c>
      <c r="CC291" s="3">
        <f t="shared" si="201"/>
        <v>0</v>
      </c>
      <c r="CD291" s="3">
        <f t="shared" si="202"/>
        <v>0</v>
      </c>
      <c r="CE291" s="22">
        <f t="shared" si="208"/>
        <v>0</v>
      </c>
      <c r="CF291" s="1">
        <f t="shared" si="203"/>
        <v>0</v>
      </c>
      <c r="CG291" s="1">
        <f t="shared" si="209"/>
        <v>0</v>
      </c>
      <c r="CH291" s="3" t="s">
        <v>162</v>
      </c>
      <c r="CI291" s="1">
        <f t="shared" si="210"/>
        <v>0</v>
      </c>
      <c r="CJ291" s="1">
        <f t="shared" si="211"/>
        <v>0</v>
      </c>
      <c r="CK291" s="1">
        <f t="shared" si="212"/>
        <v>0</v>
      </c>
      <c r="CL291" s="1">
        <f t="shared" si="213"/>
        <v>0</v>
      </c>
      <c r="CM291" s="2">
        <f t="shared" si="214"/>
        <v>0</v>
      </c>
      <c r="CN291" s="1">
        <f t="shared" si="215"/>
        <v>0</v>
      </c>
      <c r="CO291" s="1">
        <f t="shared" si="216"/>
        <v>0</v>
      </c>
      <c r="CP291" s="3" t="s">
        <v>162</v>
      </c>
      <c r="CQ291" s="1">
        <f t="shared" si="217"/>
        <v>0</v>
      </c>
      <c r="CR291" s="1">
        <f t="shared" si="218"/>
        <v>0</v>
      </c>
      <c r="CS291" s="1">
        <f t="shared" si="219"/>
        <v>0</v>
      </c>
      <c r="CT291" s="1">
        <f t="shared" si="220"/>
        <v>0</v>
      </c>
      <c r="CU291" s="2">
        <f t="shared" si="221"/>
        <v>0</v>
      </c>
      <c r="CV291" s="14">
        <f t="shared" si="222"/>
        <v>0</v>
      </c>
      <c r="CW291" s="1">
        <f>ROUND(PPTest!K291,1)</f>
        <v>0</v>
      </c>
      <c r="CX291" s="3">
        <f t="shared" si="204"/>
        <v>0</v>
      </c>
      <c r="CY291" s="3">
        <f t="shared" si="223"/>
        <v>0</v>
      </c>
      <c r="CZ291" s="19">
        <f t="shared" si="224"/>
        <v>0</v>
      </c>
      <c r="DA291" s="19" t="e">
        <f t="shared" si="224"/>
        <v>#DIV/0!</v>
      </c>
      <c r="DB291" s="16">
        <f t="shared" si="225"/>
        <v>0</v>
      </c>
    </row>
    <row r="292" spans="1:106" x14ac:dyDescent="0.2">
      <c r="A292" s="15">
        <f t="shared" si="226"/>
        <v>45944</v>
      </c>
      <c r="B292" s="1">
        <v>287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2"/>
      <c r="AZ292" s="14"/>
      <c r="BA292" s="16">
        <v>12.06</v>
      </c>
      <c r="BB292" s="41"/>
      <c r="BC292" s="41"/>
      <c r="BD292" s="8" t="e">
        <f t="shared" si="185"/>
        <v>#DIV/0!</v>
      </c>
      <c r="BE292" s="8"/>
      <c r="BF292" s="2">
        <f t="shared" si="205"/>
        <v>0</v>
      </c>
      <c r="BG292" s="2">
        <f t="shared" si="206"/>
        <v>0</v>
      </c>
      <c r="BH292" s="2">
        <f t="shared" si="207"/>
        <v>0</v>
      </c>
      <c r="BI292" s="35">
        <f t="shared" si="184"/>
        <v>0</v>
      </c>
      <c r="BJ292" s="35" t="e">
        <f t="shared" si="186"/>
        <v>#DIV/0!</v>
      </c>
      <c r="BK292" s="3"/>
      <c r="BL292" s="3">
        <f t="shared" si="187"/>
        <v>0</v>
      </c>
      <c r="BM292" s="19" t="e">
        <f t="shared" si="188"/>
        <v>#DIV/0!</v>
      </c>
      <c r="BN292" s="19" t="e">
        <f t="shared" si="189"/>
        <v>#DIV/0!</v>
      </c>
      <c r="BO292" s="19" t="e">
        <f t="shared" si="190"/>
        <v>#DIV/0!</v>
      </c>
      <c r="BP292" s="19" t="e">
        <f t="shared" si="191"/>
        <v>#DIV/0!</v>
      </c>
      <c r="BQ292" s="19" t="e">
        <f t="shared" si="192"/>
        <v>#DIV/0!</v>
      </c>
      <c r="BR292" s="19" t="e">
        <f t="shared" si="193"/>
        <v>#DIV/0!</v>
      </c>
      <c r="BS292" s="19" t="e">
        <f t="shared" si="194"/>
        <v>#DIV/0!</v>
      </c>
      <c r="BT292" s="19" t="e">
        <f t="shared" si="195"/>
        <v>#DIV/0!</v>
      </c>
      <c r="BV292" s="16">
        <f t="shared" si="196"/>
        <v>0</v>
      </c>
      <c r="BW292" s="16">
        <f t="shared" si="197"/>
        <v>0</v>
      </c>
      <c r="BX292" s="3">
        <f t="shared" si="198"/>
        <v>0</v>
      </c>
      <c r="BY292" s="3">
        <f t="shared" si="227"/>
        <v>0</v>
      </c>
      <c r="BZ292" s="3" t="s">
        <v>162</v>
      </c>
      <c r="CA292" s="3">
        <f t="shared" si="199"/>
        <v>0</v>
      </c>
      <c r="CB292" s="3">
        <f t="shared" si="200"/>
        <v>0</v>
      </c>
      <c r="CC292" s="3">
        <f t="shared" si="201"/>
        <v>0</v>
      </c>
      <c r="CD292" s="3">
        <f t="shared" si="202"/>
        <v>0</v>
      </c>
      <c r="CE292" s="22">
        <f t="shared" si="208"/>
        <v>0</v>
      </c>
      <c r="CF292" s="1">
        <f t="shared" si="203"/>
        <v>0</v>
      </c>
      <c r="CG292" s="1">
        <f t="shared" si="209"/>
        <v>0</v>
      </c>
      <c r="CH292" s="3" t="s">
        <v>162</v>
      </c>
      <c r="CI292" s="1">
        <f t="shared" si="210"/>
        <v>0</v>
      </c>
      <c r="CJ292" s="1">
        <f t="shared" si="211"/>
        <v>0</v>
      </c>
      <c r="CK292" s="1">
        <f t="shared" si="212"/>
        <v>0</v>
      </c>
      <c r="CL292" s="1">
        <f t="shared" si="213"/>
        <v>0</v>
      </c>
      <c r="CM292" s="2">
        <f t="shared" si="214"/>
        <v>0</v>
      </c>
      <c r="CN292" s="1">
        <f t="shared" si="215"/>
        <v>0</v>
      </c>
      <c r="CO292" s="1">
        <f t="shared" si="216"/>
        <v>0</v>
      </c>
      <c r="CP292" s="3" t="s">
        <v>162</v>
      </c>
      <c r="CQ292" s="1">
        <f t="shared" si="217"/>
        <v>0</v>
      </c>
      <c r="CR292" s="1">
        <f t="shared" si="218"/>
        <v>0</v>
      </c>
      <c r="CS292" s="1">
        <f t="shared" si="219"/>
        <v>0</v>
      </c>
      <c r="CT292" s="1">
        <f t="shared" si="220"/>
        <v>0</v>
      </c>
      <c r="CU292" s="2">
        <f t="shared" si="221"/>
        <v>0</v>
      </c>
      <c r="CV292" s="14">
        <f t="shared" si="222"/>
        <v>0</v>
      </c>
      <c r="CW292" s="1">
        <f>ROUND(PPTest!K292,1)</f>
        <v>0</v>
      </c>
      <c r="CX292" s="3">
        <f t="shared" si="204"/>
        <v>0</v>
      </c>
      <c r="CY292" s="3">
        <f t="shared" si="223"/>
        <v>0</v>
      </c>
      <c r="CZ292" s="19">
        <f t="shared" si="224"/>
        <v>0</v>
      </c>
      <c r="DA292" s="19" t="e">
        <f t="shared" si="224"/>
        <v>#DIV/0!</v>
      </c>
      <c r="DB292" s="16">
        <f t="shared" si="225"/>
        <v>0</v>
      </c>
    </row>
    <row r="293" spans="1:106" x14ac:dyDescent="0.2">
      <c r="A293" s="15">
        <f t="shared" si="226"/>
        <v>45945</v>
      </c>
      <c r="B293" s="1">
        <v>288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2"/>
      <c r="AZ293" s="14"/>
      <c r="BA293" s="16">
        <v>11.84</v>
      </c>
      <c r="BB293" s="41"/>
      <c r="BC293" s="41"/>
      <c r="BD293" s="8" t="e">
        <f t="shared" si="185"/>
        <v>#DIV/0!</v>
      </c>
      <c r="BE293" s="8"/>
      <c r="BF293" s="2">
        <f t="shared" si="205"/>
        <v>0</v>
      </c>
      <c r="BG293" s="2">
        <f t="shared" si="206"/>
        <v>0</v>
      </c>
      <c r="BH293" s="2">
        <f t="shared" si="207"/>
        <v>0</v>
      </c>
      <c r="BI293" s="35">
        <f t="shared" si="184"/>
        <v>0</v>
      </c>
      <c r="BJ293" s="35" t="e">
        <f t="shared" si="186"/>
        <v>#DIV/0!</v>
      </c>
      <c r="BK293" s="3"/>
      <c r="BL293" s="3">
        <f t="shared" si="187"/>
        <v>0</v>
      </c>
      <c r="BM293" s="19" t="e">
        <f t="shared" si="188"/>
        <v>#DIV/0!</v>
      </c>
      <c r="BN293" s="19" t="e">
        <f t="shared" si="189"/>
        <v>#DIV/0!</v>
      </c>
      <c r="BO293" s="19" t="e">
        <f t="shared" si="190"/>
        <v>#DIV/0!</v>
      </c>
      <c r="BP293" s="19" t="e">
        <f t="shared" si="191"/>
        <v>#DIV/0!</v>
      </c>
      <c r="BQ293" s="19" t="e">
        <f t="shared" si="192"/>
        <v>#DIV/0!</v>
      </c>
      <c r="BR293" s="19" t="e">
        <f t="shared" si="193"/>
        <v>#DIV/0!</v>
      </c>
      <c r="BS293" s="19" t="e">
        <f t="shared" si="194"/>
        <v>#DIV/0!</v>
      </c>
      <c r="BT293" s="19" t="e">
        <f t="shared" si="195"/>
        <v>#DIV/0!</v>
      </c>
      <c r="BV293" s="16">
        <f t="shared" si="196"/>
        <v>0</v>
      </c>
      <c r="BW293" s="16">
        <f t="shared" si="197"/>
        <v>0</v>
      </c>
      <c r="BX293" s="3">
        <f t="shared" si="198"/>
        <v>0</v>
      </c>
      <c r="BY293" s="3">
        <f t="shared" si="227"/>
        <v>0</v>
      </c>
      <c r="BZ293" s="3" t="s">
        <v>162</v>
      </c>
      <c r="CA293" s="3">
        <f t="shared" si="199"/>
        <v>0</v>
      </c>
      <c r="CB293" s="3">
        <f t="shared" si="200"/>
        <v>0</v>
      </c>
      <c r="CC293" s="3">
        <f t="shared" si="201"/>
        <v>0</v>
      </c>
      <c r="CD293" s="3">
        <f t="shared" si="202"/>
        <v>0</v>
      </c>
      <c r="CE293" s="22">
        <f t="shared" si="208"/>
        <v>0</v>
      </c>
      <c r="CF293" s="1">
        <f t="shared" si="203"/>
        <v>0</v>
      </c>
      <c r="CG293" s="1">
        <f t="shared" si="209"/>
        <v>0</v>
      </c>
      <c r="CH293" s="3" t="s">
        <v>162</v>
      </c>
      <c r="CI293" s="1">
        <f t="shared" si="210"/>
        <v>0</v>
      </c>
      <c r="CJ293" s="1">
        <f t="shared" si="211"/>
        <v>0</v>
      </c>
      <c r="CK293" s="1">
        <f t="shared" si="212"/>
        <v>0</v>
      </c>
      <c r="CL293" s="1">
        <f t="shared" si="213"/>
        <v>0</v>
      </c>
      <c r="CM293" s="2">
        <f t="shared" si="214"/>
        <v>0</v>
      </c>
      <c r="CN293" s="1">
        <f t="shared" si="215"/>
        <v>0</v>
      </c>
      <c r="CO293" s="1">
        <f t="shared" si="216"/>
        <v>0</v>
      </c>
      <c r="CP293" s="3" t="s">
        <v>162</v>
      </c>
      <c r="CQ293" s="1">
        <f t="shared" si="217"/>
        <v>0</v>
      </c>
      <c r="CR293" s="1">
        <f t="shared" si="218"/>
        <v>0</v>
      </c>
      <c r="CS293" s="1">
        <f t="shared" si="219"/>
        <v>0</v>
      </c>
      <c r="CT293" s="1">
        <f t="shared" si="220"/>
        <v>0</v>
      </c>
      <c r="CU293" s="2">
        <f t="shared" si="221"/>
        <v>0</v>
      </c>
      <c r="CV293" s="14">
        <f t="shared" si="222"/>
        <v>0</v>
      </c>
      <c r="CW293" s="1">
        <f>ROUND(PPTest!K293,1)</f>
        <v>0</v>
      </c>
      <c r="CX293" s="3">
        <f t="shared" si="204"/>
        <v>0</v>
      </c>
      <c r="CY293" s="3">
        <f t="shared" si="223"/>
        <v>0</v>
      </c>
      <c r="CZ293" s="19">
        <f t="shared" si="224"/>
        <v>0</v>
      </c>
      <c r="DA293" s="19" t="e">
        <f t="shared" si="224"/>
        <v>#DIV/0!</v>
      </c>
      <c r="DB293" s="16">
        <f t="shared" si="225"/>
        <v>0</v>
      </c>
    </row>
    <row r="294" spans="1:106" x14ac:dyDescent="0.2">
      <c r="A294" s="15">
        <f t="shared" si="226"/>
        <v>45946</v>
      </c>
      <c r="B294" s="1">
        <v>289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2"/>
      <c r="AZ294" s="14"/>
      <c r="BA294" s="16">
        <v>11.62</v>
      </c>
      <c r="BB294" s="41"/>
      <c r="BC294" s="41"/>
      <c r="BD294" s="8" t="e">
        <f t="shared" si="185"/>
        <v>#DIV/0!</v>
      </c>
      <c r="BE294" s="8"/>
      <c r="BF294" s="2">
        <f t="shared" si="205"/>
        <v>0</v>
      </c>
      <c r="BG294" s="2">
        <f t="shared" si="206"/>
        <v>0</v>
      </c>
      <c r="BH294" s="2">
        <f t="shared" si="207"/>
        <v>0</v>
      </c>
      <c r="BI294" s="35">
        <f t="shared" si="184"/>
        <v>0</v>
      </c>
      <c r="BJ294" s="35" t="e">
        <f t="shared" si="186"/>
        <v>#DIV/0!</v>
      </c>
      <c r="BK294" s="3"/>
      <c r="BL294" s="3">
        <f t="shared" si="187"/>
        <v>0</v>
      </c>
      <c r="BM294" s="19" t="e">
        <f t="shared" si="188"/>
        <v>#DIV/0!</v>
      </c>
      <c r="BN294" s="19" t="e">
        <f t="shared" si="189"/>
        <v>#DIV/0!</v>
      </c>
      <c r="BO294" s="19" t="e">
        <f t="shared" si="190"/>
        <v>#DIV/0!</v>
      </c>
      <c r="BP294" s="19" t="e">
        <f t="shared" si="191"/>
        <v>#DIV/0!</v>
      </c>
      <c r="BQ294" s="19" t="e">
        <f t="shared" si="192"/>
        <v>#DIV/0!</v>
      </c>
      <c r="BR294" s="19" t="e">
        <f t="shared" si="193"/>
        <v>#DIV/0!</v>
      </c>
      <c r="BS294" s="19" t="e">
        <f t="shared" si="194"/>
        <v>#DIV/0!</v>
      </c>
      <c r="BT294" s="19" t="e">
        <f t="shared" si="195"/>
        <v>#DIV/0!</v>
      </c>
      <c r="BV294" s="16">
        <f t="shared" si="196"/>
        <v>0</v>
      </c>
      <c r="BW294" s="16">
        <f t="shared" si="197"/>
        <v>0</v>
      </c>
      <c r="BX294" s="3">
        <f t="shared" si="198"/>
        <v>0</v>
      </c>
      <c r="BY294" s="3">
        <f t="shared" si="227"/>
        <v>0</v>
      </c>
      <c r="BZ294" s="3" t="s">
        <v>162</v>
      </c>
      <c r="CA294" s="3">
        <f t="shared" si="199"/>
        <v>0</v>
      </c>
      <c r="CB294" s="3">
        <f t="shared" si="200"/>
        <v>0</v>
      </c>
      <c r="CC294" s="3">
        <f t="shared" si="201"/>
        <v>0</v>
      </c>
      <c r="CD294" s="3">
        <f t="shared" si="202"/>
        <v>0</v>
      </c>
      <c r="CE294" s="22">
        <f t="shared" si="208"/>
        <v>0</v>
      </c>
      <c r="CF294" s="1">
        <f t="shared" si="203"/>
        <v>0</v>
      </c>
      <c r="CG294" s="1">
        <f t="shared" si="209"/>
        <v>0</v>
      </c>
      <c r="CH294" s="3" t="s">
        <v>162</v>
      </c>
      <c r="CI294" s="1">
        <f t="shared" si="210"/>
        <v>0</v>
      </c>
      <c r="CJ294" s="1">
        <f t="shared" si="211"/>
        <v>0</v>
      </c>
      <c r="CK294" s="1">
        <f t="shared" si="212"/>
        <v>0</v>
      </c>
      <c r="CL294" s="1">
        <f t="shared" si="213"/>
        <v>0</v>
      </c>
      <c r="CM294" s="2">
        <f t="shared" si="214"/>
        <v>0</v>
      </c>
      <c r="CN294" s="1">
        <f t="shared" si="215"/>
        <v>0</v>
      </c>
      <c r="CO294" s="1">
        <f t="shared" si="216"/>
        <v>0</v>
      </c>
      <c r="CP294" s="3" t="s">
        <v>162</v>
      </c>
      <c r="CQ294" s="1">
        <f t="shared" si="217"/>
        <v>0</v>
      </c>
      <c r="CR294" s="1">
        <f t="shared" si="218"/>
        <v>0</v>
      </c>
      <c r="CS294" s="1">
        <f t="shared" si="219"/>
        <v>0</v>
      </c>
      <c r="CT294" s="1">
        <f t="shared" si="220"/>
        <v>0</v>
      </c>
      <c r="CU294" s="2">
        <f t="shared" si="221"/>
        <v>0</v>
      </c>
      <c r="CV294" s="14">
        <f t="shared" si="222"/>
        <v>0</v>
      </c>
      <c r="CW294" s="1">
        <f>ROUND(PPTest!K294,1)</f>
        <v>0</v>
      </c>
      <c r="CX294" s="3">
        <f t="shared" si="204"/>
        <v>0</v>
      </c>
      <c r="CY294" s="3">
        <f t="shared" si="223"/>
        <v>0</v>
      </c>
      <c r="CZ294" s="19">
        <f t="shared" si="224"/>
        <v>0</v>
      </c>
      <c r="DA294" s="19" t="e">
        <f t="shared" si="224"/>
        <v>#DIV/0!</v>
      </c>
      <c r="DB294" s="16">
        <f t="shared" si="225"/>
        <v>0</v>
      </c>
    </row>
    <row r="295" spans="1:106" x14ac:dyDescent="0.2">
      <c r="A295" s="15">
        <f t="shared" si="226"/>
        <v>45947</v>
      </c>
      <c r="B295" s="1">
        <v>290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2"/>
      <c r="AZ295" s="14"/>
      <c r="BA295" s="16">
        <v>11.41</v>
      </c>
      <c r="BB295" s="41"/>
      <c r="BC295" s="41"/>
      <c r="BD295" s="8" t="e">
        <f t="shared" si="185"/>
        <v>#DIV/0!</v>
      </c>
      <c r="BE295" s="8"/>
      <c r="BF295" s="2">
        <f t="shared" si="205"/>
        <v>0</v>
      </c>
      <c r="BG295" s="2">
        <f t="shared" si="206"/>
        <v>0</v>
      </c>
      <c r="BH295" s="2">
        <f t="shared" si="207"/>
        <v>0</v>
      </c>
      <c r="BI295" s="35">
        <f t="shared" si="184"/>
        <v>0</v>
      </c>
      <c r="BJ295" s="35" t="e">
        <f t="shared" si="186"/>
        <v>#DIV/0!</v>
      </c>
      <c r="BK295" s="3"/>
      <c r="BL295" s="3">
        <f t="shared" si="187"/>
        <v>0</v>
      </c>
      <c r="BM295" s="19" t="e">
        <f t="shared" si="188"/>
        <v>#DIV/0!</v>
      </c>
      <c r="BN295" s="19" t="e">
        <f t="shared" si="189"/>
        <v>#DIV/0!</v>
      </c>
      <c r="BO295" s="19" t="e">
        <f t="shared" si="190"/>
        <v>#DIV/0!</v>
      </c>
      <c r="BP295" s="19" t="e">
        <f t="shared" si="191"/>
        <v>#DIV/0!</v>
      </c>
      <c r="BQ295" s="19" t="e">
        <f t="shared" si="192"/>
        <v>#DIV/0!</v>
      </c>
      <c r="BR295" s="19" t="e">
        <f t="shared" si="193"/>
        <v>#DIV/0!</v>
      </c>
      <c r="BS295" s="19" t="e">
        <f t="shared" si="194"/>
        <v>#DIV/0!</v>
      </c>
      <c r="BT295" s="19" t="e">
        <f t="shared" si="195"/>
        <v>#DIV/0!</v>
      </c>
      <c r="BV295" s="16">
        <f t="shared" si="196"/>
        <v>0</v>
      </c>
      <c r="BW295" s="16">
        <f t="shared" si="197"/>
        <v>0</v>
      </c>
      <c r="BX295" s="3">
        <f t="shared" si="198"/>
        <v>0</v>
      </c>
      <c r="BY295" s="3">
        <f t="shared" si="227"/>
        <v>0</v>
      </c>
      <c r="BZ295" s="3" t="s">
        <v>162</v>
      </c>
      <c r="CA295" s="3">
        <f t="shared" si="199"/>
        <v>0</v>
      </c>
      <c r="CB295" s="3">
        <f t="shared" si="200"/>
        <v>0</v>
      </c>
      <c r="CC295" s="3">
        <f t="shared" si="201"/>
        <v>0</v>
      </c>
      <c r="CD295" s="3">
        <f t="shared" si="202"/>
        <v>0</v>
      </c>
      <c r="CE295" s="22">
        <f t="shared" si="208"/>
        <v>0</v>
      </c>
      <c r="CF295" s="1">
        <f t="shared" si="203"/>
        <v>0</v>
      </c>
      <c r="CG295" s="1">
        <f t="shared" si="209"/>
        <v>0</v>
      </c>
      <c r="CH295" s="3" t="s">
        <v>162</v>
      </c>
      <c r="CI295" s="1">
        <f t="shared" si="210"/>
        <v>0</v>
      </c>
      <c r="CJ295" s="1">
        <f t="shared" si="211"/>
        <v>0</v>
      </c>
      <c r="CK295" s="1">
        <f t="shared" si="212"/>
        <v>0</v>
      </c>
      <c r="CL295" s="1">
        <f t="shared" si="213"/>
        <v>0</v>
      </c>
      <c r="CM295" s="2">
        <f t="shared" si="214"/>
        <v>0</v>
      </c>
      <c r="CN295" s="1">
        <f t="shared" si="215"/>
        <v>0</v>
      </c>
      <c r="CO295" s="1">
        <f t="shared" si="216"/>
        <v>0</v>
      </c>
      <c r="CP295" s="3" t="s">
        <v>162</v>
      </c>
      <c r="CQ295" s="1">
        <f t="shared" si="217"/>
        <v>0</v>
      </c>
      <c r="CR295" s="1">
        <f t="shared" si="218"/>
        <v>0</v>
      </c>
      <c r="CS295" s="1">
        <f t="shared" si="219"/>
        <v>0</v>
      </c>
      <c r="CT295" s="1">
        <f t="shared" si="220"/>
        <v>0</v>
      </c>
      <c r="CU295" s="2">
        <f t="shared" si="221"/>
        <v>0</v>
      </c>
      <c r="CV295" s="14">
        <f t="shared" si="222"/>
        <v>0</v>
      </c>
      <c r="CW295" s="1">
        <f>ROUND(PPTest!K295,1)</f>
        <v>0</v>
      </c>
      <c r="CX295" s="3">
        <f t="shared" si="204"/>
        <v>0</v>
      </c>
      <c r="CY295" s="3">
        <f t="shared" si="223"/>
        <v>0</v>
      </c>
      <c r="CZ295" s="19">
        <f t="shared" si="224"/>
        <v>0</v>
      </c>
      <c r="DA295" s="19" t="e">
        <f t="shared" si="224"/>
        <v>#DIV/0!</v>
      </c>
      <c r="DB295" s="16">
        <f t="shared" si="225"/>
        <v>0</v>
      </c>
    </row>
    <row r="296" spans="1:106" x14ac:dyDescent="0.2">
      <c r="A296" s="15">
        <f t="shared" si="226"/>
        <v>45948</v>
      </c>
      <c r="B296" s="1">
        <v>291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2"/>
      <c r="AZ296" s="14"/>
      <c r="BA296" s="16">
        <v>11.19</v>
      </c>
      <c r="BB296" s="41"/>
      <c r="BC296" s="41"/>
      <c r="BD296" s="8" t="e">
        <f t="shared" si="185"/>
        <v>#DIV/0!</v>
      </c>
      <c r="BE296" s="8"/>
      <c r="BF296" s="2">
        <f t="shared" si="205"/>
        <v>0</v>
      </c>
      <c r="BG296" s="2">
        <f t="shared" si="206"/>
        <v>0</v>
      </c>
      <c r="BH296" s="2">
        <f t="shared" si="207"/>
        <v>0</v>
      </c>
      <c r="BI296" s="35">
        <f t="shared" si="184"/>
        <v>0</v>
      </c>
      <c r="BJ296" s="35" t="e">
        <f t="shared" si="186"/>
        <v>#DIV/0!</v>
      </c>
      <c r="BK296" s="3"/>
      <c r="BL296" s="3">
        <f t="shared" si="187"/>
        <v>0</v>
      </c>
      <c r="BM296" s="19" t="e">
        <f t="shared" si="188"/>
        <v>#DIV/0!</v>
      </c>
      <c r="BN296" s="19" t="e">
        <f t="shared" si="189"/>
        <v>#DIV/0!</v>
      </c>
      <c r="BO296" s="19" t="e">
        <f t="shared" si="190"/>
        <v>#DIV/0!</v>
      </c>
      <c r="BP296" s="19" t="e">
        <f t="shared" si="191"/>
        <v>#DIV/0!</v>
      </c>
      <c r="BQ296" s="19" t="e">
        <f t="shared" si="192"/>
        <v>#DIV/0!</v>
      </c>
      <c r="BR296" s="19" t="e">
        <f t="shared" si="193"/>
        <v>#DIV/0!</v>
      </c>
      <c r="BS296" s="19" t="e">
        <f t="shared" si="194"/>
        <v>#DIV/0!</v>
      </c>
      <c r="BT296" s="19" t="e">
        <f t="shared" si="195"/>
        <v>#DIV/0!</v>
      </c>
      <c r="BV296" s="16">
        <f t="shared" si="196"/>
        <v>0</v>
      </c>
      <c r="BW296" s="16">
        <f t="shared" si="197"/>
        <v>0</v>
      </c>
      <c r="BX296" s="3">
        <f t="shared" si="198"/>
        <v>0</v>
      </c>
      <c r="BY296" s="3">
        <f t="shared" si="227"/>
        <v>0</v>
      </c>
      <c r="BZ296" s="3" t="s">
        <v>162</v>
      </c>
      <c r="CA296" s="3">
        <f t="shared" si="199"/>
        <v>0</v>
      </c>
      <c r="CB296" s="3">
        <f t="shared" si="200"/>
        <v>0</v>
      </c>
      <c r="CC296" s="3">
        <f t="shared" si="201"/>
        <v>0</v>
      </c>
      <c r="CD296" s="3">
        <f t="shared" si="202"/>
        <v>0</v>
      </c>
      <c r="CE296" s="22">
        <f t="shared" si="208"/>
        <v>0</v>
      </c>
      <c r="CF296" s="1">
        <f t="shared" si="203"/>
        <v>0</v>
      </c>
      <c r="CG296" s="1">
        <f t="shared" si="209"/>
        <v>0</v>
      </c>
      <c r="CH296" s="3" t="s">
        <v>162</v>
      </c>
      <c r="CI296" s="1">
        <f t="shared" si="210"/>
        <v>0</v>
      </c>
      <c r="CJ296" s="1">
        <f t="shared" si="211"/>
        <v>0</v>
      </c>
      <c r="CK296" s="1">
        <f t="shared" si="212"/>
        <v>0</v>
      </c>
      <c r="CL296" s="1">
        <f t="shared" si="213"/>
        <v>0</v>
      </c>
      <c r="CM296" s="2">
        <f t="shared" si="214"/>
        <v>0</v>
      </c>
      <c r="CN296" s="1">
        <f t="shared" si="215"/>
        <v>0</v>
      </c>
      <c r="CO296" s="1">
        <f t="shared" si="216"/>
        <v>0</v>
      </c>
      <c r="CP296" s="3" t="s">
        <v>162</v>
      </c>
      <c r="CQ296" s="1">
        <f t="shared" si="217"/>
        <v>0</v>
      </c>
      <c r="CR296" s="1">
        <f t="shared" si="218"/>
        <v>0</v>
      </c>
      <c r="CS296" s="1">
        <f t="shared" si="219"/>
        <v>0</v>
      </c>
      <c r="CT296" s="1">
        <f t="shared" si="220"/>
        <v>0</v>
      </c>
      <c r="CU296" s="2">
        <f t="shared" si="221"/>
        <v>0</v>
      </c>
      <c r="CV296" s="14">
        <f t="shared" si="222"/>
        <v>0</v>
      </c>
      <c r="CW296" s="1">
        <f>ROUND(PPTest!K296,1)</f>
        <v>0</v>
      </c>
      <c r="CX296" s="3">
        <f t="shared" si="204"/>
        <v>0</v>
      </c>
      <c r="CY296" s="3">
        <f t="shared" si="223"/>
        <v>0</v>
      </c>
      <c r="CZ296" s="19">
        <f t="shared" si="224"/>
        <v>0</v>
      </c>
      <c r="DA296" s="19" t="e">
        <f t="shared" si="224"/>
        <v>#DIV/0!</v>
      </c>
      <c r="DB296" s="16">
        <f t="shared" si="225"/>
        <v>0</v>
      </c>
    </row>
    <row r="297" spans="1:106" x14ac:dyDescent="0.2">
      <c r="A297" s="15">
        <f t="shared" si="226"/>
        <v>45949</v>
      </c>
      <c r="B297" s="1">
        <v>292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2"/>
      <c r="AZ297" s="14"/>
      <c r="BA297" s="16">
        <v>10.98</v>
      </c>
      <c r="BB297" s="41"/>
      <c r="BC297" s="41"/>
      <c r="BD297" s="8" t="e">
        <f t="shared" si="185"/>
        <v>#DIV/0!</v>
      </c>
      <c r="BE297" s="8"/>
      <c r="BF297" s="2">
        <f t="shared" si="205"/>
        <v>0</v>
      </c>
      <c r="BG297" s="2">
        <f t="shared" si="206"/>
        <v>0</v>
      </c>
      <c r="BH297" s="2">
        <f t="shared" si="207"/>
        <v>0</v>
      </c>
      <c r="BI297" s="35">
        <f t="shared" si="184"/>
        <v>0</v>
      </c>
      <c r="BJ297" s="35" t="e">
        <f t="shared" si="186"/>
        <v>#DIV/0!</v>
      </c>
      <c r="BK297" s="3"/>
      <c r="BL297" s="3">
        <f t="shared" si="187"/>
        <v>0</v>
      </c>
      <c r="BM297" s="19" t="e">
        <f t="shared" si="188"/>
        <v>#DIV/0!</v>
      </c>
      <c r="BN297" s="19" t="e">
        <f t="shared" si="189"/>
        <v>#DIV/0!</v>
      </c>
      <c r="BO297" s="19" t="e">
        <f t="shared" si="190"/>
        <v>#DIV/0!</v>
      </c>
      <c r="BP297" s="19" t="e">
        <f t="shared" si="191"/>
        <v>#DIV/0!</v>
      </c>
      <c r="BQ297" s="19" t="e">
        <f t="shared" si="192"/>
        <v>#DIV/0!</v>
      </c>
      <c r="BR297" s="19" t="e">
        <f t="shared" si="193"/>
        <v>#DIV/0!</v>
      </c>
      <c r="BS297" s="19" t="e">
        <f t="shared" si="194"/>
        <v>#DIV/0!</v>
      </c>
      <c r="BT297" s="19" t="e">
        <f t="shared" si="195"/>
        <v>#DIV/0!</v>
      </c>
      <c r="BV297" s="16">
        <f t="shared" si="196"/>
        <v>0</v>
      </c>
      <c r="BW297" s="16">
        <f t="shared" si="197"/>
        <v>0</v>
      </c>
      <c r="BX297" s="3">
        <f t="shared" si="198"/>
        <v>0</v>
      </c>
      <c r="BY297" s="3">
        <f t="shared" si="227"/>
        <v>0</v>
      </c>
      <c r="BZ297" s="3" t="s">
        <v>162</v>
      </c>
      <c r="CA297" s="3">
        <f t="shared" si="199"/>
        <v>0</v>
      </c>
      <c r="CB297" s="3">
        <f t="shared" si="200"/>
        <v>0</v>
      </c>
      <c r="CC297" s="3">
        <f t="shared" si="201"/>
        <v>0</v>
      </c>
      <c r="CD297" s="3">
        <f t="shared" si="202"/>
        <v>0</v>
      </c>
      <c r="CE297" s="22">
        <f t="shared" si="208"/>
        <v>0</v>
      </c>
      <c r="CF297" s="1">
        <f t="shared" si="203"/>
        <v>0</v>
      </c>
      <c r="CG297" s="1">
        <f t="shared" si="209"/>
        <v>0</v>
      </c>
      <c r="CH297" s="3" t="s">
        <v>162</v>
      </c>
      <c r="CI297" s="1">
        <f t="shared" si="210"/>
        <v>0</v>
      </c>
      <c r="CJ297" s="1">
        <f t="shared" si="211"/>
        <v>0</v>
      </c>
      <c r="CK297" s="1">
        <f t="shared" si="212"/>
        <v>0</v>
      </c>
      <c r="CL297" s="1">
        <f t="shared" si="213"/>
        <v>0</v>
      </c>
      <c r="CM297" s="2">
        <f t="shared" si="214"/>
        <v>0</v>
      </c>
      <c r="CN297" s="1">
        <f t="shared" si="215"/>
        <v>0</v>
      </c>
      <c r="CO297" s="1">
        <f t="shared" si="216"/>
        <v>0</v>
      </c>
      <c r="CP297" s="3" t="s">
        <v>162</v>
      </c>
      <c r="CQ297" s="1">
        <f t="shared" si="217"/>
        <v>0</v>
      </c>
      <c r="CR297" s="1">
        <f t="shared" si="218"/>
        <v>0</v>
      </c>
      <c r="CS297" s="1">
        <f t="shared" si="219"/>
        <v>0</v>
      </c>
      <c r="CT297" s="1">
        <f t="shared" si="220"/>
        <v>0</v>
      </c>
      <c r="CU297" s="2">
        <f t="shared" si="221"/>
        <v>0</v>
      </c>
      <c r="CV297" s="14">
        <f t="shared" si="222"/>
        <v>0</v>
      </c>
      <c r="CW297" s="1">
        <f>ROUND(PPTest!K297,1)</f>
        <v>0</v>
      </c>
      <c r="CX297" s="3">
        <f t="shared" si="204"/>
        <v>0</v>
      </c>
      <c r="CY297" s="3">
        <f t="shared" si="223"/>
        <v>0</v>
      </c>
      <c r="CZ297" s="19">
        <f t="shared" si="224"/>
        <v>0</v>
      </c>
      <c r="DA297" s="19" t="e">
        <f t="shared" si="224"/>
        <v>#DIV/0!</v>
      </c>
      <c r="DB297" s="16">
        <f t="shared" si="225"/>
        <v>0</v>
      </c>
    </row>
    <row r="298" spans="1:106" x14ac:dyDescent="0.2">
      <c r="A298" s="15">
        <f t="shared" si="226"/>
        <v>45950</v>
      </c>
      <c r="B298" s="1">
        <v>293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2"/>
      <c r="AZ298" s="14"/>
      <c r="BA298" s="16">
        <v>10.77</v>
      </c>
      <c r="BB298" s="41"/>
      <c r="BC298" s="41"/>
      <c r="BD298" s="8" t="e">
        <f t="shared" si="185"/>
        <v>#DIV/0!</v>
      </c>
      <c r="BE298" s="8"/>
      <c r="BF298" s="2">
        <f t="shared" si="205"/>
        <v>0</v>
      </c>
      <c r="BG298" s="2">
        <f t="shared" si="206"/>
        <v>0</v>
      </c>
      <c r="BH298" s="2">
        <f t="shared" si="207"/>
        <v>0</v>
      </c>
      <c r="BI298" s="35">
        <f t="shared" si="184"/>
        <v>0</v>
      </c>
      <c r="BJ298" s="35" t="e">
        <f t="shared" si="186"/>
        <v>#DIV/0!</v>
      </c>
      <c r="BK298" s="3"/>
      <c r="BL298" s="3">
        <f t="shared" si="187"/>
        <v>0</v>
      </c>
      <c r="BM298" s="19" t="e">
        <f t="shared" si="188"/>
        <v>#DIV/0!</v>
      </c>
      <c r="BN298" s="19" t="e">
        <f t="shared" si="189"/>
        <v>#DIV/0!</v>
      </c>
      <c r="BO298" s="19" t="e">
        <f t="shared" si="190"/>
        <v>#DIV/0!</v>
      </c>
      <c r="BP298" s="19" t="e">
        <f t="shared" si="191"/>
        <v>#DIV/0!</v>
      </c>
      <c r="BQ298" s="19" t="e">
        <f t="shared" si="192"/>
        <v>#DIV/0!</v>
      </c>
      <c r="BR298" s="19" t="e">
        <f t="shared" si="193"/>
        <v>#DIV/0!</v>
      </c>
      <c r="BS298" s="19" t="e">
        <f t="shared" si="194"/>
        <v>#DIV/0!</v>
      </c>
      <c r="BT298" s="19" t="e">
        <f t="shared" si="195"/>
        <v>#DIV/0!</v>
      </c>
      <c r="BV298" s="16">
        <f t="shared" si="196"/>
        <v>0</v>
      </c>
      <c r="BW298" s="16">
        <f t="shared" si="197"/>
        <v>0</v>
      </c>
      <c r="BX298" s="3">
        <f t="shared" si="198"/>
        <v>0</v>
      </c>
      <c r="BY298" s="3">
        <f t="shared" si="227"/>
        <v>0</v>
      </c>
      <c r="BZ298" s="3" t="s">
        <v>162</v>
      </c>
      <c r="CA298" s="3">
        <f t="shared" si="199"/>
        <v>0</v>
      </c>
      <c r="CB298" s="3">
        <f t="shared" si="200"/>
        <v>0</v>
      </c>
      <c r="CC298" s="3">
        <f t="shared" si="201"/>
        <v>0</v>
      </c>
      <c r="CD298" s="3">
        <f t="shared" si="202"/>
        <v>0</v>
      </c>
      <c r="CE298" s="22">
        <f t="shared" si="208"/>
        <v>0</v>
      </c>
      <c r="CF298" s="1">
        <f t="shared" si="203"/>
        <v>0</v>
      </c>
      <c r="CG298" s="1">
        <f t="shared" si="209"/>
        <v>0</v>
      </c>
      <c r="CH298" s="3" t="s">
        <v>162</v>
      </c>
      <c r="CI298" s="1">
        <f t="shared" si="210"/>
        <v>0</v>
      </c>
      <c r="CJ298" s="1">
        <f t="shared" si="211"/>
        <v>0</v>
      </c>
      <c r="CK298" s="1">
        <f t="shared" si="212"/>
        <v>0</v>
      </c>
      <c r="CL298" s="1">
        <f t="shared" si="213"/>
        <v>0</v>
      </c>
      <c r="CM298" s="2">
        <f t="shared" si="214"/>
        <v>0</v>
      </c>
      <c r="CN298" s="1">
        <f t="shared" si="215"/>
        <v>0</v>
      </c>
      <c r="CO298" s="1">
        <f t="shared" si="216"/>
        <v>0</v>
      </c>
      <c r="CP298" s="3" t="s">
        <v>162</v>
      </c>
      <c r="CQ298" s="1">
        <f t="shared" si="217"/>
        <v>0</v>
      </c>
      <c r="CR298" s="1">
        <f t="shared" si="218"/>
        <v>0</v>
      </c>
      <c r="CS298" s="1">
        <f t="shared" si="219"/>
        <v>0</v>
      </c>
      <c r="CT298" s="1">
        <f t="shared" si="220"/>
        <v>0</v>
      </c>
      <c r="CU298" s="2">
        <f t="shared" si="221"/>
        <v>0</v>
      </c>
      <c r="CV298" s="14">
        <f t="shared" si="222"/>
        <v>0</v>
      </c>
      <c r="CW298" s="1">
        <f>ROUND(PPTest!K298,1)</f>
        <v>0</v>
      </c>
      <c r="CX298" s="3">
        <f t="shared" si="204"/>
        <v>0</v>
      </c>
      <c r="CY298" s="3">
        <f t="shared" si="223"/>
        <v>0</v>
      </c>
      <c r="CZ298" s="19">
        <f t="shared" si="224"/>
        <v>0</v>
      </c>
      <c r="DA298" s="19" t="e">
        <f t="shared" si="224"/>
        <v>#DIV/0!</v>
      </c>
      <c r="DB298" s="16">
        <f t="shared" si="225"/>
        <v>0</v>
      </c>
    </row>
    <row r="299" spans="1:106" x14ac:dyDescent="0.2">
      <c r="A299" s="15">
        <f t="shared" si="226"/>
        <v>45951</v>
      </c>
      <c r="B299" s="1">
        <v>294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2"/>
      <c r="AZ299" s="14"/>
      <c r="BA299" s="16">
        <v>10.57</v>
      </c>
      <c r="BB299" s="41"/>
      <c r="BC299" s="41"/>
      <c r="BD299" s="8" t="e">
        <f t="shared" si="185"/>
        <v>#DIV/0!</v>
      </c>
      <c r="BE299" s="8"/>
      <c r="BF299" s="2">
        <f t="shared" si="205"/>
        <v>0</v>
      </c>
      <c r="BG299" s="2">
        <f t="shared" si="206"/>
        <v>0</v>
      </c>
      <c r="BH299" s="2">
        <f t="shared" si="207"/>
        <v>0</v>
      </c>
      <c r="BI299" s="35">
        <f t="shared" si="184"/>
        <v>0</v>
      </c>
      <c r="BJ299" s="35" t="e">
        <f t="shared" si="186"/>
        <v>#DIV/0!</v>
      </c>
      <c r="BK299" s="3"/>
      <c r="BL299" s="3">
        <f t="shared" si="187"/>
        <v>0</v>
      </c>
      <c r="BM299" s="19" t="e">
        <f t="shared" si="188"/>
        <v>#DIV/0!</v>
      </c>
      <c r="BN299" s="19" t="e">
        <f t="shared" si="189"/>
        <v>#DIV/0!</v>
      </c>
      <c r="BO299" s="19" t="e">
        <f t="shared" si="190"/>
        <v>#DIV/0!</v>
      </c>
      <c r="BP299" s="19" t="e">
        <f t="shared" si="191"/>
        <v>#DIV/0!</v>
      </c>
      <c r="BQ299" s="19" t="e">
        <f t="shared" si="192"/>
        <v>#DIV/0!</v>
      </c>
      <c r="BR299" s="19" t="e">
        <f t="shared" si="193"/>
        <v>#DIV/0!</v>
      </c>
      <c r="BS299" s="19" t="e">
        <f t="shared" si="194"/>
        <v>#DIV/0!</v>
      </c>
      <c r="BT299" s="19" t="e">
        <f t="shared" si="195"/>
        <v>#DIV/0!</v>
      </c>
      <c r="BV299" s="16">
        <f t="shared" si="196"/>
        <v>0</v>
      </c>
      <c r="BW299" s="16">
        <f t="shared" si="197"/>
        <v>0</v>
      </c>
      <c r="BX299" s="3">
        <f t="shared" si="198"/>
        <v>0</v>
      </c>
      <c r="BY299" s="3">
        <f t="shared" si="227"/>
        <v>0</v>
      </c>
      <c r="BZ299" s="3" t="s">
        <v>162</v>
      </c>
      <c r="CA299" s="3">
        <f t="shared" si="199"/>
        <v>0</v>
      </c>
      <c r="CB299" s="3">
        <f t="shared" si="200"/>
        <v>0</v>
      </c>
      <c r="CC299" s="3">
        <f t="shared" si="201"/>
        <v>0</v>
      </c>
      <c r="CD299" s="3">
        <f t="shared" si="202"/>
        <v>0</v>
      </c>
      <c r="CE299" s="22">
        <f t="shared" si="208"/>
        <v>0</v>
      </c>
      <c r="CF299" s="1">
        <f t="shared" si="203"/>
        <v>0</v>
      </c>
      <c r="CG299" s="1">
        <f t="shared" si="209"/>
        <v>0</v>
      </c>
      <c r="CH299" s="3" t="s">
        <v>162</v>
      </c>
      <c r="CI299" s="1">
        <f t="shared" si="210"/>
        <v>0</v>
      </c>
      <c r="CJ299" s="1">
        <f t="shared" si="211"/>
        <v>0</v>
      </c>
      <c r="CK299" s="1">
        <f t="shared" si="212"/>
        <v>0</v>
      </c>
      <c r="CL299" s="1">
        <f t="shared" si="213"/>
        <v>0</v>
      </c>
      <c r="CM299" s="2">
        <f t="shared" si="214"/>
        <v>0</v>
      </c>
      <c r="CN299" s="1">
        <f t="shared" si="215"/>
        <v>0</v>
      </c>
      <c r="CO299" s="1">
        <f t="shared" si="216"/>
        <v>0</v>
      </c>
      <c r="CP299" s="3" t="s">
        <v>162</v>
      </c>
      <c r="CQ299" s="1">
        <f t="shared" si="217"/>
        <v>0</v>
      </c>
      <c r="CR299" s="1">
        <f t="shared" si="218"/>
        <v>0</v>
      </c>
      <c r="CS299" s="1">
        <f t="shared" si="219"/>
        <v>0</v>
      </c>
      <c r="CT299" s="1">
        <f t="shared" si="220"/>
        <v>0</v>
      </c>
      <c r="CU299" s="2">
        <f t="shared" si="221"/>
        <v>0</v>
      </c>
      <c r="CV299" s="14">
        <f t="shared" si="222"/>
        <v>0</v>
      </c>
      <c r="CW299" s="1">
        <f>ROUND(PPTest!K299,1)</f>
        <v>0</v>
      </c>
      <c r="CX299" s="3">
        <f t="shared" si="204"/>
        <v>0</v>
      </c>
      <c r="CY299" s="3">
        <f t="shared" si="223"/>
        <v>0</v>
      </c>
      <c r="CZ299" s="19">
        <f t="shared" si="224"/>
        <v>0</v>
      </c>
      <c r="DA299" s="19" t="e">
        <f t="shared" si="224"/>
        <v>#DIV/0!</v>
      </c>
      <c r="DB299" s="16">
        <f t="shared" si="225"/>
        <v>0</v>
      </c>
    </row>
    <row r="300" spans="1:106" x14ac:dyDescent="0.2">
      <c r="A300" s="15">
        <f t="shared" si="226"/>
        <v>45952</v>
      </c>
      <c r="B300" s="1">
        <v>295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2"/>
      <c r="AZ300" s="14"/>
      <c r="BA300" s="16">
        <v>10.36</v>
      </c>
      <c r="BB300" s="41"/>
      <c r="BC300" s="41"/>
      <c r="BD300" s="8" t="e">
        <f t="shared" si="185"/>
        <v>#DIV/0!</v>
      </c>
      <c r="BE300" s="8"/>
      <c r="BF300" s="2">
        <f t="shared" si="205"/>
        <v>0</v>
      </c>
      <c r="BG300" s="2">
        <f t="shared" si="206"/>
        <v>0</v>
      </c>
      <c r="BH300" s="2">
        <f t="shared" si="207"/>
        <v>0</v>
      </c>
      <c r="BI300" s="35">
        <f t="shared" si="184"/>
        <v>0</v>
      </c>
      <c r="BJ300" s="35" t="e">
        <f t="shared" si="186"/>
        <v>#DIV/0!</v>
      </c>
      <c r="BK300" s="3"/>
      <c r="BL300" s="3">
        <f t="shared" si="187"/>
        <v>0</v>
      </c>
      <c r="BM300" s="19" t="e">
        <f t="shared" si="188"/>
        <v>#DIV/0!</v>
      </c>
      <c r="BN300" s="19" t="e">
        <f t="shared" si="189"/>
        <v>#DIV/0!</v>
      </c>
      <c r="BO300" s="19" t="e">
        <f t="shared" si="190"/>
        <v>#DIV/0!</v>
      </c>
      <c r="BP300" s="19" t="e">
        <f t="shared" si="191"/>
        <v>#DIV/0!</v>
      </c>
      <c r="BQ300" s="19" t="e">
        <f t="shared" si="192"/>
        <v>#DIV/0!</v>
      </c>
      <c r="BR300" s="19" t="e">
        <f t="shared" si="193"/>
        <v>#DIV/0!</v>
      </c>
      <c r="BS300" s="19" t="e">
        <f t="shared" si="194"/>
        <v>#DIV/0!</v>
      </c>
      <c r="BT300" s="19" t="e">
        <f t="shared" si="195"/>
        <v>#DIV/0!</v>
      </c>
      <c r="BV300" s="16">
        <f t="shared" si="196"/>
        <v>0</v>
      </c>
      <c r="BW300" s="16">
        <f t="shared" si="197"/>
        <v>0</v>
      </c>
      <c r="BX300" s="3">
        <f t="shared" si="198"/>
        <v>0</v>
      </c>
      <c r="BY300" s="3">
        <f t="shared" si="227"/>
        <v>0</v>
      </c>
      <c r="BZ300" s="3" t="s">
        <v>162</v>
      </c>
      <c r="CA300" s="3">
        <f t="shared" si="199"/>
        <v>0</v>
      </c>
      <c r="CB300" s="3">
        <f t="shared" si="200"/>
        <v>0</v>
      </c>
      <c r="CC300" s="3">
        <f t="shared" si="201"/>
        <v>0</v>
      </c>
      <c r="CD300" s="3">
        <f t="shared" si="202"/>
        <v>0</v>
      </c>
      <c r="CE300" s="22">
        <f t="shared" si="208"/>
        <v>0</v>
      </c>
      <c r="CF300" s="1">
        <f t="shared" si="203"/>
        <v>0</v>
      </c>
      <c r="CG300" s="1">
        <f t="shared" si="209"/>
        <v>0</v>
      </c>
      <c r="CH300" s="3" t="s">
        <v>162</v>
      </c>
      <c r="CI300" s="1">
        <f t="shared" si="210"/>
        <v>0</v>
      </c>
      <c r="CJ300" s="1">
        <f t="shared" si="211"/>
        <v>0</v>
      </c>
      <c r="CK300" s="1">
        <f t="shared" si="212"/>
        <v>0</v>
      </c>
      <c r="CL300" s="1">
        <f t="shared" si="213"/>
        <v>0</v>
      </c>
      <c r="CM300" s="2">
        <f t="shared" si="214"/>
        <v>0</v>
      </c>
      <c r="CN300" s="1">
        <f t="shared" si="215"/>
        <v>0</v>
      </c>
      <c r="CO300" s="1">
        <f t="shared" si="216"/>
        <v>0</v>
      </c>
      <c r="CP300" s="3" t="s">
        <v>162</v>
      </c>
      <c r="CQ300" s="1">
        <f t="shared" si="217"/>
        <v>0</v>
      </c>
      <c r="CR300" s="1">
        <f t="shared" si="218"/>
        <v>0</v>
      </c>
      <c r="CS300" s="1">
        <f t="shared" si="219"/>
        <v>0</v>
      </c>
      <c r="CT300" s="1">
        <f t="shared" si="220"/>
        <v>0</v>
      </c>
      <c r="CU300" s="2">
        <f t="shared" si="221"/>
        <v>0</v>
      </c>
      <c r="CV300" s="14">
        <f t="shared" si="222"/>
        <v>0</v>
      </c>
      <c r="CW300" s="1">
        <f>ROUND(PPTest!K300,1)</f>
        <v>0</v>
      </c>
      <c r="CX300" s="3">
        <f t="shared" si="204"/>
        <v>0</v>
      </c>
      <c r="CY300" s="3">
        <f t="shared" si="223"/>
        <v>0</v>
      </c>
      <c r="CZ300" s="19">
        <f t="shared" si="224"/>
        <v>0</v>
      </c>
      <c r="DA300" s="19" t="e">
        <f t="shared" si="224"/>
        <v>#DIV/0!</v>
      </c>
      <c r="DB300" s="16">
        <f t="shared" si="225"/>
        <v>0</v>
      </c>
    </row>
    <row r="301" spans="1:106" x14ac:dyDescent="0.2">
      <c r="A301" s="15">
        <f t="shared" si="226"/>
        <v>45953</v>
      </c>
      <c r="B301" s="1">
        <v>296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2"/>
      <c r="AZ301" s="14"/>
      <c r="BA301" s="16">
        <v>10.17</v>
      </c>
      <c r="BB301" s="41"/>
      <c r="BC301" s="41"/>
      <c r="BD301" s="8" t="e">
        <f t="shared" si="185"/>
        <v>#DIV/0!</v>
      </c>
      <c r="BE301" s="8"/>
      <c r="BF301" s="2">
        <f t="shared" si="205"/>
        <v>0</v>
      </c>
      <c r="BG301" s="2">
        <f t="shared" si="206"/>
        <v>0</v>
      </c>
      <c r="BH301" s="2">
        <f t="shared" si="207"/>
        <v>0</v>
      </c>
      <c r="BI301" s="35">
        <f t="shared" si="184"/>
        <v>0</v>
      </c>
      <c r="BJ301" s="35" t="e">
        <f t="shared" si="186"/>
        <v>#DIV/0!</v>
      </c>
      <c r="BK301" s="3"/>
      <c r="BL301" s="3">
        <f t="shared" si="187"/>
        <v>0</v>
      </c>
      <c r="BM301" s="19" t="e">
        <f t="shared" si="188"/>
        <v>#DIV/0!</v>
      </c>
      <c r="BN301" s="19" t="e">
        <f t="shared" si="189"/>
        <v>#DIV/0!</v>
      </c>
      <c r="BO301" s="19" t="e">
        <f t="shared" si="190"/>
        <v>#DIV/0!</v>
      </c>
      <c r="BP301" s="19" t="e">
        <f t="shared" si="191"/>
        <v>#DIV/0!</v>
      </c>
      <c r="BQ301" s="19" t="e">
        <f t="shared" si="192"/>
        <v>#DIV/0!</v>
      </c>
      <c r="BR301" s="19" t="e">
        <f t="shared" si="193"/>
        <v>#DIV/0!</v>
      </c>
      <c r="BS301" s="19" t="e">
        <f t="shared" si="194"/>
        <v>#DIV/0!</v>
      </c>
      <c r="BT301" s="19" t="e">
        <f t="shared" si="195"/>
        <v>#DIV/0!</v>
      </c>
      <c r="BV301" s="16">
        <f t="shared" si="196"/>
        <v>0</v>
      </c>
      <c r="BW301" s="16">
        <f t="shared" si="197"/>
        <v>0</v>
      </c>
      <c r="BX301" s="3">
        <f t="shared" si="198"/>
        <v>0</v>
      </c>
      <c r="BY301" s="3">
        <f t="shared" si="227"/>
        <v>0</v>
      </c>
      <c r="BZ301" s="3" t="s">
        <v>162</v>
      </c>
      <c r="CA301" s="3">
        <f t="shared" si="199"/>
        <v>0</v>
      </c>
      <c r="CB301" s="3">
        <f t="shared" si="200"/>
        <v>0</v>
      </c>
      <c r="CC301" s="3">
        <f t="shared" si="201"/>
        <v>0</v>
      </c>
      <c r="CD301" s="3">
        <f t="shared" si="202"/>
        <v>0</v>
      </c>
      <c r="CE301" s="22">
        <f t="shared" si="208"/>
        <v>0</v>
      </c>
      <c r="CF301" s="1">
        <f t="shared" si="203"/>
        <v>0</v>
      </c>
      <c r="CG301" s="1">
        <f t="shared" si="209"/>
        <v>0</v>
      </c>
      <c r="CH301" s="3" t="s">
        <v>162</v>
      </c>
      <c r="CI301" s="1">
        <f t="shared" si="210"/>
        <v>0</v>
      </c>
      <c r="CJ301" s="1">
        <f t="shared" si="211"/>
        <v>0</v>
      </c>
      <c r="CK301" s="1">
        <f t="shared" si="212"/>
        <v>0</v>
      </c>
      <c r="CL301" s="1">
        <f t="shared" si="213"/>
        <v>0</v>
      </c>
      <c r="CM301" s="2">
        <f t="shared" si="214"/>
        <v>0</v>
      </c>
      <c r="CN301" s="1">
        <f t="shared" si="215"/>
        <v>0</v>
      </c>
      <c r="CO301" s="1">
        <f t="shared" si="216"/>
        <v>0</v>
      </c>
      <c r="CP301" s="3" t="s">
        <v>162</v>
      </c>
      <c r="CQ301" s="1">
        <f t="shared" si="217"/>
        <v>0</v>
      </c>
      <c r="CR301" s="1">
        <f t="shared" si="218"/>
        <v>0</v>
      </c>
      <c r="CS301" s="1">
        <f t="shared" si="219"/>
        <v>0</v>
      </c>
      <c r="CT301" s="1">
        <f t="shared" si="220"/>
        <v>0</v>
      </c>
      <c r="CU301" s="2">
        <f t="shared" si="221"/>
        <v>0</v>
      </c>
      <c r="CV301" s="14">
        <f t="shared" si="222"/>
        <v>0</v>
      </c>
      <c r="CW301" s="1">
        <f>ROUND(PPTest!K301,1)</f>
        <v>0</v>
      </c>
      <c r="CX301" s="3">
        <f t="shared" si="204"/>
        <v>0</v>
      </c>
      <c r="CY301" s="3">
        <f t="shared" si="223"/>
        <v>0</v>
      </c>
      <c r="CZ301" s="19">
        <f t="shared" si="224"/>
        <v>0</v>
      </c>
      <c r="DA301" s="19" t="e">
        <f t="shared" si="224"/>
        <v>#DIV/0!</v>
      </c>
      <c r="DB301" s="16">
        <f t="shared" si="225"/>
        <v>0</v>
      </c>
    </row>
    <row r="302" spans="1:106" x14ac:dyDescent="0.2">
      <c r="A302" s="15">
        <f t="shared" si="226"/>
        <v>45954</v>
      </c>
      <c r="B302" s="1">
        <v>297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2"/>
      <c r="AZ302" s="14"/>
      <c r="BA302" s="16">
        <v>9.9700000000000006</v>
      </c>
      <c r="BB302" s="41"/>
      <c r="BC302" s="41"/>
      <c r="BD302" s="8" t="e">
        <f t="shared" si="185"/>
        <v>#DIV/0!</v>
      </c>
      <c r="BE302" s="8"/>
      <c r="BF302" s="2">
        <f t="shared" si="205"/>
        <v>0</v>
      </c>
      <c r="BG302" s="2">
        <f t="shared" si="206"/>
        <v>0</v>
      </c>
      <c r="BH302" s="2">
        <f t="shared" si="207"/>
        <v>0</v>
      </c>
      <c r="BI302" s="35">
        <f t="shared" si="184"/>
        <v>0</v>
      </c>
      <c r="BJ302" s="35" t="e">
        <f t="shared" si="186"/>
        <v>#DIV/0!</v>
      </c>
      <c r="BL302" s="3">
        <f t="shared" si="187"/>
        <v>0</v>
      </c>
      <c r="BM302" s="19" t="e">
        <f t="shared" si="188"/>
        <v>#DIV/0!</v>
      </c>
      <c r="BN302" s="19" t="e">
        <f t="shared" si="189"/>
        <v>#DIV/0!</v>
      </c>
      <c r="BO302" s="19" t="e">
        <f t="shared" si="190"/>
        <v>#DIV/0!</v>
      </c>
      <c r="BP302" s="19" t="e">
        <f t="shared" si="191"/>
        <v>#DIV/0!</v>
      </c>
      <c r="BQ302" s="19" t="e">
        <f t="shared" si="192"/>
        <v>#DIV/0!</v>
      </c>
      <c r="BR302" s="19" t="e">
        <f t="shared" si="193"/>
        <v>#DIV/0!</v>
      </c>
      <c r="BS302" s="19" t="e">
        <f t="shared" si="194"/>
        <v>#DIV/0!</v>
      </c>
      <c r="BT302" s="19" t="e">
        <f t="shared" si="195"/>
        <v>#DIV/0!</v>
      </c>
      <c r="BV302" s="16">
        <f t="shared" si="196"/>
        <v>0</v>
      </c>
      <c r="BW302" s="16">
        <f t="shared" si="197"/>
        <v>0</v>
      </c>
      <c r="BX302" s="3">
        <f t="shared" si="198"/>
        <v>0</v>
      </c>
      <c r="BY302" s="3">
        <f t="shared" si="227"/>
        <v>0</v>
      </c>
      <c r="BZ302" s="3" t="s">
        <v>162</v>
      </c>
      <c r="CA302" s="3">
        <f t="shared" si="199"/>
        <v>0</v>
      </c>
      <c r="CB302" s="3">
        <f t="shared" si="200"/>
        <v>0</v>
      </c>
      <c r="CC302" s="3">
        <f t="shared" si="201"/>
        <v>0</v>
      </c>
      <c r="CD302" s="3">
        <f t="shared" si="202"/>
        <v>0</v>
      </c>
      <c r="CE302" s="22">
        <f t="shared" si="208"/>
        <v>0</v>
      </c>
      <c r="CF302" s="1">
        <f t="shared" si="203"/>
        <v>0</v>
      </c>
      <c r="CG302" s="1">
        <f t="shared" si="209"/>
        <v>0</v>
      </c>
      <c r="CH302" s="3" t="s">
        <v>162</v>
      </c>
      <c r="CI302" s="1">
        <f t="shared" si="210"/>
        <v>0</v>
      </c>
      <c r="CJ302" s="1">
        <f t="shared" si="211"/>
        <v>0</v>
      </c>
      <c r="CK302" s="1">
        <f t="shared" si="212"/>
        <v>0</v>
      </c>
      <c r="CL302" s="1">
        <f t="shared" si="213"/>
        <v>0</v>
      </c>
      <c r="CM302" s="2">
        <f t="shared" si="214"/>
        <v>0</v>
      </c>
      <c r="CN302" s="1">
        <f t="shared" si="215"/>
        <v>0</v>
      </c>
      <c r="CO302" s="1">
        <f t="shared" si="216"/>
        <v>0</v>
      </c>
      <c r="CP302" s="3" t="s">
        <v>162</v>
      </c>
      <c r="CQ302" s="1">
        <f t="shared" si="217"/>
        <v>0</v>
      </c>
      <c r="CR302" s="1">
        <f t="shared" si="218"/>
        <v>0</v>
      </c>
      <c r="CS302" s="1">
        <f t="shared" si="219"/>
        <v>0</v>
      </c>
      <c r="CT302" s="1">
        <f t="shared" si="220"/>
        <v>0</v>
      </c>
      <c r="CU302" s="2">
        <f t="shared" si="221"/>
        <v>0</v>
      </c>
      <c r="CV302" s="14">
        <f t="shared" si="222"/>
        <v>0</v>
      </c>
      <c r="CW302" s="1">
        <f>ROUND(PPTest!K302,1)</f>
        <v>0</v>
      </c>
      <c r="CX302" s="3">
        <f t="shared" si="204"/>
        <v>0</v>
      </c>
      <c r="CY302" s="3">
        <f t="shared" si="223"/>
        <v>0</v>
      </c>
      <c r="CZ302" s="19">
        <f t="shared" si="224"/>
        <v>0</v>
      </c>
      <c r="DA302" s="19" t="e">
        <f t="shared" si="224"/>
        <v>#DIV/0!</v>
      </c>
      <c r="DB302" s="16">
        <f t="shared" si="225"/>
        <v>0</v>
      </c>
    </row>
    <row r="303" spans="1:106" x14ac:dyDescent="0.2">
      <c r="A303" s="15">
        <f t="shared" si="226"/>
        <v>45955</v>
      </c>
      <c r="B303" s="1">
        <v>298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2"/>
      <c r="AZ303" s="14"/>
      <c r="BA303" s="16">
        <v>9.7799999999999994</v>
      </c>
      <c r="BB303" s="41"/>
      <c r="BC303" s="41"/>
      <c r="BD303" s="8" t="e">
        <f t="shared" si="185"/>
        <v>#DIV/0!</v>
      </c>
      <c r="BE303" s="8"/>
      <c r="BF303" s="2">
        <f t="shared" si="205"/>
        <v>0</v>
      </c>
      <c r="BG303" s="2">
        <f t="shared" si="206"/>
        <v>0</v>
      </c>
      <c r="BH303" s="2">
        <f t="shared" si="207"/>
        <v>0</v>
      </c>
      <c r="BI303" s="35">
        <f t="shared" si="184"/>
        <v>0</v>
      </c>
      <c r="BJ303" s="35" t="e">
        <f t="shared" si="186"/>
        <v>#DIV/0!</v>
      </c>
      <c r="BL303" s="3">
        <f t="shared" si="187"/>
        <v>0</v>
      </c>
      <c r="BM303" s="19" t="e">
        <f t="shared" si="188"/>
        <v>#DIV/0!</v>
      </c>
      <c r="BN303" s="19" t="e">
        <f t="shared" si="189"/>
        <v>#DIV/0!</v>
      </c>
      <c r="BO303" s="19" t="e">
        <f t="shared" si="190"/>
        <v>#DIV/0!</v>
      </c>
      <c r="BP303" s="19" t="e">
        <f t="shared" si="191"/>
        <v>#DIV/0!</v>
      </c>
      <c r="BQ303" s="19" t="e">
        <f t="shared" si="192"/>
        <v>#DIV/0!</v>
      </c>
      <c r="BR303" s="19" t="e">
        <f t="shared" si="193"/>
        <v>#DIV/0!</v>
      </c>
      <c r="BS303" s="19" t="e">
        <f t="shared" si="194"/>
        <v>#DIV/0!</v>
      </c>
      <c r="BT303" s="19" t="e">
        <f t="shared" si="195"/>
        <v>#DIV/0!</v>
      </c>
      <c r="BV303" s="16">
        <f t="shared" si="196"/>
        <v>0</v>
      </c>
      <c r="BW303" s="16">
        <f t="shared" si="197"/>
        <v>0</v>
      </c>
      <c r="BX303" s="3">
        <f t="shared" si="198"/>
        <v>0</v>
      </c>
      <c r="BY303" s="3">
        <f t="shared" si="227"/>
        <v>0</v>
      </c>
      <c r="BZ303" s="3" t="s">
        <v>162</v>
      </c>
      <c r="CA303" s="3">
        <f t="shared" si="199"/>
        <v>0</v>
      </c>
      <c r="CB303" s="3">
        <f t="shared" si="200"/>
        <v>0</v>
      </c>
      <c r="CC303" s="3">
        <f t="shared" si="201"/>
        <v>0</v>
      </c>
      <c r="CD303" s="3">
        <f t="shared" si="202"/>
        <v>0</v>
      </c>
      <c r="CE303" s="22">
        <f t="shared" si="208"/>
        <v>0</v>
      </c>
      <c r="CF303" s="1">
        <f t="shared" si="203"/>
        <v>0</v>
      </c>
      <c r="CG303" s="1">
        <f t="shared" si="209"/>
        <v>0</v>
      </c>
      <c r="CH303" s="3" t="s">
        <v>162</v>
      </c>
      <c r="CI303" s="1">
        <f t="shared" si="210"/>
        <v>0</v>
      </c>
      <c r="CJ303" s="1">
        <f t="shared" si="211"/>
        <v>0</v>
      </c>
      <c r="CK303" s="1">
        <f t="shared" si="212"/>
        <v>0</v>
      </c>
      <c r="CL303" s="1">
        <f t="shared" si="213"/>
        <v>0</v>
      </c>
      <c r="CM303" s="2">
        <f t="shared" si="214"/>
        <v>0</v>
      </c>
      <c r="CN303" s="1">
        <f t="shared" si="215"/>
        <v>0</v>
      </c>
      <c r="CO303" s="1">
        <f t="shared" si="216"/>
        <v>0</v>
      </c>
      <c r="CP303" s="3" t="s">
        <v>162</v>
      </c>
      <c r="CQ303" s="1">
        <f t="shared" si="217"/>
        <v>0</v>
      </c>
      <c r="CR303" s="1">
        <f t="shared" si="218"/>
        <v>0</v>
      </c>
      <c r="CS303" s="1">
        <f t="shared" si="219"/>
        <v>0</v>
      </c>
      <c r="CT303" s="1">
        <f t="shared" si="220"/>
        <v>0</v>
      </c>
      <c r="CU303" s="2">
        <f t="shared" si="221"/>
        <v>0</v>
      </c>
      <c r="CV303" s="14">
        <f t="shared" si="222"/>
        <v>0</v>
      </c>
      <c r="CW303" s="1">
        <f>ROUND(PPTest!K303,1)</f>
        <v>0</v>
      </c>
      <c r="CX303" s="3">
        <f t="shared" si="204"/>
        <v>0</v>
      </c>
      <c r="CY303" s="3">
        <f t="shared" si="223"/>
        <v>0</v>
      </c>
      <c r="CZ303" s="19">
        <f t="shared" si="224"/>
        <v>0</v>
      </c>
      <c r="DA303" s="19" t="e">
        <f t="shared" si="224"/>
        <v>#DIV/0!</v>
      </c>
      <c r="DB303" s="16">
        <f t="shared" si="225"/>
        <v>0</v>
      </c>
    </row>
    <row r="304" spans="1:106" x14ac:dyDescent="0.2">
      <c r="A304" s="15">
        <f t="shared" si="226"/>
        <v>45956</v>
      </c>
      <c r="B304" s="1">
        <v>299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2"/>
      <c r="AZ304" s="14"/>
      <c r="BA304" s="16">
        <v>9.59</v>
      </c>
      <c r="BB304" s="41"/>
      <c r="BC304" s="41"/>
      <c r="BD304" s="8" t="e">
        <f t="shared" si="185"/>
        <v>#DIV/0!</v>
      </c>
      <c r="BE304" s="8"/>
      <c r="BF304" s="2">
        <f t="shared" si="205"/>
        <v>0</v>
      </c>
      <c r="BG304" s="2">
        <f t="shared" si="206"/>
        <v>0</v>
      </c>
      <c r="BH304" s="2">
        <f t="shared" si="207"/>
        <v>0</v>
      </c>
      <c r="BI304" s="35">
        <f t="shared" si="184"/>
        <v>0</v>
      </c>
      <c r="BJ304" s="35" t="e">
        <f t="shared" si="186"/>
        <v>#DIV/0!</v>
      </c>
      <c r="BL304" s="3">
        <f t="shared" si="187"/>
        <v>0</v>
      </c>
      <c r="BM304" s="19" t="e">
        <f t="shared" si="188"/>
        <v>#DIV/0!</v>
      </c>
      <c r="BN304" s="19" t="e">
        <f t="shared" si="189"/>
        <v>#DIV/0!</v>
      </c>
      <c r="BO304" s="19" t="e">
        <f t="shared" si="190"/>
        <v>#DIV/0!</v>
      </c>
      <c r="BP304" s="19" t="e">
        <f t="shared" si="191"/>
        <v>#DIV/0!</v>
      </c>
      <c r="BQ304" s="19" t="e">
        <f t="shared" si="192"/>
        <v>#DIV/0!</v>
      </c>
      <c r="BR304" s="19" t="e">
        <f t="shared" si="193"/>
        <v>#DIV/0!</v>
      </c>
      <c r="BS304" s="19" t="e">
        <f t="shared" si="194"/>
        <v>#DIV/0!</v>
      </c>
      <c r="BT304" s="19" t="e">
        <f t="shared" si="195"/>
        <v>#DIV/0!</v>
      </c>
      <c r="BV304" s="16">
        <f t="shared" si="196"/>
        <v>0</v>
      </c>
      <c r="BW304" s="16">
        <f t="shared" si="197"/>
        <v>0</v>
      </c>
      <c r="BX304" s="3">
        <f t="shared" si="198"/>
        <v>0</v>
      </c>
      <c r="BY304" s="3">
        <f t="shared" si="227"/>
        <v>0</v>
      </c>
      <c r="BZ304" s="3" t="s">
        <v>162</v>
      </c>
      <c r="CA304" s="3">
        <f t="shared" si="199"/>
        <v>0</v>
      </c>
      <c r="CB304" s="3">
        <f t="shared" si="200"/>
        <v>0</v>
      </c>
      <c r="CC304" s="3">
        <f t="shared" si="201"/>
        <v>0</v>
      </c>
      <c r="CD304" s="3">
        <f t="shared" si="202"/>
        <v>0</v>
      </c>
      <c r="CE304" s="22">
        <f t="shared" si="208"/>
        <v>0</v>
      </c>
      <c r="CF304" s="1">
        <f t="shared" si="203"/>
        <v>0</v>
      </c>
      <c r="CG304" s="1">
        <f t="shared" si="209"/>
        <v>0</v>
      </c>
      <c r="CH304" s="3" t="s">
        <v>162</v>
      </c>
      <c r="CI304" s="1">
        <f t="shared" si="210"/>
        <v>0</v>
      </c>
      <c r="CJ304" s="1">
        <f t="shared" si="211"/>
        <v>0</v>
      </c>
      <c r="CK304" s="1">
        <f t="shared" si="212"/>
        <v>0</v>
      </c>
      <c r="CL304" s="1">
        <f t="shared" si="213"/>
        <v>0</v>
      </c>
      <c r="CM304" s="2">
        <f t="shared" si="214"/>
        <v>0</v>
      </c>
      <c r="CN304" s="1">
        <f t="shared" si="215"/>
        <v>0</v>
      </c>
      <c r="CO304" s="1">
        <f t="shared" si="216"/>
        <v>0</v>
      </c>
      <c r="CP304" s="3" t="s">
        <v>162</v>
      </c>
      <c r="CQ304" s="1">
        <f t="shared" si="217"/>
        <v>0</v>
      </c>
      <c r="CR304" s="1">
        <f t="shared" si="218"/>
        <v>0</v>
      </c>
      <c r="CS304" s="1">
        <f t="shared" si="219"/>
        <v>0</v>
      </c>
      <c r="CT304" s="1">
        <f t="shared" si="220"/>
        <v>0</v>
      </c>
      <c r="CU304" s="2">
        <f t="shared" si="221"/>
        <v>0</v>
      </c>
      <c r="CV304" s="14">
        <f t="shared" si="222"/>
        <v>0</v>
      </c>
      <c r="CW304" s="1">
        <f>ROUND(PPTest!K304,1)</f>
        <v>0</v>
      </c>
      <c r="CX304" s="3">
        <f t="shared" si="204"/>
        <v>0</v>
      </c>
      <c r="CY304" s="3">
        <f t="shared" si="223"/>
        <v>0</v>
      </c>
      <c r="CZ304" s="19">
        <f t="shared" si="224"/>
        <v>0</v>
      </c>
      <c r="DA304" s="19" t="e">
        <f t="shared" si="224"/>
        <v>#DIV/0!</v>
      </c>
      <c r="DB304" s="16">
        <f t="shared" si="225"/>
        <v>0</v>
      </c>
    </row>
    <row r="305" spans="1:106" x14ac:dyDescent="0.2">
      <c r="A305" s="15">
        <f t="shared" si="226"/>
        <v>45957</v>
      </c>
      <c r="B305" s="1">
        <v>300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2"/>
      <c r="AZ305" s="14"/>
      <c r="BA305" s="16">
        <v>9.4</v>
      </c>
      <c r="BB305" s="41"/>
      <c r="BC305" s="41"/>
      <c r="BD305" s="8" t="e">
        <f t="shared" si="185"/>
        <v>#DIV/0!</v>
      </c>
      <c r="BE305" s="8"/>
      <c r="BF305" s="2">
        <f t="shared" si="205"/>
        <v>0</v>
      </c>
      <c r="BG305" s="2">
        <f t="shared" si="206"/>
        <v>0</v>
      </c>
      <c r="BH305" s="2">
        <f t="shared" si="207"/>
        <v>0</v>
      </c>
      <c r="BI305" s="35">
        <f t="shared" si="184"/>
        <v>0</v>
      </c>
      <c r="BJ305" s="35" t="e">
        <f t="shared" si="186"/>
        <v>#DIV/0!</v>
      </c>
      <c r="BL305" s="3">
        <f t="shared" si="187"/>
        <v>0</v>
      </c>
      <c r="BM305" s="19" t="e">
        <f t="shared" si="188"/>
        <v>#DIV/0!</v>
      </c>
      <c r="BN305" s="19" t="e">
        <f t="shared" si="189"/>
        <v>#DIV/0!</v>
      </c>
      <c r="BO305" s="19" t="e">
        <f t="shared" si="190"/>
        <v>#DIV/0!</v>
      </c>
      <c r="BP305" s="19" t="e">
        <f t="shared" si="191"/>
        <v>#DIV/0!</v>
      </c>
      <c r="BQ305" s="19" t="e">
        <f t="shared" si="192"/>
        <v>#DIV/0!</v>
      </c>
      <c r="BR305" s="19" t="e">
        <f t="shared" si="193"/>
        <v>#DIV/0!</v>
      </c>
      <c r="BS305" s="19" t="e">
        <f t="shared" si="194"/>
        <v>#DIV/0!</v>
      </c>
      <c r="BT305" s="19" t="e">
        <f t="shared" si="195"/>
        <v>#DIV/0!</v>
      </c>
      <c r="BV305" s="16">
        <f t="shared" si="196"/>
        <v>0</v>
      </c>
      <c r="BW305" s="16">
        <f t="shared" si="197"/>
        <v>0</v>
      </c>
      <c r="BX305" s="3">
        <f t="shared" si="198"/>
        <v>0</v>
      </c>
      <c r="BY305" s="3">
        <f t="shared" si="227"/>
        <v>0</v>
      </c>
      <c r="BZ305" s="3" t="s">
        <v>162</v>
      </c>
      <c r="CA305" s="3">
        <f t="shared" si="199"/>
        <v>0</v>
      </c>
      <c r="CB305" s="3">
        <f t="shared" si="200"/>
        <v>0</v>
      </c>
      <c r="CC305" s="3">
        <f t="shared" si="201"/>
        <v>0</v>
      </c>
      <c r="CD305" s="3">
        <f t="shared" si="202"/>
        <v>0</v>
      </c>
      <c r="CE305" s="22">
        <f t="shared" si="208"/>
        <v>0</v>
      </c>
      <c r="CF305" s="1">
        <f t="shared" si="203"/>
        <v>0</v>
      </c>
      <c r="CG305" s="1">
        <f t="shared" si="209"/>
        <v>0</v>
      </c>
      <c r="CH305" s="3" t="s">
        <v>162</v>
      </c>
      <c r="CI305" s="1">
        <f t="shared" si="210"/>
        <v>0</v>
      </c>
      <c r="CJ305" s="1">
        <f t="shared" si="211"/>
        <v>0</v>
      </c>
      <c r="CK305" s="1">
        <f t="shared" si="212"/>
        <v>0</v>
      </c>
      <c r="CL305" s="1">
        <f t="shared" si="213"/>
        <v>0</v>
      </c>
      <c r="CM305" s="2">
        <f t="shared" si="214"/>
        <v>0</v>
      </c>
      <c r="CN305" s="1">
        <f t="shared" si="215"/>
        <v>0</v>
      </c>
      <c r="CO305" s="1">
        <f t="shared" si="216"/>
        <v>0</v>
      </c>
      <c r="CP305" s="3" t="s">
        <v>162</v>
      </c>
      <c r="CQ305" s="1">
        <f t="shared" si="217"/>
        <v>0</v>
      </c>
      <c r="CR305" s="1">
        <f t="shared" si="218"/>
        <v>0</v>
      </c>
      <c r="CS305" s="1">
        <f t="shared" si="219"/>
        <v>0</v>
      </c>
      <c r="CT305" s="1">
        <f t="shared" si="220"/>
        <v>0</v>
      </c>
      <c r="CU305" s="2">
        <f t="shared" si="221"/>
        <v>0</v>
      </c>
      <c r="CV305" s="14">
        <f t="shared" si="222"/>
        <v>0</v>
      </c>
      <c r="CW305" s="1">
        <f>ROUND(PPTest!K305,1)</f>
        <v>0</v>
      </c>
      <c r="CX305" s="3">
        <f t="shared" si="204"/>
        <v>0</v>
      </c>
      <c r="CY305" s="3">
        <f t="shared" si="223"/>
        <v>0</v>
      </c>
      <c r="CZ305" s="19">
        <f t="shared" si="224"/>
        <v>0</v>
      </c>
      <c r="DA305" s="19" t="e">
        <f t="shared" si="224"/>
        <v>#DIV/0!</v>
      </c>
      <c r="DB305" s="16">
        <f t="shared" si="225"/>
        <v>0</v>
      </c>
    </row>
    <row r="306" spans="1:106" x14ac:dyDescent="0.2">
      <c r="A306" s="15">
        <f t="shared" si="226"/>
        <v>45958</v>
      </c>
      <c r="B306" s="1">
        <v>301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2"/>
      <c r="AZ306" s="14"/>
      <c r="BA306" s="16">
        <v>9.2200000000000006</v>
      </c>
      <c r="BB306" s="41"/>
      <c r="BC306" s="41"/>
      <c r="BD306" s="8" t="e">
        <f t="shared" si="185"/>
        <v>#DIV/0!</v>
      </c>
      <c r="BE306" s="8"/>
      <c r="BF306" s="2">
        <f t="shared" si="205"/>
        <v>0</v>
      </c>
      <c r="BG306" s="2">
        <f t="shared" si="206"/>
        <v>0</v>
      </c>
      <c r="BH306" s="2">
        <f t="shared" si="207"/>
        <v>0</v>
      </c>
      <c r="BI306" s="35">
        <f t="shared" si="184"/>
        <v>0</v>
      </c>
      <c r="BJ306" s="35" t="e">
        <f t="shared" si="186"/>
        <v>#DIV/0!</v>
      </c>
      <c r="BL306" s="3">
        <f t="shared" si="187"/>
        <v>0</v>
      </c>
      <c r="BM306" s="19" t="e">
        <f t="shared" si="188"/>
        <v>#DIV/0!</v>
      </c>
      <c r="BN306" s="19" t="e">
        <f t="shared" si="189"/>
        <v>#DIV/0!</v>
      </c>
      <c r="BO306" s="19" t="e">
        <f t="shared" si="190"/>
        <v>#DIV/0!</v>
      </c>
      <c r="BP306" s="19" t="e">
        <f t="shared" si="191"/>
        <v>#DIV/0!</v>
      </c>
      <c r="BQ306" s="19" t="e">
        <f t="shared" si="192"/>
        <v>#DIV/0!</v>
      </c>
      <c r="BR306" s="19" t="e">
        <f t="shared" si="193"/>
        <v>#DIV/0!</v>
      </c>
      <c r="BS306" s="19" t="e">
        <f t="shared" si="194"/>
        <v>#DIV/0!</v>
      </c>
      <c r="BT306" s="19" t="e">
        <f t="shared" si="195"/>
        <v>#DIV/0!</v>
      </c>
      <c r="BV306" s="16">
        <f t="shared" si="196"/>
        <v>0</v>
      </c>
      <c r="BW306" s="16">
        <f t="shared" si="197"/>
        <v>0</v>
      </c>
      <c r="BX306" s="3">
        <f t="shared" si="198"/>
        <v>0</v>
      </c>
      <c r="BY306" s="3">
        <f t="shared" si="227"/>
        <v>0</v>
      </c>
      <c r="BZ306" s="3" t="s">
        <v>162</v>
      </c>
      <c r="CA306" s="3">
        <f t="shared" si="199"/>
        <v>0</v>
      </c>
      <c r="CB306" s="3">
        <f t="shared" si="200"/>
        <v>0</v>
      </c>
      <c r="CC306" s="3">
        <f t="shared" si="201"/>
        <v>0</v>
      </c>
      <c r="CD306" s="3">
        <f t="shared" si="202"/>
        <v>0</v>
      </c>
      <c r="CE306" s="22">
        <f t="shared" si="208"/>
        <v>0</v>
      </c>
      <c r="CF306" s="1">
        <f t="shared" si="203"/>
        <v>0</v>
      </c>
      <c r="CG306" s="1">
        <f t="shared" si="209"/>
        <v>0</v>
      </c>
      <c r="CH306" s="3" t="s">
        <v>162</v>
      </c>
      <c r="CI306" s="1">
        <f t="shared" si="210"/>
        <v>0</v>
      </c>
      <c r="CJ306" s="1">
        <f t="shared" si="211"/>
        <v>0</v>
      </c>
      <c r="CK306" s="1">
        <f t="shared" si="212"/>
        <v>0</v>
      </c>
      <c r="CL306" s="1">
        <f t="shared" si="213"/>
        <v>0</v>
      </c>
      <c r="CM306" s="2">
        <f t="shared" si="214"/>
        <v>0</v>
      </c>
      <c r="CN306" s="1">
        <f t="shared" si="215"/>
        <v>0</v>
      </c>
      <c r="CO306" s="1">
        <f t="shared" si="216"/>
        <v>0</v>
      </c>
      <c r="CP306" s="3" t="s">
        <v>162</v>
      </c>
      <c r="CQ306" s="1">
        <f t="shared" si="217"/>
        <v>0</v>
      </c>
      <c r="CR306" s="1">
        <f t="shared" si="218"/>
        <v>0</v>
      </c>
      <c r="CS306" s="1">
        <f t="shared" si="219"/>
        <v>0</v>
      </c>
      <c r="CT306" s="1">
        <f t="shared" si="220"/>
        <v>0</v>
      </c>
      <c r="CU306" s="2">
        <f t="shared" si="221"/>
        <v>0</v>
      </c>
      <c r="CV306" s="14">
        <f t="shared" si="222"/>
        <v>0</v>
      </c>
      <c r="CW306" s="1">
        <f>ROUND(PPTest!K306,1)</f>
        <v>0</v>
      </c>
      <c r="CX306" s="3">
        <f t="shared" si="204"/>
        <v>0</v>
      </c>
      <c r="CY306" s="3">
        <f t="shared" si="223"/>
        <v>0</v>
      </c>
      <c r="CZ306" s="19">
        <f t="shared" si="224"/>
        <v>0</v>
      </c>
      <c r="DA306" s="19" t="e">
        <f t="shared" si="224"/>
        <v>#DIV/0!</v>
      </c>
      <c r="DB306" s="16">
        <f t="shared" si="225"/>
        <v>0</v>
      </c>
    </row>
    <row r="307" spans="1:106" x14ac:dyDescent="0.2">
      <c r="A307" s="15">
        <f t="shared" si="226"/>
        <v>45959</v>
      </c>
      <c r="B307" s="1">
        <v>302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2"/>
      <c r="AZ307" s="14"/>
      <c r="BA307" s="16">
        <v>9.0399999999999991</v>
      </c>
      <c r="BB307" s="41"/>
      <c r="BC307" s="41"/>
      <c r="BD307" s="8" t="e">
        <f t="shared" si="185"/>
        <v>#DIV/0!</v>
      </c>
      <c r="BE307" s="8"/>
      <c r="BF307" s="2">
        <f t="shared" si="205"/>
        <v>0</v>
      </c>
      <c r="BG307" s="2">
        <f t="shared" si="206"/>
        <v>0</v>
      </c>
      <c r="BH307" s="2">
        <f t="shared" si="207"/>
        <v>0</v>
      </c>
      <c r="BI307" s="35">
        <f t="shared" si="184"/>
        <v>0</v>
      </c>
      <c r="BJ307" s="35" t="e">
        <f t="shared" si="186"/>
        <v>#DIV/0!</v>
      </c>
      <c r="BL307" s="3">
        <f t="shared" si="187"/>
        <v>0</v>
      </c>
      <c r="BM307" s="19" t="e">
        <f t="shared" si="188"/>
        <v>#DIV/0!</v>
      </c>
      <c r="BN307" s="19" t="e">
        <f t="shared" si="189"/>
        <v>#DIV/0!</v>
      </c>
      <c r="BO307" s="19" t="e">
        <f t="shared" si="190"/>
        <v>#DIV/0!</v>
      </c>
      <c r="BP307" s="19" t="e">
        <f t="shared" si="191"/>
        <v>#DIV/0!</v>
      </c>
      <c r="BQ307" s="19" t="e">
        <f t="shared" si="192"/>
        <v>#DIV/0!</v>
      </c>
      <c r="BR307" s="19" t="e">
        <f t="shared" si="193"/>
        <v>#DIV/0!</v>
      </c>
      <c r="BS307" s="19" t="e">
        <f t="shared" si="194"/>
        <v>#DIV/0!</v>
      </c>
      <c r="BT307" s="19" t="e">
        <f t="shared" si="195"/>
        <v>#DIV/0!</v>
      </c>
      <c r="BV307" s="16">
        <f t="shared" si="196"/>
        <v>0</v>
      </c>
      <c r="BW307" s="16">
        <f t="shared" si="197"/>
        <v>0</v>
      </c>
      <c r="BX307" s="3">
        <f t="shared" si="198"/>
        <v>0</v>
      </c>
      <c r="BY307" s="3">
        <f t="shared" si="227"/>
        <v>0</v>
      </c>
      <c r="BZ307" s="3" t="s">
        <v>162</v>
      </c>
      <c r="CA307" s="3">
        <f t="shared" si="199"/>
        <v>0</v>
      </c>
      <c r="CB307" s="3">
        <f t="shared" si="200"/>
        <v>0</v>
      </c>
      <c r="CC307" s="3">
        <f t="shared" si="201"/>
        <v>0</v>
      </c>
      <c r="CD307" s="3">
        <f t="shared" si="202"/>
        <v>0</v>
      </c>
      <c r="CE307" s="22">
        <f t="shared" si="208"/>
        <v>0</v>
      </c>
      <c r="CF307" s="1">
        <f t="shared" si="203"/>
        <v>0</v>
      </c>
      <c r="CG307" s="1">
        <f t="shared" si="209"/>
        <v>0</v>
      </c>
      <c r="CH307" s="3" t="s">
        <v>162</v>
      </c>
      <c r="CI307" s="1">
        <f t="shared" si="210"/>
        <v>0</v>
      </c>
      <c r="CJ307" s="1">
        <f t="shared" si="211"/>
        <v>0</v>
      </c>
      <c r="CK307" s="1">
        <f t="shared" si="212"/>
        <v>0</v>
      </c>
      <c r="CL307" s="1">
        <f t="shared" si="213"/>
        <v>0</v>
      </c>
      <c r="CM307" s="2">
        <f t="shared" si="214"/>
        <v>0</v>
      </c>
      <c r="CN307" s="1">
        <f t="shared" si="215"/>
        <v>0</v>
      </c>
      <c r="CO307" s="1">
        <f t="shared" si="216"/>
        <v>0</v>
      </c>
      <c r="CP307" s="3" t="s">
        <v>162</v>
      </c>
      <c r="CQ307" s="1">
        <f t="shared" si="217"/>
        <v>0</v>
      </c>
      <c r="CR307" s="1">
        <f t="shared" si="218"/>
        <v>0</v>
      </c>
      <c r="CS307" s="1">
        <f t="shared" si="219"/>
        <v>0</v>
      </c>
      <c r="CT307" s="1">
        <f t="shared" si="220"/>
        <v>0</v>
      </c>
      <c r="CU307" s="2">
        <f t="shared" si="221"/>
        <v>0</v>
      </c>
      <c r="CV307" s="14">
        <f t="shared" si="222"/>
        <v>0</v>
      </c>
      <c r="CW307" s="1">
        <f>ROUND(PPTest!K307,1)</f>
        <v>0</v>
      </c>
      <c r="CX307" s="3">
        <f t="shared" si="204"/>
        <v>0</v>
      </c>
      <c r="CY307" s="3">
        <f t="shared" si="223"/>
        <v>0</v>
      </c>
      <c r="CZ307" s="19">
        <f t="shared" si="224"/>
        <v>0</v>
      </c>
      <c r="DA307" s="19" t="e">
        <f t="shared" si="224"/>
        <v>#DIV/0!</v>
      </c>
      <c r="DB307" s="16">
        <f t="shared" si="225"/>
        <v>0</v>
      </c>
    </row>
    <row r="308" spans="1:106" x14ac:dyDescent="0.2">
      <c r="A308" s="15">
        <f t="shared" si="226"/>
        <v>45960</v>
      </c>
      <c r="B308" s="1">
        <v>303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2"/>
      <c r="AZ308" s="14"/>
      <c r="BA308" s="16">
        <v>8.86</v>
      </c>
      <c r="BB308" s="41"/>
      <c r="BC308" s="41"/>
      <c r="BD308" s="8" t="e">
        <f t="shared" si="185"/>
        <v>#DIV/0!</v>
      </c>
      <c r="BE308" s="8"/>
      <c r="BF308" s="2">
        <f t="shared" si="205"/>
        <v>0</v>
      </c>
      <c r="BG308" s="2">
        <f t="shared" si="206"/>
        <v>0</v>
      </c>
      <c r="BH308" s="2">
        <f t="shared" si="207"/>
        <v>0</v>
      </c>
      <c r="BI308" s="35">
        <f t="shared" si="184"/>
        <v>0</v>
      </c>
      <c r="BJ308" s="35" t="e">
        <f t="shared" si="186"/>
        <v>#DIV/0!</v>
      </c>
      <c r="BL308" s="3">
        <f t="shared" si="187"/>
        <v>0</v>
      </c>
      <c r="BM308" s="19" t="e">
        <f t="shared" si="188"/>
        <v>#DIV/0!</v>
      </c>
      <c r="BN308" s="19" t="e">
        <f t="shared" si="189"/>
        <v>#DIV/0!</v>
      </c>
      <c r="BO308" s="19" t="e">
        <f t="shared" si="190"/>
        <v>#DIV/0!</v>
      </c>
      <c r="BP308" s="19" t="e">
        <f t="shared" si="191"/>
        <v>#DIV/0!</v>
      </c>
      <c r="BQ308" s="19" t="e">
        <f t="shared" si="192"/>
        <v>#DIV/0!</v>
      </c>
      <c r="BR308" s="19" t="e">
        <f t="shared" si="193"/>
        <v>#DIV/0!</v>
      </c>
      <c r="BS308" s="19" t="e">
        <f t="shared" si="194"/>
        <v>#DIV/0!</v>
      </c>
      <c r="BT308" s="19" t="e">
        <f t="shared" si="195"/>
        <v>#DIV/0!</v>
      </c>
      <c r="BV308" s="16">
        <f t="shared" si="196"/>
        <v>0</v>
      </c>
      <c r="BW308" s="16">
        <f t="shared" si="197"/>
        <v>0</v>
      </c>
      <c r="BX308" s="3">
        <f t="shared" si="198"/>
        <v>0</v>
      </c>
      <c r="BY308" s="3">
        <f t="shared" si="227"/>
        <v>0</v>
      </c>
      <c r="BZ308" s="3" t="s">
        <v>162</v>
      </c>
      <c r="CA308" s="3">
        <f t="shared" si="199"/>
        <v>0</v>
      </c>
      <c r="CB308" s="3">
        <f t="shared" si="200"/>
        <v>0</v>
      </c>
      <c r="CC308" s="3">
        <f t="shared" si="201"/>
        <v>0</v>
      </c>
      <c r="CD308" s="3">
        <f t="shared" si="202"/>
        <v>0</v>
      </c>
      <c r="CE308" s="22">
        <f t="shared" si="208"/>
        <v>0</v>
      </c>
      <c r="CF308" s="1">
        <f t="shared" si="203"/>
        <v>0</v>
      </c>
      <c r="CG308" s="1">
        <f t="shared" si="209"/>
        <v>0</v>
      </c>
      <c r="CH308" s="3" t="s">
        <v>162</v>
      </c>
      <c r="CI308" s="1">
        <f t="shared" si="210"/>
        <v>0</v>
      </c>
      <c r="CJ308" s="1">
        <f t="shared" si="211"/>
        <v>0</v>
      </c>
      <c r="CK308" s="1">
        <f t="shared" si="212"/>
        <v>0</v>
      </c>
      <c r="CL308" s="1">
        <f t="shared" si="213"/>
        <v>0</v>
      </c>
      <c r="CM308" s="2">
        <f t="shared" si="214"/>
        <v>0</v>
      </c>
      <c r="CN308" s="1">
        <f t="shared" si="215"/>
        <v>0</v>
      </c>
      <c r="CO308" s="1">
        <f t="shared" si="216"/>
        <v>0</v>
      </c>
      <c r="CP308" s="3" t="s">
        <v>162</v>
      </c>
      <c r="CQ308" s="1">
        <f t="shared" si="217"/>
        <v>0</v>
      </c>
      <c r="CR308" s="1">
        <f t="shared" si="218"/>
        <v>0</v>
      </c>
      <c r="CS308" s="1">
        <f t="shared" si="219"/>
        <v>0</v>
      </c>
      <c r="CT308" s="1">
        <f t="shared" si="220"/>
        <v>0</v>
      </c>
      <c r="CU308" s="2">
        <f t="shared" si="221"/>
        <v>0</v>
      </c>
      <c r="CV308" s="14">
        <f t="shared" si="222"/>
        <v>0</v>
      </c>
      <c r="CW308" s="1">
        <f>ROUND(PPTest!K308,1)</f>
        <v>0</v>
      </c>
      <c r="CX308" s="3">
        <f t="shared" si="204"/>
        <v>0</v>
      </c>
      <c r="CY308" s="3">
        <f t="shared" si="223"/>
        <v>0</v>
      </c>
      <c r="CZ308" s="19">
        <f t="shared" si="224"/>
        <v>0</v>
      </c>
      <c r="DA308" s="19" t="e">
        <f t="shared" si="224"/>
        <v>#DIV/0!</v>
      </c>
      <c r="DB308" s="16">
        <f t="shared" si="225"/>
        <v>0</v>
      </c>
    </row>
    <row r="309" spans="1:106" x14ac:dyDescent="0.2">
      <c r="A309" s="15">
        <f t="shared" si="226"/>
        <v>45961</v>
      </c>
      <c r="B309" s="1">
        <v>304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2"/>
      <c r="AZ309" s="14"/>
      <c r="BA309" s="16">
        <v>8.68</v>
      </c>
      <c r="BB309" s="41"/>
      <c r="BC309" s="41"/>
      <c r="BD309" s="8" t="e">
        <f t="shared" si="185"/>
        <v>#DIV/0!</v>
      </c>
      <c r="BE309" s="8"/>
      <c r="BF309" s="2">
        <f t="shared" si="205"/>
        <v>0</v>
      </c>
      <c r="BG309" s="2">
        <f t="shared" si="206"/>
        <v>0</v>
      </c>
      <c r="BH309" s="2">
        <f t="shared" si="207"/>
        <v>0</v>
      </c>
      <c r="BI309" s="35">
        <f t="shared" si="184"/>
        <v>0</v>
      </c>
      <c r="BJ309" s="35" t="e">
        <f t="shared" si="186"/>
        <v>#DIV/0!</v>
      </c>
      <c r="BL309" s="3">
        <f t="shared" si="187"/>
        <v>0</v>
      </c>
      <c r="BM309" s="19" t="e">
        <f t="shared" si="188"/>
        <v>#DIV/0!</v>
      </c>
      <c r="BN309" s="19" t="e">
        <f t="shared" si="189"/>
        <v>#DIV/0!</v>
      </c>
      <c r="BO309" s="19" t="e">
        <f t="shared" si="190"/>
        <v>#DIV/0!</v>
      </c>
      <c r="BP309" s="19" t="e">
        <f t="shared" si="191"/>
        <v>#DIV/0!</v>
      </c>
      <c r="BQ309" s="19" t="e">
        <f t="shared" si="192"/>
        <v>#DIV/0!</v>
      </c>
      <c r="BR309" s="19" t="e">
        <f t="shared" si="193"/>
        <v>#DIV/0!</v>
      </c>
      <c r="BS309" s="19" t="e">
        <f t="shared" si="194"/>
        <v>#DIV/0!</v>
      </c>
      <c r="BT309" s="19" t="e">
        <f t="shared" si="195"/>
        <v>#DIV/0!</v>
      </c>
      <c r="BV309" s="16">
        <f t="shared" si="196"/>
        <v>0</v>
      </c>
      <c r="BW309" s="16">
        <f t="shared" si="197"/>
        <v>0</v>
      </c>
      <c r="BX309" s="3">
        <f t="shared" si="198"/>
        <v>0</v>
      </c>
      <c r="BY309" s="3">
        <f t="shared" si="227"/>
        <v>0</v>
      </c>
      <c r="BZ309" s="3" t="s">
        <v>162</v>
      </c>
      <c r="CA309" s="3">
        <f t="shared" si="199"/>
        <v>0</v>
      </c>
      <c r="CB309" s="3">
        <f t="shared" si="200"/>
        <v>0</v>
      </c>
      <c r="CC309" s="3">
        <f t="shared" si="201"/>
        <v>0</v>
      </c>
      <c r="CD309" s="3">
        <f t="shared" si="202"/>
        <v>0</v>
      </c>
      <c r="CE309" s="22">
        <f t="shared" si="208"/>
        <v>0</v>
      </c>
      <c r="CF309" s="1">
        <f t="shared" si="203"/>
        <v>0</v>
      </c>
      <c r="CG309" s="1">
        <f t="shared" si="209"/>
        <v>0</v>
      </c>
      <c r="CH309" s="3" t="s">
        <v>162</v>
      </c>
      <c r="CI309" s="1">
        <f t="shared" si="210"/>
        <v>0</v>
      </c>
      <c r="CJ309" s="1">
        <f t="shared" si="211"/>
        <v>0</v>
      </c>
      <c r="CK309" s="1">
        <f t="shared" si="212"/>
        <v>0</v>
      </c>
      <c r="CL309" s="1">
        <f t="shared" si="213"/>
        <v>0</v>
      </c>
      <c r="CM309" s="2">
        <f t="shared" si="214"/>
        <v>0</v>
      </c>
      <c r="CN309" s="1">
        <f t="shared" si="215"/>
        <v>0</v>
      </c>
      <c r="CO309" s="1">
        <f t="shared" si="216"/>
        <v>0</v>
      </c>
      <c r="CP309" s="3" t="s">
        <v>162</v>
      </c>
      <c r="CQ309" s="1">
        <f t="shared" si="217"/>
        <v>0</v>
      </c>
      <c r="CR309" s="1">
        <f t="shared" si="218"/>
        <v>0</v>
      </c>
      <c r="CS309" s="1">
        <f t="shared" si="219"/>
        <v>0</v>
      </c>
      <c r="CT309" s="1">
        <f t="shared" si="220"/>
        <v>0</v>
      </c>
      <c r="CU309" s="2">
        <f t="shared" si="221"/>
        <v>0</v>
      </c>
      <c r="CV309" s="14">
        <f t="shared" si="222"/>
        <v>0</v>
      </c>
      <c r="CW309" s="1">
        <f>ROUND(PPTest!K309,1)</f>
        <v>0</v>
      </c>
      <c r="CX309" s="3">
        <f t="shared" si="204"/>
        <v>0</v>
      </c>
      <c r="CY309" s="3">
        <f t="shared" si="223"/>
        <v>0</v>
      </c>
      <c r="CZ309" s="19">
        <f t="shared" si="224"/>
        <v>0</v>
      </c>
      <c r="DA309" s="19" t="e">
        <f t="shared" si="224"/>
        <v>#DIV/0!</v>
      </c>
      <c r="DB309" s="16">
        <f t="shared" si="225"/>
        <v>0</v>
      </c>
    </row>
    <row r="310" spans="1:106" x14ac:dyDescent="0.2">
      <c r="A310" s="15">
        <f t="shared" si="226"/>
        <v>45962</v>
      </c>
      <c r="B310" s="1">
        <v>305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2"/>
      <c r="AZ310" s="14"/>
      <c r="BA310" s="16">
        <v>8.51</v>
      </c>
      <c r="BB310" s="41"/>
      <c r="BC310" s="41"/>
      <c r="BD310" s="8" t="e">
        <f t="shared" si="185"/>
        <v>#DIV/0!</v>
      </c>
      <c r="BE310" s="8"/>
      <c r="BF310" s="2">
        <f t="shared" si="205"/>
        <v>0</v>
      </c>
      <c r="BG310" s="2">
        <f t="shared" si="206"/>
        <v>0</v>
      </c>
      <c r="BH310" s="2">
        <f t="shared" si="207"/>
        <v>0</v>
      </c>
      <c r="BI310" s="35">
        <f t="shared" si="184"/>
        <v>0</v>
      </c>
      <c r="BJ310" s="35" t="e">
        <f t="shared" si="186"/>
        <v>#DIV/0!</v>
      </c>
      <c r="BL310" s="3">
        <f t="shared" si="187"/>
        <v>0</v>
      </c>
      <c r="BM310" s="19" t="e">
        <f t="shared" si="188"/>
        <v>#DIV/0!</v>
      </c>
      <c r="BN310" s="19" t="e">
        <f t="shared" si="189"/>
        <v>#DIV/0!</v>
      </c>
      <c r="BO310" s="19" t="e">
        <f t="shared" si="190"/>
        <v>#DIV/0!</v>
      </c>
      <c r="BP310" s="19" t="e">
        <f t="shared" si="191"/>
        <v>#DIV/0!</v>
      </c>
      <c r="BQ310" s="19" t="e">
        <f t="shared" si="192"/>
        <v>#DIV/0!</v>
      </c>
      <c r="BR310" s="19" t="e">
        <f t="shared" si="193"/>
        <v>#DIV/0!</v>
      </c>
      <c r="BS310" s="19" t="e">
        <f t="shared" si="194"/>
        <v>#DIV/0!</v>
      </c>
      <c r="BT310" s="19" t="e">
        <f t="shared" si="195"/>
        <v>#DIV/0!</v>
      </c>
      <c r="BV310" s="16">
        <f t="shared" si="196"/>
        <v>0</v>
      </c>
      <c r="BW310" s="16">
        <f t="shared" si="197"/>
        <v>0</v>
      </c>
      <c r="BX310" s="3">
        <f t="shared" si="198"/>
        <v>0</v>
      </c>
      <c r="BY310" s="3">
        <f t="shared" si="227"/>
        <v>0</v>
      </c>
      <c r="BZ310" s="3" t="s">
        <v>162</v>
      </c>
      <c r="CA310" s="3">
        <f t="shared" si="199"/>
        <v>0</v>
      </c>
      <c r="CB310" s="3">
        <f t="shared" si="200"/>
        <v>0</v>
      </c>
      <c r="CC310" s="3">
        <f t="shared" si="201"/>
        <v>0</v>
      </c>
      <c r="CD310" s="3">
        <f t="shared" si="202"/>
        <v>0</v>
      </c>
      <c r="CE310" s="22">
        <f t="shared" si="208"/>
        <v>0</v>
      </c>
      <c r="CF310" s="1">
        <f t="shared" si="203"/>
        <v>0</v>
      </c>
      <c r="CG310" s="1">
        <f t="shared" si="209"/>
        <v>0</v>
      </c>
      <c r="CH310" s="3" t="s">
        <v>162</v>
      </c>
      <c r="CI310" s="1">
        <f t="shared" si="210"/>
        <v>0</v>
      </c>
      <c r="CJ310" s="1">
        <f t="shared" si="211"/>
        <v>0</v>
      </c>
      <c r="CK310" s="1">
        <f t="shared" si="212"/>
        <v>0</v>
      </c>
      <c r="CL310" s="1">
        <f t="shared" si="213"/>
        <v>0</v>
      </c>
      <c r="CM310" s="2">
        <f t="shared" si="214"/>
        <v>0</v>
      </c>
      <c r="CN310" s="1">
        <f t="shared" si="215"/>
        <v>0</v>
      </c>
      <c r="CO310" s="1">
        <f t="shared" si="216"/>
        <v>0</v>
      </c>
      <c r="CP310" s="3" t="s">
        <v>162</v>
      </c>
      <c r="CQ310" s="1">
        <f t="shared" si="217"/>
        <v>0</v>
      </c>
      <c r="CR310" s="1">
        <f t="shared" si="218"/>
        <v>0</v>
      </c>
      <c r="CS310" s="1">
        <f t="shared" si="219"/>
        <v>0</v>
      </c>
      <c r="CT310" s="1">
        <f t="shared" si="220"/>
        <v>0</v>
      </c>
      <c r="CU310" s="2">
        <f t="shared" si="221"/>
        <v>0</v>
      </c>
      <c r="CV310" s="14">
        <f t="shared" si="222"/>
        <v>0</v>
      </c>
      <c r="CW310" s="1">
        <f>ROUND(PPTest!K310,1)</f>
        <v>0</v>
      </c>
      <c r="CX310" s="3">
        <f t="shared" si="204"/>
        <v>0</v>
      </c>
      <c r="CY310" s="3">
        <f t="shared" si="223"/>
        <v>0</v>
      </c>
      <c r="CZ310" s="19">
        <f t="shared" si="224"/>
        <v>0</v>
      </c>
      <c r="DA310" s="19" t="e">
        <f t="shared" si="224"/>
        <v>#DIV/0!</v>
      </c>
      <c r="DB310" s="16">
        <f t="shared" si="225"/>
        <v>0</v>
      </c>
    </row>
    <row r="311" spans="1:106" x14ac:dyDescent="0.2">
      <c r="A311" s="15">
        <f t="shared" si="226"/>
        <v>45963</v>
      </c>
      <c r="B311" s="1">
        <v>306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2"/>
      <c r="AZ311" s="14"/>
      <c r="BA311" s="16">
        <v>8.34</v>
      </c>
      <c r="BB311" s="41"/>
      <c r="BC311" s="41"/>
      <c r="BD311" s="8" t="e">
        <f t="shared" si="185"/>
        <v>#DIV/0!</v>
      </c>
      <c r="BE311" s="8"/>
      <c r="BF311" s="2">
        <f t="shared" si="205"/>
        <v>0</v>
      </c>
      <c r="BG311" s="2">
        <f t="shared" si="206"/>
        <v>0</v>
      </c>
      <c r="BH311" s="2">
        <f t="shared" si="207"/>
        <v>0</v>
      </c>
      <c r="BI311" s="35">
        <f t="shared" si="184"/>
        <v>0</v>
      </c>
      <c r="BJ311" s="35" t="e">
        <f t="shared" si="186"/>
        <v>#DIV/0!</v>
      </c>
      <c r="BL311" s="3">
        <f t="shared" si="187"/>
        <v>0</v>
      </c>
      <c r="BM311" s="19" t="e">
        <f t="shared" si="188"/>
        <v>#DIV/0!</v>
      </c>
      <c r="BN311" s="19" t="e">
        <f t="shared" si="189"/>
        <v>#DIV/0!</v>
      </c>
      <c r="BO311" s="19" t="e">
        <f t="shared" si="190"/>
        <v>#DIV/0!</v>
      </c>
      <c r="BP311" s="19" t="e">
        <f t="shared" si="191"/>
        <v>#DIV/0!</v>
      </c>
      <c r="BQ311" s="19" t="e">
        <f t="shared" si="192"/>
        <v>#DIV/0!</v>
      </c>
      <c r="BR311" s="19" t="e">
        <f t="shared" si="193"/>
        <v>#DIV/0!</v>
      </c>
      <c r="BS311" s="19" t="e">
        <f t="shared" si="194"/>
        <v>#DIV/0!</v>
      </c>
      <c r="BT311" s="19" t="e">
        <f t="shared" si="195"/>
        <v>#DIV/0!</v>
      </c>
      <c r="BV311" s="16">
        <f t="shared" si="196"/>
        <v>0</v>
      </c>
      <c r="BW311" s="16">
        <f t="shared" si="197"/>
        <v>0</v>
      </c>
      <c r="BX311" s="3">
        <f t="shared" si="198"/>
        <v>0</v>
      </c>
      <c r="BY311" s="3">
        <f t="shared" si="227"/>
        <v>0</v>
      </c>
      <c r="BZ311" s="3" t="s">
        <v>162</v>
      </c>
      <c r="CA311" s="3">
        <f t="shared" si="199"/>
        <v>0</v>
      </c>
      <c r="CB311" s="3">
        <f t="shared" si="200"/>
        <v>0</v>
      </c>
      <c r="CC311" s="3">
        <f t="shared" si="201"/>
        <v>0</v>
      </c>
      <c r="CD311" s="3">
        <f t="shared" si="202"/>
        <v>0</v>
      </c>
      <c r="CE311" s="22">
        <f t="shared" si="208"/>
        <v>0</v>
      </c>
      <c r="CF311" s="1">
        <f t="shared" si="203"/>
        <v>0</v>
      </c>
      <c r="CG311" s="1">
        <f t="shared" si="209"/>
        <v>0</v>
      </c>
      <c r="CH311" s="3" t="s">
        <v>162</v>
      </c>
      <c r="CI311" s="1">
        <f t="shared" si="210"/>
        <v>0</v>
      </c>
      <c r="CJ311" s="1">
        <f t="shared" si="211"/>
        <v>0</v>
      </c>
      <c r="CK311" s="1">
        <f t="shared" si="212"/>
        <v>0</v>
      </c>
      <c r="CL311" s="1">
        <f t="shared" si="213"/>
        <v>0</v>
      </c>
      <c r="CM311" s="2">
        <f t="shared" si="214"/>
        <v>0</v>
      </c>
      <c r="CN311" s="1">
        <f t="shared" si="215"/>
        <v>0</v>
      </c>
      <c r="CO311" s="1">
        <f t="shared" si="216"/>
        <v>0</v>
      </c>
      <c r="CP311" s="3" t="s">
        <v>162</v>
      </c>
      <c r="CQ311" s="1">
        <f t="shared" si="217"/>
        <v>0</v>
      </c>
      <c r="CR311" s="1">
        <f t="shared" si="218"/>
        <v>0</v>
      </c>
      <c r="CS311" s="1">
        <f t="shared" si="219"/>
        <v>0</v>
      </c>
      <c r="CT311" s="1">
        <f t="shared" si="220"/>
        <v>0</v>
      </c>
      <c r="CU311" s="2">
        <f t="shared" si="221"/>
        <v>0</v>
      </c>
      <c r="CV311" s="14">
        <f t="shared" si="222"/>
        <v>0</v>
      </c>
      <c r="CW311" s="1">
        <f>ROUND(PPTest!K311,1)</f>
        <v>0</v>
      </c>
      <c r="CX311" s="3">
        <f t="shared" si="204"/>
        <v>0</v>
      </c>
      <c r="CY311" s="3">
        <f t="shared" si="223"/>
        <v>0</v>
      </c>
      <c r="CZ311" s="19">
        <f t="shared" si="224"/>
        <v>0</v>
      </c>
      <c r="DA311" s="19" t="e">
        <f t="shared" si="224"/>
        <v>#DIV/0!</v>
      </c>
      <c r="DB311" s="16">
        <f t="shared" si="225"/>
        <v>0</v>
      </c>
    </row>
    <row r="312" spans="1:106" x14ac:dyDescent="0.2">
      <c r="A312" s="15">
        <f t="shared" si="226"/>
        <v>45964</v>
      </c>
      <c r="B312" s="1">
        <v>307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2"/>
      <c r="AZ312" s="14"/>
      <c r="BA312" s="16">
        <v>8.18</v>
      </c>
      <c r="BB312" s="41"/>
      <c r="BC312" s="41"/>
      <c r="BD312" s="8" t="e">
        <f t="shared" si="185"/>
        <v>#DIV/0!</v>
      </c>
      <c r="BE312" s="8"/>
      <c r="BF312" s="2">
        <f t="shared" si="205"/>
        <v>0</v>
      </c>
      <c r="BG312" s="2">
        <f t="shared" si="206"/>
        <v>0</v>
      </c>
      <c r="BH312" s="2">
        <f t="shared" si="207"/>
        <v>0</v>
      </c>
      <c r="BI312" s="35">
        <f t="shared" si="184"/>
        <v>0</v>
      </c>
      <c r="BJ312" s="35" t="e">
        <f t="shared" si="186"/>
        <v>#DIV/0!</v>
      </c>
      <c r="BL312" s="3">
        <f t="shared" si="187"/>
        <v>0</v>
      </c>
      <c r="BM312" s="19" t="e">
        <f t="shared" si="188"/>
        <v>#DIV/0!</v>
      </c>
      <c r="BN312" s="19" t="e">
        <f t="shared" si="189"/>
        <v>#DIV/0!</v>
      </c>
      <c r="BO312" s="19" t="e">
        <f t="shared" si="190"/>
        <v>#DIV/0!</v>
      </c>
      <c r="BP312" s="19" t="e">
        <f t="shared" si="191"/>
        <v>#DIV/0!</v>
      </c>
      <c r="BQ312" s="19" t="e">
        <f t="shared" si="192"/>
        <v>#DIV/0!</v>
      </c>
      <c r="BR312" s="19" t="e">
        <f t="shared" si="193"/>
        <v>#DIV/0!</v>
      </c>
      <c r="BS312" s="19" t="e">
        <f t="shared" si="194"/>
        <v>#DIV/0!</v>
      </c>
      <c r="BT312" s="19" t="e">
        <f t="shared" si="195"/>
        <v>#DIV/0!</v>
      </c>
      <c r="BV312" s="16">
        <f t="shared" si="196"/>
        <v>0</v>
      </c>
      <c r="BW312" s="16">
        <f t="shared" si="197"/>
        <v>0</v>
      </c>
      <c r="BX312" s="3">
        <f t="shared" si="198"/>
        <v>0</v>
      </c>
      <c r="BY312" s="3">
        <f t="shared" si="227"/>
        <v>0</v>
      </c>
      <c r="BZ312" s="3" t="s">
        <v>162</v>
      </c>
      <c r="CA312" s="3">
        <f t="shared" si="199"/>
        <v>0</v>
      </c>
      <c r="CB312" s="3">
        <f t="shared" si="200"/>
        <v>0</v>
      </c>
      <c r="CC312" s="3">
        <f t="shared" si="201"/>
        <v>0</v>
      </c>
      <c r="CD312" s="3">
        <f t="shared" si="202"/>
        <v>0</v>
      </c>
      <c r="CE312" s="22">
        <f t="shared" si="208"/>
        <v>0</v>
      </c>
      <c r="CF312" s="1">
        <f t="shared" si="203"/>
        <v>0</v>
      </c>
      <c r="CG312" s="1">
        <f t="shared" si="209"/>
        <v>0</v>
      </c>
      <c r="CH312" s="3" t="s">
        <v>162</v>
      </c>
      <c r="CI312" s="1">
        <f t="shared" si="210"/>
        <v>0</v>
      </c>
      <c r="CJ312" s="1">
        <f t="shared" si="211"/>
        <v>0</v>
      </c>
      <c r="CK312" s="1">
        <f t="shared" si="212"/>
        <v>0</v>
      </c>
      <c r="CL312" s="1">
        <f t="shared" si="213"/>
        <v>0</v>
      </c>
      <c r="CM312" s="2">
        <f t="shared" si="214"/>
        <v>0</v>
      </c>
      <c r="CN312" s="1">
        <f t="shared" si="215"/>
        <v>0</v>
      </c>
      <c r="CO312" s="1">
        <f t="shared" si="216"/>
        <v>0</v>
      </c>
      <c r="CP312" s="3" t="s">
        <v>162</v>
      </c>
      <c r="CQ312" s="1">
        <f t="shared" si="217"/>
        <v>0</v>
      </c>
      <c r="CR312" s="1">
        <f t="shared" si="218"/>
        <v>0</v>
      </c>
      <c r="CS312" s="1">
        <f t="shared" si="219"/>
        <v>0</v>
      </c>
      <c r="CT312" s="1">
        <f t="shared" si="220"/>
        <v>0</v>
      </c>
      <c r="CU312" s="2">
        <f t="shared" si="221"/>
        <v>0</v>
      </c>
      <c r="CV312" s="14">
        <f t="shared" si="222"/>
        <v>0</v>
      </c>
      <c r="CW312" s="1">
        <f>ROUND(PPTest!K312,1)</f>
        <v>0</v>
      </c>
      <c r="CX312" s="3">
        <f t="shared" si="204"/>
        <v>0</v>
      </c>
      <c r="CY312" s="3">
        <f t="shared" si="223"/>
        <v>0</v>
      </c>
      <c r="CZ312" s="19">
        <f t="shared" si="224"/>
        <v>0</v>
      </c>
      <c r="DA312" s="19" t="e">
        <f t="shared" si="224"/>
        <v>#DIV/0!</v>
      </c>
      <c r="DB312" s="16">
        <f t="shared" si="225"/>
        <v>0</v>
      </c>
    </row>
    <row r="313" spans="1:106" x14ac:dyDescent="0.2">
      <c r="A313" s="15">
        <f t="shared" si="226"/>
        <v>45965</v>
      </c>
      <c r="B313" s="1">
        <v>308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2"/>
      <c r="AZ313" s="14"/>
      <c r="BA313" s="16">
        <v>8.02</v>
      </c>
      <c r="BB313" s="41"/>
      <c r="BC313" s="41"/>
      <c r="BD313" s="8" t="e">
        <f t="shared" si="185"/>
        <v>#DIV/0!</v>
      </c>
      <c r="BE313" s="8"/>
      <c r="BF313" s="2">
        <f t="shared" si="205"/>
        <v>0</v>
      </c>
      <c r="BG313" s="2">
        <f t="shared" si="206"/>
        <v>0</v>
      </c>
      <c r="BH313" s="2">
        <f t="shared" si="207"/>
        <v>0</v>
      </c>
      <c r="BI313" s="35">
        <f t="shared" si="184"/>
        <v>0</v>
      </c>
      <c r="BJ313" s="35" t="e">
        <f t="shared" si="186"/>
        <v>#DIV/0!</v>
      </c>
      <c r="BL313" s="3">
        <f t="shared" si="187"/>
        <v>0</v>
      </c>
      <c r="BM313" s="19" t="e">
        <f t="shared" si="188"/>
        <v>#DIV/0!</v>
      </c>
      <c r="BN313" s="19" t="e">
        <f t="shared" si="189"/>
        <v>#DIV/0!</v>
      </c>
      <c r="BO313" s="19" t="e">
        <f t="shared" si="190"/>
        <v>#DIV/0!</v>
      </c>
      <c r="BP313" s="19" t="e">
        <f t="shared" si="191"/>
        <v>#DIV/0!</v>
      </c>
      <c r="BQ313" s="19" t="e">
        <f t="shared" si="192"/>
        <v>#DIV/0!</v>
      </c>
      <c r="BR313" s="19" t="e">
        <f t="shared" si="193"/>
        <v>#DIV/0!</v>
      </c>
      <c r="BS313" s="19" t="e">
        <f t="shared" si="194"/>
        <v>#DIV/0!</v>
      </c>
      <c r="BT313" s="19" t="e">
        <f t="shared" si="195"/>
        <v>#DIV/0!</v>
      </c>
      <c r="BV313" s="16">
        <f t="shared" si="196"/>
        <v>0</v>
      </c>
      <c r="BW313" s="16">
        <f t="shared" si="197"/>
        <v>0</v>
      </c>
      <c r="BX313" s="3">
        <f t="shared" si="198"/>
        <v>0</v>
      </c>
      <c r="BY313" s="3">
        <f t="shared" si="227"/>
        <v>0</v>
      </c>
      <c r="BZ313" s="3" t="s">
        <v>162</v>
      </c>
      <c r="CA313" s="3">
        <f t="shared" si="199"/>
        <v>0</v>
      </c>
      <c r="CB313" s="3">
        <f t="shared" si="200"/>
        <v>0</v>
      </c>
      <c r="CC313" s="3">
        <f t="shared" si="201"/>
        <v>0</v>
      </c>
      <c r="CD313" s="3">
        <f t="shared" si="202"/>
        <v>0</v>
      </c>
      <c r="CE313" s="22">
        <f t="shared" si="208"/>
        <v>0</v>
      </c>
      <c r="CF313" s="1">
        <f t="shared" si="203"/>
        <v>0</v>
      </c>
      <c r="CG313" s="1">
        <f t="shared" si="209"/>
        <v>0</v>
      </c>
      <c r="CH313" s="3" t="s">
        <v>162</v>
      </c>
      <c r="CI313" s="1">
        <f t="shared" si="210"/>
        <v>0</v>
      </c>
      <c r="CJ313" s="1">
        <f t="shared" si="211"/>
        <v>0</v>
      </c>
      <c r="CK313" s="1">
        <f t="shared" si="212"/>
        <v>0</v>
      </c>
      <c r="CL313" s="1">
        <f t="shared" si="213"/>
        <v>0</v>
      </c>
      <c r="CM313" s="2">
        <f t="shared" si="214"/>
        <v>0</v>
      </c>
      <c r="CN313" s="1">
        <f t="shared" si="215"/>
        <v>0</v>
      </c>
      <c r="CO313" s="1">
        <f t="shared" si="216"/>
        <v>0</v>
      </c>
      <c r="CP313" s="3" t="s">
        <v>162</v>
      </c>
      <c r="CQ313" s="1">
        <f t="shared" si="217"/>
        <v>0</v>
      </c>
      <c r="CR313" s="1">
        <f t="shared" si="218"/>
        <v>0</v>
      </c>
      <c r="CS313" s="1">
        <f t="shared" si="219"/>
        <v>0</v>
      </c>
      <c r="CT313" s="1">
        <f t="shared" si="220"/>
        <v>0</v>
      </c>
      <c r="CU313" s="2">
        <f t="shared" si="221"/>
        <v>0</v>
      </c>
      <c r="CV313" s="14">
        <f t="shared" si="222"/>
        <v>0</v>
      </c>
      <c r="CW313" s="1">
        <f>ROUND(PPTest!K313,1)</f>
        <v>0</v>
      </c>
      <c r="CX313" s="3">
        <f t="shared" si="204"/>
        <v>0</v>
      </c>
      <c r="CY313" s="3">
        <f t="shared" si="223"/>
        <v>0</v>
      </c>
      <c r="CZ313" s="19">
        <f t="shared" si="224"/>
        <v>0</v>
      </c>
      <c r="DA313" s="19" t="e">
        <f t="shared" si="224"/>
        <v>#DIV/0!</v>
      </c>
      <c r="DB313" s="16">
        <f t="shared" si="225"/>
        <v>0</v>
      </c>
    </row>
    <row r="314" spans="1:106" x14ac:dyDescent="0.2">
      <c r="A314" s="15">
        <f t="shared" si="226"/>
        <v>45966</v>
      </c>
      <c r="B314" s="1">
        <v>309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2"/>
      <c r="AZ314" s="14"/>
      <c r="BA314" s="16">
        <v>7.86</v>
      </c>
      <c r="BB314" s="41"/>
      <c r="BC314" s="41"/>
      <c r="BD314" s="8" t="e">
        <f t="shared" si="185"/>
        <v>#DIV/0!</v>
      </c>
      <c r="BE314" s="8"/>
      <c r="BF314" s="2">
        <f t="shared" si="205"/>
        <v>0</v>
      </c>
      <c r="BG314" s="2">
        <f t="shared" si="206"/>
        <v>0</v>
      </c>
      <c r="BH314" s="2">
        <f t="shared" si="207"/>
        <v>0</v>
      </c>
      <c r="BI314" s="35">
        <f t="shared" si="184"/>
        <v>0</v>
      </c>
      <c r="BJ314" s="35" t="e">
        <f t="shared" si="186"/>
        <v>#DIV/0!</v>
      </c>
      <c r="BL314" s="3">
        <f t="shared" si="187"/>
        <v>0</v>
      </c>
      <c r="BM314" s="19" t="e">
        <f t="shared" si="188"/>
        <v>#DIV/0!</v>
      </c>
      <c r="BN314" s="19" t="e">
        <f t="shared" si="189"/>
        <v>#DIV/0!</v>
      </c>
      <c r="BO314" s="19" t="e">
        <f t="shared" si="190"/>
        <v>#DIV/0!</v>
      </c>
      <c r="BP314" s="19" t="e">
        <f t="shared" si="191"/>
        <v>#DIV/0!</v>
      </c>
      <c r="BQ314" s="19" t="e">
        <f t="shared" si="192"/>
        <v>#DIV/0!</v>
      </c>
      <c r="BR314" s="19" t="e">
        <f t="shared" si="193"/>
        <v>#DIV/0!</v>
      </c>
      <c r="BS314" s="19" t="e">
        <f t="shared" si="194"/>
        <v>#DIV/0!</v>
      </c>
      <c r="BT314" s="19" t="e">
        <f t="shared" si="195"/>
        <v>#DIV/0!</v>
      </c>
      <c r="BV314" s="16">
        <f t="shared" si="196"/>
        <v>0</v>
      </c>
      <c r="BW314" s="16">
        <f t="shared" si="197"/>
        <v>0</v>
      </c>
      <c r="BX314" s="3">
        <f t="shared" si="198"/>
        <v>0</v>
      </c>
      <c r="BY314" s="3">
        <f t="shared" si="227"/>
        <v>0</v>
      </c>
      <c r="BZ314" s="3" t="s">
        <v>162</v>
      </c>
      <c r="CA314" s="3">
        <f t="shared" si="199"/>
        <v>0</v>
      </c>
      <c r="CB314" s="3">
        <f t="shared" si="200"/>
        <v>0</v>
      </c>
      <c r="CC314" s="3">
        <f t="shared" si="201"/>
        <v>0</v>
      </c>
      <c r="CD314" s="3">
        <f t="shared" si="202"/>
        <v>0</v>
      </c>
      <c r="CE314" s="22">
        <f t="shared" si="208"/>
        <v>0</v>
      </c>
      <c r="CF314" s="1">
        <f t="shared" si="203"/>
        <v>0</v>
      </c>
      <c r="CG314" s="1">
        <f t="shared" si="209"/>
        <v>0</v>
      </c>
      <c r="CH314" s="3" t="s">
        <v>162</v>
      </c>
      <c r="CI314" s="1">
        <f t="shared" si="210"/>
        <v>0</v>
      </c>
      <c r="CJ314" s="1">
        <f t="shared" si="211"/>
        <v>0</v>
      </c>
      <c r="CK314" s="1">
        <f t="shared" si="212"/>
        <v>0</v>
      </c>
      <c r="CL314" s="1">
        <f t="shared" si="213"/>
        <v>0</v>
      </c>
      <c r="CM314" s="2">
        <f t="shared" si="214"/>
        <v>0</v>
      </c>
      <c r="CN314" s="1">
        <f t="shared" si="215"/>
        <v>0</v>
      </c>
      <c r="CO314" s="1">
        <f t="shared" si="216"/>
        <v>0</v>
      </c>
      <c r="CP314" s="3" t="s">
        <v>162</v>
      </c>
      <c r="CQ314" s="1">
        <f t="shared" si="217"/>
        <v>0</v>
      </c>
      <c r="CR314" s="1">
        <f t="shared" si="218"/>
        <v>0</v>
      </c>
      <c r="CS314" s="1">
        <f t="shared" si="219"/>
        <v>0</v>
      </c>
      <c r="CT314" s="1">
        <f t="shared" si="220"/>
        <v>0</v>
      </c>
      <c r="CU314" s="2">
        <f t="shared" si="221"/>
        <v>0</v>
      </c>
      <c r="CV314" s="14">
        <f t="shared" si="222"/>
        <v>0</v>
      </c>
      <c r="CW314" s="1">
        <f>ROUND(PPTest!K314,1)</f>
        <v>0</v>
      </c>
      <c r="CX314" s="3">
        <f t="shared" si="204"/>
        <v>0</v>
      </c>
      <c r="CY314" s="3">
        <f t="shared" si="223"/>
        <v>0</v>
      </c>
      <c r="CZ314" s="19">
        <f t="shared" si="224"/>
        <v>0</v>
      </c>
      <c r="DA314" s="19" t="e">
        <f t="shared" si="224"/>
        <v>#DIV/0!</v>
      </c>
      <c r="DB314" s="16">
        <f t="shared" si="225"/>
        <v>0</v>
      </c>
    </row>
    <row r="315" spans="1:106" x14ac:dyDescent="0.2">
      <c r="A315" s="15">
        <f t="shared" si="226"/>
        <v>45967</v>
      </c>
      <c r="B315" s="1">
        <v>310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2"/>
      <c r="AZ315" s="14"/>
      <c r="BA315" s="16">
        <v>7.71</v>
      </c>
      <c r="BB315" s="41"/>
      <c r="BC315" s="41"/>
      <c r="BD315" s="8" t="e">
        <f t="shared" si="185"/>
        <v>#DIV/0!</v>
      </c>
      <c r="BE315" s="8"/>
      <c r="BF315" s="2">
        <f t="shared" si="205"/>
        <v>0</v>
      </c>
      <c r="BG315" s="2">
        <f t="shared" si="206"/>
        <v>0</v>
      </c>
      <c r="BH315" s="2">
        <f t="shared" si="207"/>
        <v>0</v>
      </c>
      <c r="BI315" s="35">
        <f t="shared" si="184"/>
        <v>0</v>
      </c>
      <c r="BJ315" s="35" t="e">
        <f t="shared" si="186"/>
        <v>#DIV/0!</v>
      </c>
      <c r="BL315" s="3">
        <f t="shared" si="187"/>
        <v>0</v>
      </c>
      <c r="BM315" s="19" t="e">
        <f t="shared" si="188"/>
        <v>#DIV/0!</v>
      </c>
      <c r="BN315" s="19" t="e">
        <f t="shared" si="189"/>
        <v>#DIV/0!</v>
      </c>
      <c r="BO315" s="19" t="e">
        <f t="shared" si="190"/>
        <v>#DIV/0!</v>
      </c>
      <c r="BP315" s="19" t="e">
        <f t="shared" si="191"/>
        <v>#DIV/0!</v>
      </c>
      <c r="BQ315" s="19" t="e">
        <f t="shared" si="192"/>
        <v>#DIV/0!</v>
      </c>
      <c r="BR315" s="19" t="e">
        <f t="shared" si="193"/>
        <v>#DIV/0!</v>
      </c>
      <c r="BS315" s="19" t="e">
        <f t="shared" si="194"/>
        <v>#DIV/0!</v>
      </c>
      <c r="BT315" s="19" t="e">
        <f t="shared" si="195"/>
        <v>#DIV/0!</v>
      </c>
      <c r="BV315" s="16">
        <f t="shared" si="196"/>
        <v>0</v>
      </c>
      <c r="BW315" s="16">
        <f t="shared" si="197"/>
        <v>0</v>
      </c>
      <c r="BX315" s="3">
        <f t="shared" si="198"/>
        <v>0</v>
      </c>
      <c r="BY315" s="3">
        <f t="shared" si="227"/>
        <v>0</v>
      </c>
      <c r="BZ315" s="3" t="s">
        <v>162</v>
      </c>
      <c r="CA315" s="3">
        <f t="shared" si="199"/>
        <v>0</v>
      </c>
      <c r="CB315" s="3">
        <f t="shared" si="200"/>
        <v>0</v>
      </c>
      <c r="CC315" s="3">
        <f t="shared" si="201"/>
        <v>0</v>
      </c>
      <c r="CD315" s="3">
        <f t="shared" si="202"/>
        <v>0</v>
      </c>
      <c r="CE315" s="22">
        <f t="shared" si="208"/>
        <v>0</v>
      </c>
      <c r="CF315" s="1">
        <f t="shared" si="203"/>
        <v>0</v>
      </c>
      <c r="CG315" s="1">
        <f t="shared" si="209"/>
        <v>0</v>
      </c>
      <c r="CH315" s="3" t="s">
        <v>162</v>
      </c>
      <c r="CI315" s="1">
        <f t="shared" si="210"/>
        <v>0</v>
      </c>
      <c r="CJ315" s="1">
        <f t="shared" si="211"/>
        <v>0</v>
      </c>
      <c r="CK315" s="1">
        <f t="shared" si="212"/>
        <v>0</v>
      </c>
      <c r="CL315" s="1">
        <f t="shared" si="213"/>
        <v>0</v>
      </c>
      <c r="CM315" s="2">
        <f t="shared" si="214"/>
        <v>0</v>
      </c>
      <c r="CN315" s="1">
        <f t="shared" si="215"/>
        <v>0</v>
      </c>
      <c r="CO315" s="1">
        <f t="shared" si="216"/>
        <v>0</v>
      </c>
      <c r="CP315" s="3" t="s">
        <v>162</v>
      </c>
      <c r="CQ315" s="1">
        <f t="shared" si="217"/>
        <v>0</v>
      </c>
      <c r="CR315" s="1">
        <f t="shared" si="218"/>
        <v>0</v>
      </c>
      <c r="CS315" s="1">
        <f t="shared" si="219"/>
        <v>0</v>
      </c>
      <c r="CT315" s="1">
        <f t="shared" si="220"/>
        <v>0</v>
      </c>
      <c r="CU315" s="2">
        <f t="shared" si="221"/>
        <v>0</v>
      </c>
      <c r="CV315" s="14">
        <f t="shared" si="222"/>
        <v>0</v>
      </c>
      <c r="CW315" s="1">
        <f>ROUND(PPTest!K315,1)</f>
        <v>0</v>
      </c>
      <c r="CX315" s="3">
        <f t="shared" si="204"/>
        <v>0</v>
      </c>
      <c r="CY315" s="3">
        <f t="shared" si="223"/>
        <v>0</v>
      </c>
      <c r="CZ315" s="19">
        <f t="shared" si="224"/>
        <v>0</v>
      </c>
      <c r="DA315" s="19" t="e">
        <f t="shared" si="224"/>
        <v>#DIV/0!</v>
      </c>
      <c r="DB315" s="16">
        <f t="shared" si="225"/>
        <v>0</v>
      </c>
    </row>
    <row r="316" spans="1:106" x14ac:dyDescent="0.2">
      <c r="A316" s="15">
        <f t="shared" si="226"/>
        <v>45968</v>
      </c>
      <c r="B316" s="1">
        <v>311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2"/>
      <c r="AZ316" s="14"/>
      <c r="BA316" s="16">
        <v>7.55</v>
      </c>
      <c r="BB316" s="41"/>
      <c r="BC316" s="41"/>
      <c r="BD316" s="8" t="e">
        <f t="shared" si="185"/>
        <v>#DIV/0!</v>
      </c>
      <c r="BE316" s="8"/>
      <c r="BF316" s="2">
        <f t="shared" si="205"/>
        <v>0</v>
      </c>
      <c r="BG316" s="2">
        <f t="shared" si="206"/>
        <v>0</v>
      </c>
      <c r="BH316" s="2">
        <f t="shared" si="207"/>
        <v>0</v>
      </c>
      <c r="BI316" s="35">
        <f t="shared" si="184"/>
        <v>0</v>
      </c>
      <c r="BJ316" s="35" t="e">
        <f t="shared" si="186"/>
        <v>#DIV/0!</v>
      </c>
      <c r="BL316" s="3">
        <f t="shared" si="187"/>
        <v>0</v>
      </c>
      <c r="BM316" s="19" t="e">
        <f t="shared" si="188"/>
        <v>#DIV/0!</v>
      </c>
      <c r="BN316" s="19" t="e">
        <f t="shared" si="189"/>
        <v>#DIV/0!</v>
      </c>
      <c r="BO316" s="19" t="e">
        <f t="shared" si="190"/>
        <v>#DIV/0!</v>
      </c>
      <c r="BP316" s="19" t="e">
        <f t="shared" si="191"/>
        <v>#DIV/0!</v>
      </c>
      <c r="BQ316" s="19" t="e">
        <f t="shared" si="192"/>
        <v>#DIV/0!</v>
      </c>
      <c r="BR316" s="19" t="e">
        <f t="shared" si="193"/>
        <v>#DIV/0!</v>
      </c>
      <c r="BS316" s="19" t="e">
        <f t="shared" si="194"/>
        <v>#DIV/0!</v>
      </c>
      <c r="BT316" s="19" t="e">
        <f t="shared" si="195"/>
        <v>#DIV/0!</v>
      </c>
      <c r="BV316" s="16">
        <f t="shared" si="196"/>
        <v>0</v>
      </c>
      <c r="BW316" s="16">
        <f t="shared" si="197"/>
        <v>0</v>
      </c>
      <c r="BX316" s="3">
        <f t="shared" si="198"/>
        <v>0</v>
      </c>
      <c r="BY316" s="3">
        <f t="shared" si="227"/>
        <v>0</v>
      </c>
      <c r="BZ316" s="3" t="s">
        <v>162</v>
      </c>
      <c r="CA316" s="3">
        <f t="shared" si="199"/>
        <v>0</v>
      </c>
      <c r="CB316" s="3">
        <f t="shared" si="200"/>
        <v>0</v>
      </c>
      <c r="CC316" s="3">
        <f t="shared" si="201"/>
        <v>0</v>
      </c>
      <c r="CD316" s="3">
        <f t="shared" si="202"/>
        <v>0</v>
      </c>
      <c r="CE316" s="22">
        <f t="shared" si="208"/>
        <v>0</v>
      </c>
      <c r="CF316" s="1">
        <f t="shared" si="203"/>
        <v>0</v>
      </c>
      <c r="CG316" s="1">
        <f t="shared" si="209"/>
        <v>0</v>
      </c>
      <c r="CH316" s="3" t="s">
        <v>162</v>
      </c>
      <c r="CI316" s="1">
        <f t="shared" si="210"/>
        <v>0</v>
      </c>
      <c r="CJ316" s="1">
        <f t="shared" si="211"/>
        <v>0</v>
      </c>
      <c r="CK316" s="1">
        <f t="shared" si="212"/>
        <v>0</v>
      </c>
      <c r="CL316" s="1">
        <f t="shared" si="213"/>
        <v>0</v>
      </c>
      <c r="CM316" s="2">
        <f t="shared" si="214"/>
        <v>0</v>
      </c>
      <c r="CN316" s="1">
        <f t="shared" si="215"/>
        <v>0</v>
      </c>
      <c r="CO316" s="1">
        <f t="shared" si="216"/>
        <v>0</v>
      </c>
      <c r="CP316" s="3" t="s">
        <v>162</v>
      </c>
      <c r="CQ316" s="1">
        <f t="shared" si="217"/>
        <v>0</v>
      </c>
      <c r="CR316" s="1">
        <f t="shared" si="218"/>
        <v>0</v>
      </c>
      <c r="CS316" s="1">
        <f t="shared" si="219"/>
        <v>0</v>
      </c>
      <c r="CT316" s="1">
        <f t="shared" si="220"/>
        <v>0</v>
      </c>
      <c r="CU316" s="2">
        <f t="shared" si="221"/>
        <v>0</v>
      </c>
      <c r="CV316" s="14">
        <f t="shared" si="222"/>
        <v>0</v>
      </c>
      <c r="CW316" s="1">
        <f>ROUND(PPTest!K316,1)</f>
        <v>0</v>
      </c>
      <c r="CX316" s="3">
        <f t="shared" si="204"/>
        <v>0</v>
      </c>
      <c r="CY316" s="3">
        <f t="shared" si="223"/>
        <v>0</v>
      </c>
      <c r="CZ316" s="19">
        <f t="shared" si="224"/>
        <v>0</v>
      </c>
      <c r="DA316" s="19" t="e">
        <f t="shared" si="224"/>
        <v>#DIV/0!</v>
      </c>
      <c r="DB316" s="16">
        <f t="shared" si="225"/>
        <v>0</v>
      </c>
    </row>
    <row r="317" spans="1:106" x14ac:dyDescent="0.2">
      <c r="A317" s="15">
        <f t="shared" si="226"/>
        <v>45969</v>
      </c>
      <c r="B317" s="1">
        <v>312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2"/>
      <c r="AZ317" s="14"/>
      <c r="BA317" s="16">
        <v>7.41</v>
      </c>
      <c r="BB317" s="41"/>
      <c r="BC317" s="41"/>
      <c r="BD317" s="8" t="e">
        <f t="shared" si="185"/>
        <v>#DIV/0!</v>
      </c>
      <c r="BE317" s="8"/>
      <c r="BF317" s="2">
        <f t="shared" si="205"/>
        <v>0</v>
      </c>
      <c r="BG317" s="2">
        <f t="shared" si="206"/>
        <v>0</v>
      </c>
      <c r="BH317" s="2">
        <f t="shared" si="207"/>
        <v>0</v>
      </c>
      <c r="BI317" s="35">
        <f t="shared" si="184"/>
        <v>0</v>
      </c>
      <c r="BJ317" s="35" t="e">
        <f t="shared" si="186"/>
        <v>#DIV/0!</v>
      </c>
      <c r="BL317" s="3">
        <f t="shared" si="187"/>
        <v>0</v>
      </c>
      <c r="BM317" s="19" t="e">
        <f t="shared" si="188"/>
        <v>#DIV/0!</v>
      </c>
      <c r="BN317" s="19" t="e">
        <f t="shared" si="189"/>
        <v>#DIV/0!</v>
      </c>
      <c r="BO317" s="19" t="e">
        <f t="shared" si="190"/>
        <v>#DIV/0!</v>
      </c>
      <c r="BP317" s="19" t="e">
        <f t="shared" si="191"/>
        <v>#DIV/0!</v>
      </c>
      <c r="BQ317" s="19" t="e">
        <f t="shared" si="192"/>
        <v>#DIV/0!</v>
      </c>
      <c r="BR317" s="19" t="e">
        <f t="shared" si="193"/>
        <v>#DIV/0!</v>
      </c>
      <c r="BS317" s="19" t="e">
        <f t="shared" si="194"/>
        <v>#DIV/0!</v>
      </c>
      <c r="BT317" s="19" t="e">
        <f t="shared" si="195"/>
        <v>#DIV/0!</v>
      </c>
      <c r="BV317" s="16">
        <f t="shared" si="196"/>
        <v>0</v>
      </c>
      <c r="BW317" s="16">
        <f t="shared" si="197"/>
        <v>0</v>
      </c>
      <c r="BX317" s="3">
        <f t="shared" si="198"/>
        <v>0</v>
      </c>
      <c r="BY317" s="3">
        <f t="shared" si="227"/>
        <v>0</v>
      </c>
      <c r="BZ317" s="3" t="s">
        <v>162</v>
      </c>
      <c r="CA317" s="3">
        <f t="shared" si="199"/>
        <v>0</v>
      </c>
      <c r="CB317" s="3">
        <f t="shared" si="200"/>
        <v>0</v>
      </c>
      <c r="CC317" s="3">
        <f t="shared" si="201"/>
        <v>0</v>
      </c>
      <c r="CD317" s="3">
        <f t="shared" si="202"/>
        <v>0</v>
      </c>
      <c r="CE317" s="22">
        <f t="shared" si="208"/>
        <v>0</v>
      </c>
      <c r="CF317" s="1">
        <f t="shared" si="203"/>
        <v>0</v>
      </c>
      <c r="CG317" s="1">
        <f t="shared" si="209"/>
        <v>0</v>
      </c>
      <c r="CH317" s="3" t="s">
        <v>162</v>
      </c>
      <c r="CI317" s="1">
        <f t="shared" si="210"/>
        <v>0</v>
      </c>
      <c r="CJ317" s="1">
        <f t="shared" si="211"/>
        <v>0</v>
      </c>
      <c r="CK317" s="1">
        <f t="shared" si="212"/>
        <v>0</v>
      </c>
      <c r="CL317" s="1">
        <f t="shared" si="213"/>
        <v>0</v>
      </c>
      <c r="CM317" s="2">
        <f t="shared" si="214"/>
        <v>0</v>
      </c>
      <c r="CN317" s="1">
        <f t="shared" si="215"/>
        <v>0</v>
      </c>
      <c r="CO317" s="1">
        <f t="shared" si="216"/>
        <v>0</v>
      </c>
      <c r="CP317" s="3" t="s">
        <v>162</v>
      </c>
      <c r="CQ317" s="1">
        <f t="shared" si="217"/>
        <v>0</v>
      </c>
      <c r="CR317" s="1">
        <f t="shared" si="218"/>
        <v>0</v>
      </c>
      <c r="CS317" s="1">
        <f t="shared" si="219"/>
        <v>0</v>
      </c>
      <c r="CT317" s="1">
        <f t="shared" si="220"/>
        <v>0</v>
      </c>
      <c r="CU317" s="2">
        <f t="shared" si="221"/>
        <v>0</v>
      </c>
      <c r="CV317" s="14">
        <f t="shared" si="222"/>
        <v>0</v>
      </c>
      <c r="CW317" s="1">
        <f>ROUND(PPTest!K317,1)</f>
        <v>0</v>
      </c>
      <c r="CX317" s="3">
        <f t="shared" si="204"/>
        <v>0</v>
      </c>
      <c r="CY317" s="3">
        <f t="shared" si="223"/>
        <v>0</v>
      </c>
      <c r="CZ317" s="19">
        <f t="shared" si="224"/>
        <v>0</v>
      </c>
      <c r="DA317" s="19" t="e">
        <f t="shared" si="224"/>
        <v>#DIV/0!</v>
      </c>
      <c r="DB317" s="16">
        <f t="shared" si="225"/>
        <v>0</v>
      </c>
    </row>
    <row r="318" spans="1:106" x14ac:dyDescent="0.2">
      <c r="A318" s="15">
        <f t="shared" si="226"/>
        <v>45970</v>
      </c>
      <c r="B318" s="1">
        <v>313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2"/>
      <c r="AZ318" s="14"/>
      <c r="BA318" s="16">
        <v>7.26</v>
      </c>
      <c r="BB318" s="41"/>
      <c r="BC318" s="41"/>
      <c r="BD318" s="8" t="e">
        <f t="shared" si="185"/>
        <v>#DIV/0!</v>
      </c>
      <c r="BE318" s="8"/>
      <c r="BF318" s="2">
        <f t="shared" si="205"/>
        <v>0</v>
      </c>
      <c r="BG318" s="2">
        <f t="shared" si="206"/>
        <v>0</v>
      </c>
      <c r="BH318" s="2">
        <f t="shared" si="207"/>
        <v>0</v>
      </c>
      <c r="BI318" s="35">
        <f t="shared" si="184"/>
        <v>0</v>
      </c>
      <c r="BJ318" s="35" t="e">
        <f t="shared" si="186"/>
        <v>#DIV/0!</v>
      </c>
      <c r="BL318" s="3">
        <f t="shared" si="187"/>
        <v>0</v>
      </c>
      <c r="BM318" s="19" t="e">
        <f t="shared" si="188"/>
        <v>#DIV/0!</v>
      </c>
      <c r="BN318" s="19" t="e">
        <f t="shared" si="189"/>
        <v>#DIV/0!</v>
      </c>
      <c r="BO318" s="19" t="e">
        <f t="shared" si="190"/>
        <v>#DIV/0!</v>
      </c>
      <c r="BP318" s="19" t="e">
        <f t="shared" si="191"/>
        <v>#DIV/0!</v>
      </c>
      <c r="BQ318" s="19" t="e">
        <f t="shared" si="192"/>
        <v>#DIV/0!</v>
      </c>
      <c r="BR318" s="19" t="e">
        <f t="shared" si="193"/>
        <v>#DIV/0!</v>
      </c>
      <c r="BS318" s="19" t="e">
        <f t="shared" si="194"/>
        <v>#DIV/0!</v>
      </c>
      <c r="BT318" s="19" t="e">
        <f t="shared" si="195"/>
        <v>#DIV/0!</v>
      </c>
      <c r="BV318" s="16">
        <f t="shared" si="196"/>
        <v>0</v>
      </c>
      <c r="BW318" s="16">
        <f t="shared" si="197"/>
        <v>0</v>
      </c>
      <c r="BX318" s="3">
        <f t="shared" si="198"/>
        <v>0</v>
      </c>
      <c r="BY318" s="3">
        <f t="shared" si="227"/>
        <v>0</v>
      </c>
      <c r="BZ318" s="3" t="s">
        <v>162</v>
      </c>
      <c r="CA318" s="3">
        <f t="shared" si="199"/>
        <v>0</v>
      </c>
      <c r="CB318" s="3">
        <f t="shared" si="200"/>
        <v>0</v>
      </c>
      <c r="CC318" s="3">
        <f t="shared" si="201"/>
        <v>0</v>
      </c>
      <c r="CD318" s="3">
        <f t="shared" si="202"/>
        <v>0</v>
      </c>
      <c r="CE318" s="22">
        <f t="shared" si="208"/>
        <v>0</v>
      </c>
      <c r="CF318" s="1">
        <f t="shared" si="203"/>
        <v>0</v>
      </c>
      <c r="CG318" s="1">
        <f t="shared" si="209"/>
        <v>0</v>
      </c>
      <c r="CH318" s="3" t="s">
        <v>162</v>
      </c>
      <c r="CI318" s="1">
        <f t="shared" si="210"/>
        <v>0</v>
      </c>
      <c r="CJ318" s="1">
        <f t="shared" si="211"/>
        <v>0</v>
      </c>
      <c r="CK318" s="1">
        <f t="shared" si="212"/>
        <v>0</v>
      </c>
      <c r="CL318" s="1">
        <f t="shared" si="213"/>
        <v>0</v>
      </c>
      <c r="CM318" s="2">
        <f t="shared" si="214"/>
        <v>0</v>
      </c>
      <c r="CN318" s="1">
        <f t="shared" si="215"/>
        <v>0</v>
      </c>
      <c r="CO318" s="1">
        <f t="shared" si="216"/>
        <v>0</v>
      </c>
      <c r="CP318" s="3" t="s">
        <v>162</v>
      </c>
      <c r="CQ318" s="1">
        <f t="shared" si="217"/>
        <v>0</v>
      </c>
      <c r="CR318" s="1">
        <f t="shared" si="218"/>
        <v>0</v>
      </c>
      <c r="CS318" s="1">
        <f t="shared" si="219"/>
        <v>0</v>
      </c>
      <c r="CT318" s="1">
        <f t="shared" si="220"/>
        <v>0</v>
      </c>
      <c r="CU318" s="2">
        <f t="shared" si="221"/>
        <v>0</v>
      </c>
      <c r="CV318" s="14">
        <f t="shared" si="222"/>
        <v>0</v>
      </c>
      <c r="CW318" s="1">
        <f>ROUND(PPTest!K318,1)</f>
        <v>0</v>
      </c>
      <c r="CX318" s="3">
        <f t="shared" si="204"/>
        <v>0</v>
      </c>
      <c r="CY318" s="3">
        <f t="shared" si="223"/>
        <v>0</v>
      </c>
      <c r="CZ318" s="19">
        <f t="shared" si="224"/>
        <v>0</v>
      </c>
      <c r="DA318" s="19" t="e">
        <f t="shared" si="224"/>
        <v>#DIV/0!</v>
      </c>
      <c r="DB318" s="16">
        <f t="shared" si="225"/>
        <v>0</v>
      </c>
    </row>
    <row r="319" spans="1:106" x14ac:dyDescent="0.2">
      <c r="A319" s="15">
        <f t="shared" si="226"/>
        <v>45971</v>
      </c>
      <c r="B319" s="1">
        <v>314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2"/>
      <c r="AZ319" s="14"/>
      <c r="BA319" s="16">
        <v>7.12</v>
      </c>
      <c r="BB319" s="41"/>
      <c r="BC319" s="41"/>
      <c r="BD319" s="8" t="e">
        <f t="shared" si="185"/>
        <v>#DIV/0!</v>
      </c>
      <c r="BE319" s="8"/>
      <c r="BF319" s="2">
        <f t="shared" si="205"/>
        <v>0</v>
      </c>
      <c r="BG319" s="2">
        <f t="shared" si="206"/>
        <v>0</v>
      </c>
      <c r="BH319" s="2">
        <f t="shared" si="207"/>
        <v>0</v>
      </c>
      <c r="BI319" s="35">
        <f t="shared" si="184"/>
        <v>0</v>
      </c>
      <c r="BJ319" s="35" t="e">
        <f t="shared" si="186"/>
        <v>#DIV/0!</v>
      </c>
      <c r="BL319" s="3">
        <f t="shared" si="187"/>
        <v>0</v>
      </c>
      <c r="BM319" s="19" t="e">
        <f t="shared" si="188"/>
        <v>#DIV/0!</v>
      </c>
      <c r="BN319" s="19" t="e">
        <f t="shared" si="189"/>
        <v>#DIV/0!</v>
      </c>
      <c r="BO319" s="19" t="e">
        <f t="shared" si="190"/>
        <v>#DIV/0!</v>
      </c>
      <c r="BP319" s="19" t="e">
        <f t="shared" si="191"/>
        <v>#DIV/0!</v>
      </c>
      <c r="BQ319" s="19" t="e">
        <f t="shared" si="192"/>
        <v>#DIV/0!</v>
      </c>
      <c r="BR319" s="19" t="e">
        <f t="shared" si="193"/>
        <v>#DIV/0!</v>
      </c>
      <c r="BS319" s="19" t="e">
        <f t="shared" si="194"/>
        <v>#DIV/0!</v>
      </c>
      <c r="BT319" s="19" t="e">
        <f t="shared" si="195"/>
        <v>#DIV/0!</v>
      </c>
      <c r="BV319" s="16">
        <f t="shared" si="196"/>
        <v>0</v>
      </c>
      <c r="BW319" s="16">
        <f t="shared" si="197"/>
        <v>0</v>
      </c>
      <c r="BX319" s="3">
        <f t="shared" si="198"/>
        <v>0</v>
      </c>
      <c r="BY319" s="3">
        <f t="shared" si="227"/>
        <v>0</v>
      </c>
      <c r="BZ319" s="3" t="s">
        <v>162</v>
      </c>
      <c r="CA319" s="3">
        <f t="shared" si="199"/>
        <v>0</v>
      </c>
      <c r="CB319" s="3">
        <f t="shared" si="200"/>
        <v>0</v>
      </c>
      <c r="CC319" s="3">
        <f t="shared" si="201"/>
        <v>0</v>
      </c>
      <c r="CD319" s="3">
        <f t="shared" si="202"/>
        <v>0</v>
      </c>
      <c r="CE319" s="22">
        <f t="shared" si="208"/>
        <v>0</v>
      </c>
      <c r="CF319" s="1">
        <f t="shared" si="203"/>
        <v>0</v>
      </c>
      <c r="CG319" s="1">
        <f t="shared" si="209"/>
        <v>0</v>
      </c>
      <c r="CH319" s="3" t="s">
        <v>162</v>
      </c>
      <c r="CI319" s="1">
        <f t="shared" si="210"/>
        <v>0</v>
      </c>
      <c r="CJ319" s="1">
        <f t="shared" si="211"/>
        <v>0</v>
      </c>
      <c r="CK319" s="1">
        <f t="shared" si="212"/>
        <v>0</v>
      </c>
      <c r="CL319" s="1">
        <f t="shared" si="213"/>
        <v>0</v>
      </c>
      <c r="CM319" s="2">
        <f t="shared" si="214"/>
        <v>0</v>
      </c>
      <c r="CN319" s="1">
        <f t="shared" si="215"/>
        <v>0</v>
      </c>
      <c r="CO319" s="1">
        <f t="shared" si="216"/>
        <v>0</v>
      </c>
      <c r="CP319" s="3" t="s">
        <v>162</v>
      </c>
      <c r="CQ319" s="1">
        <f t="shared" si="217"/>
        <v>0</v>
      </c>
      <c r="CR319" s="1">
        <f t="shared" si="218"/>
        <v>0</v>
      </c>
      <c r="CS319" s="1">
        <f t="shared" si="219"/>
        <v>0</v>
      </c>
      <c r="CT319" s="1">
        <f t="shared" si="220"/>
        <v>0</v>
      </c>
      <c r="CU319" s="2">
        <f t="shared" si="221"/>
        <v>0</v>
      </c>
      <c r="CV319" s="14">
        <f t="shared" si="222"/>
        <v>0</v>
      </c>
      <c r="CW319" s="1">
        <f>ROUND(PPTest!K319,1)</f>
        <v>0</v>
      </c>
      <c r="CX319" s="3">
        <f t="shared" si="204"/>
        <v>0</v>
      </c>
      <c r="CY319" s="3">
        <f t="shared" si="223"/>
        <v>0</v>
      </c>
      <c r="CZ319" s="19">
        <f t="shared" si="224"/>
        <v>0</v>
      </c>
      <c r="DA319" s="19" t="e">
        <f t="shared" si="224"/>
        <v>#DIV/0!</v>
      </c>
      <c r="DB319" s="16">
        <f t="shared" si="225"/>
        <v>0</v>
      </c>
    </row>
    <row r="320" spans="1:106" x14ac:dyDescent="0.2">
      <c r="A320" s="15">
        <f t="shared" si="226"/>
        <v>45972</v>
      </c>
      <c r="B320" s="1">
        <v>315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2"/>
      <c r="AZ320" s="14"/>
      <c r="BA320" s="16">
        <v>6.99</v>
      </c>
      <c r="BB320" s="41"/>
      <c r="BC320" s="41"/>
      <c r="BD320" s="8" t="e">
        <f t="shared" si="185"/>
        <v>#DIV/0!</v>
      </c>
      <c r="BE320" s="8"/>
      <c r="BF320" s="2">
        <f t="shared" si="205"/>
        <v>0</v>
      </c>
      <c r="BG320" s="2">
        <f t="shared" si="206"/>
        <v>0</v>
      </c>
      <c r="BH320" s="2">
        <f t="shared" si="207"/>
        <v>0</v>
      </c>
      <c r="BI320" s="35">
        <f t="shared" si="184"/>
        <v>0</v>
      </c>
      <c r="BJ320" s="35" t="e">
        <f t="shared" si="186"/>
        <v>#DIV/0!</v>
      </c>
      <c r="BL320" s="3">
        <f t="shared" si="187"/>
        <v>0</v>
      </c>
      <c r="BM320" s="19" t="e">
        <f t="shared" si="188"/>
        <v>#DIV/0!</v>
      </c>
      <c r="BN320" s="19" t="e">
        <f t="shared" si="189"/>
        <v>#DIV/0!</v>
      </c>
      <c r="BO320" s="19" t="e">
        <f t="shared" si="190"/>
        <v>#DIV/0!</v>
      </c>
      <c r="BP320" s="19" t="e">
        <f t="shared" si="191"/>
        <v>#DIV/0!</v>
      </c>
      <c r="BQ320" s="19" t="e">
        <f t="shared" si="192"/>
        <v>#DIV/0!</v>
      </c>
      <c r="BR320" s="19" t="e">
        <f t="shared" si="193"/>
        <v>#DIV/0!</v>
      </c>
      <c r="BS320" s="19" t="e">
        <f t="shared" si="194"/>
        <v>#DIV/0!</v>
      </c>
      <c r="BT320" s="19" t="e">
        <f t="shared" si="195"/>
        <v>#DIV/0!</v>
      </c>
      <c r="BV320" s="16">
        <f t="shared" si="196"/>
        <v>0</v>
      </c>
      <c r="BW320" s="16">
        <f t="shared" si="197"/>
        <v>0</v>
      </c>
      <c r="BX320" s="3">
        <f t="shared" si="198"/>
        <v>0</v>
      </c>
      <c r="BY320" s="3">
        <f t="shared" si="227"/>
        <v>0</v>
      </c>
      <c r="BZ320" s="3" t="s">
        <v>162</v>
      </c>
      <c r="CA320" s="3">
        <f t="shared" si="199"/>
        <v>0</v>
      </c>
      <c r="CB320" s="3">
        <f t="shared" si="200"/>
        <v>0</v>
      </c>
      <c r="CC320" s="3">
        <f t="shared" si="201"/>
        <v>0</v>
      </c>
      <c r="CD320" s="3">
        <f t="shared" si="202"/>
        <v>0</v>
      </c>
      <c r="CE320" s="22">
        <f t="shared" si="208"/>
        <v>0</v>
      </c>
      <c r="CF320" s="1">
        <f t="shared" si="203"/>
        <v>0</v>
      </c>
      <c r="CG320" s="1">
        <f t="shared" si="209"/>
        <v>0</v>
      </c>
      <c r="CH320" s="3" t="s">
        <v>162</v>
      </c>
      <c r="CI320" s="1">
        <f t="shared" si="210"/>
        <v>0</v>
      </c>
      <c r="CJ320" s="1">
        <f t="shared" si="211"/>
        <v>0</v>
      </c>
      <c r="CK320" s="1">
        <f t="shared" si="212"/>
        <v>0</v>
      </c>
      <c r="CL320" s="1">
        <f t="shared" si="213"/>
        <v>0</v>
      </c>
      <c r="CM320" s="2">
        <f t="shared" si="214"/>
        <v>0</v>
      </c>
      <c r="CN320" s="1">
        <f t="shared" si="215"/>
        <v>0</v>
      </c>
      <c r="CO320" s="1">
        <f t="shared" si="216"/>
        <v>0</v>
      </c>
      <c r="CP320" s="3" t="s">
        <v>162</v>
      </c>
      <c r="CQ320" s="1">
        <f t="shared" si="217"/>
        <v>0</v>
      </c>
      <c r="CR320" s="1">
        <f t="shared" si="218"/>
        <v>0</v>
      </c>
      <c r="CS320" s="1">
        <f t="shared" si="219"/>
        <v>0</v>
      </c>
      <c r="CT320" s="1">
        <f t="shared" si="220"/>
        <v>0</v>
      </c>
      <c r="CU320" s="2">
        <f t="shared" si="221"/>
        <v>0</v>
      </c>
      <c r="CV320" s="14">
        <f t="shared" si="222"/>
        <v>0</v>
      </c>
      <c r="CW320" s="1">
        <f>ROUND(PPTest!K320,1)</f>
        <v>0</v>
      </c>
      <c r="CX320" s="3">
        <f t="shared" si="204"/>
        <v>0</v>
      </c>
      <c r="CY320" s="3">
        <f t="shared" si="223"/>
        <v>0</v>
      </c>
      <c r="CZ320" s="19">
        <f t="shared" si="224"/>
        <v>0</v>
      </c>
      <c r="DA320" s="19" t="e">
        <f t="shared" si="224"/>
        <v>#DIV/0!</v>
      </c>
      <c r="DB320" s="16">
        <f t="shared" si="225"/>
        <v>0</v>
      </c>
    </row>
    <row r="321" spans="1:106" x14ac:dyDescent="0.2">
      <c r="A321" s="15">
        <f t="shared" si="226"/>
        <v>45973</v>
      </c>
      <c r="B321" s="1">
        <v>316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2"/>
      <c r="AZ321" s="14"/>
      <c r="BA321" s="16">
        <v>6.85</v>
      </c>
      <c r="BB321" s="41"/>
      <c r="BC321" s="41"/>
      <c r="BD321" s="8" t="e">
        <f t="shared" si="185"/>
        <v>#DIV/0!</v>
      </c>
      <c r="BE321" s="8"/>
      <c r="BF321" s="2">
        <f t="shared" si="205"/>
        <v>0</v>
      </c>
      <c r="BG321" s="2">
        <f t="shared" si="206"/>
        <v>0</v>
      </c>
      <c r="BH321" s="2">
        <f t="shared" si="207"/>
        <v>0</v>
      </c>
      <c r="BI321" s="35">
        <f t="shared" si="184"/>
        <v>0</v>
      </c>
      <c r="BJ321" s="35" t="e">
        <f t="shared" si="186"/>
        <v>#DIV/0!</v>
      </c>
      <c r="BL321" s="3">
        <f t="shared" si="187"/>
        <v>0</v>
      </c>
      <c r="BM321" s="19" t="e">
        <f t="shared" si="188"/>
        <v>#DIV/0!</v>
      </c>
      <c r="BN321" s="19" t="e">
        <f t="shared" si="189"/>
        <v>#DIV/0!</v>
      </c>
      <c r="BO321" s="19" t="e">
        <f t="shared" si="190"/>
        <v>#DIV/0!</v>
      </c>
      <c r="BP321" s="19" t="e">
        <f t="shared" si="191"/>
        <v>#DIV/0!</v>
      </c>
      <c r="BQ321" s="19" t="e">
        <f t="shared" si="192"/>
        <v>#DIV/0!</v>
      </c>
      <c r="BR321" s="19" t="e">
        <f t="shared" si="193"/>
        <v>#DIV/0!</v>
      </c>
      <c r="BS321" s="19" t="e">
        <f t="shared" si="194"/>
        <v>#DIV/0!</v>
      </c>
      <c r="BT321" s="19" t="e">
        <f t="shared" si="195"/>
        <v>#DIV/0!</v>
      </c>
      <c r="BV321" s="16">
        <f t="shared" si="196"/>
        <v>0</v>
      </c>
      <c r="BW321" s="16">
        <f t="shared" si="197"/>
        <v>0</v>
      </c>
      <c r="BX321" s="3">
        <f t="shared" si="198"/>
        <v>0</v>
      </c>
      <c r="BY321" s="3">
        <f t="shared" si="227"/>
        <v>0</v>
      </c>
      <c r="BZ321" s="3" t="s">
        <v>162</v>
      </c>
      <c r="CA321" s="3">
        <f t="shared" si="199"/>
        <v>0</v>
      </c>
      <c r="CB321" s="3">
        <f t="shared" si="200"/>
        <v>0</v>
      </c>
      <c r="CC321" s="3">
        <f t="shared" si="201"/>
        <v>0</v>
      </c>
      <c r="CD321" s="3">
        <f t="shared" si="202"/>
        <v>0</v>
      </c>
      <c r="CE321" s="22">
        <f t="shared" si="208"/>
        <v>0</v>
      </c>
      <c r="CF321" s="1">
        <f t="shared" si="203"/>
        <v>0</v>
      </c>
      <c r="CG321" s="1">
        <f t="shared" si="209"/>
        <v>0</v>
      </c>
      <c r="CH321" s="3" t="s">
        <v>162</v>
      </c>
      <c r="CI321" s="1">
        <f t="shared" si="210"/>
        <v>0</v>
      </c>
      <c r="CJ321" s="1">
        <f t="shared" si="211"/>
        <v>0</v>
      </c>
      <c r="CK321" s="1">
        <f t="shared" si="212"/>
        <v>0</v>
      </c>
      <c r="CL321" s="1">
        <f t="shared" si="213"/>
        <v>0</v>
      </c>
      <c r="CM321" s="2">
        <f t="shared" si="214"/>
        <v>0</v>
      </c>
      <c r="CN321" s="1">
        <f t="shared" si="215"/>
        <v>0</v>
      </c>
      <c r="CO321" s="1">
        <f t="shared" si="216"/>
        <v>0</v>
      </c>
      <c r="CP321" s="3" t="s">
        <v>162</v>
      </c>
      <c r="CQ321" s="1">
        <f t="shared" si="217"/>
        <v>0</v>
      </c>
      <c r="CR321" s="1">
        <f t="shared" si="218"/>
        <v>0</v>
      </c>
      <c r="CS321" s="1">
        <f t="shared" si="219"/>
        <v>0</v>
      </c>
      <c r="CT321" s="1">
        <f t="shared" si="220"/>
        <v>0</v>
      </c>
      <c r="CU321" s="2">
        <f t="shared" si="221"/>
        <v>0</v>
      </c>
      <c r="CV321" s="14">
        <f t="shared" si="222"/>
        <v>0</v>
      </c>
      <c r="CW321" s="1">
        <f>ROUND(PPTest!K321,1)</f>
        <v>0</v>
      </c>
      <c r="CX321" s="3">
        <f t="shared" si="204"/>
        <v>0</v>
      </c>
      <c r="CY321" s="3">
        <f t="shared" si="223"/>
        <v>0</v>
      </c>
      <c r="CZ321" s="19">
        <f t="shared" si="224"/>
        <v>0</v>
      </c>
      <c r="DA321" s="19" t="e">
        <f t="shared" si="224"/>
        <v>#DIV/0!</v>
      </c>
      <c r="DB321" s="16">
        <f t="shared" si="225"/>
        <v>0</v>
      </c>
    </row>
    <row r="322" spans="1:106" x14ac:dyDescent="0.2">
      <c r="A322" s="15">
        <f t="shared" si="226"/>
        <v>45974</v>
      </c>
      <c r="B322" s="1">
        <v>317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2"/>
      <c r="AZ322" s="14"/>
      <c r="BA322" s="16">
        <v>6.72</v>
      </c>
      <c r="BB322" s="41"/>
      <c r="BC322" s="41"/>
      <c r="BD322" s="8" t="e">
        <f t="shared" si="185"/>
        <v>#DIV/0!</v>
      </c>
      <c r="BE322" s="8"/>
      <c r="BF322" s="2">
        <f t="shared" si="205"/>
        <v>0</v>
      </c>
      <c r="BG322" s="2">
        <f t="shared" si="206"/>
        <v>0</v>
      </c>
      <c r="BH322" s="2">
        <f t="shared" si="207"/>
        <v>0</v>
      </c>
      <c r="BI322" s="35">
        <f t="shared" si="184"/>
        <v>0</v>
      </c>
      <c r="BJ322" s="35" t="e">
        <f t="shared" si="186"/>
        <v>#DIV/0!</v>
      </c>
      <c r="BL322" s="3">
        <f t="shared" si="187"/>
        <v>0</v>
      </c>
      <c r="BM322" s="19" t="e">
        <f t="shared" si="188"/>
        <v>#DIV/0!</v>
      </c>
      <c r="BN322" s="19" t="e">
        <f t="shared" si="189"/>
        <v>#DIV/0!</v>
      </c>
      <c r="BO322" s="19" t="e">
        <f t="shared" si="190"/>
        <v>#DIV/0!</v>
      </c>
      <c r="BP322" s="19" t="e">
        <f t="shared" si="191"/>
        <v>#DIV/0!</v>
      </c>
      <c r="BQ322" s="19" t="e">
        <f t="shared" si="192"/>
        <v>#DIV/0!</v>
      </c>
      <c r="BR322" s="19" t="e">
        <f t="shared" si="193"/>
        <v>#DIV/0!</v>
      </c>
      <c r="BS322" s="19" t="e">
        <f t="shared" si="194"/>
        <v>#DIV/0!</v>
      </c>
      <c r="BT322" s="19" t="e">
        <f t="shared" si="195"/>
        <v>#DIV/0!</v>
      </c>
      <c r="BV322" s="16">
        <f t="shared" si="196"/>
        <v>0</v>
      </c>
      <c r="BW322" s="16">
        <f t="shared" si="197"/>
        <v>0</v>
      </c>
      <c r="BX322" s="3">
        <f t="shared" si="198"/>
        <v>0</v>
      </c>
      <c r="BY322" s="3">
        <f t="shared" si="227"/>
        <v>0</v>
      </c>
      <c r="BZ322" s="3" t="s">
        <v>162</v>
      </c>
      <c r="CA322" s="3">
        <f t="shared" si="199"/>
        <v>0</v>
      </c>
      <c r="CB322" s="3">
        <f t="shared" si="200"/>
        <v>0</v>
      </c>
      <c r="CC322" s="3">
        <f t="shared" si="201"/>
        <v>0</v>
      </c>
      <c r="CD322" s="3">
        <f t="shared" si="202"/>
        <v>0</v>
      </c>
      <c r="CE322" s="22">
        <f t="shared" si="208"/>
        <v>0</v>
      </c>
      <c r="CF322" s="1">
        <f t="shared" si="203"/>
        <v>0</v>
      </c>
      <c r="CG322" s="1">
        <f t="shared" si="209"/>
        <v>0</v>
      </c>
      <c r="CH322" s="3" t="s">
        <v>162</v>
      </c>
      <c r="CI322" s="1">
        <f t="shared" si="210"/>
        <v>0</v>
      </c>
      <c r="CJ322" s="1">
        <f t="shared" si="211"/>
        <v>0</v>
      </c>
      <c r="CK322" s="1">
        <f t="shared" si="212"/>
        <v>0</v>
      </c>
      <c r="CL322" s="1">
        <f t="shared" si="213"/>
        <v>0</v>
      </c>
      <c r="CM322" s="2">
        <f t="shared" si="214"/>
        <v>0</v>
      </c>
      <c r="CN322" s="1">
        <f t="shared" si="215"/>
        <v>0</v>
      </c>
      <c r="CO322" s="1">
        <f t="shared" si="216"/>
        <v>0</v>
      </c>
      <c r="CP322" s="3" t="s">
        <v>162</v>
      </c>
      <c r="CQ322" s="1">
        <f t="shared" si="217"/>
        <v>0</v>
      </c>
      <c r="CR322" s="1">
        <f t="shared" si="218"/>
        <v>0</v>
      </c>
      <c r="CS322" s="1">
        <f t="shared" si="219"/>
        <v>0</v>
      </c>
      <c r="CT322" s="1">
        <f t="shared" si="220"/>
        <v>0</v>
      </c>
      <c r="CU322" s="2">
        <f t="shared" si="221"/>
        <v>0</v>
      </c>
      <c r="CV322" s="14">
        <f t="shared" si="222"/>
        <v>0</v>
      </c>
      <c r="CW322" s="1">
        <f>ROUND(PPTest!K322,1)</f>
        <v>0</v>
      </c>
      <c r="CX322" s="3">
        <f t="shared" si="204"/>
        <v>0</v>
      </c>
      <c r="CY322" s="3">
        <f t="shared" si="223"/>
        <v>0</v>
      </c>
      <c r="CZ322" s="19">
        <f t="shared" si="224"/>
        <v>0</v>
      </c>
      <c r="DA322" s="19" t="e">
        <f t="shared" si="224"/>
        <v>#DIV/0!</v>
      </c>
      <c r="DB322" s="16">
        <f t="shared" si="225"/>
        <v>0</v>
      </c>
    </row>
    <row r="323" spans="1:106" x14ac:dyDescent="0.2">
      <c r="A323" s="15">
        <f t="shared" si="226"/>
        <v>45975</v>
      </c>
      <c r="B323" s="1">
        <v>318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2"/>
      <c r="AZ323" s="14"/>
      <c r="BA323" s="16">
        <v>6.59</v>
      </c>
      <c r="BB323" s="41"/>
      <c r="BC323" s="41"/>
      <c r="BD323" s="8" t="e">
        <f t="shared" si="185"/>
        <v>#DIV/0!</v>
      </c>
      <c r="BE323" s="8"/>
      <c r="BF323" s="2">
        <f t="shared" si="205"/>
        <v>0</v>
      </c>
      <c r="BG323" s="2">
        <f t="shared" si="206"/>
        <v>0</v>
      </c>
      <c r="BH323" s="2">
        <f t="shared" si="207"/>
        <v>0</v>
      </c>
      <c r="BI323" s="35">
        <f t="shared" si="184"/>
        <v>0</v>
      </c>
      <c r="BJ323" s="35" t="e">
        <f t="shared" si="186"/>
        <v>#DIV/0!</v>
      </c>
      <c r="BL323" s="3">
        <f t="shared" si="187"/>
        <v>0</v>
      </c>
      <c r="BM323" s="19" t="e">
        <f t="shared" si="188"/>
        <v>#DIV/0!</v>
      </c>
      <c r="BN323" s="19" t="e">
        <f t="shared" si="189"/>
        <v>#DIV/0!</v>
      </c>
      <c r="BO323" s="19" t="e">
        <f t="shared" si="190"/>
        <v>#DIV/0!</v>
      </c>
      <c r="BP323" s="19" t="e">
        <f t="shared" si="191"/>
        <v>#DIV/0!</v>
      </c>
      <c r="BQ323" s="19" t="e">
        <f t="shared" si="192"/>
        <v>#DIV/0!</v>
      </c>
      <c r="BR323" s="19" t="e">
        <f t="shared" si="193"/>
        <v>#DIV/0!</v>
      </c>
      <c r="BS323" s="19" t="e">
        <f t="shared" si="194"/>
        <v>#DIV/0!</v>
      </c>
      <c r="BT323" s="19" t="e">
        <f t="shared" si="195"/>
        <v>#DIV/0!</v>
      </c>
      <c r="BV323" s="16">
        <f t="shared" si="196"/>
        <v>0</v>
      </c>
      <c r="BW323" s="16">
        <f t="shared" si="197"/>
        <v>0</v>
      </c>
      <c r="BX323" s="3">
        <f t="shared" si="198"/>
        <v>0</v>
      </c>
      <c r="BY323" s="3">
        <f t="shared" si="227"/>
        <v>0</v>
      </c>
      <c r="BZ323" s="3" t="s">
        <v>162</v>
      </c>
      <c r="CA323" s="3">
        <f t="shared" si="199"/>
        <v>0</v>
      </c>
      <c r="CB323" s="3">
        <f t="shared" si="200"/>
        <v>0</v>
      </c>
      <c r="CC323" s="3">
        <f t="shared" si="201"/>
        <v>0</v>
      </c>
      <c r="CD323" s="3">
        <f t="shared" si="202"/>
        <v>0</v>
      </c>
      <c r="CE323" s="22">
        <f t="shared" si="208"/>
        <v>0</v>
      </c>
      <c r="CF323" s="1">
        <f t="shared" si="203"/>
        <v>0</v>
      </c>
      <c r="CG323" s="1">
        <f t="shared" si="209"/>
        <v>0</v>
      </c>
      <c r="CH323" s="3" t="s">
        <v>162</v>
      </c>
      <c r="CI323" s="1">
        <f t="shared" si="210"/>
        <v>0</v>
      </c>
      <c r="CJ323" s="1">
        <f t="shared" si="211"/>
        <v>0</v>
      </c>
      <c r="CK323" s="1">
        <f t="shared" si="212"/>
        <v>0</v>
      </c>
      <c r="CL323" s="1">
        <f t="shared" si="213"/>
        <v>0</v>
      </c>
      <c r="CM323" s="2">
        <f t="shared" si="214"/>
        <v>0</v>
      </c>
      <c r="CN323" s="1">
        <f t="shared" si="215"/>
        <v>0</v>
      </c>
      <c r="CO323" s="1">
        <f t="shared" si="216"/>
        <v>0</v>
      </c>
      <c r="CP323" s="3" t="s">
        <v>162</v>
      </c>
      <c r="CQ323" s="1">
        <f t="shared" si="217"/>
        <v>0</v>
      </c>
      <c r="CR323" s="1">
        <f t="shared" si="218"/>
        <v>0</v>
      </c>
      <c r="CS323" s="1">
        <f t="shared" si="219"/>
        <v>0</v>
      </c>
      <c r="CT323" s="1">
        <f t="shared" si="220"/>
        <v>0</v>
      </c>
      <c r="CU323" s="2">
        <f t="shared" si="221"/>
        <v>0</v>
      </c>
      <c r="CV323" s="14">
        <f t="shared" si="222"/>
        <v>0</v>
      </c>
      <c r="CW323" s="1">
        <f>ROUND(PPTest!K323,1)</f>
        <v>0</v>
      </c>
      <c r="CX323" s="3">
        <f t="shared" si="204"/>
        <v>0</v>
      </c>
      <c r="CY323" s="3">
        <f t="shared" si="223"/>
        <v>0</v>
      </c>
      <c r="CZ323" s="19">
        <f t="shared" si="224"/>
        <v>0</v>
      </c>
      <c r="DA323" s="19" t="e">
        <f t="shared" si="224"/>
        <v>#DIV/0!</v>
      </c>
      <c r="DB323" s="16">
        <f t="shared" si="225"/>
        <v>0</v>
      </c>
    </row>
    <row r="324" spans="1:106" x14ac:dyDescent="0.2">
      <c r="A324" s="15">
        <f t="shared" si="226"/>
        <v>45976</v>
      </c>
      <c r="B324" s="1">
        <v>319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2"/>
      <c r="AZ324" s="14"/>
      <c r="BA324" s="16">
        <v>6.47</v>
      </c>
      <c r="BB324" s="41"/>
      <c r="BC324" s="41"/>
      <c r="BD324" s="8" t="e">
        <f t="shared" si="185"/>
        <v>#DIV/0!</v>
      </c>
      <c r="BE324" s="8"/>
      <c r="BF324" s="2">
        <f t="shared" si="205"/>
        <v>0</v>
      </c>
      <c r="BG324" s="2">
        <f t="shared" si="206"/>
        <v>0</v>
      </c>
      <c r="BH324" s="2">
        <f t="shared" si="207"/>
        <v>0</v>
      </c>
      <c r="BI324" s="35">
        <f t="shared" si="184"/>
        <v>0</v>
      </c>
      <c r="BJ324" s="35" t="e">
        <f t="shared" si="186"/>
        <v>#DIV/0!</v>
      </c>
      <c r="BL324" s="3">
        <f t="shared" si="187"/>
        <v>0</v>
      </c>
      <c r="BM324" s="19" t="e">
        <f t="shared" si="188"/>
        <v>#DIV/0!</v>
      </c>
      <c r="BN324" s="19" t="e">
        <f t="shared" si="189"/>
        <v>#DIV/0!</v>
      </c>
      <c r="BO324" s="19" t="e">
        <f t="shared" si="190"/>
        <v>#DIV/0!</v>
      </c>
      <c r="BP324" s="19" t="e">
        <f t="shared" si="191"/>
        <v>#DIV/0!</v>
      </c>
      <c r="BQ324" s="19" t="e">
        <f t="shared" si="192"/>
        <v>#DIV/0!</v>
      </c>
      <c r="BR324" s="19" t="e">
        <f t="shared" si="193"/>
        <v>#DIV/0!</v>
      </c>
      <c r="BS324" s="19" t="e">
        <f t="shared" si="194"/>
        <v>#DIV/0!</v>
      </c>
      <c r="BT324" s="19" t="e">
        <f t="shared" si="195"/>
        <v>#DIV/0!</v>
      </c>
      <c r="BV324" s="16">
        <f t="shared" si="196"/>
        <v>0</v>
      </c>
      <c r="BW324" s="16">
        <f t="shared" si="197"/>
        <v>0</v>
      </c>
      <c r="BX324" s="3">
        <f t="shared" si="198"/>
        <v>0</v>
      </c>
      <c r="BY324" s="3">
        <f t="shared" si="227"/>
        <v>0</v>
      </c>
      <c r="BZ324" s="3" t="s">
        <v>162</v>
      </c>
      <c r="CA324" s="3">
        <f t="shared" si="199"/>
        <v>0</v>
      </c>
      <c r="CB324" s="3">
        <f t="shared" si="200"/>
        <v>0</v>
      </c>
      <c r="CC324" s="3">
        <f t="shared" si="201"/>
        <v>0</v>
      </c>
      <c r="CD324" s="3">
        <f t="shared" si="202"/>
        <v>0</v>
      </c>
      <c r="CE324" s="22">
        <f t="shared" si="208"/>
        <v>0</v>
      </c>
      <c r="CF324" s="1">
        <f t="shared" si="203"/>
        <v>0</v>
      </c>
      <c r="CG324" s="1">
        <f t="shared" si="209"/>
        <v>0</v>
      </c>
      <c r="CH324" s="3" t="s">
        <v>162</v>
      </c>
      <c r="CI324" s="1">
        <f t="shared" si="210"/>
        <v>0</v>
      </c>
      <c r="CJ324" s="1">
        <f t="shared" si="211"/>
        <v>0</v>
      </c>
      <c r="CK324" s="1">
        <f t="shared" si="212"/>
        <v>0</v>
      </c>
      <c r="CL324" s="1">
        <f t="shared" si="213"/>
        <v>0</v>
      </c>
      <c r="CM324" s="2">
        <f t="shared" si="214"/>
        <v>0</v>
      </c>
      <c r="CN324" s="1">
        <f t="shared" si="215"/>
        <v>0</v>
      </c>
      <c r="CO324" s="1">
        <f t="shared" si="216"/>
        <v>0</v>
      </c>
      <c r="CP324" s="3" t="s">
        <v>162</v>
      </c>
      <c r="CQ324" s="1">
        <f t="shared" si="217"/>
        <v>0</v>
      </c>
      <c r="CR324" s="1">
        <f t="shared" si="218"/>
        <v>0</v>
      </c>
      <c r="CS324" s="1">
        <f t="shared" si="219"/>
        <v>0</v>
      </c>
      <c r="CT324" s="1">
        <f t="shared" si="220"/>
        <v>0</v>
      </c>
      <c r="CU324" s="2">
        <f t="shared" si="221"/>
        <v>0</v>
      </c>
      <c r="CV324" s="14">
        <f t="shared" si="222"/>
        <v>0</v>
      </c>
      <c r="CW324" s="1">
        <f>ROUND(PPTest!K324,1)</f>
        <v>0</v>
      </c>
      <c r="CX324" s="3">
        <f t="shared" si="204"/>
        <v>0</v>
      </c>
      <c r="CY324" s="3">
        <f t="shared" si="223"/>
        <v>0</v>
      </c>
      <c r="CZ324" s="19">
        <f t="shared" si="224"/>
        <v>0</v>
      </c>
      <c r="DA324" s="19" t="e">
        <f t="shared" si="224"/>
        <v>#DIV/0!</v>
      </c>
      <c r="DB324" s="16">
        <f t="shared" si="225"/>
        <v>0</v>
      </c>
    </row>
    <row r="325" spans="1:106" x14ac:dyDescent="0.2">
      <c r="A325" s="15">
        <f t="shared" si="226"/>
        <v>45977</v>
      </c>
      <c r="B325" s="1">
        <v>320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2"/>
      <c r="AZ325" s="14"/>
      <c r="BA325" s="16">
        <v>6.35</v>
      </c>
      <c r="BB325" s="41"/>
      <c r="BC325" s="41"/>
      <c r="BD325" s="8" t="e">
        <f t="shared" si="185"/>
        <v>#DIV/0!</v>
      </c>
      <c r="BE325" s="8"/>
      <c r="BF325" s="2">
        <f t="shared" si="205"/>
        <v>0</v>
      </c>
      <c r="BG325" s="2">
        <f t="shared" si="206"/>
        <v>0</v>
      </c>
      <c r="BH325" s="2">
        <f t="shared" si="207"/>
        <v>0</v>
      </c>
      <c r="BI325" s="35">
        <f t="shared" ref="BI325:BI370" si="228">ROUND((0.6105*(EXP((17.273*P325)/(P325+237.3))))*BH325/100,3)</f>
        <v>0</v>
      </c>
      <c r="BJ325" s="35" t="e">
        <f t="shared" si="186"/>
        <v>#DIV/0!</v>
      </c>
      <c r="BL325" s="3">
        <f t="shared" si="187"/>
        <v>0</v>
      </c>
      <c r="BM325" s="19" t="e">
        <f t="shared" si="188"/>
        <v>#DIV/0!</v>
      </c>
      <c r="BN325" s="19" t="e">
        <f t="shared" si="189"/>
        <v>#DIV/0!</v>
      </c>
      <c r="BO325" s="19" t="e">
        <f t="shared" si="190"/>
        <v>#DIV/0!</v>
      </c>
      <c r="BP325" s="19" t="e">
        <f t="shared" si="191"/>
        <v>#DIV/0!</v>
      </c>
      <c r="BQ325" s="19" t="e">
        <f t="shared" si="192"/>
        <v>#DIV/0!</v>
      </c>
      <c r="BR325" s="19" t="e">
        <f t="shared" si="193"/>
        <v>#DIV/0!</v>
      </c>
      <c r="BS325" s="19" t="e">
        <f t="shared" si="194"/>
        <v>#DIV/0!</v>
      </c>
      <c r="BT325" s="19" t="e">
        <f t="shared" si="195"/>
        <v>#DIV/0!</v>
      </c>
      <c r="BV325" s="16">
        <f t="shared" si="196"/>
        <v>0</v>
      </c>
      <c r="BW325" s="16">
        <f t="shared" si="197"/>
        <v>0</v>
      </c>
      <c r="BX325" s="3">
        <f t="shared" si="198"/>
        <v>0</v>
      </c>
      <c r="BY325" s="3">
        <f t="shared" si="227"/>
        <v>0</v>
      </c>
      <c r="BZ325" s="3" t="s">
        <v>162</v>
      </c>
      <c r="CA325" s="3">
        <f t="shared" si="199"/>
        <v>0</v>
      </c>
      <c r="CB325" s="3">
        <f t="shared" si="200"/>
        <v>0</v>
      </c>
      <c r="CC325" s="3">
        <f t="shared" si="201"/>
        <v>0</v>
      </c>
      <c r="CD325" s="3">
        <f t="shared" si="202"/>
        <v>0</v>
      </c>
      <c r="CE325" s="22">
        <f t="shared" si="208"/>
        <v>0</v>
      </c>
      <c r="CF325" s="1">
        <f t="shared" si="203"/>
        <v>0</v>
      </c>
      <c r="CG325" s="1">
        <f t="shared" si="209"/>
        <v>0</v>
      </c>
      <c r="CH325" s="3" t="s">
        <v>162</v>
      </c>
      <c r="CI325" s="1">
        <f t="shared" si="210"/>
        <v>0</v>
      </c>
      <c r="CJ325" s="1">
        <f t="shared" si="211"/>
        <v>0</v>
      </c>
      <c r="CK325" s="1">
        <f t="shared" si="212"/>
        <v>0</v>
      </c>
      <c r="CL325" s="1">
        <f t="shared" si="213"/>
        <v>0</v>
      </c>
      <c r="CM325" s="2">
        <f t="shared" si="214"/>
        <v>0</v>
      </c>
      <c r="CN325" s="1">
        <f t="shared" si="215"/>
        <v>0</v>
      </c>
      <c r="CO325" s="1">
        <f t="shared" si="216"/>
        <v>0</v>
      </c>
      <c r="CP325" s="3" t="s">
        <v>162</v>
      </c>
      <c r="CQ325" s="1">
        <f t="shared" si="217"/>
        <v>0</v>
      </c>
      <c r="CR325" s="1">
        <f t="shared" si="218"/>
        <v>0</v>
      </c>
      <c r="CS325" s="1">
        <f t="shared" si="219"/>
        <v>0</v>
      </c>
      <c r="CT325" s="1">
        <f t="shared" si="220"/>
        <v>0</v>
      </c>
      <c r="CU325" s="2">
        <f t="shared" si="221"/>
        <v>0</v>
      </c>
      <c r="CV325" s="14">
        <f t="shared" si="222"/>
        <v>0</v>
      </c>
      <c r="CW325" s="1">
        <f>ROUND(PPTest!K325,1)</f>
        <v>0</v>
      </c>
      <c r="CX325" s="3">
        <f t="shared" si="204"/>
        <v>0</v>
      </c>
      <c r="CY325" s="3">
        <f t="shared" si="223"/>
        <v>0</v>
      </c>
      <c r="CZ325" s="19">
        <f t="shared" si="224"/>
        <v>0</v>
      </c>
      <c r="DA325" s="19" t="e">
        <f t="shared" si="224"/>
        <v>#DIV/0!</v>
      </c>
      <c r="DB325" s="16">
        <f t="shared" si="225"/>
        <v>0</v>
      </c>
    </row>
    <row r="326" spans="1:106" x14ac:dyDescent="0.2">
      <c r="A326" s="15">
        <f t="shared" si="226"/>
        <v>45978</v>
      </c>
      <c r="B326" s="1">
        <v>321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2"/>
      <c r="AZ326" s="14"/>
      <c r="BA326" s="16">
        <v>6.24</v>
      </c>
      <c r="BB326" s="41"/>
      <c r="BC326" s="41"/>
      <c r="BD326" s="8" t="e">
        <f t="shared" ref="BD326:BD370" si="229">BC326/BB326</f>
        <v>#DIV/0!</v>
      </c>
      <c r="BE326" s="8"/>
      <c r="BF326" s="2">
        <f t="shared" si="205"/>
        <v>0</v>
      </c>
      <c r="BG326" s="2">
        <f t="shared" si="206"/>
        <v>0</v>
      </c>
      <c r="BH326" s="2">
        <f t="shared" si="207"/>
        <v>0</v>
      </c>
      <c r="BI326" s="35">
        <f t="shared" si="228"/>
        <v>0</v>
      </c>
      <c r="BJ326" s="35" t="e">
        <f t="shared" ref="BJ326:BJ370" si="230">ROUND(BI326/BH326*(100-BH326),3)</f>
        <v>#DIV/0!</v>
      </c>
      <c r="BL326" s="3">
        <f t="shared" ref="BL326:BL370" si="231">SUM(AG326:AN326)</f>
        <v>0</v>
      </c>
      <c r="BM326" s="19" t="e">
        <f t="shared" ref="BM326:BM370" si="232">ROUND(AG326/$BL326,3)</f>
        <v>#DIV/0!</v>
      </c>
      <c r="BN326" s="19" t="e">
        <f t="shared" ref="BN326:BN370" si="233">ROUND(AH326/$BL326,3)</f>
        <v>#DIV/0!</v>
      </c>
      <c r="BO326" s="19" t="e">
        <f t="shared" ref="BO326:BO370" si="234">ROUND(AI326/$BL326,3)</f>
        <v>#DIV/0!</v>
      </c>
      <c r="BP326" s="19" t="e">
        <f t="shared" ref="BP326:BP370" si="235">ROUND(AJ326/$BL326,3)</f>
        <v>#DIV/0!</v>
      </c>
      <c r="BQ326" s="19" t="e">
        <f t="shared" ref="BQ326:BQ370" si="236">ROUND(AK326/$BL326,3)</f>
        <v>#DIV/0!</v>
      </c>
      <c r="BR326" s="19" t="e">
        <f t="shared" ref="BR326:BR370" si="237">ROUND(AL326/$BL326,3)</f>
        <v>#DIV/0!</v>
      </c>
      <c r="BS326" s="19" t="e">
        <f t="shared" ref="BS326:BS370" si="238">ROUND(AM326/$BL326,3)</f>
        <v>#DIV/0!</v>
      </c>
      <c r="BT326" s="19" t="e">
        <f t="shared" ref="BT326:BT370" si="239">ROUND(AN326/$BL326,3)</f>
        <v>#DIV/0!</v>
      </c>
      <c r="BV326" s="16">
        <f t="shared" ref="BV326:BV370" si="240">BB326</f>
        <v>0</v>
      </c>
      <c r="BW326" s="16">
        <f t="shared" ref="BW326:BW370" si="241">BC326</f>
        <v>0</v>
      </c>
      <c r="BX326" s="3">
        <f t="shared" ref="BX326:BX370" si="242">ROUND(E326,1)</f>
        <v>0</v>
      </c>
      <c r="BY326" s="3">
        <f t="shared" si="227"/>
        <v>0</v>
      </c>
      <c r="BZ326" s="3" t="s">
        <v>162</v>
      </c>
      <c r="CA326" s="3">
        <f t="shared" ref="CA326:CA370" si="243">ROUND(I326,1)</f>
        <v>0</v>
      </c>
      <c r="CB326" s="3">
        <f t="shared" ref="CB326:CB370" si="244">ROUND(J326,1)</f>
        <v>0</v>
      </c>
      <c r="CC326" s="3">
        <f t="shared" ref="CC326:CC370" si="245">ROUND(K326,1)</f>
        <v>0</v>
      </c>
      <c r="CD326" s="3">
        <f t="shared" ref="CD326:CD370" si="246">ROUND(L326,1)</f>
        <v>0</v>
      </c>
      <c r="CE326" s="22">
        <f t="shared" si="208"/>
        <v>0</v>
      </c>
      <c r="CF326" s="1">
        <f t="shared" ref="CF326:CF370" si="247">ROUND(P326,1)</f>
        <v>0</v>
      </c>
      <c r="CG326" s="1">
        <f t="shared" si="209"/>
        <v>0</v>
      </c>
      <c r="CH326" s="3" t="s">
        <v>162</v>
      </c>
      <c r="CI326" s="1">
        <f t="shared" si="210"/>
        <v>0</v>
      </c>
      <c r="CJ326" s="1">
        <f t="shared" si="211"/>
        <v>0</v>
      </c>
      <c r="CK326" s="1">
        <f t="shared" si="212"/>
        <v>0</v>
      </c>
      <c r="CL326" s="1">
        <f t="shared" si="213"/>
        <v>0</v>
      </c>
      <c r="CM326" s="2">
        <f t="shared" si="214"/>
        <v>0</v>
      </c>
      <c r="CN326" s="1">
        <f t="shared" si="215"/>
        <v>0</v>
      </c>
      <c r="CO326" s="1">
        <f t="shared" si="216"/>
        <v>0</v>
      </c>
      <c r="CP326" s="3" t="s">
        <v>162</v>
      </c>
      <c r="CQ326" s="1">
        <f t="shared" si="217"/>
        <v>0</v>
      </c>
      <c r="CR326" s="1">
        <f t="shared" si="218"/>
        <v>0</v>
      </c>
      <c r="CS326" s="1">
        <f t="shared" si="219"/>
        <v>0</v>
      </c>
      <c r="CT326" s="1">
        <f t="shared" si="220"/>
        <v>0</v>
      </c>
      <c r="CU326" s="2">
        <f t="shared" si="221"/>
        <v>0</v>
      </c>
      <c r="CV326" s="14">
        <f t="shared" si="222"/>
        <v>0</v>
      </c>
      <c r="CW326" s="1">
        <f>ROUND(PPTest!K326,1)</f>
        <v>0</v>
      </c>
      <c r="CX326" s="3">
        <f t="shared" si="204"/>
        <v>0</v>
      </c>
      <c r="CY326" s="3">
        <f t="shared" si="223"/>
        <v>0</v>
      </c>
      <c r="CZ326" s="19">
        <f t="shared" si="224"/>
        <v>0</v>
      </c>
      <c r="DA326" s="19" t="e">
        <f t="shared" si="224"/>
        <v>#DIV/0!</v>
      </c>
      <c r="DB326" s="16">
        <f t="shared" si="225"/>
        <v>0</v>
      </c>
    </row>
    <row r="327" spans="1:106" x14ac:dyDescent="0.2">
      <c r="A327" s="15">
        <f t="shared" si="226"/>
        <v>45979</v>
      </c>
      <c r="B327" s="1">
        <v>322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2"/>
      <c r="AZ327" s="14"/>
      <c r="BA327" s="16">
        <v>6.13</v>
      </c>
      <c r="BB327" s="41"/>
      <c r="BC327" s="41"/>
      <c r="BD327" s="8" t="e">
        <f t="shared" si="229"/>
        <v>#DIV/0!</v>
      </c>
      <c r="BE327" s="8"/>
      <c r="BF327" s="2">
        <f t="shared" ref="BF327:BF370" si="248">ROUND(Q327-BF$2,1)</f>
        <v>0</v>
      </c>
      <c r="BG327" s="2">
        <f t="shared" ref="BG327:BG370" si="249">ROUND(F327-BG$2,1)</f>
        <v>0</v>
      </c>
      <c r="BH327" s="2">
        <f t="shared" ref="BH327:BH370" si="250">ROUND(Z327-BH$2,1)</f>
        <v>0</v>
      </c>
      <c r="BI327" s="35">
        <f t="shared" si="228"/>
        <v>0</v>
      </c>
      <c r="BJ327" s="35" t="e">
        <f t="shared" si="230"/>
        <v>#DIV/0!</v>
      </c>
      <c r="BL327" s="3">
        <f t="shared" si="231"/>
        <v>0</v>
      </c>
      <c r="BM327" s="19" t="e">
        <f t="shared" si="232"/>
        <v>#DIV/0!</v>
      </c>
      <c r="BN327" s="19" t="e">
        <f t="shared" si="233"/>
        <v>#DIV/0!</v>
      </c>
      <c r="BO327" s="19" t="e">
        <f t="shared" si="234"/>
        <v>#DIV/0!</v>
      </c>
      <c r="BP327" s="19" t="e">
        <f t="shared" si="235"/>
        <v>#DIV/0!</v>
      </c>
      <c r="BQ327" s="19" t="e">
        <f t="shared" si="236"/>
        <v>#DIV/0!</v>
      </c>
      <c r="BR327" s="19" t="e">
        <f t="shared" si="237"/>
        <v>#DIV/0!</v>
      </c>
      <c r="BS327" s="19" t="e">
        <f t="shared" si="238"/>
        <v>#DIV/0!</v>
      </c>
      <c r="BT327" s="19" t="e">
        <f t="shared" si="239"/>
        <v>#DIV/0!</v>
      </c>
      <c r="BV327" s="16">
        <f t="shared" si="240"/>
        <v>0</v>
      </c>
      <c r="BW327" s="16">
        <f t="shared" si="241"/>
        <v>0</v>
      </c>
      <c r="BX327" s="3">
        <f t="shared" si="242"/>
        <v>0</v>
      </c>
      <c r="BY327" s="3">
        <f t="shared" si="227"/>
        <v>0</v>
      </c>
      <c r="BZ327" s="3" t="s">
        <v>162</v>
      </c>
      <c r="CA327" s="3">
        <f t="shared" si="243"/>
        <v>0</v>
      </c>
      <c r="CB327" s="3">
        <f t="shared" si="244"/>
        <v>0</v>
      </c>
      <c r="CC327" s="3">
        <f t="shared" si="245"/>
        <v>0</v>
      </c>
      <c r="CD327" s="3">
        <f t="shared" si="246"/>
        <v>0</v>
      </c>
      <c r="CE327" s="22">
        <f t="shared" ref="CE327:CE370" si="251">ROUND(BG327,1)</f>
        <v>0</v>
      </c>
      <c r="CF327" s="1">
        <f t="shared" si="247"/>
        <v>0</v>
      </c>
      <c r="CG327" s="1">
        <f t="shared" ref="CG327:CG370" si="252">ROUND(R327,1)</f>
        <v>0</v>
      </c>
      <c r="CH327" s="3" t="s">
        <v>162</v>
      </c>
      <c r="CI327" s="1">
        <f t="shared" ref="CI327:CI370" si="253">ROUND(T327,1)</f>
        <v>0</v>
      </c>
      <c r="CJ327" s="1">
        <f t="shared" ref="CJ327:CJ370" si="254">ROUND(U327,1)</f>
        <v>0</v>
      </c>
      <c r="CK327" s="1">
        <f t="shared" ref="CK327:CK370" si="255">ROUND(V327,1)</f>
        <v>0</v>
      </c>
      <c r="CL327" s="1">
        <f t="shared" ref="CL327:CL370" si="256">ROUND(W327,1)</f>
        <v>0</v>
      </c>
      <c r="CM327" s="2">
        <f t="shared" ref="CM327:CM370" si="257">ROUND(BF327,1)</f>
        <v>0</v>
      </c>
      <c r="CN327" s="1">
        <f t="shared" ref="CN327:CN370" si="258">ROUND(Y327,1)</f>
        <v>0</v>
      </c>
      <c r="CO327" s="1">
        <f t="shared" ref="CO327:CO370" si="259">ROUND(AA327,1)</f>
        <v>0</v>
      </c>
      <c r="CP327" s="3" t="s">
        <v>162</v>
      </c>
      <c r="CQ327" s="1">
        <f t="shared" ref="CQ327:CQ370" si="260">ROUND(AC327,1)</f>
        <v>0</v>
      </c>
      <c r="CR327" s="1">
        <f t="shared" ref="CR327:CR370" si="261">ROUND(AD327,1)</f>
        <v>0</v>
      </c>
      <c r="CS327" s="1">
        <f t="shared" ref="CS327:CS370" si="262">ROUND(AE327,1)</f>
        <v>0</v>
      </c>
      <c r="CT327" s="1">
        <f t="shared" ref="CT327:CT370" si="263">ROUND(AF327,1)</f>
        <v>0</v>
      </c>
      <c r="CU327" s="2">
        <f t="shared" ref="CU327:CU370" si="264">ROUND(BH327,1)</f>
        <v>0</v>
      </c>
      <c r="CV327" s="14">
        <f t="shared" ref="CV327:CV370" si="265">AY327</f>
        <v>0</v>
      </c>
      <c r="CW327" s="1">
        <f>ROUND(PPTest!K327,1)</f>
        <v>0</v>
      </c>
      <c r="CX327" s="3">
        <f t="shared" ref="CX327:CX370" si="266">ROUND(M327,2)</f>
        <v>0</v>
      </c>
      <c r="CY327" s="3">
        <f t="shared" ref="CY327:CY370" si="267">ROUND(X327,2)</f>
        <v>0</v>
      </c>
      <c r="CZ327" s="19">
        <f t="shared" ref="CZ327:DA370" si="268">BI327</f>
        <v>0</v>
      </c>
      <c r="DA327" s="19" t="e">
        <f t="shared" si="268"/>
        <v>#DIV/0!</v>
      </c>
      <c r="DB327" s="16">
        <f t="shared" ref="DB327:DB370" si="269">AV327</f>
        <v>0</v>
      </c>
    </row>
    <row r="328" spans="1:106" x14ac:dyDescent="0.2">
      <c r="A328" s="15">
        <f t="shared" ref="A328:A370" si="270">A327+1</f>
        <v>45980</v>
      </c>
      <c r="B328" s="1">
        <v>323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2"/>
      <c r="AZ328" s="14"/>
      <c r="BA328" s="16">
        <v>6.02</v>
      </c>
      <c r="BB328" s="41"/>
      <c r="BC328" s="41"/>
      <c r="BD328" s="8" t="e">
        <f t="shared" si="229"/>
        <v>#DIV/0!</v>
      </c>
      <c r="BE328" s="8"/>
      <c r="BF328" s="2">
        <f t="shared" si="248"/>
        <v>0</v>
      </c>
      <c r="BG328" s="2">
        <f t="shared" si="249"/>
        <v>0</v>
      </c>
      <c r="BH328" s="2">
        <f t="shared" si="250"/>
        <v>0</v>
      </c>
      <c r="BI328" s="35">
        <f t="shared" si="228"/>
        <v>0</v>
      </c>
      <c r="BJ328" s="35" t="e">
        <f t="shared" si="230"/>
        <v>#DIV/0!</v>
      </c>
      <c r="BL328" s="3">
        <f t="shared" si="231"/>
        <v>0</v>
      </c>
      <c r="BM328" s="19" t="e">
        <f t="shared" si="232"/>
        <v>#DIV/0!</v>
      </c>
      <c r="BN328" s="19" t="e">
        <f t="shared" si="233"/>
        <v>#DIV/0!</v>
      </c>
      <c r="BO328" s="19" t="e">
        <f t="shared" si="234"/>
        <v>#DIV/0!</v>
      </c>
      <c r="BP328" s="19" t="e">
        <f t="shared" si="235"/>
        <v>#DIV/0!</v>
      </c>
      <c r="BQ328" s="19" t="e">
        <f t="shared" si="236"/>
        <v>#DIV/0!</v>
      </c>
      <c r="BR328" s="19" t="e">
        <f t="shared" si="237"/>
        <v>#DIV/0!</v>
      </c>
      <c r="BS328" s="19" t="e">
        <f t="shared" si="238"/>
        <v>#DIV/0!</v>
      </c>
      <c r="BT328" s="19" t="e">
        <f t="shared" si="239"/>
        <v>#DIV/0!</v>
      </c>
      <c r="BV328" s="16">
        <f t="shared" si="240"/>
        <v>0</v>
      </c>
      <c r="BW328" s="16">
        <f t="shared" si="241"/>
        <v>0</v>
      </c>
      <c r="BX328" s="3">
        <f t="shared" si="242"/>
        <v>0</v>
      </c>
      <c r="BY328" s="3">
        <f t="shared" si="227"/>
        <v>0</v>
      </c>
      <c r="BZ328" s="3" t="s">
        <v>162</v>
      </c>
      <c r="CA328" s="3">
        <f t="shared" si="243"/>
        <v>0</v>
      </c>
      <c r="CB328" s="3">
        <f t="shared" si="244"/>
        <v>0</v>
      </c>
      <c r="CC328" s="3">
        <f t="shared" si="245"/>
        <v>0</v>
      </c>
      <c r="CD328" s="3">
        <f t="shared" si="246"/>
        <v>0</v>
      </c>
      <c r="CE328" s="22">
        <f t="shared" si="251"/>
        <v>0</v>
      </c>
      <c r="CF328" s="1">
        <f t="shared" si="247"/>
        <v>0</v>
      </c>
      <c r="CG328" s="1">
        <f t="shared" si="252"/>
        <v>0</v>
      </c>
      <c r="CH328" s="3" t="s">
        <v>162</v>
      </c>
      <c r="CI328" s="1">
        <f t="shared" si="253"/>
        <v>0</v>
      </c>
      <c r="CJ328" s="1">
        <f t="shared" si="254"/>
        <v>0</v>
      </c>
      <c r="CK328" s="1">
        <f t="shared" si="255"/>
        <v>0</v>
      </c>
      <c r="CL328" s="1">
        <f t="shared" si="256"/>
        <v>0</v>
      </c>
      <c r="CM328" s="2">
        <f t="shared" si="257"/>
        <v>0</v>
      </c>
      <c r="CN328" s="1">
        <f t="shared" si="258"/>
        <v>0</v>
      </c>
      <c r="CO328" s="1">
        <f t="shared" si="259"/>
        <v>0</v>
      </c>
      <c r="CP328" s="3" t="s">
        <v>162</v>
      </c>
      <c r="CQ328" s="1">
        <f t="shared" si="260"/>
        <v>0</v>
      </c>
      <c r="CR328" s="1">
        <f t="shared" si="261"/>
        <v>0</v>
      </c>
      <c r="CS328" s="1">
        <f t="shared" si="262"/>
        <v>0</v>
      </c>
      <c r="CT328" s="1">
        <f t="shared" si="263"/>
        <v>0</v>
      </c>
      <c r="CU328" s="2">
        <f t="shared" si="264"/>
        <v>0</v>
      </c>
      <c r="CV328" s="14">
        <f t="shared" si="265"/>
        <v>0</v>
      </c>
      <c r="CW328" s="1">
        <f>ROUND(PPTest!K328,1)</f>
        <v>0</v>
      </c>
      <c r="CX328" s="3">
        <f t="shared" si="266"/>
        <v>0</v>
      </c>
      <c r="CY328" s="3">
        <f t="shared" si="267"/>
        <v>0</v>
      </c>
      <c r="CZ328" s="19">
        <f t="shared" si="268"/>
        <v>0</v>
      </c>
      <c r="DA328" s="19" t="e">
        <f t="shared" si="268"/>
        <v>#DIV/0!</v>
      </c>
      <c r="DB328" s="16">
        <f t="shared" si="269"/>
        <v>0</v>
      </c>
    </row>
    <row r="329" spans="1:106" x14ac:dyDescent="0.2">
      <c r="A329" s="15">
        <f t="shared" si="270"/>
        <v>45981</v>
      </c>
      <c r="B329" s="1">
        <v>324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2"/>
      <c r="AZ329" s="14"/>
      <c r="BA329" s="16">
        <v>5.91</v>
      </c>
      <c r="BB329" s="41"/>
      <c r="BC329" s="41"/>
      <c r="BD329" s="8" t="e">
        <f t="shared" si="229"/>
        <v>#DIV/0!</v>
      </c>
      <c r="BE329" s="8"/>
      <c r="BF329" s="2">
        <f t="shared" si="248"/>
        <v>0</v>
      </c>
      <c r="BG329" s="2">
        <f t="shared" si="249"/>
        <v>0</v>
      </c>
      <c r="BH329" s="2">
        <f t="shared" si="250"/>
        <v>0</v>
      </c>
      <c r="BI329" s="35">
        <f t="shared" si="228"/>
        <v>0</v>
      </c>
      <c r="BJ329" s="35" t="e">
        <f t="shared" si="230"/>
        <v>#DIV/0!</v>
      </c>
      <c r="BL329" s="3">
        <f t="shared" si="231"/>
        <v>0</v>
      </c>
      <c r="BM329" s="19" t="e">
        <f t="shared" si="232"/>
        <v>#DIV/0!</v>
      </c>
      <c r="BN329" s="19" t="e">
        <f t="shared" si="233"/>
        <v>#DIV/0!</v>
      </c>
      <c r="BO329" s="19" t="e">
        <f t="shared" si="234"/>
        <v>#DIV/0!</v>
      </c>
      <c r="BP329" s="19" t="e">
        <f t="shared" si="235"/>
        <v>#DIV/0!</v>
      </c>
      <c r="BQ329" s="19" t="e">
        <f t="shared" si="236"/>
        <v>#DIV/0!</v>
      </c>
      <c r="BR329" s="19" t="e">
        <f t="shared" si="237"/>
        <v>#DIV/0!</v>
      </c>
      <c r="BS329" s="19" t="e">
        <f t="shared" si="238"/>
        <v>#DIV/0!</v>
      </c>
      <c r="BT329" s="19" t="e">
        <f t="shared" si="239"/>
        <v>#DIV/0!</v>
      </c>
      <c r="BV329" s="16">
        <f t="shared" si="240"/>
        <v>0</v>
      </c>
      <c r="BW329" s="16">
        <f t="shared" si="241"/>
        <v>0</v>
      </c>
      <c r="BX329" s="3">
        <f t="shared" si="242"/>
        <v>0</v>
      </c>
      <c r="BY329" s="3">
        <f t="shared" ref="BY329:BY370" si="271">ROUND(G329,1)</f>
        <v>0</v>
      </c>
      <c r="BZ329" s="3" t="s">
        <v>162</v>
      </c>
      <c r="CA329" s="3">
        <f t="shared" si="243"/>
        <v>0</v>
      </c>
      <c r="CB329" s="3">
        <f t="shared" si="244"/>
        <v>0</v>
      </c>
      <c r="CC329" s="3">
        <f t="shared" si="245"/>
        <v>0</v>
      </c>
      <c r="CD329" s="3">
        <f t="shared" si="246"/>
        <v>0</v>
      </c>
      <c r="CE329" s="22">
        <f t="shared" si="251"/>
        <v>0</v>
      </c>
      <c r="CF329" s="1">
        <f t="shared" si="247"/>
        <v>0</v>
      </c>
      <c r="CG329" s="1">
        <f t="shared" si="252"/>
        <v>0</v>
      </c>
      <c r="CH329" s="3" t="s">
        <v>162</v>
      </c>
      <c r="CI329" s="1">
        <f t="shared" si="253"/>
        <v>0</v>
      </c>
      <c r="CJ329" s="1">
        <f t="shared" si="254"/>
        <v>0</v>
      </c>
      <c r="CK329" s="1">
        <f t="shared" si="255"/>
        <v>0</v>
      </c>
      <c r="CL329" s="1">
        <f t="shared" si="256"/>
        <v>0</v>
      </c>
      <c r="CM329" s="2">
        <f t="shared" si="257"/>
        <v>0</v>
      </c>
      <c r="CN329" s="1">
        <f t="shared" si="258"/>
        <v>0</v>
      </c>
      <c r="CO329" s="1">
        <f t="shared" si="259"/>
        <v>0</v>
      </c>
      <c r="CP329" s="3" t="s">
        <v>162</v>
      </c>
      <c r="CQ329" s="1">
        <f t="shared" si="260"/>
        <v>0</v>
      </c>
      <c r="CR329" s="1">
        <f t="shared" si="261"/>
        <v>0</v>
      </c>
      <c r="CS329" s="1">
        <f t="shared" si="262"/>
        <v>0</v>
      </c>
      <c r="CT329" s="1">
        <f t="shared" si="263"/>
        <v>0</v>
      </c>
      <c r="CU329" s="2">
        <f t="shared" si="264"/>
        <v>0</v>
      </c>
      <c r="CV329" s="14">
        <f t="shared" si="265"/>
        <v>0</v>
      </c>
      <c r="CW329" s="1">
        <f>ROUND(PPTest!K329,1)</f>
        <v>0</v>
      </c>
      <c r="CX329" s="3">
        <f t="shared" si="266"/>
        <v>0</v>
      </c>
      <c r="CY329" s="3">
        <f t="shared" si="267"/>
        <v>0</v>
      </c>
      <c r="CZ329" s="19">
        <f t="shared" si="268"/>
        <v>0</v>
      </c>
      <c r="DA329" s="19" t="e">
        <f t="shared" si="268"/>
        <v>#DIV/0!</v>
      </c>
      <c r="DB329" s="16">
        <f t="shared" si="269"/>
        <v>0</v>
      </c>
    </row>
    <row r="330" spans="1:106" x14ac:dyDescent="0.2">
      <c r="A330" s="15">
        <f t="shared" si="270"/>
        <v>45982</v>
      </c>
      <c r="B330" s="1">
        <v>325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2"/>
      <c r="AZ330" s="14"/>
      <c r="BA330" s="16">
        <v>5.81</v>
      </c>
      <c r="BB330" s="41"/>
      <c r="BC330" s="41"/>
      <c r="BD330" s="8" t="e">
        <f t="shared" si="229"/>
        <v>#DIV/0!</v>
      </c>
      <c r="BE330" s="8"/>
      <c r="BF330" s="2">
        <f t="shared" si="248"/>
        <v>0</v>
      </c>
      <c r="BG330" s="2">
        <f t="shared" si="249"/>
        <v>0</v>
      </c>
      <c r="BH330" s="2">
        <f t="shared" si="250"/>
        <v>0</v>
      </c>
      <c r="BI330" s="35">
        <f t="shared" si="228"/>
        <v>0</v>
      </c>
      <c r="BJ330" s="35" t="e">
        <f t="shared" si="230"/>
        <v>#DIV/0!</v>
      </c>
      <c r="BL330" s="3">
        <f t="shared" si="231"/>
        <v>0</v>
      </c>
      <c r="BM330" s="19" t="e">
        <f t="shared" si="232"/>
        <v>#DIV/0!</v>
      </c>
      <c r="BN330" s="19" t="e">
        <f t="shared" si="233"/>
        <v>#DIV/0!</v>
      </c>
      <c r="BO330" s="19" t="e">
        <f t="shared" si="234"/>
        <v>#DIV/0!</v>
      </c>
      <c r="BP330" s="19" t="e">
        <f t="shared" si="235"/>
        <v>#DIV/0!</v>
      </c>
      <c r="BQ330" s="19" t="e">
        <f t="shared" si="236"/>
        <v>#DIV/0!</v>
      </c>
      <c r="BR330" s="19" t="e">
        <f t="shared" si="237"/>
        <v>#DIV/0!</v>
      </c>
      <c r="BS330" s="19" t="e">
        <f t="shared" si="238"/>
        <v>#DIV/0!</v>
      </c>
      <c r="BT330" s="19" t="e">
        <f t="shared" si="239"/>
        <v>#DIV/0!</v>
      </c>
      <c r="BV330" s="16">
        <f t="shared" si="240"/>
        <v>0</v>
      </c>
      <c r="BW330" s="16">
        <f t="shared" si="241"/>
        <v>0</v>
      </c>
      <c r="BX330" s="3">
        <f t="shared" si="242"/>
        <v>0</v>
      </c>
      <c r="BY330" s="3">
        <f t="shared" si="271"/>
        <v>0</v>
      </c>
      <c r="BZ330" s="3" t="s">
        <v>162</v>
      </c>
      <c r="CA330" s="3">
        <f t="shared" si="243"/>
        <v>0</v>
      </c>
      <c r="CB330" s="3">
        <f t="shared" si="244"/>
        <v>0</v>
      </c>
      <c r="CC330" s="3">
        <f t="shared" si="245"/>
        <v>0</v>
      </c>
      <c r="CD330" s="3">
        <f t="shared" si="246"/>
        <v>0</v>
      </c>
      <c r="CE330" s="22">
        <f t="shared" si="251"/>
        <v>0</v>
      </c>
      <c r="CF330" s="1">
        <f t="shared" si="247"/>
        <v>0</v>
      </c>
      <c r="CG330" s="1">
        <f t="shared" si="252"/>
        <v>0</v>
      </c>
      <c r="CH330" s="3" t="s">
        <v>162</v>
      </c>
      <c r="CI330" s="1">
        <f t="shared" si="253"/>
        <v>0</v>
      </c>
      <c r="CJ330" s="1">
        <f t="shared" si="254"/>
        <v>0</v>
      </c>
      <c r="CK330" s="1">
        <f t="shared" si="255"/>
        <v>0</v>
      </c>
      <c r="CL330" s="1">
        <f t="shared" si="256"/>
        <v>0</v>
      </c>
      <c r="CM330" s="2">
        <f t="shared" si="257"/>
        <v>0</v>
      </c>
      <c r="CN330" s="1">
        <f t="shared" si="258"/>
        <v>0</v>
      </c>
      <c r="CO330" s="1">
        <f t="shared" si="259"/>
        <v>0</v>
      </c>
      <c r="CP330" s="3" t="s">
        <v>162</v>
      </c>
      <c r="CQ330" s="1">
        <f t="shared" si="260"/>
        <v>0</v>
      </c>
      <c r="CR330" s="1">
        <f t="shared" si="261"/>
        <v>0</v>
      </c>
      <c r="CS330" s="1">
        <f t="shared" si="262"/>
        <v>0</v>
      </c>
      <c r="CT330" s="1">
        <f t="shared" si="263"/>
        <v>0</v>
      </c>
      <c r="CU330" s="2">
        <f t="shared" si="264"/>
        <v>0</v>
      </c>
      <c r="CV330" s="14">
        <f t="shared" si="265"/>
        <v>0</v>
      </c>
      <c r="CW330" s="1">
        <f>ROUND(PPTest!K330,1)</f>
        <v>0</v>
      </c>
      <c r="CX330" s="3">
        <f t="shared" si="266"/>
        <v>0</v>
      </c>
      <c r="CY330" s="3">
        <f t="shared" si="267"/>
        <v>0</v>
      </c>
      <c r="CZ330" s="19">
        <f t="shared" si="268"/>
        <v>0</v>
      </c>
      <c r="DA330" s="19" t="e">
        <f t="shared" si="268"/>
        <v>#DIV/0!</v>
      </c>
      <c r="DB330" s="16">
        <f t="shared" si="269"/>
        <v>0</v>
      </c>
    </row>
    <row r="331" spans="1:106" x14ac:dyDescent="0.2">
      <c r="A331" s="15">
        <f t="shared" si="270"/>
        <v>45983</v>
      </c>
      <c r="B331" s="1">
        <v>326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2"/>
      <c r="AZ331" s="14"/>
      <c r="BA331" s="16">
        <v>5.71</v>
      </c>
      <c r="BB331" s="41"/>
      <c r="BC331" s="41"/>
      <c r="BD331" s="8" t="e">
        <f t="shared" si="229"/>
        <v>#DIV/0!</v>
      </c>
      <c r="BE331" s="8"/>
      <c r="BF331" s="2">
        <f t="shared" si="248"/>
        <v>0</v>
      </c>
      <c r="BG331" s="2">
        <f t="shared" si="249"/>
        <v>0</v>
      </c>
      <c r="BH331" s="2">
        <f t="shared" si="250"/>
        <v>0</v>
      </c>
      <c r="BI331" s="35">
        <f t="shared" si="228"/>
        <v>0</v>
      </c>
      <c r="BJ331" s="35" t="e">
        <f t="shared" si="230"/>
        <v>#DIV/0!</v>
      </c>
      <c r="BL331" s="3">
        <f t="shared" si="231"/>
        <v>0</v>
      </c>
      <c r="BM331" s="19" t="e">
        <f t="shared" si="232"/>
        <v>#DIV/0!</v>
      </c>
      <c r="BN331" s="19" t="e">
        <f t="shared" si="233"/>
        <v>#DIV/0!</v>
      </c>
      <c r="BO331" s="19" t="e">
        <f t="shared" si="234"/>
        <v>#DIV/0!</v>
      </c>
      <c r="BP331" s="19" t="e">
        <f t="shared" si="235"/>
        <v>#DIV/0!</v>
      </c>
      <c r="BQ331" s="19" t="e">
        <f t="shared" si="236"/>
        <v>#DIV/0!</v>
      </c>
      <c r="BR331" s="19" t="e">
        <f t="shared" si="237"/>
        <v>#DIV/0!</v>
      </c>
      <c r="BS331" s="19" t="e">
        <f t="shared" si="238"/>
        <v>#DIV/0!</v>
      </c>
      <c r="BT331" s="19" t="e">
        <f t="shared" si="239"/>
        <v>#DIV/0!</v>
      </c>
      <c r="BV331" s="16">
        <f t="shared" si="240"/>
        <v>0</v>
      </c>
      <c r="BW331" s="16">
        <f t="shared" si="241"/>
        <v>0</v>
      </c>
      <c r="BX331" s="3">
        <f t="shared" si="242"/>
        <v>0</v>
      </c>
      <c r="BY331" s="3">
        <f t="shared" si="271"/>
        <v>0</v>
      </c>
      <c r="BZ331" s="3" t="s">
        <v>162</v>
      </c>
      <c r="CA331" s="3">
        <f t="shared" si="243"/>
        <v>0</v>
      </c>
      <c r="CB331" s="3">
        <f t="shared" si="244"/>
        <v>0</v>
      </c>
      <c r="CC331" s="3">
        <f t="shared" si="245"/>
        <v>0</v>
      </c>
      <c r="CD331" s="3">
        <f t="shared" si="246"/>
        <v>0</v>
      </c>
      <c r="CE331" s="22">
        <f t="shared" si="251"/>
        <v>0</v>
      </c>
      <c r="CF331" s="1">
        <f t="shared" si="247"/>
        <v>0</v>
      </c>
      <c r="CG331" s="1">
        <f t="shared" si="252"/>
        <v>0</v>
      </c>
      <c r="CH331" s="3" t="s">
        <v>162</v>
      </c>
      <c r="CI331" s="1">
        <f t="shared" si="253"/>
        <v>0</v>
      </c>
      <c r="CJ331" s="1">
        <f t="shared" si="254"/>
        <v>0</v>
      </c>
      <c r="CK331" s="1">
        <f t="shared" si="255"/>
        <v>0</v>
      </c>
      <c r="CL331" s="1">
        <f t="shared" si="256"/>
        <v>0</v>
      </c>
      <c r="CM331" s="2">
        <f t="shared" si="257"/>
        <v>0</v>
      </c>
      <c r="CN331" s="1">
        <f t="shared" si="258"/>
        <v>0</v>
      </c>
      <c r="CO331" s="1">
        <f t="shared" si="259"/>
        <v>0</v>
      </c>
      <c r="CP331" s="3" t="s">
        <v>162</v>
      </c>
      <c r="CQ331" s="1">
        <f t="shared" si="260"/>
        <v>0</v>
      </c>
      <c r="CR331" s="1">
        <f t="shared" si="261"/>
        <v>0</v>
      </c>
      <c r="CS331" s="1">
        <f t="shared" si="262"/>
        <v>0</v>
      </c>
      <c r="CT331" s="1">
        <f t="shared" si="263"/>
        <v>0</v>
      </c>
      <c r="CU331" s="2">
        <f t="shared" si="264"/>
        <v>0</v>
      </c>
      <c r="CV331" s="14">
        <f t="shared" si="265"/>
        <v>0</v>
      </c>
      <c r="CW331" s="1">
        <f>ROUND(PPTest!K331,1)</f>
        <v>0</v>
      </c>
      <c r="CX331" s="3">
        <f t="shared" si="266"/>
        <v>0</v>
      </c>
      <c r="CY331" s="3">
        <f t="shared" si="267"/>
        <v>0</v>
      </c>
      <c r="CZ331" s="19">
        <f t="shared" si="268"/>
        <v>0</v>
      </c>
      <c r="DA331" s="19" t="e">
        <f t="shared" si="268"/>
        <v>#DIV/0!</v>
      </c>
      <c r="DB331" s="16">
        <f t="shared" si="269"/>
        <v>0</v>
      </c>
    </row>
    <row r="332" spans="1:106" x14ac:dyDescent="0.2">
      <c r="A332" s="15">
        <f t="shared" si="270"/>
        <v>45984</v>
      </c>
      <c r="B332" s="1">
        <v>327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2"/>
      <c r="AZ332" s="14"/>
      <c r="BA332" s="16">
        <v>5.62</v>
      </c>
      <c r="BB332" s="41"/>
      <c r="BC332" s="41"/>
      <c r="BD332" s="8" t="e">
        <f t="shared" si="229"/>
        <v>#DIV/0!</v>
      </c>
      <c r="BE332" s="8"/>
      <c r="BF332" s="2">
        <f t="shared" si="248"/>
        <v>0</v>
      </c>
      <c r="BG332" s="2">
        <f t="shared" si="249"/>
        <v>0</v>
      </c>
      <c r="BH332" s="2">
        <f t="shared" si="250"/>
        <v>0</v>
      </c>
      <c r="BI332" s="35">
        <f t="shared" si="228"/>
        <v>0</v>
      </c>
      <c r="BJ332" s="35" t="e">
        <f t="shared" si="230"/>
        <v>#DIV/0!</v>
      </c>
      <c r="BL332" s="3">
        <f t="shared" si="231"/>
        <v>0</v>
      </c>
      <c r="BM332" s="19" t="e">
        <f t="shared" si="232"/>
        <v>#DIV/0!</v>
      </c>
      <c r="BN332" s="19" t="e">
        <f t="shared" si="233"/>
        <v>#DIV/0!</v>
      </c>
      <c r="BO332" s="19" t="e">
        <f t="shared" si="234"/>
        <v>#DIV/0!</v>
      </c>
      <c r="BP332" s="19" t="e">
        <f t="shared" si="235"/>
        <v>#DIV/0!</v>
      </c>
      <c r="BQ332" s="19" t="e">
        <f t="shared" si="236"/>
        <v>#DIV/0!</v>
      </c>
      <c r="BR332" s="19" t="e">
        <f t="shared" si="237"/>
        <v>#DIV/0!</v>
      </c>
      <c r="BS332" s="19" t="e">
        <f t="shared" si="238"/>
        <v>#DIV/0!</v>
      </c>
      <c r="BT332" s="19" t="e">
        <f t="shared" si="239"/>
        <v>#DIV/0!</v>
      </c>
      <c r="BV332" s="16">
        <f t="shared" si="240"/>
        <v>0</v>
      </c>
      <c r="BW332" s="16">
        <f t="shared" si="241"/>
        <v>0</v>
      </c>
      <c r="BX332" s="3">
        <f t="shared" si="242"/>
        <v>0</v>
      </c>
      <c r="BY332" s="3">
        <f t="shared" si="271"/>
        <v>0</v>
      </c>
      <c r="BZ332" s="3" t="s">
        <v>162</v>
      </c>
      <c r="CA332" s="3">
        <f t="shared" si="243"/>
        <v>0</v>
      </c>
      <c r="CB332" s="3">
        <f t="shared" si="244"/>
        <v>0</v>
      </c>
      <c r="CC332" s="3">
        <f t="shared" si="245"/>
        <v>0</v>
      </c>
      <c r="CD332" s="3">
        <f t="shared" si="246"/>
        <v>0</v>
      </c>
      <c r="CE332" s="22">
        <f t="shared" si="251"/>
        <v>0</v>
      </c>
      <c r="CF332" s="1">
        <f t="shared" si="247"/>
        <v>0</v>
      </c>
      <c r="CG332" s="1">
        <f t="shared" si="252"/>
        <v>0</v>
      </c>
      <c r="CH332" s="3" t="s">
        <v>162</v>
      </c>
      <c r="CI332" s="1">
        <f t="shared" si="253"/>
        <v>0</v>
      </c>
      <c r="CJ332" s="1">
        <f t="shared" si="254"/>
        <v>0</v>
      </c>
      <c r="CK332" s="1">
        <f t="shared" si="255"/>
        <v>0</v>
      </c>
      <c r="CL332" s="1">
        <f t="shared" si="256"/>
        <v>0</v>
      </c>
      <c r="CM332" s="2">
        <f t="shared" si="257"/>
        <v>0</v>
      </c>
      <c r="CN332" s="1">
        <f t="shared" si="258"/>
        <v>0</v>
      </c>
      <c r="CO332" s="1">
        <f t="shared" si="259"/>
        <v>0</v>
      </c>
      <c r="CP332" s="3" t="s">
        <v>162</v>
      </c>
      <c r="CQ332" s="1">
        <f t="shared" si="260"/>
        <v>0</v>
      </c>
      <c r="CR332" s="1">
        <f t="shared" si="261"/>
        <v>0</v>
      </c>
      <c r="CS332" s="1">
        <f t="shared" si="262"/>
        <v>0</v>
      </c>
      <c r="CT332" s="1">
        <f t="shared" si="263"/>
        <v>0</v>
      </c>
      <c r="CU332" s="2">
        <f t="shared" si="264"/>
        <v>0</v>
      </c>
      <c r="CV332" s="14">
        <f t="shared" si="265"/>
        <v>0</v>
      </c>
      <c r="CW332" s="1">
        <f>ROUND(PPTest!K332,1)</f>
        <v>0</v>
      </c>
      <c r="CX332" s="3">
        <f t="shared" si="266"/>
        <v>0</v>
      </c>
      <c r="CY332" s="3">
        <f t="shared" si="267"/>
        <v>0</v>
      </c>
      <c r="CZ332" s="19">
        <f t="shared" si="268"/>
        <v>0</v>
      </c>
      <c r="DA332" s="19" t="e">
        <f t="shared" si="268"/>
        <v>#DIV/0!</v>
      </c>
      <c r="DB332" s="16">
        <f t="shared" si="269"/>
        <v>0</v>
      </c>
    </row>
    <row r="333" spans="1:106" x14ac:dyDescent="0.2">
      <c r="A333" s="15">
        <f t="shared" si="270"/>
        <v>45985</v>
      </c>
      <c r="B333" s="1">
        <v>328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2"/>
      <c r="AZ333" s="14"/>
      <c r="BA333" s="16">
        <v>5.53</v>
      </c>
      <c r="BB333" s="41"/>
      <c r="BC333" s="41"/>
      <c r="BD333" s="8" t="e">
        <f t="shared" si="229"/>
        <v>#DIV/0!</v>
      </c>
      <c r="BE333" s="8"/>
      <c r="BF333" s="2">
        <f t="shared" si="248"/>
        <v>0</v>
      </c>
      <c r="BG333" s="2">
        <f t="shared" si="249"/>
        <v>0</v>
      </c>
      <c r="BH333" s="2">
        <f t="shared" si="250"/>
        <v>0</v>
      </c>
      <c r="BI333" s="35">
        <f t="shared" si="228"/>
        <v>0</v>
      </c>
      <c r="BJ333" s="35" t="e">
        <f t="shared" si="230"/>
        <v>#DIV/0!</v>
      </c>
      <c r="BL333" s="3">
        <f t="shared" si="231"/>
        <v>0</v>
      </c>
      <c r="BM333" s="19" t="e">
        <f t="shared" si="232"/>
        <v>#DIV/0!</v>
      </c>
      <c r="BN333" s="19" t="e">
        <f t="shared" si="233"/>
        <v>#DIV/0!</v>
      </c>
      <c r="BO333" s="19" t="e">
        <f t="shared" si="234"/>
        <v>#DIV/0!</v>
      </c>
      <c r="BP333" s="19" t="e">
        <f t="shared" si="235"/>
        <v>#DIV/0!</v>
      </c>
      <c r="BQ333" s="19" t="e">
        <f t="shared" si="236"/>
        <v>#DIV/0!</v>
      </c>
      <c r="BR333" s="19" t="e">
        <f t="shared" si="237"/>
        <v>#DIV/0!</v>
      </c>
      <c r="BS333" s="19" t="e">
        <f t="shared" si="238"/>
        <v>#DIV/0!</v>
      </c>
      <c r="BT333" s="19" t="e">
        <f t="shared" si="239"/>
        <v>#DIV/0!</v>
      </c>
      <c r="BV333" s="16">
        <f t="shared" si="240"/>
        <v>0</v>
      </c>
      <c r="BW333" s="16">
        <f t="shared" si="241"/>
        <v>0</v>
      </c>
      <c r="BX333" s="3">
        <f t="shared" si="242"/>
        <v>0</v>
      </c>
      <c r="BY333" s="3">
        <f t="shared" si="271"/>
        <v>0</v>
      </c>
      <c r="BZ333" s="3" t="s">
        <v>162</v>
      </c>
      <c r="CA333" s="3">
        <f t="shared" si="243"/>
        <v>0</v>
      </c>
      <c r="CB333" s="3">
        <f t="shared" si="244"/>
        <v>0</v>
      </c>
      <c r="CC333" s="3">
        <f t="shared" si="245"/>
        <v>0</v>
      </c>
      <c r="CD333" s="3">
        <f t="shared" si="246"/>
        <v>0</v>
      </c>
      <c r="CE333" s="22">
        <f t="shared" si="251"/>
        <v>0</v>
      </c>
      <c r="CF333" s="1">
        <f t="shared" si="247"/>
        <v>0</v>
      </c>
      <c r="CG333" s="1">
        <f t="shared" si="252"/>
        <v>0</v>
      </c>
      <c r="CH333" s="3" t="s">
        <v>162</v>
      </c>
      <c r="CI333" s="1">
        <f t="shared" si="253"/>
        <v>0</v>
      </c>
      <c r="CJ333" s="1">
        <f t="shared" si="254"/>
        <v>0</v>
      </c>
      <c r="CK333" s="1">
        <f t="shared" si="255"/>
        <v>0</v>
      </c>
      <c r="CL333" s="1">
        <f t="shared" si="256"/>
        <v>0</v>
      </c>
      <c r="CM333" s="2">
        <f t="shared" si="257"/>
        <v>0</v>
      </c>
      <c r="CN333" s="1">
        <f t="shared" si="258"/>
        <v>0</v>
      </c>
      <c r="CO333" s="1">
        <f t="shared" si="259"/>
        <v>0</v>
      </c>
      <c r="CP333" s="3" t="s">
        <v>162</v>
      </c>
      <c r="CQ333" s="1">
        <f t="shared" si="260"/>
        <v>0</v>
      </c>
      <c r="CR333" s="1">
        <f t="shared" si="261"/>
        <v>0</v>
      </c>
      <c r="CS333" s="1">
        <f t="shared" si="262"/>
        <v>0</v>
      </c>
      <c r="CT333" s="1">
        <f t="shared" si="263"/>
        <v>0</v>
      </c>
      <c r="CU333" s="2">
        <f t="shared" si="264"/>
        <v>0</v>
      </c>
      <c r="CV333" s="14">
        <f t="shared" si="265"/>
        <v>0</v>
      </c>
      <c r="CW333" s="1">
        <f>ROUND(PPTest!K333,1)</f>
        <v>0</v>
      </c>
      <c r="CX333" s="3">
        <f t="shared" si="266"/>
        <v>0</v>
      </c>
      <c r="CY333" s="3">
        <f t="shared" si="267"/>
        <v>0</v>
      </c>
      <c r="CZ333" s="19">
        <f t="shared" si="268"/>
        <v>0</v>
      </c>
      <c r="DA333" s="19" t="e">
        <f t="shared" si="268"/>
        <v>#DIV/0!</v>
      </c>
      <c r="DB333" s="16">
        <f t="shared" si="269"/>
        <v>0</v>
      </c>
    </row>
    <row r="334" spans="1:106" x14ac:dyDescent="0.2">
      <c r="A334" s="15">
        <f t="shared" si="270"/>
        <v>45986</v>
      </c>
      <c r="B334" s="1">
        <v>329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2"/>
      <c r="AZ334" s="14"/>
      <c r="BA334" s="16">
        <v>5.45</v>
      </c>
      <c r="BB334" s="41"/>
      <c r="BC334" s="41"/>
      <c r="BD334" s="8" t="e">
        <f t="shared" si="229"/>
        <v>#DIV/0!</v>
      </c>
      <c r="BE334" s="8"/>
      <c r="BF334" s="2">
        <f t="shared" si="248"/>
        <v>0</v>
      </c>
      <c r="BG334" s="2">
        <f t="shared" si="249"/>
        <v>0</v>
      </c>
      <c r="BH334" s="2">
        <f t="shared" si="250"/>
        <v>0</v>
      </c>
      <c r="BI334" s="35">
        <f t="shared" si="228"/>
        <v>0</v>
      </c>
      <c r="BJ334" s="35" t="e">
        <f t="shared" si="230"/>
        <v>#DIV/0!</v>
      </c>
      <c r="BL334" s="3">
        <f t="shared" si="231"/>
        <v>0</v>
      </c>
      <c r="BM334" s="19" t="e">
        <f t="shared" si="232"/>
        <v>#DIV/0!</v>
      </c>
      <c r="BN334" s="19" t="e">
        <f t="shared" si="233"/>
        <v>#DIV/0!</v>
      </c>
      <c r="BO334" s="19" t="e">
        <f t="shared" si="234"/>
        <v>#DIV/0!</v>
      </c>
      <c r="BP334" s="19" t="e">
        <f t="shared" si="235"/>
        <v>#DIV/0!</v>
      </c>
      <c r="BQ334" s="19" t="e">
        <f t="shared" si="236"/>
        <v>#DIV/0!</v>
      </c>
      <c r="BR334" s="19" t="e">
        <f t="shared" si="237"/>
        <v>#DIV/0!</v>
      </c>
      <c r="BS334" s="19" t="e">
        <f t="shared" si="238"/>
        <v>#DIV/0!</v>
      </c>
      <c r="BT334" s="19" t="e">
        <f t="shared" si="239"/>
        <v>#DIV/0!</v>
      </c>
      <c r="BV334" s="16">
        <f t="shared" si="240"/>
        <v>0</v>
      </c>
      <c r="BW334" s="16">
        <f t="shared" si="241"/>
        <v>0</v>
      </c>
      <c r="BX334" s="3">
        <f t="shared" si="242"/>
        <v>0</v>
      </c>
      <c r="BY334" s="3">
        <f t="shared" si="271"/>
        <v>0</v>
      </c>
      <c r="BZ334" s="3" t="s">
        <v>162</v>
      </c>
      <c r="CA334" s="3">
        <f t="shared" si="243"/>
        <v>0</v>
      </c>
      <c r="CB334" s="3">
        <f t="shared" si="244"/>
        <v>0</v>
      </c>
      <c r="CC334" s="3">
        <f t="shared" si="245"/>
        <v>0</v>
      </c>
      <c r="CD334" s="3">
        <f t="shared" si="246"/>
        <v>0</v>
      </c>
      <c r="CE334" s="22">
        <f t="shared" si="251"/>
        <v>0</v>
      </c>
      <c r="CF334" s="1">
        <f t="shared" si="247"/>
        <v>0</v>
      </c>
      <c r="CG334" s="1">
        <f t="shared" si="252"/>
        <v>0</v>
      </c>
      <c r="CH334" s="3" t="s">
        <v>162</v>
      </c>
      <c r="CI334" s="1">
        <f t="shared" si="253"/>
        <v>0</v>
      </c>
      <c r="CJ334" s="1">
        <f t="shared" si="254"/>
        <v>0</v>
      </c>
      <c r="CK334" s="1">
        <f t="shared" si="255"/>
        <v>0</v>
      </c>
      <c r="CL334" s="1">
        <f t="shared" si="256"/>
        <v>0</v>
      </c>
      <c r="CM334" s="2">
        <f t="shared" si="257"/>
        <v>0</v>
      </c>
      <c r="CN334" s="1">
        <f t="shared" si="258"/>
        <v>0</v>
      </c>
      <c r="CO334" s="1">
        <f t="shared" si="259"/>
        <v>0</v>
      </c>
      <c r="CP334" s="3" t="s">
        <v>162</v>
      </c>
      <c r="CQ334" s="1">
        <f t="shared" si="260"/>
        <v>0</v>
      </c>
      <c r="CR334" s="1">
        <f t="shared" si="261"/>
        <v>0</v>
      </c>
      <c r="CS334" s="1">
        <f t="shared" si="262"/>
        <v>0</v>
      </c>
      <c r="CT334" s="1">
        <f t="shared" si="263"/>
        <v>0</v>
      </c>
      <c r="CU334" s="2">
        <f t="shared" si="264"/>
        <v>0</v>
      </c>
      <c r="CV334" s="14">
        <f t="shared" si="265"/>
        <v>0</v>
      </c>
      <c r="CW334" s="1">
        <f>ROUND(PPTest!K334,1)</f>
        <v>0</v>
      </c>
      <c r="CX334" s="3">
        <f t="shared" si="266"/>
        <v>0</v>
      </c>
      <c r="CY334" s="3">
        <f t="shared" si="267"/>
        <v>0</v>
      </c>
      <c r="CZ334" s="19">
        <f t="shared" si="268"/>
        <v>0</v>
      </c>
      <c r="DA334" s="19" t="e">
        <f t="shared" si="268"/>
        <v>#DIV/0!</v>
      </c>
      <c r="DB334" s="16">
        <f t="shared" si="269"/>
        <v>0</v>
      </c>
    </row>
    <row r="335" spans="1:106" x14ac:dyDescent="0.2">
      <c r="A335" s="15">
        <f t="shared" si="270"/>
        <v>45987</v>
      </c>
      <c r="B335" s="1">
        <v>330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2"/>
      <c r="AZ335" s="14"/>
      <c r="BA335" s="16">
        <v>5.36</v>
      </c>
      <c r="BB335" s="41"/>
      <c r="BC335" s="41"/>
      <c r="BD335" s="8" t="e">
        <f t="shared" si="229"/>
        <v>#DIV/0!</v>
      </c>
      <c r="BE335" s="8"/>
      <c r="BF335" s="2">
        <f t="shared" si="248"/>
        <v>0</v>
      </c>
      <c r="BG335" s="2">
        <f t="shared" si="249"/>
        <v>0</v>
      </c>
      <c r="BH335" s="2">
        <f t="shared" si="250"/>
        <v>0</v>
      </c>
      <c r="BI335" s="35">
        <f t="shared" si="228"/>
        <v>0</v>
      </c>
      <c r="BJ335" s="35" t="e">
        <f t="shared" si="230"/>
        <v>#DIV/0!</v>
      </c>
      <c r="BL335" s="3">
        <f t="shared" si="231"/>
        <v>0</v>
      </c>
      <c r="BM335" s="19" t="e">
        <f t="shared" si="232"/>
        <v>#DIV/0!</v>
      </c>
      <c r="BN335" s="19" t="e">
        <f t="shared" si="233"/>
        <v>#DIV/0!</v>
      </c>
      <c r="BO335" s="19" t="e">
        <f t="shared" si="234"/>
        <v>#DIV/0!</v>
      </c>
      <c r="BP335" s="19" t="e">
        <f t="shared" si="235"/>
        <v>#DIV/0!</v>
      </c>
      <c r="BQ335" s="19" t="e">
        <f t="shared" si="236"/>
        <v>#DIV/0!</v>
      </c>
      <c r="BR335" s="19" t="e">
        <f t="shared" si="237"/>
        <v>#DIV/0!</v>
      </c>
      <c r="BS335" s="19" t="e">
        <f t="shared" si="238"/>
        <v>#DIV/0!</v>
      </c>
      <c r="BT335" s="19" t="e">
        <f t="shared" si="239"/>
        <v>#DIV/0!</v>
      </c>
      <c r="BV335" s="16">
        <f t="shared" si="240"/>
        <v>0</v>
      </c>
      <c r="BW335" s="16">
        <f t="shared" si="241"/>
        <v>0</v>
      </c>
      <c r="BX335" s="3">
        <f t="shared" si="242"/>
        <v>0</v>
      </c>
      <c r="BY335" s="3">
        <f t="shared" si="271"/>
        <v>0</v>
      </c>
      <c r="BZ335" s="3" t="s">
        <v>162</v>
      </c>
      <c r="CA335" s="3">
        <f t="shared" si="243"/>
        <v>0</v>
      </c>
      <c r="CB335" s="3">
        <f t="shared" si="244"/>
        <v>0</v>
      </c>
      <c r="CC335" s="3">
        <f t="shared" si="245"/>
        <v>0</v>
      </c>
      <c r="CD335" s="3">
        <f t="shared" si="246"/>
        <v>0</v>
      </c>
      <c r="CE335" s="22">
        <f t="shared" si="251"/>
        <v>0</v>
      </c>
      <c r="CF335" s="1">
        <f t="shared" si="247"/>
        <v>0</v>
      </c>
      <c r="CG335" s="1">
        <f t="shared" si="252"/>
        <v>0</v>
      </c>
      <c r="CH335" s="3" t="s">
        <v>162</v>
      </c>
      <c r="CI335" s="1">
        <f t="shared" si="253"/>
        <v>0</v>
      </c>
      <c r="CJ335" s="1">
        <f t="shared" si="254"/>
        <v>0</v>
      </c>
      <c r="CK335" s="1">
        <f t="shared" si="255"/>
        <v>0</v>
      </c>
      <c r="CL335" s="1">
        <f t="shared" si="256"/>
        <v>0</v>
      </c>
      <c r="CM335" s="2">
        <f t="shared" si="257"/>
        <v>0</v>
      </c>
      <c r="CN335" s="1">
        <f t="shared" si="258"/>
        <v>0</v>
      </c>
      <c r="CO335" s="1">
        <f t="shared" si="259"/>
        <v>0</v>
      </c>
      <c r="CP335" s="3" t="s">
        <v>162</v>
      </c>
      <c r="CQ335" s="1">
        <f t="shared" si="260"/>
        <v>0</v>
      </c>
      <c r="CR335" s="1">
        <f t="shared" si="261"/>
        <v>0</v>
      </c>
      <c r="CS335" s="1">
        <f t="shared" si="262"/>
        <v>0</v>
      </c>
      <c r="CT335" s="1">
        <f t="shared" si="263"/>
        <v>0</v>
      </c>
      <c r="CU335" s="2">
        <f t="shared" si="264"/>
        <v>0</v>
      </c>
      <c r="CV335" s="14">
        <f t="shared" si="265"/>
        <v>0</v>
      </c>
      <c r="CW335" s="1">
        <f>ROUND(PPTest!K335,1)</f>
        <v>0</v>
      </c>
      <c r="CX335" s="3">
        <f t="shared" si="266"/>
        <v>0</v>
      </c>
      <c r="CY335" s="3">
        <f t="shared" si="267"/>
        <v>0</v>
      </c>
      <c r="CZ335" s="19">
        <f t="shared" si="268"/>
        <v>0</v>
      </c>
      <c r="DA335" s="19" t="e">
        <f t="shared" si="268"/>
        <v>#DIV/0!</v>
      </c>
      <c r="DB335" s="16">
        <f t="shared" si="269"/>
        <v>0</v>
      </c>
    </row>
    <row r="336" spans="1:106" x14ac:dyDescent="0.2">
      <c r="A336" s="15">
        <f t="shared" si="270"/>
        <v>45988</v>
      </c>
      <c r="B336" s="1">
        <v>331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2"/>
      <c r="AZ336" s="14"/>
      <c r="BA336" s="16">
        <v>5.28</v>
      </c>
      <c r="BB336" s="41"/>
      <c r="BC336" s="41"/>
      <c r="BD336" s="8" t="e">
        <f t="shared" si="229"/>
        <v>#DIV/0!</v>
      </c>
      <c r="BE336" s="8"/>
      <c r="BF336" s="2">
        <f t="shared" si="248"/>
        <v>0</v>
      </c>
      <c r="BG336" s="2">
        <f t="shared" si="249"/>
        <v>0</v>
      </c>
      <c r="BH336" s="2">
        <f t="shared" si="250"/>
        <v>0</v>
      </c>
      <c r="BI336" s="35">
        <f t="shared" si="228"/>
        <v>0</v>
      </c>
      <c r="BJ336" s="35" t="e">
        <f t="shared" si="230"/>
        <v>#DIV/0!</v>
      </c>
      <c r="BL336" s="3">
        <f t="shared" si="231"/>
        <v>0</v>
      </c>
      <c r="BM336" s="19" t="e">
        <f t="shared" si="232"/>
        <v>#DIV/0!</v>
      </c>
      <c r="BN336" s="19" t="e">
        <f t="shared" si="233"/>
        <v>#DIV/0!</v>
      </c>
      <c r="BO336" s="19" t="e">
        <f t="shared" si="234"/>
        <v>#DIV/0!</v>
      </c>
      <c r="BP336" s="19" t="e">
        <f t="shared" si="235"/>
        <v>#DIV/0!</v>
      </c>
      <c r="BQ336" s="19" t="e">
        <f t="shared" si="236"/>
        <v>#DIV/0!</v>
      </c>
      <c r="BR336" s="19" t="e">
        <f t="shared" si="237"/>
        <v>#DIV/0!</v>
      </c>
      <c r="BS336" s="19" t="e">
        <f t="shared" si="238"/>
        <v>#DIV/0!</v>
      </c>
      <c r="BT336" s="19" t="e">
        <f t="shared" si="239"/>
        <v>#DIV/0!</v>
      </c>
      <c r="BV336" s="16">
        <f t="shared" si="240"/>
        <v>0</v>
      </c>
      <c r="BW336" s="16">
        <f t="shared" si="241"/>
        <v>0</v>
      </c>
      <c r="BX336" s="3">
        <f t="shared" si="242"/>
        <v>0</v>
      </c>
      <c r="BY336" s="3">
        <f t="shared" si="271"/>
        <v>0</v>
      </c>
      <c r="BZ336" s="3" t="s">
        <v>162</v>
      </c>
      <c r="CA336" s="3">
        <f t="shared" si="243"/>
        <v>0</v>
      </c>
      <c r="CB336" s="3">
        <f t="shared" si="244"/>
        <v>0</v>
      </c>
      <c r="CC336" s="3">
        <f t="shared" si="245"/>
        <v>0</v>
      </c>
      <c r="CD336" s="3">
        <f t="shared" si="246"/>
        <v>0</v>
      </c>
      <c r="CE336" s="22">
        <f t="shared" si="251"/>
        <v>0</v>
      </c>
      <c r="CF336" s="1">
        <f t="shared" si="247"/>
        <v>0</v>
      </c>
      <c r="CG336" s="1">
        <f t="shared" si="252"/>
        <v>0</v>
      </c>
      <c r="CH336" s="3" t="s">
        <v>162</v>
      </c>
      <c r="CI336" s="1">
        <f t="shared" si="253"/>
        <v>0</v>
      </c>
      <c r="CJ336" s="1">
        <f t="shared" si="254"/>
        <v>0</v>
      </c>
      <c r="CK336" s="1">
        <f t="shared" si="255"/>
        <v>0</v>
      </c>
      <c r="CL336" s="1">
        <f t="shared" si="256"/>
        <v>0</v>
      </c>
      <c r="CM336" s="2">
        <f t="shared" si="257"/>
        <v>0</v>
      </c>
      <c r="CN336" s="1">
        <f t="shared" si="258"/>
        <v>0</v>
      </c>
      <c r="CO336" s="1">
        <f t="shared" si="259"/>
        <v>0</v>
      </c>
      <c r="CP336" s="3" t="s">
        <v>162</v>
      </c>
      <c r="CQ336" s="1">
        <f t="shared" si="260"/>
        <v>0</v>
      </c>
      <c r="CR336" s="1">
        <f t="shared" si="261"/>
        <v>0</v>
      </c>
      <c r="CS336" s="1">
        <f t="shared" si="262"/>
        <v>0</v>
      </c>
      <c r="CT336" s="1">
        <f t="shared" si="263"/>
        <v>0</v>
      </c>
      <c r="CU336" s="2">
        <f t="shared" si="264"/>
        <v>0</v>
      </c>
      <c r="CV336" s="14">
        <f t="shared" si="265"/>
        <v>0</v>
      </c>
      <c r="CW336" s="1">
        <f>ROUND(PPTest!K336,1)</f>
        <v>0</v>
      </c>
      <c r="CX336" s="3">
        <f t="shared" si="266"/>
        <v>0</v>
      </c>
      <c r="CY336" s="3">
        <f t="shared" si="267"/>
        <v>0</v>
      </c>
      <c r="CZ336" s="19">
        <f t="shared" si="268"/>
        <v>0</v>
      </c>
      <c r="DA336" s="19" t="e">
        <f t="shared" si="268"/>
        <v>#DIV/0!</v>
      </c>
      <c r="DB336" s="16">
        <f t="shared" si="269"/>
        <v>0</v>
      </c>
    </row>
    <row r="337" spans="1:106" x14ac:dyDescent="0.2">
      <c r="A337" s="15">
        <f t="shared" si="270"/>
        <v>45989</v>
      </c>
      <c r="B337" s="1">
        <v>332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2"/>
      <c r="AZ337" s="14"/>
      <c r="BA337" s="16">
        <v>5.2</v>
      </c>
      <c r="BB337" s="41"/>
      <c r="BC337" s="41"/>
      <c r="BD337" s="8" t="e">
        <f t="shared" si="229"/>
        <v>#DIV/0!</v>
      </c>
      <c r="BE337" s="8"/>
      <c r="BF337" s="2">
        <f t="shared" si="248"/>
        <v>0</v>
      </c>
      <c r="BG337" s="2">
        <f t="shared" si="249"/>
        <v>0</v>
      </c>
      <c r="BH337" s="2">
        <f t="shared" si="250"/>
        <v>0</v>
      </c>
      <c r="BI337" s="35">
        <f t="shared" si="228"/>
        <v>0</v>
      </c>
      <c r="BJ337" s="35" t="e">
        <f t="shared" si="230"/>
        <v>#DIV/0!</v>
      </c>
      <c r="BL337" s="3">
        <f t="shared" si="231"/>
        <v>0</v>
      </c>
      <c r="BM337" s="19" t="e">
        <f t="shared" si="232"/>
        <v>#DIV/0!</v>
      </c>
      <c r="BN337" s="19" t="e">
        <f t="shared" si="233"/>
        <v>#DIV/0!</v>
      </c>
      <c r="BO337" s="19" t="e">
        <f t="shared" si="234"/>
        <v>#DIV/0!</v>
      </c>
      <c r="BP337" s="19" t="e">
        <f t="shared" si="235"/>
        <v>#DIV/0!</v>
      </c>
      <c r="BQ337" s="19" t="e">
        <f t="shared" si="236"/>
        <v>#DIV/0!</v>
      </c>
      <c r="BR337" s="19" t="e">
        <f t="shared" si="237"/>
        <v>#DIV/0!</v>
      </c>
      <c r="BS337" s="19" t="e">
        <f t="shared" si="238"/>
        <v>#DIV/0!</v>
      </c>
      <c r="BT337" s="19" t="e">
        <f t="shared" si="239"/>
        <v>#DIV/0!</v>
      </c>
      <c r="BV337" s="16">
        <f t="shared" si="240"/>
        <v>0</v>
      </c>
      <c r="BW337" s="16">
        <f t="shared" si="241"/>
        <v>0</v>
      </c>
      <c r="BX337" s="3">
        <f t="shared" si="242"/>
        <v>0</v>
      </c>
      <c r="BY337" s="3">
        <f t="shared" si="271"/>
        <v>0</v>
      </c>
      <c r="BZ337" s="3" t="s">
        <v>162</v>
      </c>
      <c r="CA337" s="3">
        <f t="shared" si="243"/>
        <v>0</v>
      </c>
      <c r="CB337" s="3">
        <f t="shared" si="244"/>
        <v>0</v>
      </c>
      <c r="CC337" s="3">
        <f t="shared" si="245"/>
        <v>0</v>
      </c>
      <c r="CD337" s="3">
        <f t="shared" si="246"/>
        <v>0</v>
      </c>
      <c r="CE337" s="22">
        <f t="shared" si="251"/>
        <v>0</v>
      </c>
      <c r="CF337" s="1">
        <f t="shared" si="247"/>
        <v>0</v>
      </c>
      <c r="CG337" s="1">
        <f t="shared" si="252"/>
        <v>0</v>
      </c>
      <c r="CH337" s="3" t="s">
        <v>162</v>
      </c>
      <c r="CI337" s="1">
        <f t="shared" si="253"/>
        <v>0</v>
      </c>
      <c r="CJ337" s="1">
        <f t="shared" si="254"/>
        <v>0</v>
      </c>
      <c r="CK337" s="1">
        <f t="shared" si="255"/>
        <v>0</v>
      </c>
      <c r="CL337" s="1">
        <f t="shared" si="256"/>
        <v>0</v>
      </c>
      <c r="CM337" s="2">
        <f t="shared" si="257"/>
        <v>0</v>
      </c>
      <c r="CN337" s="1">
        <f t="shared" si="258"/>
        <v>0</v>
      </c>
      <c r="CO337" s="1">
        <f t="shared" si="259"/>
        <v>0</v>
      </c>
      <c r="CP337" s="3" t="s">
        <v>162</v>
      </c>
      <c r="CQ337" s="1">
        <f t="shared" si="260"/>
        <v>0</v>
      </c>
      <c r="CR337" s="1">
        <f t="shared" si="261"/>
        <v>0</v>
      </c>
      <c r="CS337" s="1">
        <f t="shared" si="262"/>
        <v>0</v>
      </c>
      <c r="CT337" s="1">
        <f t="shared" si="263"/>
        <v>0</v>
      </c>
      <c r="CU337" s="2">
        <f t="shared" si="264"/>
        <v>0</v>
      </c>
      <c r="CV337" s="14">
        <f t="shared" si="265"/>
        <v>0</v>
      </c>
      <c r="CW337" s="1">
        <f>ROUND(PPTest!K337,1)</f>
        <v>0</v>
      </c>
      <c r="CX337" s="3">
        <f t="shared" si="266"/>
        <v>0</v>
      </c>
      <c r="CY337" s="3">
        <f t="shared" si="267"/>
        <v>0</v>
      </c>
      <c r="CZ337" s="19">
        <f t="shared" si="268"/>
        <v>0</v>
      </c>
      <c r="DA337" s="19" t="e">
        <f t="shared" si="268"/>
        <v>#DIV/0!</v>
      </c>
      <c r="DB337" s="16">
        <f t="shared" si="269"/>
        <v>0</v>
      </c>
    </row>
    <row r="338" spans="1:106" x14ac:dyDescent="0.2">
      <c r="A338" s="15">
        <f t="shared" si="270"/>
        <v>45990</v>
      </c>
      <c r="B338" s="1">
        <v>333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2"/>
      <c r="AZ338" s="14"/>
      <c r="BA338" s="16">
        <v>5.13</v>
      </c>
      <c r="BB338" s="41"/>
      <c r="BC338" s="41"/>
      <c r="BD338" s="8" t="e">
        <f t="shared" si="229"/>
        <v>#DIV/0!</v>
      </c>
      <c r="BE338" s="8"/>
      <c r="BF338" s="2">
        <f t="shared" si="248"/>
        <v>0</v>
      </c>
      <c r="BG338" s="2">
        <f t="shared" si="249"/>
        <v>0</v>
      </c>
      <c r="BH338" s="2">
        <f t="shared" si="250"/>
        <v>0</v>
      </c>
      <c r="BI338" s="35">
        <f t="shared" si="228"/>
        <v>0</v>
      </c>
      <c r="BJ338" s="35" t="e">
        <f t="shared" si="230"/>
        <v>#DIV/0!</v>
      </c>
      <c r="BL338" s="3">
        <f t="shared" si="231"/>
        <v>0</v>
      </c>
      <c r="BM338" s="19" t="e">
        <f t="shared" si="232"/>
        <v>#DIV/0!</v>
      </c>
      <c r="BN338" s="19" t="e">
        <f t="shared" si="233"/>
        <v>#DIV/0!</v>
      </c>
      <c r="BO338" s="19" t="e">
        <f t="shared" si="234"/>
        <v>#DIV/0!</v>
      </c>
      <c r="BP338" s="19" t="e">
        <f t="shared" si="235"/>
        <v>#DIV/0!</v>
      </c>
      <c r="BQ338" s="19" t="e">
        <f t="shared" si="236"/>
        <v>#DIV/0!</v>
      </c>
      <c r="BR338" s="19" t="e">
        <f t="shared" si="237"/>
        <v>#DIV/0!</v>
      </c>
      <c r="BS338" s="19" t="e">
        <f t="shared" si="238"/>
        <v>#DIV/0!</v>
      </c>
      <c r="BT338" s="19" t="e">
        <f t="shared" si="239"/>
        <v>#DIV/0!</v>
      </c>
      <c r="BV338" s="16">
        <f t="shared" si="240"/>
        <v>0</v>
      </c>
      <c r="BW338" s="16">
        <f t="shared" si="241"/>
        <v>0</v>
      </c>
      <c r="BX338" s="3">
        <f t="shared" si="242"/>
        <v>0</v>
      </c>
      <c r="BY338" s="3">
        <f t="shared" si="271"/>
        <v>0</v>
      </c>
      <c r="BZ338" s="3" t="s">
        <v>162</v>
      </c>
      <c r="CA338" s="3">
        <f t="shared" si="243"/>
        <v>0</v>
      </c>
      <c r="CB338" s="3">
        <f t="shared" si="244"/>
        <v>0</v>
      </c>
      <c r="CC338" s="3">
        <f t="shared" si="245"/>
        <v>0</v>
      </c>
      <c r="CD338" s="3">
        <f t="shared" si="246"/>
        <v>0</v>
      </c>
      <c r="CE338" s="22">
        <f t="shared" si="251"/>
        <v>0</v>
      </c>
      <c r="CF338" s="1">
        <f t="shared" si="247"/>
        <v>0</v>
      </c>
      <c r="CG338" s="1">
        <f t="shared" si="252"/>
        <v>0</v>
      </c>
      <c r="CH338" s="3" t="s">
        <v>162</v>
      </c>
      <c r="CI338" s="1">
        <f t="shared" si="253"/>
        <v>0</v>
      </c>
      <c r="CJ338" s="1">
        <f t="shared" si="254"/>
        <v>0</v>
      </c>
      <c r="CK338" s="1">
        <f t="shared" si="255"/>
        <v>0</v>
      </c>
      <c r="CL338" s="1">
        <f t="shared" si="256"/>
        <v>0</v>
      </c>
      <c r="CM338" s="2">
        <f t="shared" si="257"/>
        <v>0</v>
      </c>
      <c r="CN338" s="1">
        <f t="shared" si="258"/>
        <v>0</v>
      </c>
      <c r="CO338" s="1">
        <f t="shared" si="259"/>
        <v>0</v>
      </c>
      <c r="CP338" s="3" t="s">
        <v>162</v>
      </c>
      <c r="CQ338" s="1">
        <f t="shared" si="260"/>
        <v>0</v>
      </c>
      <c r="CR338" s="1">
        <f t="shared" si="261"/>
        <v>0</v>
      </c>
      <c r="CS338" s="1">
        <f t="shared" si="262"/>
        <v>0</v>
      </c>
      <c r="CT338" s="1">
        <f t="shared" si="263"/>
        <v>0</v>
      </c>
      <c r="CU338" s="2">
        <f t="shared" si="264"/>
        <v>0</v>
      </c>
      <c r="CV338" s="14">
        <f t="shared" si="265"/>
        <v>0</v>
      </c>
      <c r="CW338" s="1">
        <f>ROUND(PPTest!K338,1)</f>
        <v>0</v>
      </c>
      <c r="CX338" s="3">
        <f t="shared" si="266"/>
        <v>0</v>
      </c>
      <c r="CY338" s="3">
        <f t="shared" si="267"/>
        <v>0</v>
      </c>
      <c r="CZ338" s="19">
        <f t="shared" si="268"/>
        <v>0</v>
      </c>
      <c r="DA338" s="19" t="e">
        <f t="shared" si="268"/>
        <v>#DIV/0!</v>
      </c>
      <c r="DB338" s="16">
        <f t="shared" si="269"/>
        <v>0</v>
      </c>
    </row>
    <row r="339" spans="1:106" x14ac:dyDescent="0.2">
      <c r="A339" s="15">
        <f t="shared" si="270"/>
        <v>45991</v>
      </c>
      <c r="B339" s="1">
        <v>334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2"/>
      <c r="AZ339" s="14"/>
      <c r="BA339" s="16">
        <v>5.0599999999999996</v>
      </c>
      <c r="BB339" s="41"/>
      <c r="BC339" s="41"/>
      <c r="BD339" s="8" t="e">
        <f t="shared" si="229"/>
        <v>#DIV/0!</v>
      </c>
      <c r="BE339" s="8"/>
      <c r="BF339" s="2">
        <f t="shared" si="248"/>
        <v>0</v>
      </c>
      <c r="BG339" s="2">
        <f t="shared" si="249"/>
        <v>0</v>
      </c>
      <c r="BH339" s="2">
        <f t="shared" si="250"/>
        <v>0</v>
      </c>
      <c r="BI339" s="35">
        <f t="shared" si="228"/>
        <v>0</v>
      </c>
      <c r="BJ339" s="35" t="e">
        <f t="shared" si="230"/>
        <v>#DIV/0!</v>
      </c>
      <c r="BL339" s="3">
        <f t="shared" si="231"/>
        <v>0</v>
      </c>
      <c r="BM339" s="19" t="e">
        <f t="shared" si="232"/>
        <v>#DIV/0!</v>
      </c>
      <c r="BN339" s="19" t="e">
        <f t="shared" si="233"/>
        <v>#DIV/0!</v>
      </c>
      <c r="BO339" s="19" t="e">
        <f t="shared" si="234"/>
        <v>#DIV/0!</v>
      </c>
      <c r="BP339" s="19" t="e">
        <f t="shared" si="235"/>
        <v>#DIV/0!</v>
      </c>
      <c r="BQ339" s="19" t="e">
        <f t="shared" si="236"/>
        <v>#DIV/0!</v>
      </c>
      <c r="BR339" s="19" t="e">
        <f t="shared" si="237"/>
        <v>#DIV/0!</v>
      </c>
      <c r="BS339" s="19" t="e">
        <f t="shared" si="238"/>
        <v>#DIV/0!</v>
      </c>
      <c r="BT339" s="19" t="e">
        <f t="shared" si="239"/>
        <v>#DIV/0!</v>
      </c>
      <c r="BV339" s="16">
        <f t="shared" si="240"/>
        <v>0</v>
      </c>
      <c r="BW339" s="16">
        <f t="shared" si="241"/>
        <v>0</v>
      </c>
      <c r="BX339" s="3">
        <f t="shared" si="242"/>
        <v>0</v>
      </c>
      <c r="BY339" s="3">
        <f t="shared" si="271"/>
        <v>0</v>
      </c>
      <c r="BZ339" s="3" t="s">
        <v>162</v>
      </c>
      <c r="CA339" s="3">
        <f t="shared" si="243"/>
        <v>0</v>
      </c>
      <c r="CB339" s="3">
        <f t="shared" si="244"/>
        <v>0</v>
      </c>
      <c r="CC339" s="3">
        <f t="shared" si="245"/>
        <v>0</v>
      </c>
      <c r="CD339" s="3">
        <f t="shared" si="246"/>
        <v>0</v>
      </c>
      <c r="CE339" s="22">
        <f t="shared" si="251"/>
        <v>0</v>
      </c>
      <c r="CF339" s="1">
        <f t="shared" si="247"/>
        <v>0</v>
      </c>
      <c r="CG339" s="1">
        <f t="shared" si="252"/>
        <v>0</v>
      </c>
      <c r="CH339" s="3" t="s">
        <v>162</v>
      </c>
      <c r="CI339" s="1">
        <f t="shared" si="253"/>
        <v>0</v>
      </c>
      <c r="CJ339" s="1">
        <f t="shared" si="254"/>
        <v>0</v>
      </c>
      <c r="CK339" s="1">
        <f t="shared" si="255"/>
        <v>0</v>
      </c>
      <c r="CL339" s="1">
        <f t="shared" si="256"/>
        <v>0</v>
      </c>
      <c r="CM339" s="2">
        <f t="shared" si="257"/>
        <v>0</v>
      </c>
      <c r="CN339" s="1">
        <f t="shared" si="258"/>
        <v>0</v>
      </c>
      <c r="CO339" s="1">
        <f t="shared" si="259"/>
        <v>0</v>
      </c>
      <c r="CP339" s="3" t="s">
        <v>162</v>
      </c>
      <c r="CQ339" s="1">
        <f t="shared" si="260"/>
        <v>0</v>
      </c>
      <c r="CR339" s="1">
        <f t="shared" si="261"/>
        <v>0</v>
      </c>
      <c r="CS339" s="1">
        <f t="shared" si="262"/>
        <v>0</v>
      </c>
      <c r="CT339" s="1">
        <f t="shared" si="263"/>
        <v>0</v>
      </c>
      <c r="CU339" s="2">
        <f t="shared" si="264"/>
        <v>0</v>
      </c>
      <c r="CV339" s="14">
        <f t="shared" si="265"/>
        <v>0</v>
      </c>
      <c r="CW339" s="1">
        <f>ROUND(PPTest!K339,1)</f>
        <v>0</v>
      </c>
      <c r="CX339" s="3">
        <f t="shared" si="266"/>
        <v>0</v>
      </c>
      <c r="CY339" s="3">
        <f t="shared" si="267"/>
        <v>0</v>
      </c>
      <c r="CZ339" s="19">
        <f t="shared" si="268"/>
        <v>0</v>
      </c>
      <c r="DA339" s="19" t="e">
        <f t="shared" si="268"/>
        <v>#DIV/0!</v>
      </c>
      <c r="DB339" s="16">
        <f t="shared" si="269"/>
        <v>0</v>
      </c>
    </row>
    <row r="340" spans="1:106" x14ac:dyDescent="0.2">
      <c r="A340" s="15">
        <f t="shared" si="270"/>
        <v>45992</v>
      </c>
      <c r="B340" s="1">
        <v>335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2"/>
      <c r="AZ340" s="14"/>
      <c r="BA340" s="16">
        <v>5</v>
      </c>
      <c r="BB340" s="41"/>
      <c r="BC340" s="41"/>
      <c r="BD340" s="8" t="e">
        <f t="shared" si="229"/>
        <v>#DIV/0!</v>
      </c>
      <c r="BE340" s="8"/>
      <c r="BF340" s="2">
        <f t="shared" si="248"/>
        <v>0</v>
      </c>
      <c r="BG340" s="2">
        <f t="shared" si="249"/>
        <v>0</v>
      </c>
      <c r="BH340" s="2">
        <f t="shared" si="250"/>
        <v>0</v>
      </c>
      <c r="BI340" s="35">
        <f t="shared" si="228"/>
        <v>0</v>
      </c>
      <c r="BJ340" s="35" t="e">
        <f t="shared" si="230"/>
        <v>#DIV/0!</v>
      </c>
      <c r="BK340" s="2"/>
      <c r="BL340" s="3">
        <f t="shared" si="231"/>
        <v>0</v>
      </c>
      <c r="BM340" s="19" t="e">
        <f t="shared" si="232"/>
        <v>#DIV/0!</v>
      </c>
      <c r="BN340" s="19" t="e">
        <f t="shared" si="233"/>
        <v>#DIV/0!</v>
      </c>
      <c r="BO340" s="19" t="e">
        <f t="shared" si="234"/>
        <v>#DIV/0!</v>
      </c>
      <c r="BP340" s="19" t="e">
        <f t="shared" si="235"/>
        <v>#DIV/0!</v>
      </c>
      <c r="BQ340" s="19" t="e">
        <f t="shared" si="236"/>
        <v>#DIV/0!</v>
      </c>
      <c r="BR340" s="19" t="e">
        <f t="shared" si="237"/>
        <v>#DIV/0!</v>
      </c>
      <c r="BS340" s="19" t="e">
        <f t="shared" si="238"/>
        <v>#DIV/0!</v>
      </c>
      <c r="BT340" s="19" t="e">
        <f t="shared" si="239"/>
        <v>#DIV/0!</v>
      </c>
      <c r="BV340" s="16">
        <f t="shared" si="240"/>
        <v>0</v>
      </c>
      <c r="BW340" s="16">
        <f t="shared" si="241"/>
        <v>0</v>
      </c>
      <c r="BX340" s="3">
        <f t="shared" si="242"/>
        <v>0</v>
      </c>
      <c r="BY340" s="3">
        <f t="shared" si="271"/>
        <v>0</v>
      </c>
      <c r="BZ340" s="3" t="s">
        <v>162</v>
      </c>
      <c r="CA340" s="3">
        <f t="shared" si="243"/>
        <v>0</v>
      </c>
      <c r="CB340" s="3">
        <f t="shared" si="244"/>
        <v>0</v>
      </c>
      <c r="CC340" s="3">
        <f t="shared" si="245"/>
        <v>0</v>
      </c>
      <c r="CD340" s="3">
        <f t="shared" si="246"/>
        <v>0</v>
      </c>
      <c r="CE340" s="22">
        <f t="shared" si="251"/>
        <v>0</v>
      </c>
      <c r="CF340" s="1">
        <f t="shared" si="247"/>
        <v>0</v>
      </c>
      <c r="CG340" s="1">
        <f t="shared" si="252"/>
        <v>0</v>
      </c>
      <c r="CH340" s="3" t="s">
        <v>162</v>
      </c>
      <c r="CI340" s="1">
        <f t="shared" si="253"/>
        <v>0</v>
      </c>
      <c r="CJ340" s="1">
        <f t="shared" si="254"/>
        <v>0</v>
      </c>
      <c r="CK340" s="1">
        <f t="shared" si="255"/>
        <v>0</v>
      </c>
      <c r="CL340" s="1">
        <f t="shared" si="256"/>
        <v>0</v>
      </c>
      <c r="CM340" s="2">
        <f t="shared" si="257"/>
        <v>0</v>
      </c>
      <c r="CN340" s="1">
        <f t="shared" si="258"/>
        <v>0</v>
      </c>
      <c r="CO340" s="1">
        <f t="shared" si="259"/>
        <v>0</v>
      </c>
      <c r="CP340" s="3" t="s">
        <v>162</v>
      </c>
      <c r="CQ340" s="1">
        <f t="shared" si="260"/>
        <v>0</v>
      </c>
      <c r="CR340" s="1">
        <f t="shared" si="261"/>
        <v>0</v>
      </c>
      <c r="CS340" s="1">
        <f t="shared" si="262"/>
        <v>0</v>
      </c>
      <c r="CT340" s="1">
        <f t="shared" si="263"/>
        <v>0</v>
      </c>
      <c r="CU340" s="2">
        <f t="shared" si="264"/>
        <v>0</v>
      </c>
      <c r="CV340" s="14">
        <f t="shared" si="265"/>
        <v>0</v>
      </c>
      <c r="CW340" s="1">
        <f>ROUND(PPTest!K340,1)</f>
        <v>0</v>
      </c>
      <c r="CX340" s="3">
        <f t="shared" si="266"/>
        <v>0</v>
      </c>
      <c r="CY340" s="3">
        <f t="shared" si="267"/>
        <v>0</v>
      </c>
      <c r="CZ340" s="19">
        <f t="shared" si="268"/>
        <v>0</v>
      </c>
      <c r="DA340" s="19" t="e">
        <f t="shared" si="268"/>
        <v>#DIV/0!</v>
      </c>
      <c r="DB340" s="16">
        <f t="shared" si="269"/>
        <v>0</v>
      </c>
    </row>
    <row r="341" spans="1:106" x14ac:dyDescent="0.2">
      <c r="A341" s="15">
        <f t="shared" si="270"/>
        <v>45993</v>
      </c>
      <c r="B341" s="1">
        <v>336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2"/>
      <c r="AZ341" s="14"/>
      <c r="BA341" s="16">
        <v>4.93</v>
      </c>
      <c r="BB341" s="41"/>
      <c r="BC341" s="41"/>
      <c r="BD341" s="8" t="e">
        <f t="shared" si="229"/>
        <v>#DIV/0!</v>
      </c>
      <c r="BE341" s="8"/>
      <c r="BF341" s="2">
        <f t="shared" si="248"/>
        <v>0</v>
      </c>
      <c r="BG341" s="2">
        <f t="shared" si="249"/>
        <v>0</v>
      </c>
      <c r="BH341" s="2">
        <f t="shared" si="250"/>
        <v>0</v>
      </c>
      <c r="BI341" s="35">
        <f t="shared" si="228"/>
        <v>0</v>
      </c>
      <c r="BJ341" s="35" t="e">
        <f t="shared" si="230"/>
        <v>#DIV/0!</v>
      </c>
      <c r="BL341" s="3">
        <f t="shared" si="231"/>
        <v>0</v>
      </c>
      <c r="BM341" s="19" t="e">
        <f t="shared" si="232"/>
        <v>#DIV/0!</v>
      </c>
      <c r="BN341" s="19" t="e">
        <f t="shared" si="233"/>
        <v>#DIV/0!</v>
      </c>
      <c r="BO341" s="19" t="e">
        <f t="shared" si="234"/>
        <v>#DIV/0!</v>
      </c>
      <c r="BP341" s="19" t="e">
        <f t="shared" si="235"/>
        <v>#DIV/0!</v>
      </c>
      <c r="BQ341" s="19" t="e">
        <f t="shared" si="236"/>
        <v>#DIV/0!</v>
      </c>
      <c r="BR341" s="19" t="e">
        <f t="shared" si="237"/>
        <v>#DIV/0!</v>
      </c>
      <c r="BS341" s="19" t="e">
        <f t="shared" si="238"/>
        <v>#DIV/0!</v>
      </c>
      <c r="BT341" s="19" t="e">
        <f t="shared" si="239"/>
        <v>#DIV/0!</v>
      </c>
      <c r="BV341" s="16">
        <f t="shared" si="240"/>
        <v>0</v>
      </c>
      <c r="BW341" s="16">
        <f t="shared" si="241"/>
        <v>0</v>
      </c>
      <c r="BX341" s="3">
        <f t="shared" si="242"/>
        <v>0</v>
      </c>
      <c r="BY341" s="3">
        <f t="shared" si="271"/>
        <v>0</v>
      </c>
      <c r="BZ341" s="3" t="s">
        <v>162</v>
      </c>
      <c r="CA341" s="3">
        <f t="shared" si="243"/>
        <v>0</v>
      </c>
      <c r="CB341" s="3">
        <f t="shared" si="244"/>
        <v>0</v>
      </c>
      <c r="CC341" s="3">
        <f t="shared" si="245"/>
        <v>0</v>
      </c>
      <c r="CD341" s="3">
        <f t="shared" si="246"/>
        <v>0</v>
      </c>
      <c r="CE341" s="22">
        <f t="shared" si="251"/>
        <v>0</v>
      </c>
      <c r="CF341" s="1">
        <f t="shared" si="247"/>
        <v>0</v>
      </c>
      <c r="CG341" s="1">
        <f t="shared" si="252"/>
        <v>0</v>
      </c>
      <c r="CH341" s="3" t="s">
        <v>162</v>
      </c>
      <c r="CI341" s="1">
        <f t="shared" si="253"/>
        <v>0</v>
      </c>
      <c r="CJ341" s="1">
        <f t="shared" si="254"/>
        <v>0</v>
      </c>
      <c r="CK341" s="1">
        <f t="shared" si="255"/>
        <v>0</v>
      </c>
      <c r="CL341" s="1">
        <f t="shared" si="256"/>
        <v>0</v>
      </c>
      <c r="CM341" s="2">
        <f t="shared" si="257"/>
        <v>0</v>
      </c>
      <c r="CN341" s="1">
        <f t="shared" si="258"/>
        <v>0</v>
      </c>
      <c r="CO341" s="1">
        <f t="shared" si="259"/>
        <v>0</v>
      </c>
      <c r="CP341" s="3" t="s">
        <v>162</v>
      </c>
      <c r="CQ341" s="1">
        <f t="shared" si="260"/>
        <v>0</v>
      </c>
      <c r="CR341" s="1">
        <f t="shared" si="261"/>
        <v>0</v>
      </c>
      <c r="CS341" s="1">
        <f t="shared" si="262"/>
        <v>0</v>
      </c>
      <c r="CT341" s="1">
        <f t="shared" si="263"/>
        <v>0</v>
      </c>
      <c r="CU341" s="2">
        <f t="shared" si="264"/>
        <v>0</v>
      </c>
      <c r="CV341" s="14">
        <f t="shared" si="265"/>
        <v>0</v>
      </c>
      <c r="CW341" s="1">
        <f>ROUND(PPTest!K341,1)</f>
        <v>0</v>
      </c>
      <c r="CX341" s="3">
        <f t="shared" si="266"/>
        <v>0</v>
      </c>
      <c r="CY341" s="3">
        <f t="shared" si="267"/>
        <v>0</v>
      </c>
      <c r="CZ341" s="19">
        <f t="shared" si="268"/>
        <v>0</v>
      </c>
      <c r="DA341" s="19" t="e">
        <f t="shared" si="268"/>
        <v>#DIV/0!</v>
      </c>
      <c r="DB341" s="16">
        <f t="shared" si="269"/>
        <v>0</v>
      </c>
    </row>
    <row r="342" spans="1:106" x14ac:dyDescent="0.2">
      <c r="A342" s="15">
        <f t="shared" si="270"/>
        <v>45994</v>
      </c>
      <c r="B342" s="1">
        <v>337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2"/>
      <c r="AZ342" s="14"/>
      <c r="BA342" s="16">
        <v>4.87</v>
      </c>
      <c r="BB342" s="41"/>
      <c r="BC342" s="41"/>
      <c r="BD342" s="8" t="e">
        <f t="shared" si="229"/>
        <v>#DIV/0!</v>
      </c>
      <c r="BE342" s="8"/>
      <c r="BF342" s="2">
        <f t="shared" si="248"/>
        <v>0</v>
      </c>
      <c r="BG342" s="2">
        <f t="shared" si="249"/>
        <v>0</v>
      </c>
      <c r="BH342" s="2">
        <f t="shared" si="250"/>
        <v>0</v>
      </c>
      <c r="BI342" s="35">
        <f t="shared" si="228"/>
        <v>0</v>
      </c>
      <c r="BJ342" s="35" t="e">
        <f t="shared" si="230"/>
        <v>#DIV/0!</v>
      </c>
      <c r="BL342" s="3">
        <f t="shared" si="231"/>
        <v>0</v>
      </c>
      <c r="BM342" s="19" t="e">
        <f t="shared" si="232"/>
        <v>#DIV/0!</v>
      </c>
      <c r="BN342" s="19" t="e">
        <f t="shared" si="233"/>
        <v>#DIV/0!</v>
      </c>
      <c r="BO342" s="19" t="e">
        <f t="shared" si="234"/>
        <v>#DIV/0!</v>
      </c>
      <c r="BP342" s="19" t="e">
        <f t="shared" si="235"/>
        <v>#DIV/0!</v>
      </c>
      <c r="BQ342" s="19" t="e">
        <f t="shared" si="236"/>
        <v>#DIV/0!</v>
      </c>
      <c r="BR342" s="19" t="e">
        <f t="shared" si="237"/>
        <v>#DIV/0!</v>
      </c>
      <c r="BS342" s="19" t="e">
        <f t="shared" si="238"/>
        <v>#DIV/0!</v>
      </c>
      <c r="BT342" s="19" t="e">
        <f t="shared" si="239"/>
        <v>#DIV/0!</v>
      </c>
      <c r="BV342" s="16">
        <f t="shared" si="240"/>
        <v>0</v>
      </c>
      <c r="BW342" s="16">
        <f t="shared" si="241"/>
        <v>0</v>
      </c>
      <c r="BX342" s="3">
        <f t="shared" si="242"/>
        <v>0</v>
      </c>
      <c r="BY342" s="3">
        <f t="shared" si="271"/>
        <v>0</v>
      </c>
      <c r="BZ342" s="3" t="s">
        <v>162</v>
      </c>
      <c r="CA342" s="3">
        <f t="shared" si="243"/>
        <v>0</v>
      </c>
      <c r="CB342" s="3">
        <f t="shared" si="244"/>
        <v>0</v>
      </c>
      <c r="CC342" s="3">
        <f t="shared" si="245"/>
        <v>0</v>
      </c>
      <c r="CD342" s="3">
        <f t="shared" si="246"/>
        <v>0</v>
      </c>
      <c r="CE342" s="22">
        <f t="shared" si="251"/>
        <v>0</v>
      </c>
      <c r="CF342" s="1">
        <f t="shared" si="247"/>
        <v>0</v>
      </c>
      <c r="CG342" s="1">
        <f t="shared" si="252"/>
        <v>0</v>
      </c>
      <c r="CH342" s="3" t="s">
        <v>162</v>
      </c>
      <c r="CI342" s="1">
        <f t="shared" si="253"/>
        <v>0</v>
      </c>
      <c r="CJ342" s="1">
        <f t="shared" si="254"/>
        <v>0</v>
      </c>
      <c r="CK342" s="1">
        <f t="shared" si="255"/>
        <v>0</v>
      </c>
      <c r="CL342" s="1">
        <f t="shared" si="256"/>
        <v>0</v>
      </c>
      <c r="CM342" s="2">
        <f t="shared" si="257"/>
        <v>0</v>
      </c>
      <c r="CN342" s="1">
        <f t="shared" si="258"/>
        <v>0</v>
      </c>
      <c r="CO342" s="1">
        <f t="shared" si="259"/>
        <v>0</v>
      </c>
      <c r="CP342" s="3" t="s">
        <v>162</v>
      </c>
      <c r="CQ342" s="1">
        <f t="shared" si="260"/>
        <v>0</v>
      </c>
      <c r="CR342" s="1">
        <f t="shared" si="261"/>
        <v>0</v>
      </c>
      <c r="CS342" s="1">
        <f t="shared" si="262"/>
        <v>0</v>
      </c>
      <c r="CT342" s="1">
        <f t="shared" si="263"/>
        <v>0</v>
      </c>
      <c r="CU342" s="2">
        <f t="shared" si="264"/>
        <v>0</v>
      </c>
      <c r="CV342" s="14">
        <f t="shared" si="265"/>
        <v>0</v>
      </c>
      <c r="CW342" s="1">
        <f>ROUND(PPTest!K342,1)</f>
        <v>0</v>
      </c>
      <c r="CX342" s="3">
        <f t="shared" si="266"/>
        <v>0</v>
      </c>
      <c r="CY342" s="3">
        <f t="shared" si="267"/>
        <v>0</v>
      </c>
      <c r="CZ342" s="19">
        <f t="shared" si="268"/>
        <v>0</v>
      </c>
      <c r="DA342" s="19" t="e">
        <f t="shared" si="268"/>
        <v>#DIV/0!</v>
      </c>
      <c r="DB342" s="16">
        <f t="shared" si="269"/>
        <v>0</v>
      </c>
    </row>
    <row r="343" spans="1:106" x14ac:dyDescent="0.2">
      <c r="A343" s="15">
        <f t="shared" si="270"/>
        <v>45995</v>
      </c>
      <c r="B343" s="1">
        <v>338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2"/>
      <c r="AZ343" s="14"/>
      <c r="BA343" s="16">
        <v>4.82</v>
      </c>
      <c r="BB343" s="41"/>
      <c r="BC343" s="41"/>
      <c r="BD343" s="8" t="e">
        <f t="shared" si="229"/>
        <v>#DIV/0!</v>
      </c>
      <c r="BE343" s="8"/>
      <c r="BF343" s="2">
        <f t="shared" si="248"/>
        <v>0</v>
      </c>
      <c r="BG343" s="2">
        <f t="shared" si="249"/>
        <v>0</v>
      </c>
      <c r="BH343" s="2">
        <f t="shared" si="250"/>
        <v>0</v>
      </c>
      <c r="BI343" s="35">
        <f t="shared" si="228"/>
        <v>0</v>
      </c>
      <c r="BJ343" s="35" t="e">
        <f t="shared" si="230"/>
        <v>#DIV/0!</v>
      </c>
      <c r="BL343" s="3">
        <f t="shared" si="231"/>
        <v>0</v>
      </c>
      <c r="BM343" s="19" t="e">
        <f t="shared" si="232"/>
        <v>#DIV/0!</v>
      </c>
      <c r="BN343" s="19" t="e">
        <f t="shared" si="233"/>
        <v>#DIV/0!</v>
      </c>
      <c r="BO343" s="19" t="e">
        <f t="shared" si="234"/>
        <v>#DIV/0!</v>
      </c>
      <c r="BP343" s="19" t="e">
        <f t="shared" si="235"/>
        <v>#DIV/0!</v>
      </c>
      <c r="BQ343" s="19" t="e">
        <f t="shared" si="236"/>
        <v>#DIV/0!</v>
      </c>
      <c r="BR343" s="19" t="e">
        <f t="shared" si="237"/>
        <v>#DIV/0!</v>
      </c>
      <c r="BS343" s="19" t="e">
        <f t="shared" si="238"/>
        <v>#DIV/0!</v>
      </c>
      <c r="BT343" s="19" t="e">
        <f t="shared" si="239"/>
        <v>#DIV/0!</v>
      </c>
      <c r="BV343" s="16">
        <f t="shared" si="240"/>
        <v>0</v>
      </c>
      <c r="BW343" s="16">
        <f t="shared" si="241"/>
        <v>0</v>
      </c>
      <c r="BX343" s="3">
        <f t="shared" si="242"/>
        <v>0</v>
      </c>
      <c r="BY343" s="3">
        <f t="shared" si="271"/>
        <v>0</v>
      </c>
      <c r="BZ343" s="3" t="s">
        <v>162</v>
      </c>
      <c r="CA343" s="3">
        <f t="shared" si="243"/>
        <v>0</v>
      </c>
      <c r="CB343" s="3">
        <f t="shared" si="244"/>
        <v>0</v>
      </c>
      <c r="CC343" s="3">
        <f t="shared" si="245"/>
        <v>0</v>
      </c>
      <c r="CD343" s="3">
        <f t="shared" si="246"/>
        <v>0</v>
      </c>
      <c r="CE343" s="22">
        <f t="shared" si="251"/>
        <v>0</v>
      </c>
      <c r="CF343" s="1">
        <f t="shared" si="247"/>
        <v>0</v>
      </c>
      <c r="CG343" s="1">
        <f t="shared" si="252"/>
        <v>0</v>
      </c>
      <c r="CH343" s="3" t="s">
        <v>162</v>
      </c>
      <c r="CI343" s="1">
        <f t="shared" si="253"/>
        <v>0</v>
      </c>
      <c r="CJ343" s="1">
        <f t="shared" si="254"/>
        <v>0</v>
      </c>
      <c r="CK343" s="1">
        <f t="shared" si="255"/>
        <v>0</v>
      </c>
      <c r="CL343" s="1">
        <f t="shared" si="256"/>
        <v>0</v>
      </c>
      <c r="CM343" s="2">
        <f t="shared" si="257"/>
        <v>0</v>
      </c>
      <c r="CN343" s="1">
        <f t="shared" si="258"/>
        <v>0</v>
      </c>
      <c r="CO343" s="1">
        <f t="shared" si="259"/>
        <v>0</v>
      </c>
      <c r="CP343" s="3" t="s">
        <v>162</v>
      </c>
      <c r="CQ343" s="1">
        <f t="shared" si="260"/>
        <v>0</v>
      </c>
      <c r="CR343" s="1">
        <f t="shared" si="261"/>
        <v>0</v>
      </c>
      <c r="CS343" s="1">
        <f t="shared" si="262"/>
        <v>0</v>
      </c>
      <c r="CT343" s="1">
        <f t="shared" si="263"/>
        <v>0</v>
      </c>
      <c r="CU343" s="2">
        <f t="shared" si="264"/>
        <v>0</v>
      </c>
      <c r="CV343" s="14">
        <f t="shared" si="265"/>
        <v>0</v>
      </c>
      <c r="CW343" s="1">
        <f>ROUND(PPTest!K343,1)</f>
        <v>0</v>
      </c>
      <c r="CX343" s="3">
        <f t="shared" si="266"/>
        <v>0</v>
      </c>
      <c r="CY343" s="3">
        <f t="shared" si="267"/>
        <v>0</v>
      </c>
      <c r="CZ343" s="19">
        <f t="shared" si="268"/>
        <v>0</v>
      </c>
      <c r="DA343" s="19" t="e">
        <f t="shared" si="268"/>
        <v>#DIV/0!</v>
      </c>
      <c r="DB343" s="16">
        <f t="shared" si="269"/>
        <v>0</v>
      </c>
    </row>
    <row r="344" spans="1:106" x14ac:dyDescent="0.2">
      <c r="A344" s="15">
        <f t="shared" si="270"/>
        <v>45996</v>
      </c>
      <c r="B344" s="1">
        <v>339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2"/>
      <c r="AZ344" s="14"/>
      <c r="BA344" s="16">
        <v>4.7699999999999996</v>
      </c>
      <c r="BB344" s="41"/>
      <c r="BC344" s="41"/>
      <c r="BD344" s="8" t="e">
        <f t="shared" si="229"/>
        <v>#DIV/0!</v>
      </c>
      <c r="BE344" s="8"/>
      <c r="BF344" s="2">
        <f t="shared" si="248"/>
        <v>0</v>
      </c>
      <c r="BG344" s="2">
        <f t="shared" si="249"/>
        <v>0</v>
      </c>
      <c r="BH344" s="2">
        <f t="shared" si="250"/>
        <v>0</v>
      </c>
      <c r="BI344" s="35">
        <f t="shared" si="228"/>
        <v>0</v>
      </c>
      <c r="BJ344" s="35" t="e">
        <f t="shared" si="230"/>
        <v>#DIV/0!</v>
      </c>
      <c r="BL344" s="3">
        <f t="shared" si="231"/>
        <v>0</v>
      </c>
      <c r="BM344" s="19" t="e">
        <f t="shared" si="232"/>
        <v>#DIV/0!</v>
      </c>
      <c r="BN344" s="19" t="e">
        <f t="shared" si="233"/>
        <v>#DIV/0!</v>
      </c>
      <c r="BO344" s="19" t="e">
        <f t="shared" si="234"/>
        <v>#DIV/0!</v>
      </c>
      <c r="BP344" s="19" t="e">
        <f t="shared" si="235"/>
        <v>#DIV/0!</v>
      </c>
      <c r="BQ344" s="19" t="e">
        <f t="shared" si="236"/>
        <v>#DIV/0!</v>
      </c>
      <c r="BR344" s="19" t="e">
        <f t="shared" si="237"/>
        <v>#DIV/0!</v>
      </c>
      <c r="BS344" s="19" t="e">
        <f t="shared" si="238"/>
        <v>#DIV/0!</v>
      </c>
      <c r="BT344" s="19" t="e">
        <f t="shared" si="239"/>
        <v>#DIV/0!</v>
      </c>
      <c r="BV344" s="16">
        <f t="shared" si="240"/>
        <v>0</v>
      </c>
      <c r="BW344" s="16">
        <f t="shared" si="241"/>
        <v>0</v>
      </c>
      <c r="BX344" s="3">
        <f t="shared" si="242"/>
        <v>0</v>
      </c>
      <c r="BY344" s="3">
        <f t="shared" si="271"/>
        <v>0</v>
      </c>
      <c r="BZ344" s="3" t="s">
        <v>162</v>
      </c>
      <c r="CA344" s="3">
        <f t="shared" si="243"/>
        <v>0</v>
      </c>
      <c r="CB344" s="3">
        <f t="shared" si="244"/>
        <v>0</v>
      </c>
      <c r="CC344" s="3">
        <f t="shared" si="245"/>
        <v>0</v>
      </c>
      <c r="CD344" s="3">
        <f t="shared" si="246"/>
        <v>0</v>
      </c>
      <c r="CE344" s="22">
        <f t="shared" si="251"/>
        <v>0</v>
      </c>
      <c r="CF344" s="1">
        <f t="shared" si="247"/>
        <v>0</v>
      </c>
      <c r="CG344" s="1">
        <f t="shared" si="252"/>
        <v>0</v>
      </c>
      <c r="CH344" s="3" t="s">
        <v>162</v>
      </c>
      <c r="CI344" s="1">
        <f t="shared" si="253"/>
        <v>0</v>
      </c>
      <c r="CJ344" s="1">
        <f t="shared" si="254"/>
        <v>0</v>
      </c>
      <c r="CK344" s="1">
        <f t="shared" si="255"/>
        <v>0</v>
      </c>
      <c r="CL344" s="1">
        <f t="shared" si="256"/>
        <v>0</v>
      </c>
      <c r="CM344" s="2">
        <f t="shared" si="257"/>
        <v>0</v>
      </c>
      <c r="CN344" s="1">
        <f t="shared" si="258"/>
        <v>0</v>
      </c>
      <c r="CO344" s="1">
        <f t="shared" si="259"/>
        <v>0</v>
      </c>
      <c r="CP344" s="3" t="s">
        <v>162</v>
      </c>
      <c r="CQ344" s="1">
        <f t="shared" si="260"/>
        <v>0</v>
      </c>
      <c r="CR344" s="1">
        <f t="shared" si="261"/>
        <v>0</v>
      </c>
      <c r="CS344" s="1">
        <f t="shared" si="262"/>
        <v>0</v>
      </c>
      <c r="CT344" s="1">
        <f t="shared" si="263"/>
        <v>0</v>
      </c>
      <c r="CU344" s="2">
        <f t="shared" si="264"/>
        <v>0</v>
      </c>
      <c r="CV344" s="14">
        <f t="shared" si="265"/>
        <v>0</v>
      </c>
      <c r="CW344" s="1">
        <f>ROUND(PPTest!K344,1)</f>
        <v>0</v>
      </c>
      <c r="CX344" s="3">
        <f t="shared" si="266"/>
        <v>0</v>
      </c>
      <c r="CY344" s="3">
        <f t="shared" si="267"/>
        <v>0</v>
      </c>
      <c r="CZ344" s="19">
        <f t="shared" si="268"/>
        <v>0</v>
      </c>
      <c r="DA344" s="19" t="e">
        <f t="shared" si="268"/>
        <v>#DIV/0!</v>
      </c>
      <c r="DB344" s="16">
        <f t="shared" si="269"/>
        <v>0</v>
      </c>
    </row>
    <row r="345" spans="1:106" x14ac:dyDescent="0.2">
      <c r="A345" s="15">
        <f t="shared" si="270"/>
        <v>45997</v>
      </c>
      <c r="B345" s="1">
        <v>340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2"/>
      <c r="AZ345" s="14"/>
      <c r="BA345" s="16">
        <v>4.71</v>
      </c>
      <c r="BB345" s="41"/>
      <c r="BC345" s="41"/>
      <c r="BD345" s="8" t="e">
        <f t="shared" si="229"/>
        <v>#DIV/0!</v>
      </c>
      <c r="BE345" s="8"/>
      <c r="BF345" s="2">
        <f t="shared" si="248"/>
        <v>0</v>
      </c>
      <c r="BG345" s="2">
        <f t="shared" si="249"/>
        <v>0</v>
      </c>
      <c r="BH345" s="2">
        <f t="shared" si="250"/>
        <v>0</v>
      </c>
      <c r="BI345" s="35">
        <f t="shared" si="228"/>
        <v>0</v>
      </c>
      <c r="BJ345" s="35" t="e">
        <f t="shared" si="230"/>
        <v>#DIV/0!</v>
      </c>
      <c r="BL345" s="3">
        <f t="shared" si="231"/>
        <v>0</v>
      </c>
      <c r="BM345" s="19" t="e">
        <f t="shared" si="232"/>
        <v>#DIV/0!</v>
      </c>
      <c r="BN345" s="19" t="e">
        <f t="shared" si="233"/>
        <v>#DIV/0!</v>
      </c>
      <c r="BO345" s="19" t="e">
        <f t="shared" si="234"/>
        <v>#DIV/0!</v>
      </c>
      <c r="BP345" s="19" t="e">
        <f t="shared" si="235"/>
        <v>#DIV/0!</v>
      </c>
      <c r="BQ345" s="19" t="e">
        <f t="shared" si="236"/>
        <v>#DIV/0!</v>
      </c>
      <c r="BR345" s="19" t="e">
        <f t="shared" si="237"/>
        <v>#DIV/0!</v>
      </c>
      <c r="BS345" s="19" t="e">
        <f t="shared" si="238"/>
        <v>#DIV/0!</v>
      </c>
      <c r="BT345" s="19" t="e">
        <f t="shared" si="239"/>
        <v>#DIV/0!</v>
      </c>
      <c r="BV345" s="16">
        <f t="shared" si="240"/>
        <v>0</v>
      </c>
      <c r="BW345" s="16">
        <f t="shared" si="241"/>
        <v>0</v>
      </c>
      <c r="BX345" s="3">
        <f t="shared" si="242"/>
        <v>0</v>
      </c>
      <c r="BY345" s="3">
        <f t="shared" si="271"/>
        <v>0</v>
      </c>
      <c r="BZ345" s="3" t="s">
        <v>162</v>
      </c>
      <c r="CA345" s="3">
        <f t="shared" si="243"/>
        <v>0</v>
      </c>
      <c r="CB345" s="3">
        <f t="shared" si="244"/>
        <v>0</v>
      </c>
      <c r="CC345" s="3">
        <f t="shared" si="245"/>
        <v>0</v>
      </c>
      <c r="CD345" s="3">
        <f t="shared" si="246"/>
        <v>0</v>
      </c>
      <c r="CE345" s="22">
        <f t="shared" si="251"/>
        <v>0</v>
      </c>
      <c r="CF345" s="1">
        <f t="shared" si="247"/>
        <v>0</v>
      </c>
      <c r="CG345" s="1">
        <f t="shared" si="252"/>
        <v>0</v>
      </c>
      <c r="CH345" s="3" t="s">
        <v>162</v>
      </c>
      <c r="CI345" s="1">
        <f t="shared" si="253"/>
        <v>0</v>
      </c>
      <c r="CJ345" s="1">
        <f t="shared" si="254"/>
        <v>0</v>
      </c>
      <c r="CK345" s="1">
        <f t="shared" si="255"/>
        <v>0</v>
      </c>
      <c r="CL345" s="1">
        <f t="shared" si="256"/>
        <v>0</v>
      </c>
      <c r="CM345" s="2">
        <f t="shared" si="257"/>
        <v>0</v>
      </c>
      <c r="CN345" s="1">
        <f t="shared" si="258"/>
        <v>0</v>
      </c>
      <c r="CO345" s="1">
        <f t="shared" si="259"/>
        <v>0</v>
      </c>
      <c r="CP345" s="3" t="s">
        <v>162</v>
      </c>
      <c r="CQ345" s="1">
        <f t="shared" si="260"/>
        <v>0</v>
      </c>
      <c r="CR345" s="1">
        <f t="shared" si="261"/>
        <v>0</v>
      </c>
      <c r="CS345" s="1">
        <f t="shared" si="262"/>
        <v>0</v>
      </c>
      <c r="CT345" s="1">
        <f t="shared" si="263"/>
        <v>0</v>
      </c>
      <c r="CU345" s="2">
        <f t="shared" si="264"/>
        <v>0</v>
      </c>
      <c r="CV345" s="14">
        <f t="shared" si="265"/>
        <v>0</v>
      </c>
      <c r="CW345" s="1">
        <f>ROUND(PPTest!K345,1)</f>
        <v>0</v>
      </c>
      <c r="CX345" s="3">
        <f t="shared" si="266"/>
        <v>0</v>
      </c>
      <c r="CY345" s="3">
        <f t="shared" si="267"/>
        <v>0</v>
      </c>
      <c r="CZ345" s="19">
        <f t="shared" si="268"/>
        <v>0</v>
      </c>
      <c r="DA345" s="19" t="e">
        <f t="shared" si="268"/>
        <v>#DIV/0!</v>
      </c>
      <c r="DB345" s="16">
        <f t="shared" si="269"/>
        <v>0</v>
      </c>
    </row>
    <row r="346" spans="1:106" x14ac:dyDescent="0.2">
      <c r="A346" s="15">
        <f t="shared" si="270"/>
        <v>45998</v>
      </c>
      <c r="B346" s="1">
        <v>341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2"/>
      <c r="AZ346" s="14"/>
      <c r="BA346" s="16">
        <v>4.67</v>
      </c>
      <c r="BB346" s="41"/>
      <c r="BC346" s="41"/>
      <c r="BD346" s="8" t="e">
        <f t="shared" si="229"/>
        <v>#DIV/0!</v>
      </c>
      <c r="BE346" s="8"/>
      <c r="BF346" s="2">
        <f t="shared" si="248"/>
        <v>0</v>
      </c>
      <c r="BG346" s="2">
        <f t="shared" si="249"/>
        <v>0</v>
      </c>
      <c r="BH346" s="2">
        <f t="shared" si="250"/>
        <v>0</v>
      </c>
      <c r="BI346" s="35">
        <f t="shared" si="228"/>
        <v>0</v>
      </c>
      <c r="BJ346" s="35" t="e">
        <f t="shared" si="230"/>
        <v>#DIV/0!</v>
      </c>
      <c r="BL346" s="3">
        <f t="shared" si="231"/>
        <v>0</v>
      </c>
      <c r="BM346" s="19" t="e">
        <f t="shared" si="232"/>
        <v>#DIV/0!</v>
      </c>
      <c r="BN346" s="19" t="e">
        <f t="shared" si="233"/>
        <v>#DIV/0!</v>
      </c>
      <c r="BO346" s="19" t="e">
        <f t="shared" si="234"/>
        <v>#DIV/0!</v>
      </c>
      <c r="BP346" s="19" t="e">
        <f t="shared" si="235"/>
        <v>#DIV/0!</v>
      </c>
      <c r="BQ346" s="19" t="e">
        <f t="shared" si="236"/>
        <v>#DIV/0!</v>
      </c>
      <c r="BR346" s="19" t="e">
        <f t="shared" si="237"/>
        <v>#DIV/0!</v>
      </c>
      <c r="BS346" s="19" t="e">
        <f t="shared" si="238"/>
        <v>#DIV/0!</v>
      </c>
      <c r="BT346" s="19" t="e">
        <f t="shared" si="239"/>
        <v>#DIV/0!</v>
      </c>
      <c r="BV346" s="16">
        <f t="shared" si="240"/>
        <v>0</v>
      </c>
      <c r="BW346" s="16">
        <f t="shared" si="241"/>
        <v>0</v>
      </c>
      <c r="BX346" s="3">
        <f t="shared" si="242"/>
        <v>0</v>
      </c>
      <c r="BY346" s="3">
        <f t="shared" si="271"/>
        <v>0</v>
      </c>
      <c r="BZ346" s="3" t="s">
        <v>162</v>
      </c>
      <c r="CA346" s="3">
        <f t="shared" si="243"/>
        <v>0</v>
      </c>
      <c r="CB346" s="3">
        <f t="shared" si="244"/>
        <v>0</v>
      </c>
      <c r="CC346" s="3">
        <f t="shared" si="245"/>
        <v>0</v>
      </c>
      <c r="CD346" s="3">
        <f t="shared" si="246"/>
        <v>0</v>
      </c>
      <c r="CE346" s="22">
        <f t="shared" si="251"/>
        <v>0</v>
      </c>
      <c r="CF346" s="1">
        <f t="shared" si="247"/>
        <v>0</v>
      </c>
      <c r="CG346" s="1">
        <f t="shared" si="252"/>
        <v>0</v>
      </c>
      <c r="CH346" s="3" t="s">
        <v>162</v>
      </c>
      <c r="CI346" s="1">
        <f t="shared" si="253"/>
        <v>0</v>
      </c>
      <c r="CJ346" s="1">
        <f t="shared" si="254"/>
        <v>0</v>
      </c>
      <c r="CK346" s="1">
        <f t="shared" si="255"/>
        <v>0</v>
      </c>
      <c r="CL346" s="1">
        <f t="shared" si="256"/>
        <v>0</v>
      </c>
      <c r="CM346" s="2">
        <f t="shared" si="257"/>
        <v>0</v>
      </c>
      <c r="CN346" s="1">
        <f t="shared" si="258"/>
        <v>0</v>
      </c>
      <c r="CO346" s="1">
        <f t="shared" si="259"/>
        <v>0</v>
      </c>
      <c r="CP346" s="3" t="s">
        <v>162</v>
      </c>
      <c r="CQ346" s="1">
        <f t="shared" si="260"/>
        <v>0</v>
      </c>
      <c r="CR346" s="1">
        <f t="shared" si="261"/>
        <v>0</v>
      </c>
      <c r="CS346" s="1">
        <f t="shared" si="262"/>
        <v>0</v>
      </c>
      <c r="CT346" s="1">
        <f t="shared" si="263"/>
        <v>0</v>
      </c>
      <c r="CU346" s="2">
        <f t="shared" si="264"/>
        <v>0</v>
      </c>
      <c r="CV346" s="14">
        <f t="shared" si="265"/>
        <v>0</v>
      </c>
      <c r="CW346" s="1">
        <f>ROUND(PPTest!K346,1)</f>
        <v>0</v>
      </c>
      <c r="CX346" s="3">
        <f t="shared" si="266"/>
        <v>0</v>
      </c>
      <c r="CY346" s="3">
        <f t="shared" si="267"/>
        <v>0</v>
      </c>
      <c r="CZ346" s="19">
        <f t="shared" si="268"/>
        <v>0</v>
      </c>
      <c r="DA346" s="19" t="e">
        <f t="shared" si="268"/>
        <v>#DIV/0!</v>
      </c>
      <c r="DB346" s="16">
        <f t="shared" si="269"/>
        <v>0</v>
      </c>
    </row>
    <row r="347" spans="1:106" x14ac:dyDescent="0.2">
      <c r="A347" s="15">
        <f t="shared" si="270"/>
        <v>45999</v>
      </c>
      <c r="B347" s="1">
        <v>342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2"/>
      <c r="AZ347" s="14"/>
      <c r="BA347" s="16">
        <v>4.63</v>
      </c>
      <c r="BB347" s="41"/>
      <c r="BC347" s="41"/>
      <c r="BD347" s="8" t="e">
        <f t="shared" si="229"/>
        <v>#DIV/0!</v>
      </c>
      <c r="BE347" s="8"/>
      <c r="BF347" s="2">
        <f t="shared" si="248"/>
        <v>0</v>
      </c>
      <c r="BG347" s="2">
        <f t="shared" si="249"/>
        <v>0</v>
      </c>
      <c r="BH347" s="2">
        <f t="shared" si="250"/>
        <v>0</v>
      </c>
      <c r="BI347" s="35">
        <f t="shared" si="228"/>
        <v>0</v>
      </c>
      <c r="BJ347" s="35" t="e">
        <f t="shared" si="230"/>
        <v>#DIV/0!</v>
      </c>
      <c r="BL347" s="3">
        <f t="shared" si="231"/>
        <v>0</v>
      </c>
      <c r="BM347" s="19" t="e">
        <f t="shared" si="232"/>
        <v>#DIV/0!</v>
      </c>
      <c r="BN347" s="19" t="e">
        <f t="shared" si="233"/>
        <v>#DIV/0!</v>
      </c>
      <c r="BO347" s="19" t="e">
        <f t="shared" si="234"/>
        <v>#DIV/0!</v>
      </c>
      <c r="BP347" s="19" t="e">
        <f t="shared" si="235"/>
        <v>#DIV/0!</v>
      </c>
      <c r="BQ347" s="19" t="e">
        <f t="shared" si="236"/>
        <v>#DIV/0!</v>
      </c>
      <c r="BR347" s="19" t="e">
        <f t="shared" si="237"/>
        <v>#DIV/0!</v>
      </c>
      <c r="BS347" s="19" t="e">
        <f t="shared" si="238"/>
        <v>#DIV/0!</v>
      </c>
      <c r="BT347" s="19" t="e">
        <f t="shared" si="239"/>
        <v>#DIV/0!</v>
      </c>
      <c r="BV347" s="16">
        <f t="shared" si="240"/>
        <v>0</v>
      </c>
      <c r="BW347" s="16">
        <f t="shared" si="241"/>
        <v>0</v>
      </c>
      <c r="BX347" s="3">
        <f t="shared" si="242"/>
        <v>0</v>
      </c>
      <c r="BY347" s="3">
        <f t="shared" si="271"/>
        <v>0</v>
      </c>
      <c r="BZ347" s="3" t="s">
        <v>162</v>
      </c>
      <c r="CA347" s="3">
        <f t="shared" si="243"/>
        <v>0</v>
      </c>
      <c r="CB347" s="3">
        <f t="shared" si="244"/>
        <v>0</v>
      </c>
      <c r="CC347" s="3">
        <f t="shared" si="245"/>
        <v>0</v>
      </c>
      <c r="CD347" s="3">
        <f t="shared" si="246"/>
        <v>0</v>
      </c>
      <c r="CE347" s="22">
        <f t="shared" si="251"/>
        <v>0</v>
      </c>
      <c r="CF347" s="1">
        <f t="shared" si="247"/>
        <v>0</v>
      </c>
      <c r="CG347" s="1">
        <f t="shared" si="252"/>
        <v>0</v>
      </c>
      <c r="CH347" s="3" t="s">
        <v>162</v>
      </c>
      <c r="CI347" s="1">
        <f t="shared" si="253"/>
        <v>0</v>
      </c>
      <c r="CJ347" s="1">
        <f t="shared" si="254"/>
        <v>0</v>
      </c>
      <c r="CK347" s="1">
        <f t="shared" si="255"/>
        <v>0</v>
      </c>
      <c r="CL347" s="1">
        <f t="shared" si="256"/>
        <v>0</v>
      </c>
      <c r="CM347" s="2">
        <f t="shared" si="257"/>
        <v>0</v>
      </c>
      <c r="CN347" s="1">
        <f t="shared" si="258"/>
        <v>0</v>
      </c>
      <c r="CO347" s="1">
        <f t="shared" si="259"/>
        <v>0</v>
      </c>
      <c r="CP347" s="3" t="s">
        <v>162</v>
      </c>
      <c r="CQ347" s="1">
        <f t="shared" si="260"/>
        <v>0</v>
      </c>
      <c r="CR347" s="1">
        <f t="shared" si="261"/>
        <v>0</v>
      </c>
      <c r="CS347" s="1">
        <f t="shared" si="262"/>
        <v>0</v>
      </c>
      <c r="CT347" s="1">
        <f t="shared" si="263"/>
        <v>0</v>
      </c>
      <c r="CU347" s="2">
        <f t="shared" si="264"/>
        <v>0</v>
      </c>
      <c r="CV347" s="14">
        <f t="shared" si="265"/>
        <v>0</v>
      </c>
      <c r="CW347" s="1">
        <f>ROUND(PPTest!K347,1)</f>
        <v>0</v>
      </c>
      <c r="CX347" s="3">
        <f t="shared" si="266"/>
        <v>0</v>
      </c>
      <c r="CY347" s="3">
        <f t="shared" si="267"/>
        <v>0</v>
      </c>
      <c r="CZ347" s="19">
        <f t="shared" si="268"/>
        <v>0</v>
      </c>
      <c r="DA347" s="19" t="e">
        <f t="shared" si="268"/>
        <v>#DIV/0!</v>
      </c>
      <c r="DB347" s="16">
        <f t="shared" si="269"/>
        <v>0</v>
      </c>
    </row>
    <row r="348" spans="1:106" x14ac:dyDescent="0.2">
      <c r="A348" s="15">
        <f t="shared" si="270"/>
        <v>46000</v>
      </c>
      <c r="B348" s="1">
        <v>343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2"/>
      <c r="AZ348" s="14"/>
      <c r="BA348" s="16">
        <v>4.59</v>
      </c>
      <c r="BB348" s="41"/>
      <c r="BC348" s="41"/>
      <c r="BD348" s="8" t="e">
        <f t="shared" si="229"/>
        <v>#DIV/0!</v>
      </c>
      <c r="BE348" s="8"/>
      <c r="BF348" s="2">
        <f t="shared" si="248"/>
        <v>0</v>
      </c>
      <c r="BG348" s="2">
        <f t="shared" si="249"/>
        <v>0</v>
      </c>
      <c r="BH348" s="2">
        <f t="shared" si="250"/>
        <v>0</v>
      </c>
      <c r="BI348" s="35">
        <f t="shared" si="228"/>
        <v>0</v>
      </c>
      <c r="BJ348" s="35" t="e">
        <f t="shared" si="230"/>
        <v>#DIV/0!</v>
      </c>
      <c r="BL348" s="3">
        <f t="shared" si="231"/>
        <v>0</v>
      </c>
      <c r="BM348" s="19" t="e">
        <f t="shared" si="232"/>
        <v>#DIV/0!</v>
      </c>
      <c r="BN348" s="19" t="e">
        <f t="shared" si="233"/>
        <v>#DIV/0!</v>
      </c>
      <c r="BO348" s="19" t="e">
        <f t="shared" si="234"/>
        <v>#DIV/0!</v>
      </c>
      <c r="BP348" s="19" t="e">
        <f t="shared" si="235"/>
        <v>#DIV/0!</v>
      </c>
      <c r="BQ348" s="19" t="e">
        <f t="shared" si="236"/>
        <v>#DIV/0!</v>
      </c>
      <c r="BR348" s="19" t="e">
        <f t="shared" si="237"/>
        <v>#DIV/0!</v>
      </c>
      <c r="BS348" s="19" t="e">
        <f t="shared" si="238"/>
        <v>#DIV/0!</v>
      </c>
      <c r="BT348" s="19" t="e">
        <f t="shared" si="239"/>
        <v>#DIV/0!</v>
      </c>
      <c r="BV348" s="16">
        <f t="shared" si="240"/>
        <v>0</v>
      </c>
      <c r="BW348" s="16">
        <f t="shared" si="241"/>
        <v>0</v>
      </c>
      <c r="BX348" s="3">
        <f t="shared" si="242"/>
        <v>0</v>
      </c>
      <c r="BY348" s="3">
        <f t="shared" si="271"/>
        <v>0</v>
      </c>
      <c r="BZ348" s="3" t="s">
        <v>162</v>
      </c>
      <c r="CA348" s="3">
        <f t="shared" si="243"/>
        <v>0</v>
      </c>
      <c r="CB348" s="3">
        <f t="shared" si="244"/>
        <v>0</v>
      </c>
      <c r="CC348" s="3">
        <f t="shared" si="245"/>
        <v>0</v>
      </c>
      <c r="CD348" s="3">
        <f t="shared" si="246"/>
        <v>0</v>
      </c>
      <c r="CE348" s="22">
        <f t="shared" si="251"/>
        <v>0</v>
      </c>
      <c r="CF348" s="1">
        <f t="shared" si="247"/>
        <v>0</v>
      </c>
      <c r="CG348" s="1">
        <f t="shared" si="252"/>
        <v>0</v>
      </c>
      <c r="CH348" s="3" t="s">
        <v>162</v>
      </c>
      <c r="CI348" s="1">
        <f t="shared" si="253"/>
        <v>0</v>
      </c>
      <c r="CJ348" s="1">
        <f t="shared" si="254"/>
        <v>0</v>
      </c>
      <c r="CK348" s="1">
        <f t="shared" si="255"/>
        <v>0</v>
      </c>
      <c r="CL348" s="1">
        <f t="shared" si="256"/>
        <v>0</v>
      </c>
      <c r="CM348" s="2">
        <f t="shared" si="257"/>
        <v>0</v>
      </c>
      <c r="CN348" s="1">
        <f t="shared" si="258"/>
        <v>0</v>
      </c>
      <c r="CO348" s="1">
        <f t="shared" si="259"/>
        <v>0</v>
      </c>
      <c r="CP348" s="3" t="s">
        <v>162</v>
      </c>
      <c r="CQ348" s="1">
        <f t="shared" si="260"/>
        <v>0</v>
      </c>
      <c r="CR348" s="1">
        <f t="shared" si="261"/>
        <v>0</v>
      </c>
      <c r="CS348" s="1">
        <f t="shared" si="262"/>
        <v>0</v>
      </c>
      <c r="CT348" s="1">
        <f t="shared" si="263"/>
        <v>0</v>
      </c>
      <c r="CU348" s="2">
        <f t="shared" si="264"/>
        <v>0</v>
      </c>
      <c r="CV348" s="14">
        <f t="shared" si="265"/>
        <v>0</v>
      </c>
      <c r="CW348" s="1">
        <f>ROUND(PPTest!K348,1)</f>
        <v>0</v>
      </c>
      <c r="CX348" s="3">
        <f t="shared" si="266"/>
        <v>0</v>
      </c>
      <c r="CY348" s="3">
        <f t="shared" si="267"/>
        <v>0</v>
      </c>
      <c r="CZ348" s="19">
        <f t="shared" si="268"/>
        <v>0</v>
      </c>
      <c r="DA348" s="19" t="e">
        <f t="shared" si="268"/>
        <v>#DIV/0!</v>
      </c>
      <c r="DB348" s="16">
        <f t="shared" si="269"/>
        <v>0</v>
      </c>
    </row>
    <row r="349" spans="1:106" x14ac:dyDescent="0.2">
      <c r="A349" s="15">
        <f t="shared" si="270"/>
        <v>46001</v>
      </c>
      <c r="B349" s="1">
        <v>344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2"/>
      <c r="AZ349" s="14"/>
      <c r="BA349" s="16">
        <v>4.55</v>
      </c>
      <c r="BB349" s="41"/>
      <c r="BC349" s="41"/>
      <c r="BD349" s="8" t="e">
        <f t="shared" si="229"/>
        <v>#DIV/0!</v>
      </c>
      <c r="BE349" s="8"/>
      <c r="BF349" s="2">
        <f t="shared" si="248"/>
        <v>0</v>
      </c>
      <c r="BG349" s="2">
        <f t="shared" si="249"/>
        <v>0</v>
      </c>
      <c r="BH349" s="2">
        <f t="shared" si="250"/>
        <v>0</v>
      </c>
      <c r="BI349" s="35">
        <f t="shared" si="228"/>
        <v>0</v>
      </c>
      <c r="BJ349" s="35" t="e">
        <f t="shared" si="230"/>
        <v>#DIV/0!</v>
      </c>
      <c r="BL349" s="3">
        <f t="shared" si="231"/>
        <v>0</v>
      </c>
      <c r="BM349" s="19" t="e">
        <f t="shared" si="232"/>
        <v>#DIV/0!</v>
      </c>
      <c r="BN349" s="19" t="e">
        <f t="shared" si="233"/>
        <v>#DIV/0!</v>
      </c>
      <c r="BO349" s="19" t="e">
        <f t="shared" si="234"/>
        <v>#DIV/0!</v>
      </c>
      <c r="BP349" s="19" t="e">
        <f t="shared" si="235"/>
        <v>#DIV/0!</v>
      </c>
      <c r="BQ349" s="19" t="e">
        <f t="shared" si="236"/>
        <v>#DIV/0!</v>
      </c>
      <c r="BR349" s="19" t="e">
        <f t="shared" si="237"/>
        <v>#DIV/0!</v>
      </c>
      <c r="BS349" s="19" t="e">
        <f t="shared" si="238"/>
        <v>#DIV/0!</v>
      </c>
      <c r="BT349" s="19" t="e">
        <f t="shared" si="239"/>
        <v>#DIV/0!</v>
      </c>
      <c r="BV349" s="16">
        <f t="shared" si="240"/>
        <v>0</v>
      </c>
      <c r="BW349" s="16">
        <f t="shared" si="241"/>
        <v>0</v>
      </c>
      <c r="BX349" s="3">
        <f t="shared" si="242"/>
        <v>0</v>
      </c>
      <c r="BY349" s="3">
        <f t="shared" si="271"/>
        <v>0</v>
      </c>
      <c r="BZ349" s="3" t="s">
        <v>162</v>
      </c>
      <c r="CA349" s="3">
        <f t="shared" si="243"/>
        <v>0</v>
      </c>
      <c r="CB349" s="3">
        <f t="shared" si="244"/>
        <v>0</v>
      </c>
      <c r="CC349" s="3">
        <f t="shared" si="245"/>
        <v>0</v>
      </c>
      <c r="CD349" s="3">
        <f t="shared" si="246"/>
        <v>0</v>
      </c>
      <c r="CE349" s="22">
        <f t="shared" si="251"/>
        <v>0</v>
      </c>
      <c r="CF349" s="1">
        <f t="shared" si="247"/>
        <v>0</v>
      </c>
      <c r="CG349" s="1">
        <f t="shared" si="252"/>
        <v>0</v>
      </c>
      <c r="CH349" s="3" t="s">
        <v>162</v>
      </c>
      <c r="CI349" s="1">
        <f t="shared" si="253"/>
        <v>0</v>
      </c>
      <c r="CJ349" s="1">
        <f t="shared" si="254"/>
        <v>0</v>
      </c>
      <c r="CK349" s="1">
        <f t="shared" si="255"/>
        <v>0</v>
      </c>
      <c r="CL349" s="1">
        <f t="shared" si="256"/>
        <v>0</v>
      </c>
      <c r="CM349" s="2">
        <f t="shared" si="257"/>
        <v>0</v>
      </c>
      <c r="CN349" s="1">
        <f t="shared" si="258"/>
        <v>0</v>
      </c>
      <c r="CO349" s="1">
        <f t="shared" si="259"/>
        <v>0</v>
      </c>
      <c r="CP349" s="3" t="s">
        <v>162</v>
      </c>
      <c r="CQ349" s="1">
        <f t="shared" si="260"/>
        <v>0</v>
      </c>
      <c r="CR349" s="1">
        <f t="shared" si="261"/>
        <v>0</v>
      </c>
      <c r="CS349" s="1">
        <f t="shared" si="262"/>
        <v>0</v>
      </c>
      <c r="CT349" s="1">
        <f t="shared" si="263"/>
        <v>0</v>
      </c>
      <c r="CU349" s="2">
        <f t="shared" si="264"/>
        <v>0</v>
      </c>
      <c r="CV349" s="14">
        <f t="shared" si="265"/>
        <v>0</v>
      </c>
      <c r="CW349" s="1">
        <f>ROUND(PPTest!K349,1)</f>
        <v>0</v>
      </c>
      <c r="CX349" s="3">
        <f t="shared" si="266"/>
        <v>0</v>
      </c>
      <c r="CY349" s="3">
        <f t="shared" si="267"/>
        <v>0</v>
      </c>
      <c r="CZ349" s="19">
        <f t="shared" si="268"/>
        <v>0</v>
      </c>
      <c r="DA349" s="19" t="e">
        <f t="shared" si="268"/>
        <v>#DIV/0!</v>
      </c>
      <c r="DB349" s="16">
        <f t="shared" si="269"/>
        <v>0</v>
      </c>
    </row>
    <row r="350" spans="1:106" x14ac:dyDescent="0.2">
      <c r="A350" s="15">
        <f t="shared" si="270"/>
        <v>46002</v>
      </c>
      <c r="B350" s="1">
        <v>345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2"/>
      <c r="AZ350" s="14"/>
      <c r="BA350" s="16">
        <v>4.5199999999999996</v>
      </c>
      <c r="BB350" s="41"/>
      <c r="BC350" s="41"/>
      <c r="BD350" s="8" t="e">
        <f t="shared" si="229"/>
        <v>#DIV/0!</v>
      </c>
      <c r="BE350" s="8"/>
      <c r="BF350" s="2">
        <f t="shared" si="248"/>
        <v>0</v>
      </c>
      <c r="BG350" s="2">
        <f t="shared" si="249"/>
        <v>0</v>
      </c>
      <c r="BH350" s="2">
        <f t="shared" si="250"/>
        <v>0</v>
      </c>
      <c r="BI350" s="35">
        <f t="shared" si="228"/>
        <v>0</v>
      </c>
      <c r="BJ350" s="35" t="e">
        <f t="shared" si="230"/>
        <v>#DIV/0!</v>
      </c>
      <c r="BL350" s="3">
        <f t="shared" si="231"/>
        <v>0</v>
      </c>
      <c r="BM350" s="19" t="e">
        <f t="shared" si="232"/>
        <v>#DIV/0!</v>
      </c>
      <c r="BN350" s="19" t="e">
        <f t="shared" si="233"/>
        <v>#DIV/0!</v>
      </c>
      <c r="BO350" s="19" t="e">
        <f t="shared" si="234"/>
        <v>#DIV/0!</v>
      </c>
      <c r="BP350" s="19" t="e">
        <f t="shared" si="235"/>
        <v>#DIV/0!</v>
      </c>
      <c r="BQ350" s="19" t="e">
        <f t="shared" si="236"/>
        <v>#DIV/0!</v>
      </c>
      <c r="BR350" s="19" t="e">
        <f t="shared" si="237"/>
        <v>#DIV/0!</v>
      </c>
      <c r="BS350" s="19" t="e">
        <f t="shared" si="238"/>
        <v>#DIV/0!</v>
      </c>
      <c r="BT350" s="19" t="e">
        <f t="shared" si="239"/>
        <v>#DIV/0!</v>
      </c>
      <c r="BV350" s="16">
        <f t="shared" si="240"/>
        <v>0</v>
      </c>
      <c r="BW350" s="16">
        <f t="shared" si="241"/>
        <v>0</v>
      </c>
      <c r="BX350" s="3">
        <f t="shared" si="242"/>
        <v>0</v>
      </c>
      <c r="BY350" s="3">
        <f t="shared" si="271"/>
        <v>0</v>
      </c>
      <c r="BZ350" s="3" t="s">
        <v>162</v>
      </c>
      <c r="CA350" s="3">
        <f t="shared" si="243"/>
        <v>0</v>
      </c>
      <c r="CB350" s="3">
        <f t="shared" si="244"/>
        <v>0</v>
      </c>
      <c r="CC350" s="3">
        <f t="shared" si="245"/>
        <v>0</v>
      </c>
      <c r="CD350" s="3">
        <f t="shared" si="246"/>
        <v>0</v>
      </c>
      <c r="CE350" s="22">
        <f t="shared" si="251"/>
        <v>0</v>
      </c>
      <c r="CF350" s="1">
        <f t="shared" si="247"/>
        <v>0</v>
      </c>
      <c r="CG350" s="1">
        <f t="shared" si="252"/>
        <v>0</v>
      </c>
      <c r="CH350" s="3" t="s">
        <v>162</v>
      </c>
      <c r="CI350" s="1">
        <f t="shared" si="253"/>
        <v>0</v>
      </c>
      <c r="CJ350" s="1">
        <f t="shared" si="254"/>
        <v>0</v>
      </c>
      <c r="CK350" s="1">
        <f t="shared" si="255"/>
        <v>0</v>
      </c>
      <c r="CL350" s="1">
        <f t="shared" si="256"/>
        <v>0</v>
      </c>
      <c r="CM350" s="2">
        <f t="shared" si="257"/>
        <v>0</v>
      </c>
      <c r="CN350" s="1">
        <f t="shared" si="258"/>
        <v>0</v>
      </c>
      <c r="CO350" s="1">
        <f t="shared" si="259"/>
        <v>0</v>
      </c>
      <c r="CP350" s="3" t="s">
        <v>162</v>
      </c>
      <c r="CQ350" s="1">
        <f t="shared" si="260"/>
        <v>0</v>
      </c>
      <c r="CR350" s="1">
        <f t="shared" si="261"/>
        <v>0</v>
      </c>
      <c r="CS350" s="1">
        <f t="shared" si="262"/>
        <v>0</v>
      </c>
      <c r="CT350" s="1">
        <f t="shared" si="263"/>
        <v>0</v>
      </c>
      <c r="CU350" s="2">
        <f t="shared" si="264"/>
        <v>0</v>
      </c>
      <c r="CV350" s="14">
        <f t="shared" si="265"/>
        <v>0</v>
      </c>
      <c r="CW350" s="1">
        <f>ROUND(PPTest!K350,1)</f>
        <v>0</v>
      </c>
      <c r="CX350" s="3">
        <f t="shared" si="266"/>
        <v>0</v>
      </c>
      <c r="CY350" s="3">
        <f t="shared" si="267"/>
        <v>0</v>
      </c>
      <c r="CZ350" s="19">
        <f t="shared" si="268"/>
        <v>0</v>
      </c>
      <c r="DA350" s="19" t="e">
        <f t="shared" si="268"/>
        <v>#DIV/0!</v>
      </c>
      <c r="DB350" s="16">
        <f t="shared" si="269"/>
        <v>0</v>
      </c>
    </row>
    <row r="351" spans="1:106" x14ac:dyDescent="0.2">
      <c r="A351" s="15">
        <f t="shared" si="270"/>
        <v>46003</v>
      </c>
      <c r="B351" s="1">
        <v>346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2"/>
      <c r="AZ351" s="14"/>
      <c r="BA351" s="16">
        <v>4.49</v>
      </c>
      <c r="BB351" s="41"/>
      <c r="BC351" s="41"/>
      <c r="BD351" s="8" t="e">
        <f t="shared" si="229"/>
        <v>#DIV/0!</v>
      </c>
      <c r="BE351" s="8"/>
      <c r="BF351" s="2">
        <f t="shared" si="248"/>
        <v>0</v>
      </c>
      <c r="BG351" s="2">
        <f t="shared" si="249"/>
        <v>0</v>
      </c>
      <c r="BH351" s="2">
        <f t="shared" si="250"/>
        <v>0</v>
      </c>
      <c r="BI351" s="35">
        <f t="shared" si="228"/>
        <v>0</v>
      </c>
      <c r="BJ351" s="35" t="e">
        <f t="shared" si="230"/>
        <v>#DIV/0!</v>
      </c>
      <c r="BL351" s="3">
        <f t="shared" si="231"/>
        <v>0</v>
      </c>
      <c r="BM351" s="19" t="e">
        <f t="shared" si="232"/>
        <v>#DIV/0!</v>
      </c>
      <c r="BN351" s="19" t="e">
        <f t="shared" si="233"/>
        <v>#DIV/0!</v>
      </c>
      <c r="BO351" s="19" t="e">
        <f t="shared" si="234"/>
        <v>#DIV/0!</v>
      </c>
      <c r="BP351" s="19" t="e">
        <f t="shared" si="235"/>
        <v>#DIV/0!</v>
      </c>
      <c r="BQ351" s="19" t="e">
        <f t="shared" si="236"/>
        <v>#DIV/0!</v>
      </c>
      <c r="BR351" s="19" t="e">
        <f t="shared" si="237"/>
        <v>#DIV/0!</v>
      </c>
      <c r="BS351" s="19" t="e">
        <f t="shared" si="238"/>
        <v>#DIV/0!</v>
      </c>
      <c r="BT351" s="19" t="e">
        <f t="shared" si="239"/>
        <v>#DIV/0!</v>
      </c>
      <c r="BV351" s="16">
        <f t="shared" si="240"/>
        <v>0</v>
      </c>
      <c r="BW351" s="16">
        <f t="shared" si="241"/>
        <v>0</v>
      </c>
      <c r="BX351" s="3">
        <f t="shared" si="242"/>
        <v>0</v>
      </c>
      <c r="BY351" s="3">
        <f t="shared" si="271"/>
        <v>0</v>
      </c>
      <c r="BZ351" s="3" t="s">
        <v>162</v>
      </c>
      <c r="CA351" s="3">
        <f t="shared" si="243"/>
        <v>0</v>
      </c>
      <c r="CB351" s="3">
        <f t="shared" si="244"/>
        <v>0</v>
      </c>
      <c r="CC351" s="3">
        <f t="shared" si="245"/>
        <v>0</v>
      </c>
      <c r="CD351" s="3">
        <f t="shared" si="246"/>
        <v>0</v>
      </c>
      <c r="CE351" s="22">
        <f t="shared" si="251"/>
        <v>0</v>
      </c>
      <c r="CF351" s="1">
        <f t="shared" si="247"/>
        <v>0</v>
      </c>
      <c r="CG351" s="1">
        <f t="shared" si="252"/>
        <v>0</v>
      </c>
      <c r="CH351" s="3" t="s">
        <v>162</v>
      </c>
      <c r="CI351" s="1">
        <f t="shared" si="253"/>
        <v>0</v>
      </c>
      <c r="CJ351" s="1">
        <f t="shared" si="254"/>
        <v>0</v>
      </c>
      <c r="CK351" s="1">
        <f t="shared" si="255"/>
        <v>0</v>
      </c>
      <c r="CL351" s="1">
        <f t="shared" si="256"/>
        <v>0</v>
      </c>
      <c r="CM351" s="2">
        <f t="shared" si="257"/>
        <v>0</v>
      </c>
      <c r="CN351" s="1">
        <f t="shared" si="258"/>
        <v>0</v>
      </c>
      <c r="CO351" s="1">
        <f t="shared" si="259"/>
        <v>0</v>
      </c>
      <c r="CP351" s="3" t="s">
        <v>162</v>
      </c>
      <c r="CQ351" s="1">
        <f t="shared" si="260"/>
        <v>0</v>
      </c>
      <c r="CR351" s="1">
        <f t="shared" si="261"/>
        <v>0</v>
      </c>
      <c r="CS351" s="1">
        <f t="shared" si="262"/>
        <v>0</v>
      </c>
      <c r="CT351" s="1">
        <f t="shared" si="263"/>
        <v>0</v>
      </c>
      <c r="CU351" s="2">
        <f t="shared" si="264"/>
        <v>0</v>
      </c>
      <c r="CV351" s="14">
        <f t="shared" si="265"/>
        <v>0</v>
      </c>
      <c r="CW351" s="1">
        <f>ROUND(PPTest!K351,1)</f>
        <v>0</v>
      </c>
      <c r="CX351" s="3">
        <f t="shared" si="266"/>
        <v>0</v>
      </c>
      <c r="CY351" s="3">
        <f t="shared" si="267"/>
        <v>0</v>
      </c>
      <c r="CZ351" s="19">
        <f t="shared" si="268"/>
        <v>0</v>
      </c>
      <c r="DA351" s="19" t="e">
        <f t="shared" si="268"/>
        <v>#DIV/0!</v>
      </c>
      <c r="DB351" s="16">
        <f t="shared" si="269"/>
        <v>0</v>
      </c>
    </row>
    <row r="352" spans="1:106" x14ac:dyDescent="0.2">
      <c r="A352" s="15">
        <f t="shared" si="270"/>
        <v>46004</v>
      </c>
      <c r="B352" s="1">
        <v>347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2"/>
      <c r="AZ352" s="14"/>
      <c r="BA352" s="16">
        <v>4.47</v>
      </c>
      <c r="BB352" s="41"/>
      <c r="BC352" s="41"/>
      <c r="BD352" s="8" t="e">
        <f t="shared" si="229"/>
        <v>#DIV/0!</v>
      </c>
      <c r="BE352" s="8"/>
      <c r="BF352" s="2">
        <f t="shared" si="248"/>
        <v>0</v>
      </c>
      <c r="BG352" s="2">
        <f t="shared" si="249"/>
        <v>0</v>
      </c>
      <c r="BH352" s="2">
        <f t="shared" si="250"/>
        <v>0</v>
      </c>
      <c r="BI352" s="35">
        <f t="shared" si="228"/>
        <v>0</v>
      </c>
      <c r="BJ352" s="35" t="e">
        <f t="shared" si="230"/>
        <v>#DIV/0!</v>
      </c>
      <c r="BL352" s="3">
        <f t="shared" si="231"/>
        <v>0</v>
      </c>
      <c r="BM352" s="19" t="e">
        <f t="shared" si="232"/>
        <v>#DIV/0!</v>
      </c>
      <c r="BN352" s="19" t="e">
        <f t="shared" si="233"/>
        <v>#DIV/0!</v>
      </c>
      <c r="BO352" s="19" t="e">
        <f t="shared" si="234"/>
        <v>#DIV/0!</v>
      </c>
      <c r="BP352" s="19" t="e">
        <f t="shared" si="235"/>
        <v>#DIV/0!</v>
      </c>
      <c r="BQ352" s="19" t="e">
        <f t="shared" si="236"/>
        <v>#DIV/0!</v>
      </c>
      <c r="BR352" s="19" t="e">
        <f t="shared" si="237"/>
        <v>#DIV/0!</v>
      </c>
      <c r="BS352" s="19" t="e">
        <f t="shared" si="238"/>
        <v>#DIV/0!</v>
      </c>
      <c r="BT352" s="19" t="e">
        <f t="shared" si="239"/>
        <v>#DIV/0!</v>
      </c>
      <c r="BV352" s="16">
        <f t="shared" si="240"/>
        <v>0</v>
      </c>
      <c r="BW352" s="16">
        <f t="shared" si="241"/>
        <v>0</v>
      </c>
      <c r="BX352" s="3">
        <f t="shared" si="242"/>
        <v>0</v>
      </c>
      <c r="BY352" s="3">
        <f t="shared" si="271"/>
        <v>0</v>
      </c>
      <c r="BZ352" s="3" t="s">
        <v>162</v>
      </c>
      <c r="CA352" s="3">
        <f t="shared" si="243"/>
        <v>0</v>
      </c>
      <c r="CB352" s="3">
        <f t="shared" si="244"/>
        <v>0</v>
      </c>
      <c r="CC352" s="3">
        <f t="shared" si="245"/>
        <v>0</v>
      </c>
      <c r="CD352" s="3">
        <f t="shared" si="246"/>
        <v>0</v>
      </c>
      <c r="CE352" s="22">
        <f t="shared" si="251"/>
        <v>0</v>
      </c>
      <c r="CF352" s="1">
        <f t="shared" si="247"/>
        <v>0</v>
      </c>
      <c r="CG352" s="1">
        <f t="shared" si="252"/>
        <v>0</v>
      </c>
      <c r="CH352" s="3" t="s">
        <v>162</v>
      </c>
      <c r="CI352" s="1">
        <f t="shared" si="253"/>
        <v>0</v>
      </c>
      <c r="CJ352" s="1">
        <f t="shared" si="254"/>
        <v>0</v>
      </c>
      <c r="CK352" s="1">
        <f t="shared" si="255"/>
        <v>0</v>
      </c>
      <c r="CL352" s="1">
        <f t="shared" si="256"/>
        <v>0</v>
      </c>
      <c r="CM352" s="2">
        <f t="shared" si="257"/>
        <v>0</v>
      </c>
      <c r="CN352" s="1">
        <f t="shared" si="258"/>
        <v>0</v>
      </c>
      <c r="CO352" s="1">
        <f t="shared" si="259"/>
        <v>0</v>
      </c>
      <c r="CP352" s="3" t="s">
        <v>162</v>
      </c>
      <c r="CQ352" s="1">
        <f t="shared" si="260"/>
        <v>0</v>
      </c>
      <c r="CR352" s="1">
        <f t="shared" si="261"/>
        <v>0</v>
      </c>
      <c r="CS352" s="1">
        <f t="shared" si="262"/>
        <v>0</v>
      </c>
      <c r="CT352" s="1">
        <f t="shared" si="263"/>
        <v>0</v>
      </c>
      <c r="CU352" s="2">
        <f t="shared" si="264"/>
        <v>0</v>
      </c>
      <c r="CV352" s="14">
        <f t="shared" si="265"/>
        <v>0</v>
      </c>
      <c r="CW352" s="1">
        <f>ROUND(PPTest!K352,1)</f>
        <v>0</v>
      </c>
      <c r="CX352" s="3">
        <f t="shared" si="266"/>
        <v>0</v>
      </c>
      <c r="CY352" s="3">
        <f t="shared" si="267"/>
        <v>0</v>
      </c>
      <c r="CZ352" s="19">
        <f t="shared" si="268"/>
        <v>0</v>
      </c>
      <c r="DA352" s="19" t="e">
        <f t="shared" si="268"/>
        <v>#DIV/0!</v>
      </c>
      <c r="DB352" s="16">
        <f t="shared" si="269"/>
        <v>0</v>
      </c>
    </row>
    <row r="353" spans="1:106" x14ac:dyDescent="0.2">
      <c r="A353" s="15">
        <f t="shared" si="270"/>
        <v>46005</v>
      </c>
      <c r="B353" s="1">
        <v>348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2"/>
      <c r="AZ353" s="14"/>
      <c r="BA353" s="16">
        <v>4.4400000000000004</v>
      </c>
      <c r="BB353" s="41"/>
      <c r="BC353" s="41"/>
      <c r="BD353" s="8" t="e">
        <f t="shared" si="229"/>
        <v>#DIV/0!</v>
      </c>
      <c r="BE353" s="8"/>
      <c r="BF353" s="2">
        <f t="shared" si="248"/>
        <v>0</v>
      </c>
      <c r="BG353" s="2">
        <f t="shared" si="249"/>
        <v>0</v>
      </c>
      <c r="BH353" s="2">
        <f t="shared" si="250"/>
        <v>0</v>
      </c>
      <c r="BI353" s="35">
        <f t="shared" si="228"/>
        <v>0</v>
      </c>
      <c r="BJ353" s="35" t="e">
        <f t="shared" si="230"/>
        <v>#DIV/0!</v>
      </c>
      <c r="BL353" s="3">
        <f t="shared" si="231"/>
        <v>0</v>
      </c>
      <c r="BM353" s="19" t="e">
        <f t="shared" si="232"/>
        <v>#DIV/0!</v>
      </c>
      <c r="BN353" s="19" t="e">
        <f t="shared" si="233"/>
        <v>#DIV/0!</v>
      </c>
      <c r="BO353" s="19" t="e">
        <f t="shared" si="234"/>
        <v>#DIV/0!</v>
      </c>
      <c r="BP353" s="19" t="e">
        <f t="shared" si="235"/>
        <v>#DIV/0!</v>
      </c>
      <c r="BQ353" s="19" t="e">
        <f t="shared" si="236"/>
        <v>#DIV/0!</v>
      </c>
      <c r="BR353" s="19" t="e">
        <f t="shared" si="237"/>
        <v>#DIV/0!</v>
      </c>
      <c r="BS353" s="19" t="e">
        <f t="shared" si="238"/>
        <v>#DIV/0!</v>
      </c>
      <c r="BT353" s="19" t="e">
        <f t="shared" si="239"/>
        <v>#DIV/0!</v>
      </c>
      <c r="BV353" s="16">
        <f t="shared" si="240"/>
        <v>0</v>
      </c>
      <c r="BW353" s="16">
        <f t="shared" si="241"/>
        <v>0</v>
      </c>
      <c r="BX353" s="3">
        <f t="shared" si="242"/>
        <v>0</v>
      </c>
      <c r="BY353" s="3">
        <f t="shared" si="271"/>
        <v>0</v>
      </c>
      <c r="BZ353" s="3" t="s">
        <v>162</v>
      </c>
      <c r="CA353" s="3">
        <f t="shared" si="243"/>
        <v>0</v>
      </c>
      <c r="CB353" s="3">
        <f t="shared" si="244"/>
        <v>0</v>
      </c>
      <c r="CC353" s="3">
        <f t="shared" si="245"/>
        <v>0</v>
      </c>
      <c r="CD353" s="3">
        <f t="shared" si="246"/>
        <v>0</v>
      </c>
      <c r="CE353" s="22">
        <f t="shared" si="251"/>
        <v>0</v>
      </c>
      <c r="CF353" s="1">
        <f t="shared" si="247"/>
        <v>0</v>
      </c>
      <c r="CG353" s="1">
        <f t="shared" si="252"/>
        <v>0</v>
      </c>
      <c r="CH353" s="3" t="s">
        <v>162</v>
      </c>
      <c r="CI353" s="1">
        <f t="shared" si="253"/>
        <v>0</v>
      </c>
      <c r="CJ353" s="1">
        <f t="shared" si="254"/>
        <v>0</v>
      </c>
      <c r="CK353" s="1">
        <f t="shared" si="255"/>
        <v>0</v>
      </c>
      <c r="CL353" s="1">
        <f t="shared" si="256"/>
        <v>0</v>
      </c>
      <c r="CM353" s="2">
        <f t="shared" si="257"/>
        <v>0</v>
      </c>
      <c r="CN353" s="1">
        <f t="shared" si="258"/>
        <v>0</v>
      </c>
      <c r="CO353" s="1">
        <f t="shared" si="259"/>
        <v>0</v>
      </c>
      <c r="CP353" s="3" t="s">
        <v>162</v>
      </c>
      <c r="CQ353" s="1">
        <f t="shared" si="260"/>
        <v>0</v>
      </c>
      <c r="CR353" s="1">
        <f t="shared" si="261"/>
        <v>0</v>
      </c>
      <c r="CS353" s="1">
        <f t="shared" si="262"/>
        <v>0</v>
      </c>
      <c r="CT353" s="1">
        <f t="shared" si="263"/>
        <v>0</v>
      </c>
      <c r="CU353" s="2">
        <f t="shared" si="264"/>
        <v>0</v>
      </c>
      <c r="CV353" s="14">
        <f t="shared" si="265"/>
        <v>0</v>
      </c>
      <c r="CW353" s="1">
        <f>ROUND(PPTest!K353,1)</f>
        <v>0</v>
      </c>
      <c r="CX353" s="3">
        <f t="shared" si="266"/>
        <v>0</v>
      </c>
      <c r="CY353" s="3">
        <f t="shared" si="267"/>
        <v>0</v>
      </c>
      <c r="CZ353" s="19">
        <f t="shared" si="268"/>
        <v>0</v>
      </c>
      <c r="DA353" s="19" t="e">
        <f t="shared" si="268"/>
        <v>#DIV/0!</v>
      </c>
      <c r="DB353" s="16">
        <f t="shared" si="269"/>
        <v>0</v>
      </c>
    </row>
    <row r="354" spans="1:106" x14ac:dyDescent="0.2">
      <c r="A354" s="15">
        <f t="shared" si="270"/>
        <v>46006</v>
      </c>
      <c r="B354" s="1">
        <v>349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2"/>
      <c r="AZ354" s="14"/>
      <c r="BA354" s="16">
        <v>4.42</v>
      </c>
      <c r="BB354" s="41"/>
      <c r="BC354" s="41"/>
      <c r="BD354" s="8" t="e">
        <f t="shared" si="229"/>
        <v>#DIV/0!</v>
      </c>
      <c r="BE354" s="8"/>
      <c r="BF354" s="2">
        <f t="shared" si="248"/>
        <v>0</v>
      </c>
      <c r="BG354" s="2">
        <f t="shared" si="249"/>
        <v>0</v>
      </c>
      <c r="BH354" s="2">
        <f t="shared" si="250"/>
        <v>0</v>
      </c>
      <c r="BI354" s="35">
        <f t="shared" si="228"/>
        <v>0</v>
      </c>
      <c r="BJ354" s="35" t="e">
        <f t="shared" si="230"/>
        <v>#DIV/0!</v>
      </c>
      <c r="BL354" s="3">
        <f t="shared" si="231"/>
        <v>0</v>
      </c>
      <c r="BM354" s="19" t="e">
        <f t="shared" si="232"/>
        <v>#DIV/0!</v>
      </c>
      <c r="BN354" s="19" t="e">
        <f t="shared" si="233"/>
        <v>#DIV/0!</v>
      </c>
      <c r="BO354" s="19" t="e">
        <f t="shared" si="234"/>
        <v>#DIV/0!</v>
      </c>
      <c r="BP354" s="19" t="e">
        <f t="shared" si="235"/>
        <v>#DIV/0!</v>
      </c>
      <c r="BQ354" s="19" t="e">
        <f t="shared" si="236"/>
        <v>#DIV/0!</v>
      </c>
      <c r="BR354" s="19" t="e">
        <f t="shared" si="237"/>
        <v>#DIV/0!</v>
      </c>
      <c r="BS354" s="19" t="e">
        <f t="shared" si="238"/>
        <v>#DIV/0!</v>
      </c>
      <c r="BT354" s="19" t="e">
        <f t="shared" si="239"/>
        <v>#DIV/0!</v>
      </c>
      <c r="BV354" s="16">
        <f t="shared" si="240"/>
        <v>0</v>
      </c>
      <c r="BW354" s="16">
        <f t="shared" si="241"/>
        <v>0</v>
      </c>
      <c r="BX354" s="3">
        <f t="shared" si="242"/>
        <v>0</v>
      </c>
      <c r="BY354" s="3">
        <f t="shared" si="271"/>
        <v>0</v>
      </c>
      <c r="BZ354" s="3" t="s">
        <v>162</v>
      </c>
      <c r="CA354" s="3">
        <f t="shared" si="243"/>
        <v>0</v>
      </c>
      <c r="CB354" s="3">
        <f t="shared" si="244"/>
        <v>0</v>
      </c>
      <c r="CC354" s="3">
        <f t="shared" si="245"/>
        <v>0</v>
      </c>
      <c r="CD354" s="3">
        <f t="shared" si="246"/>
        <v>0</v>
      </c>
      <c r="CE354" s="22">
        <f t="shared" si="251"/>
        <v>0</v>
      </c>
      <c r="CF354" s="1">
        <f t="shared" si="247"/>
        <v>0</v>
      </c>
      <c r="CG354" s="1">
        <f t="shared" si="252"/>
        <v>0</v>
      </c>
      <c r="CH354" s="3" t="s">
        <v>162</v>
      </c>
      <c r="CI354" s="1">
        <f t="shared" si="253"/>
        <v>0</v>
      </c>
      <c r="CJ354" s="1">
        <f t="shared" si="254"/>
        <v>0</v>
      </c>
      <c r="CK354" s="1">
        <f t="shared" si="255"/>
        <v>0</v>
      </c>
      <c r="CL354" s="1">
        <f t="shared" si="256"/>
        <v>0</v>
      </c>
      <c r="CM354" s="2">
        <f t="shared" si="257"/>
        <v>0</v>
      </c>
      <c r="CN354" s="1">
        <f t="shared" si="258"/>
        <v>0</v>
      </c>
      <c r="CO354" s="1">
        <f t="shared" si="259"/>
        <v>0</v>
      </c>
      <c r="CP354" s="3" t="s">
        <v>162</v>
      </c>
      <c r="CQ354" s="1">
        <f t="shared" si="260"/>
        <v>0</v>
      </c>
      <c r="CR354" s="1">
        <f t="shared" si="261"/>
        <v>0</v>
      </c>
      <c r="CS354" s="1">
        <f t="shared" si="262"/>
        <v>0</v>
      </c>
      <c r="CT354" s="1">
        <f t="shared" si="263"/>
        <v>0</v>
      </c>
      <c r="CU354" s="2">
        <f t="shared" si="264"/>
        <v>0</v>
      </c>
      <c r="CV354" s="14">
        <f t="shared" si="265"/>
        <v>0</v>
      </c>
      <c r="CW354" s="1">
        <f>ROUND(PPTest!K354,1)</f>
        <v>0</v>
      </c>
      <c r="CX354" s="3">
        <f t="shared" si="266"/>
        <v>0</v>
      </c>
      <c r="CY354" s="3">
        <f t="shared" si="267"/>
        <v>0</v>
      </c>
      <c r="CZ354" s="19">
        <f t="shared" si="268"/>
        <v>0</v>
      </c>
      <c r="DA354" s="19" t="e">
        <f t="shared" si="268"/>
        <v>#DIV/0!</v>
      </c>
      <c r="DB354" s="16">
        <f t="shared" si="269"/>
        <v>0</v>
      </c>
    </row>
    <row r="355" spans="1:106" x14ac:dyDescent="0.2">
      <c r="A355" s="15">
        <f t="shared" si="270"/>
        <v>46007</v>
      </c>
      <c r="B355" s="1">
        <v>350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2"/>
      <c r="AZ355" s="14"/>
      <c r="BA355" s="16">
        <v>4.4000000000000004</v>
      </c>
      <c r="BB355" s="41"/>
      <c r="BC355" s="41"/>
      <c r="BD355" s="8" t="e">
        <f t="shared" si="229"/>
        <v>#DIV/0!</v>
      </c>
      <c r="BE355" s="8"/>
      <c r="BF355" s="2">
        <f t="shared" si="248"/>
        <v>0</v>
      </c>
      <c r="BG355" s="2">
        <f t="shared" si="249"/>
        <v>0</v>
      </c>
      <c r="BH355" s="2">
        <f t="shared" si="250"/>
        <v>0</v>
      </c>
      <c r="BI355" s="35">
        <f t="shared" si="228"/>
        <v>0</v>
      </c>
      <c r="BJ355" s="35" t="e">
        <f t="shared" si="230"/>
        <v>#DIV/0!</v>
      </c>
      <c r="BL355" s="3">
        <f t="shared" si="231"/>
        <v>0</v>
      </c>
      <c r="BM355" s="19" t="e">
        <f t="shared" si="232"/>
        <v>#DIV/0!</v>
      </c>
      <c r="BN355" s="19" t="e">
        <f t="shared" si="233"/>
        <v>#DIV/0!</v>
      </c>
      <c r="BO355" s="19" t="e">
        <f t="shared" si="234"/>
        <v>#DIV/0!</v>
      </c>
      <c r="BP355" s="19" t="e">
        <f t="shared" si="235"/>
        <v>#DIV/0!</v>
      </c>
      <c r="BQ355" s="19" t="e">
        <f t="shared" si="236"/>
        <v>#DIV/0!</v>
      </c>
      <c r="BR355" s="19" t="e">
        <f t="shared" si="237"/>
        <v>#DIV/0!</v>
      </c>
      <c r="BS355" s="19" t="e">
        <f t="shared" si="238"/>
        <v>#DIV/0!</v>
      </c>
      <c r="BT355" s="19" t="e">
        <f t="shared" si="239"/>
        <v>#DIV/0!</v>
      </c>
      <c r="BV355" s="16">
        <f t="shared" si="240"/>
        <v>0</v>
      </c>
      <c r="BW355" s="16">
        <f t="shared" si="241"/>
        <v>0</v>
      </c>
      <c r="BX355" s="3">
        <f t="shared" si="242"/>
        <v>0</v>
      </c>
      <c r="BY355" s="3">
        <f t="shared" si="271"/>
        <v>0</v>
      </c>
      <c r="BZ355" s="3" t="s">
        <v>162</v>
      </c>
      <c r="CA355" s="3">
        <f t="shared" si="243"/>
        <v>0</v>
      </c>
      <c r="CB355" s="3">
        <f t="shared" si="244"/>
        <v>0</v>
      </c>
      <c r="CC355" s="3">
        <f t="shared" si="245"/>
        <v>0</v>
      </c>
      <c r="CD355" s="3">
        <f t="shared" si="246"/>
        <v>0</v>
      </c>
      <c r="CE355" s="22">
        <f t="shared" si="251"/>
        <v>0</v>
      </c>
      <c r="CF355" s="1">
        <f t="shared" si="247"/>
        <v>0</v>
      </c>
      <c r="CG355" s="1">
        <f t="shared" si="252"/>
        <v>0</v>
      </c>
      <c r="CH355" s="3" t="s">
        <v>162</v>
      </c>
      <c r="CI355" s="1">
        <f t="shared" si="253"/>
        <v>0</v>
      </c>
      <c r="CJ355" s="1">
        <f t="shared" si="254"/>
        <v>0</v>
      </c>
      <c r="CK355" s="1">
        <f t="shared" si="255"/>
        <v>0</v>
      </c>
      <c r="CL355" s="1">
        <f t="shared" si="256"/>
        <v>0</v>
      </c>
      <c r="CM355" s="2">
        <f t="shared" si="257"/>
        <v>0</v>
      </c>
      <c r="CN355" s="1">
        <f t="shared" si="258"/>
        <v>0</v>
      </c>
      <c r="CO355" s="1">
        <f t="shared" si="259"/>
        <v>0</v>
      </c>
      <c r="CP355" s="3" t="s">
        <v>162</v>
      </c>
      <c r="CQ355" s="1">
        <f t="shared" si="260"/>
        <v>0</v>
      </c>
      <c r="CR355" s="1">
        <f t="shared" si="261"/>
        <v>0</v>
      </c>
      <c r="CS355" s="1">
        <f t="shared" si="262"/>
        <v>0</v>
      </c>
      <c r="CT355" s="1">
        <f t="shared" si="263"/>
        <v>0</v>
      </c>
      <c r="CU355" s="2">
        <f t="shared" si="264"/>
        <v>0</v>
      </c>
      <c r="CV355" s="14">
        <f t="shared" si="265"/>
        <v>0</v>
      </c>
      <c r="CW355" s="1">
        <f>ROUND(PPTest!K355,1)</f>
        <v>0</v>
      </c>
      <c r="CX355" s="3">
        <f t="shared" si="266"/>
        <v>0</v>
      </c>
      <c r="CY355" s="3">
        <f t="shared" si="267"/>
        <v>0</v>
      </c>
      <c r="CZ355" s="19">
        <f t="shared" si="268"/>
        <v>0</v>
      </c>
      <c r="DA355" s="19" t="e">
        <f t="shared" si="268"/>
        <v>#DIV/0!</v>
      </c>
      <c r="DB355" s="16">
        <f t="shared" si="269"/>
        <v>0</v>
      </c>
    </row>
    <row r="356" spans="1:106" x14ac:dyDescent="0.2">
      <c r="A356" s="15">
        <f t="shared" si="270"/>
        <v>46008</v>
      </c>
      <c r="B356" s="1">
        <v>351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2"/>
      <c r="AZ356" s="14"/>
      <c r="BA356" s="16">
        <v>4.3899999999999997</v>
      </c>
      <c r="BB356" s="41"/>
      <c r="BC356" s="41"/>
      <c r="BD356" s="8" t="e">
        <f t="shared" si="229"/>
        <v>#DIV/0!</v>
      </c>
      <c r="BE356" s="8"/>
      <c r="BF356" s="2">
        <f t="shared" si="248"/>
        <v>0</v>
      </c>
      <c r="BG356" s="2">
        <f t="shared" si="249"/>
        <v>0</v>
      </c>
      <c r="BH356" s="2">
        <f t="shared" si="250"/>
        <v>0</v>
      </c>
      <c r="BI356" s="35">
        <f t="shared" si="228"/>
        <v>0</v>
      </c>
      <c r="BJ356" s="35" t="e">
        <f t="shared" si="230"/>
        <v>#DIV/0!</v>
      </c>
      <c r="BL356" s="3">
        <f t="shared" si="231"/>
        <v>0</v>
      </c>
      <c r="BM356" s="19" t="e">
        <f t="shared" si="232"/>
        <v>#DIV/0!</v>
      </c>
      <c r="BN356" s="19" t="e">
        <f t="shared" si="233"/>
        <v>#DIV/0!</v>
      </c>
      <c r="BO356" s="19" t="e">
        <f t="shared" si="234"/>
        <v>#DIV/0!</v>
      </c>
      <c r="BP356" s="19" t="e">
        <f t="shared" si="235"/>
        <v>#DIV/0!</v>
      </c>
      <c r="BQ356" s="19" t="e">
        <f t="shared" si="236"/>
        <v>#DIV/0!</v>
      </c>
      <c r="BR356" s="19" t="e">
        <f t="shared" si="237"/>
        <v>#DIV/0!</v>
      </c>
      <c r="BS356" s="19" t="e">
        <f t="shared" si="238"/>
        <v>#DIV/0!</v>
      </c>
      <c r="BT356" s="19" t="e">
        <f t="shared" si="239"/>
        <v>#DIV/0!</v>
      </c>
      <c r="BV356" s="16">
        <f t="shared" si="240"/>
        <v>0</v>
      </c>
      <c r="BW356" s="16">
        <f t="shared" si="241"/>
        <v>0</v>
      </c>
      <c r="BX356" s="3">
        <f t="shared" si="242"/>
        <v>0</v>
      </c>
      <c r="BY356" s="3">
        <f t="shared" si="271"/>
        <v>0</v>
      </c>
      <c r="BZ356" s="3" t="s">
        <v>162</v>
      </c>
      <c r="CA356" s="3">
        <f t="shared" si="243"/>
        <v>0</v>
      </c>
      <c r="CB356" s="3">
        <f t="shared" si="244"/>
        <v>0</v>
      </c>
      <c r="CC356" s="3">
        <f t="shared" si="245"/>
        <v>0</v>
      </c>
      <c r="CD356" s="3">
        <f t="shared" si="246"/>
        <v>0</v>
      </c>
      <c r="CE356" s="22">
        <f t="shared" si="251"/>
        <v>0</v>
      </c>
      <c r="CF356" s="1">
        <f t="shared" si="247"/>
        <v>0</v>
      </c>
      <c r="CG356" s="1">
        <f t="shared" si="252"/>
        <v>0</v>
      </c>
      <c r="CH356" s="3" t="s">
        <v>162</v>
      </c>
      <c r="CI356" s="1">
        <f t="shared" si="253"/>
        <v>0</v>
      </c>
      <c r="CJ356" s="1">
        <f t="shared" si="254"/>
        <v>0</v>
      </c>
      <c r="CK356" s="1">
        <f t="shared" si="255"/>
        <v>0</v>
      </c>
      <c r="CL356" s="1">
        <f t="shared" si="256"/>
        <v>0</v>
      </c>
      <c r="CM356" s="2">
        <f t="shared" si="257"/>
        <v>0</v>
      </c>
      <c r="CN356" s="1">
        <f t="shared" si="258"/>
        <v>0</v>
      </c>
      <c r="CO356" s="1">
        <f t="shared" si="259"/>
        <v>0</v>
      </c>
      <c r="CP356" s="3" t="s">
        <v>162</v>
      </c>
      <c r="CQ356" s="1">
        <f t="shared" si="260"/>
        <v>0</v>
      </c>
      <c r="CR356" s="1">
        <f t="shared" si="261"/>
        <v>0</v>
      </c>
      <c r="CS356" s="1">
        <f t="shared" si="262"/>
        <v>0</v>
      </c>
      <c r="CT356" s="1">
        <f t="shared" si="263"/>
        <v>0</v>
      </c>
      <c r="CU356" s="2">
        <f t="shared" si="264"/>
        <v>0</v>
      </c>
      <c r="CV356" s="14">
        <f t="shared" si="265"/>
        <v>0</v>
      </c>
      <c r="CW356" s="1">
        <f>ROUND(PPTest!K356,1)</f>
        <v>0</v>
      </c>
      <c r="CX356" s="3">
        <f t="shared" si="266"/>
        <v>0</v>
      </c>
      <c r="CY356" s="3">
        <f t="shared" si="267"/>
        <v>0</v>
      </c>
      <c r="CZ356" s="19">
        <f t="shared" si="268"/>
        <v>0</v>
      </c>
      <c r="DA356" s="19" t="e">
        <f t="shared" si="268"/>
        <v>#DIV/0!</v>
      </c>
      <c r="DB356" s="16">
        <f t="shared" si="269"/>
        <v>0</v>
      </c>
    </row>
    <row r="357" spans="1:106" x14ac:dyDescent="0.2">
      <c r="A357" s="15">
        <f t="shared" si="270"/>
        <v>46009</v>
      </c>
      <c r="B357" s="1">
        <v>352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2"/>
      <c r="AZ357" s="14"/>
      <c r="BA357" s="16">
        <v>4.3899999999999997</v>
      </c>
      <c r="BB357" s="41"/>
      <c r="BC357" s="41"/>
      <c r="BD357" s="8" t="e">
        <f t="shared" si="229"/>
        <v>#DIV/0!</v>
      </c>
      <c r="BE357" s="8"/>
      <c r="BF357" s="2">
        <f t="shared" si="248"/>
        <v>0</v>
      </c>
      <c r="BG357" s="2">
        <f t="shared" si="249"/>
        <v>0</v>
      </c>
      <c r="BH357" s="2">
        <f t="shared" si="250"/>
        <v>0</v>
      </c>
      <c r="BI357" s="35">
        <f t="shared" si="228"/>
        <v>0</v>
      </c>
      <c r="BJ357" s="35" t="e">
        <f t="shared" si="230"/>
        <v>#DIV/0!</v>
      </c>
      <c r="BL357" s="3">
        <f t="shared" si="231"/>
        <v>0</v>
      </c>
      <c r="BM357" s="19" t="e">
        <f t="shared" si="232"/>
        <v>#DIV/0!</v>
      </c>
      <c r="BN357" s="19" t="e">
        <f t="shared" si="233"/>
        <v>#DIV/0!</v>
      </c>
      <c r="BO357" s="19" t="e">
        <f t="shared" si="234"/>
        <v>#DIV/0!</v>
      </c>
      <c r="BP357" s="19" t="e">
        <f t="shared" si="235"/>
        <v>#DIV/0!</v>
      </c>
      <c r="BQ357" s="19" t="e">
        <f t="shared" si="236"/>
        <v>#DIV/0!</v>
      </c>
      <c r="BR357" s="19" t="e">
        <f t="shared" si="237"/>
        <v>#DIV/0!</v>
      </c>
      <c r="BS357" s="19" t="e">
        <f t="shared" si="238"/>
        <v>#DIV/0!</v>
      </c>
      <c r="BT357" s="19" t="e">
        <f t="shared" si="239"/>
        <v>#DIV/0!</v>
      </c>
      <c r="BV357" s="16">
        <f t="shared" si="240"/>
        <v>0</v>
      </c>
      <c r="BW357" s="16">
        <f t="shared" si="241"/>
        <v>0</v>
      </c>
      <c r="BX357" s="3">
        <f t="shared" si="242"/>
        <v>0</v>
      </c>
      <c r="BY357" s="3">
        <f t="shared" si="271"/>
        <v>0</v>
      </c>
      <c r="BZ357" s="3" t="s">
        <v>162</v>
      </c>
      <c r="CA357" s="3">
        <f t="shared" si="243"/>
        <v>0</v>
      </c>
      <c r="CB357" s="3">
        <f t="shared" si="244"/>
        <v>0</v>
      </c>
      <c r="CC357" s="3">
        <f t="shared" si="245"/>
        <v>0</v>
      </c>
      <c r="CD357" s="3">
        <f t="shared" si="246"/>
        <v>0</v>
      </c>
      <c r="CE357" s="22">
        <f t="shared" si="251"/>
        <v>0</v>
      </c>
      <c r="CF357" s="1">
        <f t="shared" si="247"/>
        <v>0</v>
      </c>
      <c r="CG357" s="1">
        <f t="shared" si="252"/>
        <v>0</v>
      </c>
      <c r="CH357" s="3" t="s">
        <v>162</v>
      </c>
      <c r="CI357" s="1">
        <f t="shared" si="253"/>
        <v>0</v>
      </c>
      <c r="CJ357" s="1">
        <f t="shared" si="254"/>
        <v>0</v>
      </c>
      <c r="CK357" s="1">
        <f t="shared" si="255"/>
        <v>0</v>
      </c>
      <c r="CL357" s="1">
        <f t="shared" si="256"/>
        <v>0</v>
      </c>
      <c r="CM357" s="2">
        <f t="shared" si="257"/>
        <v>0</v>
      </c>
      <c r="CN357" s="1">
        <f t="shared" si="258"/>
        <v>0</v>
      </c>
      <c r="CO357" s="1">
        <f t="shared" si="259"/>
        <v>0</v>
      </c>
      <c r="CP357" s="3" t="s">
        <v>162</v>
      </c>
      <c r="CQ357" s="1">
        <f t="shared" si="260"/>
        <v>0</v>
      </c>
      <c r="CR357" s="1">
        <f t="shared" si="261"/>
        <v>0</v>
      </c>
      <c r="CS357" s="1">
        <f t="shared" si="262"/>
        <v>0</v>
      </c>
      <c r="CT357" s="1">
        <f t="shared" si="263"/>
        <v>0</v>
      </c>
      <c r="CU357" s="2">
        <f t="shared" si="264"/>
        <v>0</v>
      </c>
      <c r="CV357" s="14">
        <f t="shared" si="265"/>
        <v>0</v>
      </c>
      <c r="CW357" s="1">
        <f>ROUND(PPTest!K357,1)</f>
        <v>0</v>
      </c>
      <c r="CX357" s="3">
        <f t="shared" si="266"/>
        <v>0</v>
      </c>
      <c r="CY357" s="3">
        <f t="shared" si="267"/>
        <v>0</v>
      </c>
      <c r="CZ357" s="19">
        <f t="shared" si="268"/>
        <v>0</v>
      </c>
      <c r="DA357" s="19" t="e">
        <f t="shared" si="268"/>
        <v>#DIV/0!</v>
      </c>
      <c r="DB357" s="16">
        <f t="shared" si="269"/>
        <v>0</v>
      </c>
    </row>
    <row r="358" spans="1:106" x14ac:dyDescent="0.2">
      <c r="A358" s="15">
        <f t="shared" si="270"/>
        <v>46010</v>
      </c>
      <c r="B358" s="1">
        <v>353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2"/>
      <c r="AZ358" s="14"/>
      <c r="BA358" s="16">
        <v>4.38</v>
      </c>
      <c r="BB358" s="41"/>
      <c r="BC358" s="41"/>
      <c r="BD358" s="8" t="e">
        <f t="shared" si="229"/>
        <v>#DIV/0!</v>
      </c>
      <c r="BE358" s="8"/>
      <c r="BF358" s="2">
        <f t="shared" si="248"/>
        <v>0</v>
      </c>
      <c r="BG358" s="2">
        <f t="shared" si="249"/>
        <v>0</v>
      </c>
      <c r="BH358" s="2">
        <f t="shared" si="250"/>
        <v>0</v>
      </c>
      <c r="BI358" s="35">
        <f t="shared" si="228"/>
        <v>0</v>
      </c>
      <c r="BJ358" s="35" t="e">
        <f t="shared" si="230"/>
        <v>#DIV/0!</v>
      </c>
      <c r="BL358" s="3">
        <f t="shared" si="231"/>
        <v>0</v>
      </c>
      <c r="BM358" s="19" t="e">
        <f t="shared" si="232"/>
        <v>#DIV/0!</v>
      </c>
      <c r="BN358" s="19" t="e">
        <f t="shared" si="233"/>
        <v>#DIV/0!</v>
      </c>
      <c r="BO358" s="19" t="e">
        <f t="shared" si="234"/>
        <v>#DIV/0!</v>
      </c>
      <c r="BP358" s="19" t="e">
        <f t="shared" si="235"/>
        <v>#DIV/0!</v>
      </c>
      <c r="BQ358" s="19" t="e">
        <f t="shared" si="236"/>
        <v>#DIV/0!</v>
      </c>
      <c r="BR358" s="19" t="e">
        <f t="shared" si="237"/>
        <v>#DIV/0!</v>
      </c>
      <c r="BS358" s="19" t="e">
        <f t="shared" si="238"/>
        <v>#DIV/0!</v>
      </c>
      <c r="BT358" s="19" t="e">
        <f t="shared" si="239"/>
        <v>#DIV/0!</v>
      </c>
      <c r="BV358" s="16">
        <f t="shared" si="240"/>
        <v>0</v>
      </c>
      <c r="BW358" s="16">
        <f t="shared" si="241"/>
        <v>0</v>
      </c>
      <c r="BX358" s="3">
        <f t="shared" si="242"/>
        <v>0</v>
      </c>
      <c r="BY358" s="3">
        <f t="shared" si="271"/>
        <v>0</v>
      </c>
      <c r="BZ358" s="3" t="s">
        <v>162</v>
      </c>
      <c r="CA358" s="3">
        <f t="shared" si="243"/>
        <v>0</v>
      </c>
      <c r="CB358" s="3">
        <f t="shared" si="244"/>
        <v>0</v>
      </c>
      <c r="CC358" s="3">
        <f t="shared" si="245"/>
        <v>0</v>
      </c>
      <c r="CD358" s="3">
        <f t="shared" si="246"/>
        <v>0</v>
      </c>
      <c r="CE358" s="22">
        <f t="shared" si="251"/>
        <v>0</v>
      </c>
      <c r="CF358" s="1">
        <f t="shared" si="247"/>
        <v>0</v>
      </c>
      <c r="CG358" s="1">
        <f t="shared" si="252"/>
        <v>0</v>
      </c>
      <c r="CH358" s="3" t="s">
        <v>162</v>
      </c>
      <c r="CI358" s="1">
        <f t="shared" si="253"/>
        <v>0</v>
      </c>
      <c r="CJ358" s="1">
        <f t="shared" si="254"/>
        <v>0</v>
      </c>
      <c r="CK358" s="1">
        <f t="shared" si="255"/>
        <v>0</v>
      </c>
      <c r="CL358" s="1">
        <f t="shared" si="256"/>
        <v>0</v>
      </c>
      <c r="CM358" s="2">
        <f t="shared" si="257"/>
        <v>0</v>
      </c>
      <c r="CN358" s="1">
        <f t="shared" si="258"/>
        <v>0</v>
      </c>
      <c r="CO358" s="1">
        <f t="shared" si="259"/>
        <v>0</v>
      </c>
      <c r="CP358" s="3" t="s">
        <v>162</v>
      </c>
      <c r="CQ358" s="1">
        <f t="shared" si="260"/>
        <v>0</v>
      </c>
      <c r="CR358" s="1">
        <f t="shared" si="261"/>
        <v>0</v>
      </c>
      <c r="CS358" s="1">
        <f t="shared" si="262"/>
        <v>0</v>
      </c>
      <c r="CT358" s="1">
        <f t="shared" si="263"/>
        <v>0</v>
      </c>
      <c r="CU358" s="2">
        <f t="shared" si="264"/>
        <v>0</v>
      </c>
      <c r="CV358" s="14">
        <f t="shared" si="265"/>
        <v>0</v>
      </c>
      <c r="CW358" s="1">
        <f>ROUND(PPTest!K358,1)</f>
        <v>0</v>
      </c>
      <c r="CX358" s="3">
        <f t="shared" si="266"/>
        <v>0</v>
      </c>
      <c r="CY358" s="3">
        <f t="shared" si="267"/>
        <v>0</v>
      </c>
      <c r="CZ358" s="19">
        <f t="shared" si="268"/>
        <v>0</v>
      </c>
      <c r="DA358" s="19" t="e">
        <f t="shared" si="268"/>
        <v>#DIV/0!</v>
      </c>
      <c r="DB358" s="16">
        <f t="shared" si="269"/>
        <v>0</v>
      </c>
    </row>
    <row r="359" spans="1:106" x14ac:dyDescent="0.2">
      <c r="A359" s="15">
        <f t="shared" si="270"/>
        <v>46011</v>
      </c>
      <c r="B359" s="1">
        <v>354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2"/>
      <c r="AZ359" s="14"/>
      <c r="BA359" s="16">
        <v>4.37</v>
      </c>
      <c r="BB359" s="41"/>
      <c r="BC359" s="41"/>
      <c r="BD359" s="8" t="e">
        <f t="shared" si="229"/>
        <v>#DIV/0!</v>
      </c>
      <c r="BE359" s="8"/>
      <c r="BF359" s="2">
        <f t="shared" si="248"/>
        <v>0</v>
      </c>
      <c r="BG359" s="2">
        <f t="shared" si="249"/>
        <v>0</v>
      </c>
      <c r="BH359" s="2">
        <f t="shared" si="250"/>
        <v>0</v>
      </c>
      <c r="BI359" s="35">
        <f t="shared" si="228"/>
        <v>0</v>
      </c>
      <c r="BJ359" s="35" t="e">
        <f t="shared" si="230"/>
        <v>#DIV/0!</v>
      </c>
      <c r="BL359" s="3">
        <f t="shared" si="231"/>
        <v>0</v>
      </c>
      <c r="BM359" s="19" t="e">
        <f t="shared" si="232"/>
        <v>#DIV/0!</v>
      </c>
      <c r="BN359" s="19" t="e">
        <f t="shared" si="233"/>
        <v>#DIV/0!</v>
      </c>
      <c r="BO359" s="19" t="e">
        <f t="shared" si="234"/>
        <v>#DIV/0!</v>
      </c>
      <c r="BP359" s="19" t="e">
        <f t="shared" si="235"/>
        <v>#DIV/0!</v>
      </c>
      <c r="BQ359" s="19" t="e">
        <f t="shared" si="236"/>
        <v>#DIV/0!</v>
      </c>
      <c r="BR359" s="19" t="e">
        <f t="shared" si="237"/>
        <v>#DIV/0!</v>
      </c>
      <c r="BS359" s="19" t="e">
        <f t="shared" si="238"/>
        <v>#DIV/0!</v>
      </c>
      <c r="BT359" s="19" t="e">
        <f t="shared" si="239"/>
        <v>#DIV/0!</v>
      </c>
      <c r="BV359" s="16">
        <f t="shared" si="240"/>
        <v>0</v>
      </c>
      <c r="BW359" s="16">
        <f t="shared" si="241"/>
        <v>0</v>
      </c>
      <c r="BX359" s="3">
        <f t="shared" si="242"/>
        <v>0</v>
      </c>
      <c r="BY359" s="3">
        <f t="shared" si="271"/>
        <v>0</v>
      </c>
      <c r="BZ359" s="3" t="s">
        <v>162</v>
      </c>
      <c r="CA359" s="3">
        <f t="shared" si="243"/>
        <v>0</v>
      </c>
      <c r="CB359" s="3">
        <f t="shared" si="244"/>
        <v>0</v>
      </c>
      <c r="CC359" s="3">
        <f t="shared" si="245"/>
        <v>0</v>
      </c>
      <c r="CD359" s="3">
        <f t="shared" si="246"/>
        <v>0</v>
      </c>
      <c r="CE359" s="22">
        <f t="shared" si="251"/>
        <v>0</v>
      </c>
      <c r="CF359" s="1">
        <f t="shared" si="247"/>
        <v>0</v>
      </c>
      <c r="CG359" s="1">
        <f t="shared" si="252"/>
        <v>0</v>
      </c>
      <c r="CH359" s="3" t="s">
        <v>162</v>
      </c>
      <c r="CI359" s="1">
        <f t="shared" si="253"/>
        <v>0</v>
      </c>
      <c r="CJ359" s="1">
        <f t="shared" si="254"/>
        <v>0</v>
      </c>
      <c r="CK359" s="1">
        <f t="shared" si="255"/>
        <v>0</v>
      </c>
      <c r="CL359" s="1">
        <f t="shared" si="256"/>
        <v>0</v>
      </c>
      <c r="CM359" s="2">
        <f t="shared" si="257"/>
        <v>0</v>
      </c>
      <c r="CN359" s="1">
        <f t="shared" si="258"/>
        <v>0</v>
      </c>
      <c r="CO359" s="1">
        <f t="shared" si="259"/>
        <v>0</v>
      </c>
      <c r="CP359" s="3" t="s">
        <v>162</v>
      </c>
      <c r="CQ359" s="1">
        <f t="shared" si="260"/>
        <v>0</v>
      </c>
      <c r="CR359" s="1">
        <f t="shared" si="261"/>
        <v>0</v>
      </c>
      <c r="CS359" s="1">
        <f t="shared" si="262"/>
        <v>0</v>
      </c>
      <c r="CT359" s="1">
        <f t="shared" si="263"/>
        <v>0</v>
      </c>
      <c r="CU359" s="2">
        <f t="shared" si="264"/>
        <v>0</v>
      </c>
      <c r="CV359" s="14">
        <f t="shared" si="265"/>
        <v>0</v>
      </c>
      <c r="CW359" s="1">
        <f>ROUND(PPTest!K359,1)</f>
        <v>0</v>
      </c>
      <c r="CX359" s="3">
        <f t="shared" si="266"/>
        <v>0</v>
      </c>
      <c r="CY359" s="3">
        <f t="shared" si="267"/>
        <v>0</v>
      </c>
      <c r="CZ359" s="19">
        <f t="shared" si="268"/>
        <v>0</v>
      </c>
      <c r="DA359" s="19" t="e">
        <f t="shared" si="268"/>
        <v>#DIV/0!</v>
      </c>
      <c r="DB359" s="16">
        <f t="shared" si="269"/>
        <v>0</v>
      </c>
    </row>
    <row r="360" spans="1:106" x14ac:dyDescent="0.2">
      <c r="A360" s="15">
        <f t="shared" si="270"/>
        <v>46012</v>
      </c>
      <c r="B360" s="1">
        <v>355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2"/>
      <c r="AZ360" s="14"/>
      <c r="BA360" s="16">
        <v>4.38</v>
      </c>
      <c r="BB360" s="41"/>
      <c r="BC360" s="41"/>
      <c r="BD360" s="8" t="e">
        <f t="shared" si="229"/>
        <v>#DIV/0!</v>
      </c>
      <c r="BE360" s="8"/>
      <c r="BF360" s="2">
        <f t="shared" si="248"/>
        <v>0</v>
      </c>
      <c r="BG360" s="2">
        <f t="shared" si="249"/>
        <v>0</v>
      </c>
      <c r="BH360" s="2">
        <f t="shared" si="250"/>
        <v>0</v>
      </c>
      <c r="BI360" s="35">
        <f t="shared" si="228"/>
        <v>0</v>
      </c>
      <c r="BJ360" s="35" t="e">
        <f t="shared" si="230"/>
        <v>#DIV/0!</v>
      </c>
      <c r="BL360" s="3">
        <f t="shared" si="231"/>
        <v>0</v>
      </c>
      <c r="BM360" s="19" t="e">
        <f t="shared" si="232"/>
        <v>#DIV/0!</v>
      </c>
      <c r="BN360" s="19" t="e">
        <f t="shared" si="233"/>
        <v>#DIV/0!</v>
      </c>
      <c r="BO360" s="19" t="e">
        <f t="shared" si="234"/>
        <v>#DIV/0!</v>
      </c>
      <c r="BP360" s="19" t="e">
        <f t="shared" si="235"/>
        <v>#DIV/0!</v>
      </c>
      <c r="BQ360" s="19" t="e">
        <f t="shared" si="236"/>
        <v>#DIV/0!</v>
      </c>
      <c r="BR360" s="19" t="e">
        <f t="shared" si="237"/>
        <v>#DIV/0!</v>
      </c>
      <c r="BS360" s="19" t="e">
        <f t="shared" si="238"/>
        <v>#DIV/0!</v>
      </c>
      <c r="BT360" s="19" t="e">
        <f t="shared" si="239"/>
        <v>#DIV/0!</v>
      </c>
      <c r="BV360" s="16">
        <f t="shared" si="240"/>
        <v>0</v>
      </c>
      <c r="BW360" s="16">
        <f t="shared" si="241"/>
        <v>0</v>
      </c>
      <c r="BX360" s="3">
        <f t="shared" si="242"/>
        <v>0</v>
      </c>
      <c r="BY360" s="3">
        <f t="shared" si="271"/>
        <v>0</v>
      </c>
      <c r="BZ360" s="3" t="s">
        <v>162</v>
      </c>
      <c r="CA360" s="3">
        <f t="shared" si="243"/>
        <v>0</v>
      </c>
      <c r="CB360" s="3">
        <f t="shared" si="244"/>
        <v>0</v>
      </c>
      <c r="CC360" s="3">
        <f t="shared" si="245"/>
        <v>0</v>
      </c>
      <c r="CD360" s="3">
        <f t="shared" si="246"/>
        <v>0</v>
      </c>
      <c r="CE360" s="22">
        <f t="shared" si="251"/>
        <v>0</v>
      </c>
      <c r="CF360" s="1">
        <f t="shared" si="247"/>
        <v>0</v>
      </c>
      <c r="CG360" s="1">
        <f t="shared" si="252"/>
        <v>0</v>
      </c>
      <c r="CH360" s="3" t="s">
        <v>162</v>
      </c>
      <c r="CI360" s="1">
        <f t="shared" si="253"/>
        <v>0</v>
      </c>
      <c r="CJ360" s="1">
        <f t="shared" si="254"/>
        <v>0</v>
      </c>
      <c r="CK360" s="1">
        <f t="shared" si="255"/>
        <v>0</v>
      </c>
      <c r="CL360" s="1">
        <f t="shared" si="256"/>
        <v>0</v>
      </c>
      <c r="CM360" s="2">
        <f t="shared" si="257"/>
        <v>0</v>
      </c>
      <c r="CN360" s="1">
        <f t="shared" si="258"/>
        <v>0</v>
      </c>
      <c r="CO360" s="1">
        <f t="shared" si="259"/>
        <v>0</v>
      </c>
      <c r="CP360" s="3" t="s">
        <v>162</v>
      </c>
      <c r="CQ360" s="1">
        <f t="shared" si="260"/>
        <v>0</v>
      </c>
      <c r="CR360" s="1">
        <f t="shared" si="261"/>
        <v>0</v>
      </c>
      <c r="CS360" s="1">
        <f t="shared" si="262"/>
        <v>0</v>
      </c>
      <c r="CT360" s="1">
        <f t="shared" si="263"/>
        <v>0</v>
      </c>
      <c r="CU360" s="2">
        <f t="shared" si="264"/>
        <v>0</v>
      </c>
      <c r="CV360" s="14">
        <f t="shared" si="265"/>
        <v>0</v>
      </c>
      <c r="CW360" s="1">
        <f>ROUND(PPTest!K360,1)</f>
        <v>0</v>
      </c>
      <c r="CX360" s="3">
        <f t="shared" si="266"/>
        <v>0</v>
      </c>
      <c r="CY360" s="3">
        <f t="shared" si="267"/>
        <v>0</v>
      </c>
      <c r="CZ360" s="19">
        <f t="shared" si="268"/>
        <v>0</v>
      </c>
      <c r="DA360" s="19" t="e">
        <f t="shared" si="268"/>
        <v>#DIV/0!</v>
      </c>
      <c r="DB360" s="16">
        <f t="shared" si="269"/>
        <v>0</v>
      </c>
    </row>
    <row r="361" spans="1:106" x14ac:dyDescent="0.2">
      <c r="A361" s="15">
        <f t="shared" si="270"/>
        <v>46013</v>
      </c>
      <c r="B361" s="1">
        <v>356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2"/>
      <c r="AZ361" s="14"/>
      <c r="BA361" s="16">
        <v>4.38</v>
      </c>
      <c r="BB361" s="41"/>
      <c r="BC361" s="41"/>
      <c r="BD361" s="8" t="e">
        <f t="shared" si="229"/>
        <v>#DIV/0!</v>
      </c>
      <c r="BE361" s="8"/>
      <c r="BF361" s="2">
        <f t="shared" si="248"/>
        <v>0</v>
      </c>
      <c r="BG361" s="2">
        <f t="shared" si="249"/>
        <v>0</v>
      </c>
      <c r="BH361" s="2">
        <f t="shared" si="250"/>
        <v>0</v>
      </c>
      <c r="BI361" s="35">
        <f t="shared" si="228"/>
        <v>0</v>
      </c>
      <c r="BJ361" s="35" t="e">
        <f t="shared" si="230"/>
        <v>#DIV/0!</v>
      </c>
      <c r="BL361" s="3">
        <f t="shared" si="231"/>
        <v>0</v>
      </c>
      <c r="BM361" s="19" t="e">
        <f t="shared" si="232"/>
        <v>#DIV/0!</v>
      </c>
      <c r="BN361" s="19" t="e">
        <f t="shared" si="233"/>
        <v>#DIV/0!</v>
      </c>
      <c r="BO361" s="19" t="e">
        <f t="shared" si="234"/>
        <v>#DIV/0!</v>
      </c>
      <c r="BP361" s="19" t="e">
        <f t="shared" si="235"/>
        <v>#DIV/0!</v>
      </c>
      <c r="BQ361" s="19" t="e">
        <f t="shared" si="236"/>
        <v>#DIV/0!</v>
      </c>
      <c r="BR361" s="19" t="e">
        <f t="shared" si="237"/>
        <v>#DIV/0!</v>
      </c>
      <c r="BS361" s="19" t="e">
        <f t="shared" si="238"/>
        <v>#DIV/0!</v>
      </c>
      <c r="BT361" s="19" t="e">
        <f t="shared" si="239"/>
        <v>#DIV/0!</v>
      </c>
      <c r="BV361" s="16">
        <f t="shared" si="240"/>
        <v>0</v>
      </c>
      <c r="BW361" s="16">
        <f t="shared" si="241"/>
        <v>0</v>
      </c>
      <c r="BX361" s="3">
        <f t="shared" si="242"/>
        <v>0</v>
      </c>
      <c r="BY361" s="3">
        <f t="shared" si="271"/>
        <v>0</v>
      </c>
      <c r="BZ361" s="3" t="s">
        <v>162</v>
      </c>
      <c r="CA361" s="3">
        <f t="shared" si="243"/>
        <v>0</v>
      </c>
      <c r="CB361" s="3">
        <f t="shared" si="244"/>
        <v>0</v>
      </c>
      <c r="CC361" s="3">
        <f t="shared" si="245"/>
        <v>0</v>
      </c>
      <c r="CD361" s="3">
        <f t="shared" si="246"/>
        <v>0</v>
      </c>
      <c r="CE361" s="22">
        <f t="shared" si="251"/>
        <v>0</v>
      </c>
      <c r="CF361" s="1">
        <f t="shared" si="247"/>
        <v>0</v>
      </c>
      <c r="CG361" s="1">
        <f t="shared" si="252"/>
        <v>0</v>
      </c>
      <c r="CH361" s="3" t="s">
        <v>162</v>
      </c>
      <c r="CI361" s="1">
        <f t="shared" si="253"/>
        <v>0</v>
      </c>
      <c r="CJ361" s="1">
        <f t="shared" si="254"/>
        <v>0</v>
      </c>
      <c r="CK361" s="1">
        <f t="shared" si="255"/>
        <v>0</v>
      </c>
      <c r="CL361" s="1">
        <f t="shared" si="256"/>
        <v>0</v>
      </c>
      <c r="CM361" s="2">
        <f t="shared" si="257"/>
        <v>0</v>
      </c>
      <c r="CN361" s="1">
        <f t="shared" si="258"/>
        <v>0</v>
      </c>
      <c r="CO361" s="1">
        <f t="shared" si="259"/>
        <v>0</v>
      </c>
      <c r="CP361" s="3" t="s">
        <v>162</v>
      </c>
      <c r="CQ361" s="1">
        <f t="shared" si="260"/>
        <v>0</v>
      </c>
      <c r="CR361" s="1">
        <f t="shared" si="261"/>
        <v>0</v>
      </c>
      <c r="CS361" s="1">
        <f t="shared" si="262"/>
        <v>0</v>
      </c>
      <c r="CT361" s="1">
        <f t="shared" si="263"/>
        <v>0</v>
      </c>
      <c r="CU361" s="2">
        <f t="shared" si="264"/>
        <v>0</v>
      </c>
      <c r="CV361" s="14">
        <f t="shared" si="265"/>
        <v>0</v>
      </c>
      <c r="CW361" s="1">
        <f>ROUND(PPTest!K361,1)</f>
        <v>0</v>
      </c>
      <c r="CX361" s="3">
        <f t="shared" si="266"/>
        <v>0</v>
      </c>
      <c r="CY361" s="3">
        <f t="shared" si="267"/>
        <v>0</v>
      </c>
      <c r="CZ361" s="19">
        <f t="shared" si="268"/>
        <v>0</v>
      </c>
      <c r="DA361" s="19" t="e">
        <f t="shared" si="268"/>
        <v>#DIV/0!</v>
      </c>
      <c r="DB361" s="16">
        <f t="shared" si="269"/>
        <v>0</v>
      </c>
    </row>
    <row r="362" spans="1:106" x14ac:dyDescent="0.2">
      <c r="A362" s="15">
        <f t="shared" si="270"/>
        <v>46014</v>
      </c>
      <c r="B362" s="1">
        <v>357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2"/>
      <c r="AZ362" s="14"/>
      <c r="BA362" s="16">
        <v>4.3899999999999997</v>
      </c>
      <c r="BB362" s="41"/>
      <c r="BC362" s="41"/>
      <c r="BD362" s="8" t="e">
        <f t="shared" si="229"/>
        <v>#DIV/0!</v>
      </c>
      <c r="BE362" s="8"/>
      <c r="BF362" s="2">
        <f t="shared" si="248"/>
        <v>0</v>
      </c>
      <c r="BG362" s="2">
        <f t="shared" si="249"/>
        <v>0</v>
      </c>
      <c r="BH362" s="2">
        <f t="shared" si="250"/>
        <v>0</v>
      </c>
      <c r="BI362" s="35">
        <f t="shared" si="228"/>
        <v>0</v>
      </c>
      <c r="BJ362" s="35" t="e">
        <f t="shared" si="230"/>
        <v>#DIV/0!</v>
      </c>
      <c r="BL362" s="3">
        <f t="shared" si="231"/>
        <v>0</v>
      </c>
      <c r="BM362" s="19" t="e">
        <f t="shared" si="232"/>
        <v>#DIV/0!</v>
      </c>
      <c r="BN362" s="19" t="e">
        <f t="shared" si="233"/>
        <v>#DIV/0!</v>
      </c>
      <c r="BO362" s="19" t="e">
        <f t="shared" si="234"/>
        <v>#DIV/0!</v>
      </c>
      <c r="BP362" s="19" t="e">
        <f t="shared" si="235"/>
        <v>#DIV/0!</v>
      </c>
      <c r="BQ362" s="19" t="e">
        <f t="shared" si="236"/>
        <v>#DIV/0!</v>
      </c>
      <c r="BR362" s="19" t="e">
        <f t="shared" si="237"/>
        <v>#DIV/0!</v>
      </c>
      <c r="BS362" s="19" t="e">
        <f t="shared" si="238"/>
        <v>#DIV/0!</v>
      </c>
      <c r="BT362" s="19" t="e">
        <f t="shared" si="239"/>
        <v>#DIV/0!</v>
      </c>
      <c r="BV362" s="16">
        <f t="shared" si="240"/>
        <v>0</v>
      </c>
      <c r="BW362" s="16">
        <f t="shared" si="241"/>
        <v>0</v>
      </c>
      <c r="BX362" s="3">
        <f t="shared" si="242"/>
        <v>0</v>
      </c>
      <c r="BY362" s="3">
        <f t="shared" si="271"/>
        <v>0</v>
      </c>
      <c r="BZ362" s="3" t="s">
        <v>162</v>
      </c>
      <c r="CA362" s="3">
        <f t="shared" si="243"/>
        <v>0</v>
      </c>
      <c r="CB362" s="3">
        <f t="shared" si="244"/>
        <v>0</v>
      </c>
      <c r="CC362" s="3">
        <f t="shared" si="245"/>
        <v>0</v>
      </c>
      <c r="CD362" s="3">
        <f t="shared" si="246"/>
        <v>0</v>
      </c>
      <c r="CE362" s="22">
        <f t="shared" si="251"/>
        <v>0</v>
      </c>
      <c r="CF362" s="1">
        <f t="shared" si="247"/>
        <v>0</v>
      </c>
      <c r="CG362" s="1">
        <f t="shared" si="252"/>
        <v>0</v>
      </c>
      <c r="CH362" s="3" t="s">
        <v>162</v>
      </c>
      <c r="CI362" s="1">
        <f t="shared" si="253"/>
        <v>0</v>
      </c>
      <c r="CJ362" s="1">
        <f t="shared" si="254"/>
        <v>0</v>
      </c>
      <c r="CK362" s="1">
        <f t="shared" si="255"/>
        <v>0</v>
      </c>
      <c r="CL362" s="1">
        <f t="shared" si="256"/>
        <v>0</v>
      </c>
      <c r="CM362" s="2">
        <f t="shared" si="257"/>
        <v>0</v>
      </c>
      <c r="CN362" s="1">
        <f t="shared" si="258"/>
        <v>0</v>
      </c>
      <c r="CO362" s="1">
        <f t="shared" si="259"/>
        <v>0</v>
      </c>
      <c r="CP362" s="3" t="s">
        <v>162</v>
      </c>
      <c r="CQ362" s="1">
        <f t="shared" si="260"/>
        <v>0</v>
      </c>
      <c r="CR362" s="1">
        <f t="shared" si="261"/>
        <v>0</v>
      </c>
      <c r="CS362" s="1">
        <f t="shared" si="262"/>
        <v>0</v>
      </c>
      <c r="CT362" s="1">
        <f t="shared" si="263"/>
        <v>0</v>
      </c>
      <c r="CU362" s="2">
        <f t="shared" si="264"/>
        <v>0</v>
      </c>
      <c r="CV362" s="14">
        <f t="shared" si="265"/>
        <v>0</v>
      </c>
      <c r="CW362" s="1">
        <f>ROUND(PPTest!K362,1)</f>
        <v>0</v>
      </c>
      <c r="CX362" s="3">
        <f t="shared" si="266"/>
        <v>0</v>
      </c>
      <c r="CY362" s="3">
        <f t="shared" si="267"/>
        <v>0</v>
      </c>
      <c r="CZ362" s="19">
        <f t="shared" si="268"/>
        <v>0</v>
      </c>
      <c r="DA362" s="19" t="e">
        <f t="shared" si="268"/>
        <v>#DIV/0!</v>
      </c>
      <c r="DB362" s="16">
        <f t="shared" si="269"/>
        <v>0</v>
      </c>
    </row>
    <row r="363" spans="1:106" x14ac:dyDescent="0.2">
      <c r="A363" s="15">
        <f t="shared" si="270"/>
        <v>46015</v>
      </c>
      <c r="B363" s="1">
        <v>358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2"/>
      <c r="AZ363" s="14"/>
      <c r="BA363" s="16">
        <v>4.4000000000000004</v>
      </c>
      <c r="BB363" s="41"/>
      <c r="BC363" s="41"/>
      <c r="BD363" s="8" t="e">
        <f t="shared" si="229"/>
        <v>#DIV/0!</v>
      </c>
      <c r="BE363" s="8"/>
      <c r="BF363" s="2">
        <f t="shared" si="248"/>
        <v>0</v>
      </c>
      <c r="BG363" s="2">
        <f t="shared" si="249"/>
        <v>0</v>
      </c>
      <c r="BH363" s="2">
        <f t="shared" si="250"/>
        <v>0</v>
      </c>
      <c r="BI363" s="35">
        <f t="shared" si="228"/>
        <v>0</v>
      </c>
      <c r="BJ363" s="35" t="e">
        <f t="shared" si="230"/>
        <v>#DIV/0!</v>
      </c>
      <c r="BL363" s="3">
        <f t="shared" si="231"/>
        <v>0</v>
      </c>
      <c r="BM363" s="19" t="e">
        <f t="shared" si="232"/>
        <v>#DIV/0!</v>
      </c>
      <c r="BN363" s="19" t="e">
        <f t="shared" si="233"/>
        <v>#DIV/0!</v>
      </c>
      <c r="BO363" s="19" t="e">
        <f t="shared" si="234"/>
        <v>#DIV/0!</v>
      </c>
      <c r="BP363" s="19" t="e">
        <f t="shared" si="235"/>
        <v>#DIV/0!</v>
      </c>
      <c r="BQ363" s="19" t="e">
        <f t="shared" si="236"/>
        <v>#DIV/0!</v>
      </c>
      <c r="BR363" s="19" t="e">
        <f t="shared" si="237"/>
        <v>#DIV/0!</v>
      </c>
      <c r="BS363" s="19" t="e">
        <f t="shared" si="238"/>
        <v>#DIV/0!</v>
      </c>
      <c r="BT363" s="19" t="e">
        <f t="shared" si="239"/>
        <v>#DIV/0!</v>
      </c>
      <c r="BV363" s="16">
        <f t="shared" si="240"/>
        <v>0</v>
      </c>
      <c r="BW363" s="16">
        <f t="shared" si="241"/>
        <v>0</v>
      </c>
      <c r="BX363" s="3">
        <f t="shared" si="242"/>
        <v>0</v>
      </c>
      <c r="BY363" s="3">
        <f t="shared" si="271"/>
        <v>0</v>
      </c>
      <c r="BZ363" s="3" t="s">
        <v>162</v>
      </c>
      <c r="CA363" s="3">
        <f t="shared" si="243"/>
        <v>0</v>
      </c>
      <c r="CB363" s="3">
        <f t="shared" si="244"/>
        <v>0</v>
      </c>
      <c r="CC363" s="3">
        <f t="shared" si="245"/>
        <v>0</v>
      </c>
      <c r="CD363" s="3">
        <f t="shared" si="246"/>
        <v>0</v>
      </c>
      <c r="CE363" s="22">
        <f t="shared" si="251"/>
        <v>0</v>
      </c>
      <c r="CF363" s="1">
        <f t="shared" si="247"/>
        <v>0</v>
      </c>
      <c r="CG363" s="1">
        <f t="shared" si="252"/>
        <v>0</v>
      </c>
      <c r="CH363" s="3" t="s">
        <v>162</v>
      </c>
      <c r="CI363" s="1">
        <f t="shared" si="253"/>
        <v>0</v>
      </c>
      <c r="CJ363" s="1">
        <f t="shared" si="254"/>
        <v>0</v>
      </c>
      <c r="CK363" s="1">
        <f t="shared" si="255"/>
        <v>0</v>
      </c>
      <c r="CL363" s="1">
        <f t="shared" si="256"/>
        <v>0</v>
      </c>
      <c r="CM363" s="2">
        <f t="shared" si="257"/>
        <v>0</v>
      </c>
      <c r="CN363" s="1">
        <f t="shared" si="258"/>
        <v>0</v>
      </c>
      <c r="CO363" s="1">
        <f t="shared" si="259"/>
        <v>0</v>
      </c>
      <c r="CP363" s="3" t="s">
        <v>162</v>
      </c>
      <c r="CQ363" s="1">
        <f t="shared" si="260"/>
        <v>0</v>
      </c>
      <c r="CR363" s="1">
        <f t="shared" si="261"/>
        <v>0</v>
      </c>
      <c r="CS363" s="1">
        <f t="shared" si="262"/>
        <v>0</v>
      </c>
      <c r="CT363" s="1">
        <f t="shared" si="263"/>
        <v>0</v>
      </c>
      <c r="CU363" s="2">
        <f t="shared" si="264"/>
        <v>0</v>
      </c>
      <c r="CV363" s="14">
        <f t="shared" si="265"/>
        <v>0</v>
      </c>
      <c r="CW363" s="1">
        <f>ROUND(PPTest!K363,1)</f>
        <v>0</v>
      </c>
      <c r="CX363" s="3">
        <f t="shared" si="266"/>
        <v>0</v>
      </c>
      <c r="CY363" s="3">
        <f t="shared" si="267"/>
        <v>0</v>
      </c>
      <c r="CZ363" s="19">
        <f t="shared" si="268"/>
        <v>0</v>
      </c>
      <c r="DA363" s="19" t="e">
        <f t="shared" si="268"/>
        <v>#DIV/0!</v>
      </c>
      <c r="DB363" s="16">
        <f t="shared" si="269"/>
        <v>0</v>
      </c>
    </row>
    <row r="364" spans="1:106" x14ac:dyDescent="0.2">
      <c r="A364" s="15">
        <f t="shared" si="270"/>
        <v>46016</v>
      </c>
      <c r="B364" s="1">
        <v>359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2"/>
      <c r="AZ364" s="14"/>
      <c r="BA364" s="16">
        <v>4.41</v>
      </c>
      <c r="BB364" s="41"/>
      <c r="BC364" s="41"/>
      <c r="BD364" s="8" t="e">
        <f t="shared" si="229"/>
        <v>#DIV/0!</v>
      </c>
      <c r="BE364" s="8"/>
      <c r="BF364" s="2">
        <f t="shared" si="248"/>
        <v>0</v>
      </c>
      <c r="BG364" s="2">
        <f t="shared" si="249"/>
        <v>0</v>
      </c>
      <c r="BH364" s="2">
        <f t="shared" si="250"/>
        <v>0</v>
      </c>
      <c r="BI364" s="35">
        <f t="shared" si="228"/>
        <v>0</v>
      </c>
      <c r="BJ364" s="35" t="e">
        <f t="shared" si="230"/>
        <v>#DIV/0!</v>
      </c>
      <c r="BL364" s="3">
        <f t="shared" si="231"/>
        <v>0</v>
      </c>
      <c r="BM364" s="19" t="e">
        <f t="shared" si="232"/>
        <v>#DIV/0!</v>
      </c>
      <c r="BN364" s="19" t="e">
        <f t="shared" si="233"/>
        <v>#DIV/0!</v>
      </c>
      <c r="BO364" s="19" t="e">
        <f t="shared" si="234"/>
        <v>#DIV/0!</v>
      </c>
      <c r="BP364" s="19" t="e">
        <f t="shared" si="235"/>
        <v>#DIV/0!</v>
      </c>
      <c r="BQ364" s="19" t="e">
        <f t="shared" si="236"/>
        <v>#DIV/0!</v>
      </c>
      <c r="BR364" s="19" t="e">
        <f t="shared" si="237"/>
        <v>#DIV/0!</v>
      </c>
      <c r="BS364" s="19" t="e">
        <f t="shared" si="238"/>
        <v>#DIV/0!</v>
      </c>
      <c r="BT364" s="19" t="e">
        <f t="shared" si="239"/>
        <v>#DIV/0!</v>
      </c>
      <c r="BV364" s="16">
        <f t="shared" si="240"/>
        <v>0</v>
      </c>
      <c r="BW364" s="16">
        <f t="shared" si="241"/>
        <v>0</v>
      </c>
      <c r="BX364" s="3">
        <f t="shared" si="242"/>
        <v>0</v>
      </c>
      <c r="BY364" s="3">
        <f t="shared" si="271"/>
        <v>0</v>
      </c>
      <c r="BZ364" s="3" t="s">
        <v>162</v>
      </c>
      <c r="CA364" s="3">
        <f t="shared" si="243"/>
        <v>0</v>
      </c>
      <c r="CB364" s="3">
        <f t="shared" si="244"/>
        <v>0</v>
      </c>
      <c r="CC364" s="3">
        <f t="shared" si="245"/>
        <v>0</v>
      </c>
      <c r="CD364" s="3">
        <f t="shared" si="246"/>
        <v>0</v>
      </c>
      <c r="CE364" s="22">
        <f t="shared" si="251"/>
        <v>0</v>
      </c>
      <c r="CF364" s="1">
        <f t="shared" si="247"/>
        <v>0</v>
      </c>
      <c r="CG364" s="1">
        <f t="shared" si="252"/>
        <v>0</v>
      </c>
      <c r="CH364" s="3" t="s">
        <v>162</v>
      </c>
      <c r="CI364" s="1">
        <f t="shared" si="253"/>
        <v>0</v>
      </c>
      <c r="CJ364" s="1">
        <f t="shared" si="254"/>
        <v>0</v>
      </c>
      <c r="CK364" s="1">
        <f t="shared" si="255"/>
        <v>0</v>
      </c>
      <c r="CL364" s="1">
        <f t="shared" si="256"/>
        <v>0</v>
      </c>
      <c r="CM364" s="2">
        <f t="shared" si="257"/>
        <v>0</v>
      </c>
      <c r="CN364" s="1">
        <f t="shared" si="258"/>
        <v>0</v>
      </c>
      <c r="CO364" s="1">
        <f t="shared" si="259"/>
        <v>0</v>
      </c>
      <c r="CP364" s="3" t="s">
        <v>162</v>
      </c>
      <c r="CQ364" s="1">
        <f t="shared" si="260"/>
        <v>0</v>
      </c>
      <c r="CR364" s="1">
        <f t="shared" si="261"/>
        <v>0</v>
      </c>
      <c r="CS364" s="1">
        <f t="shared" si="262"/>
        <v>0</v>
      </c>
      <c r="CT364" s="1">
        <f t="shared" si="263"/>
        <v>0</v>
      </c>
      <c r="CU364" s="2">
        <f t="shared" si="264"/>
        <v>0</v>
      </c>
      <c r="CV364" s="14">
        <f t="shared" si="265"/>
        <v>0</v>
      </c>
      <c r="CW364" s="1">
        <f>ROUND(PPTest!K364,1)</f>
        <v>0</v>
      </c>
      <c r="CX364" s="3">
        <f t="shared" si="266"/>
        <v>0</v>
      </c>
      <c r="CY364" s="3">
        <f t="shared" si="267"/>
        <v>0</v>
      </c>
      <c r="CZ364" s="19">
        <f t="shared" si="268"/>
        <v>0</v>
      </c>
      <c r="DA364" s="19" t="e">
        <f t="shared" si="268"/>
        <v>#DIV/0!</v>
      </c>
      <c r="DB364" s="16">
        <f t="shared" si="269"/>
        <v>0</v>
      </c>
    </row>
    <row r="365" spans="1:106" x14ac:dyDescent="0.2">
      <c r="A365" s="15">
        <f t="shared" si="270"/>
        <v>46017</v>
      </c>
      <c r="B365" s="1">
        <v>360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2"/>
      <c r="AZ365" s="14"/>
      <c r="BA365" s="16">
        <v>4.43</v>
      </c>
      <c r="BB365" s="41"/>
      <c r="BC365" s="41"/>
      <c r="BD365" s="8" t="e">
        <f t="shared" si="229"/>
        <v>#DIV/0!</v>
      </c>
      <c r="BE365" s="8"/>
      <c r="BF365" s="2">
        <f t="shared" si="248"/>
        <v>0</v>
      </c>
      <c r="BG365" s="2">
        <f t="shared" si="249"/>
        <v>0</v>
      </c>
      <c r="BH365" s="2">
        <f t="shared" si="250"/>
        <v>0</v>
      </c>
      <c r="BI365" s="35">
        <f t="shared" si="228"/>
        <v>0</v>
      </c>
      <c r="BJ365" s="35" t="e">
        <f t="shared" si="230"/>
        <v>#DIV/0!</v>
      </c>
      <c r="BL365" s="3">
        <f t="shared" si="231"/>
        <v>0</v>
      </c>
      <c r="BM365" s="19" t="e">
        <f t="shared" si="232"/>
        <v>#DIV/0!</v>
      </c>
      <c r="BN365" s="19" t="e">
        <f t="shared" si="233"/>
        <v>#DIV/0!</v>
      </c>
      <c r="BO365" s="19" t="e">
        <f t="shared" si="234"/>
        <v>#DIV/0!</v>
      </c>
      <c r="BP365" s="19" t="e">
        <f t="shared" si="235"/>
        <v>#DIV/0!</v>
      </c>
      <c r="BQ365" s="19" t="e">
        <f t="shared" si="236"/>
        <v>#DIV/0!</v>
      </c>
      <c r="BR365" s="19" t="e">
        <f t="shared" si="237"/>
        <v>#DIV/0!</v>
      </c>
      <c r="BS365" s="19" t="e">
        <f t="shared" si="238"/>
        <v>#DIV/0!</v>
      </c>
      <c r="BT365" s="19" t="e">
        <f t="shared" si="239"/>
        <v>#DIV/0!</v>
      </c>
      <c r="BV365" s="16">
        <f t="shared" si="240"/>
        <v>0</v>
      </c>
      <c r="BW365" s="16">
        <f t="shared" si="241"/>
        <v>0</v>
      </c>
      <c r="BX365" s="3">
        <f t="shared" si="242"/>
        <v>0</v>
      </c>
      <c r="BY365" s="3">
        <f t="shared" si="271"/>
        <v>0</v>
      </c>
      <c r="BZ365" s="3" t="s">
        <v>162</v>
      </c>
      <c r="CA365" s="3">
        <f t="shared" si="243"/>
        <v>0</v>
      </c>
      <c r="CB365" s="3">
        <f t="shared" si="244"/>
        <v>0</v>
      </c>
      <c r="CC365" s="3">
        <f t="shared" si="245"/>
        <v>0</v>
      </c>
      <c r="CD365" s="3">
        <f t="shared" si="246"/>
        <v>0</v>
      </c>
      <c r="CE365" s="22">
        <f t="shared" si="251"/>
        <v>0</v>
      </c>
      <c r="CF365" s="1">
        <f t="shared" si="247"/>
        <v>0</v>
      </c>
      <c r="CG365" s="1">
        <f t="shared" si="252"/>
        <v>0</v>
      </c>
      <c r="CH365" s="3" t="s">
        <v>162</v>
      </c>
      <c r="CI365" s="1">
        <f t="shared" si="253"/>
        <v>0</v>
      </c>
      <c r="CJ365" s="1">
        <f t="shared" si="254"/>
        <v>0</v>
      </c>
      <c r="CK365" s="1">
        <f t="shared" si="255"/>
        <v>0</v>
      </c>
      <c r="CL365" s="1">
        <f t="shared" si="256"/>
        <v>0</v>
      </c>
      <c r="CM365" s="2">
        <f t="shared" si="257"/>
        <v>0</v>
      </c>
      <c r="CN365" s="1">
        <f t="shared" si="258"/>
        <v>0</v>
      </c>
      <c r="CO365" s="1">
        <f t="shared" si="259"/>
        <v>0</v>
      </c>
      <c r="CP365" s="3" t="s">
        <v>162</v>
      </c>
      <c r="CQ365" s="1">
        <f t="shared" si="260"/>
        <v>0</v>
      </c>
      <c r="CR365" s="1">
        <f t="shared" si="261"/>
        <v>0</v>
      </c>
      <c r="CS365" s="1">
        <f t="shared" si="262"/>
        <v>0</v>
      </c>
      <c r="CT365" s="1">
        <f t="shared" si="263"/>
        <v>0</v>
      </c>
      <c r="CU365" s="2">
        <f t="shared" si="264"/>
        <v>0</v>
      </c>
      <c r="CV365" s="14">
        <f t="shared" si="265"/>
        <v>0</v>
      </c>
      <c r="CW365" s="1">
        <f>ROUND(PPTest!K365,1)</f>
        <v>0</v>
      </c>
      <c r="CX365" s="3">
        <f t="shared" si="266"/>
        <v>0</v>
      </c>
      <c r="CY365" s="3">
        <f t="shared" si="267"/>
        <v>0</v>
      </c>
      <c r="CZ365" s="19">
        <f t="shared" si="268"/>
        <v>0</v>
      </c>
      <c r="DA365" s="19" t="e">
        <f t="shared" si="268"/>
        <v>#DIV/0!</v>
      </c>
      <c r="DB365" s="16">
        <f t="shared" si="269"/>
        <v>0</v>
      </c>
    </row>
    <row r="366" spans="1:106" x14ac:dyDescent="0.2">
      <c r="A366" s="15">
        <f t="shared" si="270"/>
        <v>46018</v>
      </c>
      <c r="B366" s="1">
        <v>361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2"/>
      <c r="AZ366" s="14"/>
      <c r="BA366" s="16">
        <v>4.45</v>
      </c>
      <c r="BB366" s="41"/>
      <c r="BC366" s="41"/>
      <c r="BD366" s="8" t="e">
        <f t="shared" si="229"/>
        <v>#DIV/0!</v>
      </c>
      <c r="BE366" s="8"/>
      <c r="BF366" s="2">
        <f t="shared" si="248"/>
        <v>0</v>
      </c>
      <c r="BG366" s="2">
        <f t="shared" si="249"/>
        <v>0</v>
      </c>
      <c r="BH366" s="2">
        <f t="shared" si="250"/>
        <v>0</v>
      </c>
      <c r="BI366" s="35">
        <f t="shared" si="228"/>
        <v>0</v>
      </c>
      <c r="BJ366" s="35" t="e">
        <f t="shared" si="230"/>
        <v>#DIV/0!</v>
      </c>
      <c r="BL366" s="3">
        <f t="shared" si="231"/>
        <v>0</v>
      </c>
      <c r="BM366" s="19" t="e">
        <f t="shared" si="232"/>
        <v>#DIV/0!</v>
      </c>
      <c r="BN366" s="19" t="e">
        <f t="shared" si="233"/>
        <v>#DIV/0!</v>
      </c>
      <c r="BO366" s="19" t="e">
        <f t="shared" si="234"/>
        <v>#DIV/0!</v>
      </c>
      <c r="BP366" s="19" t="e">
        <f t="shared" si="235"/>
        <v>#DIV/0!</v>
      </c>
      <c r="BQ366" s="19" t="e">
        <f t="shared" si="236"/>
        <v>#DIV/0!</v>
      </c>
      <c r="BR366" s="19" t="e">
        <f t="shared" si="237"/>
        <v>#DIV/0!</v>
      </c>
      <c r="BS366" s="19" t="e">
        <f t="shared" si="238"/>
        <v>#DIV/0!</v>
      </c>
      <c r="BT366" s="19" t="e">
        <f t="shared" si="239"/>
        <v>#DIV/0!</v>
      </c>
      <c r="BV366" s="16">
        <f t="shared" si="240"/>
        <v>0</v>
      </c>
      <c r="BW366" s="16">
        <f t="shared" si="241"/>
        <v>0</v>
      </c>
      <c r="BX366" s="3">
        <f t="shared" si="242"/>
        <v>0</v>
      </c>
      <c r="BY366" s="3">
        <f t="shared" si="271"/>
        <v>0</v>
      </c>
      <c r="BZ366" s="3" t="s">
        <v>162</v>
      </c>
      <c r="CA366" s="3">
        <f t="shared" si="243"/>
        <v>0</v>
      </c>
      <c r="CB366" s="3">
        <f t="shared" si="244"/>
        <v>0</v>
      </c>
      <c r="CC366" s="3">
        <f t="shared" si="245"/>
        <v>0</v>
      </c>
      <c r="CD366" s="3">
        <f t="shared" si="246"/>
        <v>0</v>
      </c>
      <c r="CE366" s="22">
        <f t="shared" si="251"/>
        <v>0</v>
      </c>
      <c r="CF366" s="1">
        <f t="shared" si="247"/>
        <v>0</v>
      </c>
      <c r="CG366" s="1">
        <f t="shared" si="252"/>
        <v>0</v>
      </c>
      <c r="CH366" s="3" t="s">
        <v>162</v>
      </c>
      <c r="CI366" s="1">
        <f t="shared" si="253"/>
        <v>0</v>
      </c>
      <c r="CJ366" s="1">
        <f t="shared" si="254"/>
        <v>0</v>
      </c>
      <c r="CK366" s="1">
        <f t="shared" si="255"/>
        <v>0</v>
      </c>
      <c r="CL366" s="1">
        <f t="shared" si="256"/>
        <v>0</v>
      </c>
      <c r="CM366" s="2">
        <f t="shared" si="257"/>
        <v>0</v>
      </c>
      <c r="CN366" s="1">
        <f t="shared" si="258"/>
        <v>0</v>
      </c>
      <c r="CO366" s="1">
        <f t="shared" si="259"/>
        <v>0</v>
      </c>
      <c r="CP366" s="3" t="s">
        <v>162</v>
      </c>
      <c r="CQ366" s="1">
        <f t="shared" si="260"/>
        <v>0</v>
      </c>
      <c r="CR366" s="1">
        <f t="shared" si="261"/>
        <v>0</v>
      </c>
      <c r="CS366" s="1">
        <f t="shared" si="262"/>
        <v>0</v>
      </c>
      <c r="CT366" s="1">
        <f t="shared" si="263"/>
        <v>0</v>
      </c>
      <c r="CU366" s="2">
        <f t="shared" si="264"/>
        <v>0</v>
      </c>
      <c r="CV366" s="14">
        <f t="shared" si="265"/>
        <v>0</v>
      </c>
      <c r="CW366" s="1">
        <f>ROUND(PPTest!K366,1)</f>
        <v>0</v>
      </c>
      <c r="CX366" s="3">
        <f t="shared" si="266"/>
        <v>0</v>
      </c>
      <c r="CY366" s="3">
        <f t="shared" si="267"/>
        <v>0</v>
      </c>
      <c r="CZ366" s="19">
        <f t="shared" si="268"/>
        <v>0</v>
      </c>
      <c r="DA366" s="19" t="e">
        <f t="shared" si="268"/>
        <v>#DIV/0!</v>
      </c>
      <c r="DB366" s="16">
        <f t="shared" si="269"/>
        <v>0</v>
      </c>
    </row>
    <row r="367" spans="1:106" x14ac:dyDescent="0.2">
      <c r="A367" s="15">
        <f t="shared" si="270"/>
        <v>46019</v>
      </c>
      <c r="B367" s="1">
        <v>362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2"/>
      <c r="AZ367" s="14"/>
      <c r="BA367" s="16">
        <v>4.47</v>
      </c>
      <c r="BB367" s="41"/>
      <c r="BC367" s="41"/>
      <c r="BD367" s="8" t="e">
        <f t="shared" si="229"/>
        <v>#DIV/0!</v>
      </c>
      <c r="BE367" s="8"/>
      <c r="BF367" s="2">
        <f t="shared" si="248"/>
        <v>0</v>
      </c>
      <c r="BG367" s="2">
        <f t="shared" si="249"/>
        <v>0</v>
      </c>
      <c r="BH367" s="2">
        <f t="shared" si="250"/>
        <v>0</v>
      </c>
      <c r="BI367" s="35">
        <f t="shared" si="228"/>
        <v>0</v>
      </c>
      <c r="BJ367" s="35" t="e">
        <f t="shared" si="230"/>
        <v>#DIV/0!</v>
      </c>
      <c r="BL367" s="3">
        <f t="shared" si="231"/>
        <v>0</v>
      </c>
      <c r="BM367" s="19" t="e">
        <f t="shared" si="232"/>
        <v>#DIV/0!</v>
      </c>
      <c r="BN367" s="19" t="e">
        <f t="shared" si="233"/>
        <v>#DIV/0!</v>
      </c>
      <c r="BO367" s="19" t="e">
        <f t="shared" si="234"/>
        <v>#DIV/0!</v>
      </c>
      <c r="BP367" s="19" t="e">
        <f t="shared" si="235"/>
        <v>#DIV/0!</v>
      </c>
      <c r="BQ367" s="19" t="e">
        <f t="shared" si="236"/>
        <v>#DIV/0!</v>
      </c>
      <c r="BR367" s="19" t="e">
        <f t="shared" si="237"/>
        <v>#DIV/0!</v>
      </c>
      <c r="BS367" s="19" t="e">
        <f t="shared" si="238"/>
        <v>#DIV/0!</v>
      </c>
      <c r="BT367" s="19" t="e">
        <f t="shared" si="239"/>
        <v>#DIV/0!</v>
      </c>
      <c r="BV367" s="16">
        <f t="shared" si="240"/>
        <v>0</v>
      </c>
      <c r="BW367" s="16">
        <f t="shared" si="241"/>
        <v>0</v>
      </c>
      <c r="BX367" s="3">
        <f t="shared" si="242"/>
        <v>0</v>
      </c>
      <c r="BY367" s="3">
        <f t="shared" si="271"/>
        <v>0</v>
      </c>
      <c r="BZ367" s="3" t="s">
        <v>162</v>
      </c>
      <c r="CA367" s="3">
        <f t="shared" si="243"/>
        <v>0</v>
      </c>
      <c r="CB367" s="3">
        <f t="shared" si="244"/>
        <v>0</v>
      </c>
      <c r="CC367" s="3">
        <f t="shared" si="245"/>
        <v>0</v>
      </c>
      <c r="CD367" s="3">
        <f t="shared" si="246"/>
        <v>0</v>
      </c>
      <c r="CE367" s="22">
        <f t="shared" si="251"/>
        <v>0</v>
      </c>
      <c r="CF367" s="1">
        <f t="shared" si="247"/>
        <v>0</v>
      </c>
      <c r="CG367" s="1">
        <f t="shared" si="252"/>
        <v>0</v>
      </c>
      <c r="CH367" s="3" t="s">
        <v>162</v>
      </c>
      <c r="CI367" s="1">
        <f t="shared" si="253"/>
        <v>0</v>
      </c>
      <c r="CJ367" s="1">
        <f t="shared" si="254"/>
        <v>0</v>
      </c>
      <c r="CK367" s="1">
        <f t="shared" si="255"/>
        <v>0</v>
      </c>
      <c r="CL367" s="1">
        <f t="shared" si="256"/>
        <v>0</v>
      </c>
      <c r="CM367" s="2">
        <f t="shared" si="257"/>
        <v>0</v>
      </c>
      <c r="CN367" s="1">
        <f t="shared" si="258"/>
        <v>0</v>
      </c>
      <c r="CO367" s="1">
        <f t="shared" si="259"/>
        <v>0</v>
      </c>
      <c r="CP367" s="3" t="s">
        <v>162</v>
      </c>
      <c r="CQ367" s="1">
        <f t="shared" si="260"/>
        <v>0</v>
      </c>
      <c r="CR367" s="1">
        <f t="shared" si="261"/>
        <v>0</v>
      </c>
      <c r="CS367" s="1">
        <f t="shared" si="262"/>
        <v>0</v>
      </c>
      <c r="CT367" s="1">
        <f t="shared" si="263"/>
        <v>0</v>
      </c>
      <c r="CU367" s="2">
        <f t="shared" si="264"/>
        <v>0</v>
      </c>
      <c r="CV367" s="14">
        <f t="shared" si="265"/>
        <v>0</v>
      </c>
      <c r="CW367" s="1">
        <f>ROUND(PPTest!K367,1)</f>
        <v>0</v>
      </c>
      <c r="CX367" s="3">
        <f t="shared" si="266"/>
        <v>0</v>
      </c>
      <c r="CY367" s="3">
        <f t="shared" si="267"/>
        <v>0</v>
      </c>
      <c r="CZ367" s="19">
        <f t="shared" si="268"/>
        <v>0</v>
      </c>
      <c r="DA367" s="19" t="e">
        <f t="shared" si="268"/>
        <v>#DIV/0!</v>
      </c>
      <c r="DB367" s="16">
        <f t="shared" si="269"/>
        <v>0</v>
      </c>
    </row>
    <row r="368" spans="1:106" x14ac:dyDescent="0.2">
      <c r="A368" s="15">
        <f t="shared" si="270"/>
        <v>46020</v>
      </c>
      <c r="B368" s="1">
        <v>363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2"/>
      <c r="AZ368" s="14"/>
      <c r="BA368" s="16">
        <v>4.5</v>
      </c>
      <c r="BB368" s="41"/>
      <c r="BC368" s="41"/>
      <c r="BD368" s="8" t="e">
        <f t="shared" si="229"/>
        <v>#DIV/0!</v>
      </c>
      <c r="BE368" s="8"/>
      <c r="BF368" s="2">
        <f t="shared" si="248"/>
        <v>0</v>
      </c>
      <c r="BG368" s="2">
        <f t="shared" si="249"/>
        <v>0</v>
      </c>
      <c r="BH368" s="2">
        <f t="shared" si="250"/>
        <v>0</v>
      </c>
      <c r="BI368" s="35">
        <f t="shared" si="228"/>
        <v>0</v>
      </c>
      <c r="BJ368" s="35" t="e">
        <f t="shared" si="230"/>
        <v>#DIV/0!</v>
      </c>
      <c r="BL368" s="3">
        <f t="shared" si="231"/>
        <v>0</v>
      </c>
      <c r="BM368" s="19" t="e">
        <f t="shared" si="232"/>
        <v>#DIV/0!</v>
      </c>
      <c r="BN368" s="19" t="e">
        <f t="shared" si="233"/>
        <v>#DIV/0!</v>
      </c>
      <c r="BO368" s="19" t="e">
        <f t="shared" si="234"/>
        <v>#DIV/0!</v>
      </c>
      <c r="BP368" s="19" t="e">
        <f t="shared" si="235"/>
        <v>#DIV/0!</v>
      </c>
      <c r="BQ368" s="19" t="e">
        <f t="shared" si="236"/>
        <v>#DIV/0!</v>
      </c>
      <c r="BR368" s="19" t="e">
        <f t="shared" si="237"/>
        <v>#DIV/0!</v>
      </c>
      <c r="BS368" s="19" t="e">
        <f t="shared" si="238"/>
        <v>#DIV/0!</v>
      </c>
      <c r="BT368" s="19" t="e">
        <f t="shared" si="239"/>
        <v>#DIV/0!</v>
      </c>
      <c r="BV368" s="16">
        <f t="shared" si="240"/>
        <v>0</v>
      </c>
      <c r="BW368" s="16">
        <f t="shared" si="241"/>
        <v>0</v>
      </c>
      <c r="BX368" s="3">
        <f t="shared" si="242"/>
        <v>0</v>
      </c>
      <c r="BY368" s="3">
        <f t="shared" si="271"/>
        <v>0</v>
      </c>
      <c r="BZ368" s="3" t="s">
        <v>162</v>
      </c>
      <c r="CA368" s="3">
        <f t="shared" si="243"/>
        <v>0</v>
      </c>
      <c r="CB368" s="3">
        <f t="shared" si="244"/>
        <v>0</v>
      </c>
      <c r="CC368" s="3">
        <f t="shared" si="245"/>
        <v>0</v>
      </c>
      <c r="CD368" s="3">
        <f t="shared" si="246"/>
        <v>0</v>
      </c>
      <c r="CE368" s="22">
        <f t="shared" si="251"/>
        <v>0</v>
      </c>
      <c r="CF368" s="1">
        <f t="shared" si="247"/>
        <v>0</v>
      </c>
      <c r="CG368" s="1">
        <f t="shared" si="252"/>
        <v>0</v>
      </c>
      <c r="CH368" s="3" t="s">
        <v>162</v>
      </c>
      <c r="CI368" s="1">
        <f t="shared" si="253"/>
        <v>0</v>
      </c>
      <c r="CJ368" s="1">
        <f t="shared" si="254"/>
        <v>0</v>
      </c>
      <c r="CK368" s="1">
        <f t="shared" si="255"/>
        <v>0</v>
      </c>
      <c r="CL368" s="1">
        <f t="shared" si="256"/>
        <v>0</v>
      </c>
      <c r="CM368" s="2">
        <f t="shared" si="257"/>
        <v>0</v>
      </c>
      <c r="CN368" s="1">
        <f t="shared" si="258"/>
        <v>0</v>
      </c>
      <c r="CO368" s="1">
        <f t="shared" si="259"/>
        <v>0</v>
      </c>
      <c r="CP368" s="3" t="s">
        <v>162</v>
      </c>
      <c r="CQ368" s="1">
        <f t="shared" si="260"/>
        <v>0</v>
      </c>
      <c r="CR368" s="1">
        <f t="shared" si="261"/>
        <v>0</v>
      </c>
      <c r="CS368" s="1">
        <f t="shared" si="262"/>
        <v>0</v>
      </c>
      <c r="CT368" s="1">
        <f t="shared" si="263"/>
        <v>0</v>
      </c>
      <c r="CU368" s="2">
        <f t="shared" si="264"/>
        <v>0</v>
      </c>
      <c r="CV368" s="14">
        <f t="shared" si="265"/>
        <v>0</v>
      </c>
      <c r="CW368" s="1">
        <f>ROUND(PPTest!K368,1)</f>
        <v>0</v>
      </c>
      <c r="CX368" s="3">
        <f t="shared" si="266"/>
        <v>0</v>
      </c>
      <c r="CY368" s="3">
        <f t="shared" si="267"/>
        <v>0</v>
      </c>
      <c r="CZ368" s="19">
        <f t="shared" si="268"/>
        <v>0</v>
      </c>
      <c r="DA368" s="19" t="e">
        <f t="shared" si="268"/>
        <v>#DIV/0!</v>
      </c>
      <c r="DB368" s="16">
        <f t="shared" si="269"/>
        <v>0</v>
      </c>
    </row>
    <row r="369" spans="1:113" x14ac:dyDescent="0.2">
      <c r="A369" s="15">
        <f t="shared" si="270"/>
        <v>46021</v>
      </c>
      <c r="B369" s="1">
        <v>364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2"/>
      <c r="AZ369" s="14"/>
      <c r="BA369" s="16">
        <v>4.53</v>
      </c>
      <c r="BB369" s="41"/>
      <c r="BC369" s="41"/>
      <c r="BD369" s="8" t="e">
        <f t="shared" si="229"/>
        <v>#DIV/0!</v>
      </c>
      <c r="BE369" s="8"/>
      <c r="BF369" s="2">
        <f t="shared" si="248"/>
        <v>0</v>
      </c>
      <c r="BG369" s="2">
        <f t="shared" si="249"/>
        <v>0</v>
      </c>
      <c r="BH369" s="2">
        <f t="shared" si="250"/>
        <v>0</v>
      </c>
      <c r="BI369" s="35">
        <f t="shared" si="228"/>
        <v>0</v>
      </c>
      <c r="BJ369" s="35" t="e">
        <f t="shared" si="230"/>
        <v>#DIV/0!</v>
      </c>
      <c r="BL369" s="3">
        <f t="shared" si="231"/>
        <v>0</v>
      </c>
      <c r="BM369" s="19" t="e">
        <f t="shared" si="232"/>
        <v>#DIV/0!</v>
      </c>
      <c r="BN369" s="19" t="e">
        <f t="shared" si="233"/>
        <v>#DIV/0!</v>
      </c>
      <c r="BO369" s="19" t="e">
        <f t="shared" si="234"/>
        <v>#DIV/0!</v>
      </c>
      <c r="BP369" s="19" t="e">
        <f t="shared" si="235"/>
        <v>#DIV/0!</v>
      </c>
      <c r="BQ369" s="19" t="e">
        <f t="shared" si="236"/>
        <v>#DIV/0!</v>
      </c>
      <c r="BR369" s="19" t="e">
        <f t="shared" si="237"/>
        <v>#DIV/0!</v>
      </c>
      <c r="BS369" s="19" t="e">
        <f t="shared" si="238"/>
        <v>#DIV/0!</v>
      </c>
      <c r="BT369" s="19" t="e">
        <f t="shared" si="239"/>
        <v>#DIV/0!</v>
      </c>
      <c r="BV369" s="16">
        <f t="shared" si="240"/>
        <v>0</v>
      </c>
      <c r="BW369" s="16">
        <f t="shared" si="241"/>
        <v>0</v>
      </c>
      <c r="BX369" s="3">
        <f t="shared" si="242"/>
        <v>0</v>
      </c>
      <c r="BY369" s="3">
        <f t="shared" si="271"/>
        <v>0</v>
      </c>
      <c r="BZ369" s="3" t="s">
        <v>162</v>
      </c>
      <c r="CA369" s="3">
        <f t="shared" si="243"/>
        <v>0</v>
      </c>
      <c r="CB369" s="3">
        <f t="shared" si="244"/>
        <v>0</v>
      </c>
      <c r="CC369" s="3">
        <f t="shared" si="245"/>
        <v>0</v>
      </c>
      <c r="CD369" s="3">
        <f t="shared" si="246"/>
        <v>0</v>
      </c>
      <c r="CE369" s="22">
        <f t="shared" si="251"/>
        <v>0</v>
      </c>
      <c r="CF369" s="1">
        <f t="shared" si="247"/>
        <v>0</v>
      </c>
      <c r="CG369" s="1">
        <f t="shared" si="252"/>
        <v>0</v>
      </c>
      <c r="CH369" s="3" t="s">
        <v>162</v>
      </c>
      <c r="CI369" s="1">
        <f t="shared" si="253"/>
        <v>0</v>
      </c>
      <c r="CJ369" s="1">
        <f t="shared" si="254"/>
        <v>0</v>
      </c>
      <c r="CK369" s="1">
        <f t="shared" si="255"/>
        <v>0</v>
      </c>
      <c r="CL369" s="1">
        <f t="shared" si="256"/>
        <v>0</v>
      </c>
      <c r="CM369" s="2">
        <f t="shared" si="257"/>
        <v>0</v>
      </c>
      <c r="CN369" s="1">
        <f t="shared" si="258"/>
        <v>0</v>
      </c>
      <c r="CO369" s="1">
        <f t="shared" si="259"/>
        <v>0</v>
      </c>
      <c r="CP369" s="3" t="s">
        <v>162</v>
      </c>
      <c r="CQ369" s="1">
        <f t="shared" si="260"/>
        <v>0</v>
      </c>
      <c r="CR369" s="1">
        <f t="shared" si="261"/>
        <v>0</v>
      </c>
      <c r="CS369" s="1">
        <f t="shared" si="262"/>
        <v>0</v>
      </c>
      <c r="CT369" s="1">
        <f t="shared" si="263"/>
        <v>0</v>
      </c>
      <c r="CU369" s="2">
        <f t="shared" si="264"/>
        <v>0</v>
      </c>
      <c r="CV369" s="14">
        <f t="shared" si="265"/>
        <v>0</v>
      </c>
      <c r="CW369" s="1">
        <f>ROUND(PPTest!K369,1)</f>
        <v>0</v>
      </c>
      <c r="CX369" s="3">
        <f t="shared" si="266"/>
        <v>0</v>
      </c>
      <c r="CY369" s="3">
        <f t="shared" si="267"/>
        <v>0</v>
      </c>
      <c r="CZ369" s="19">
        <f t="shared" si="268"/>
        <v>0</v>
      </c>
      <c r="DA369" s="19" t="e">
        <f t="shared" si="268"/>
        <v>#DIV/0!</v>
      </c>
      <c r="DB369" s="16">
        <f t="shared" si="269"/>
        <v>0</v>
      </c>
    </row>
    <row r="370" spans="1:113" x14ac:dyDescent="0.2">
      <c r="A370" s="15">
        <f t="shared" si="270"/>
        <v>46022</v>
      </c>
      <c r="B370" s="1">
        <v>365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2"/>
      <c r="AZ370" s="14"/>
      <c r="BA370" s="16">
        <v>4.5599999999999996</v>
      </c>
      <c r="BB370" s="41"/>
      <c r="BC370" s="41"/>
      <c r="BD370" s="8" t="e">
        <f t="shared" si="229"/>
        <v>#DIV/0!</v>
      </c>
      <c r="BE370" s="8"/>
      <c r="BF370" s="2">
        <f t="shared" si="248"/>
        <v>0</v>
      </c>
      <c r="BG370" s="2">
        <f t="shared" si="249"/>
        <v>0</v>
      </c>
      <c r="BH370" s="2">
        <f t="shared" si="250"/>
        <v>0</v>
      </c>
      <c r="BI370" s="35">
        <f t="shared" si="228"/>
        <v>0</v>
      </c>
      <c r="BJ370" s="35" t="e">
        <f t="shared" si="230"/>
        <v>#DIV/0!</v>
      </c>
      <c r="BL370" s="3">
        <f t="shared" si="231"/>
        <v>0</v>
      </c>
      <c r="BM370" s="19" t="e">
        <f t="shared" si="232"/>
        <v>#DIV/0!</v>
      </c>
      <c r="BN370" s="19" t="e">
        <f t="shared" si="233"/>
        <v>#DIV/0!</v>
      </c>
      <c r="BO370" s="19" t="e">
        <f t="shared" si="234"/>
        <v>#DIV/0!</v>
      </c>
      <c r="BP370" s="19" t="e">
        <f t="shared" si="235"/>
        <v>#DIV/0!</v>
      </c>
      <c r="BQ370" s="19" t="e">
        <f t="shared" si="236"/>
        <v>#DIV/0!</v>
      </c>
      <c r="BR370" s="19" t="e">
        <f t="shared" si="237"/>
        <v>#DIV/0!</v>
      </c>
      <c r="BS370" s="19" t="e">
        <f t="shared" si="238"/>
        <v>#DIV/0!</v>
      </c>
      <c r="BT370" s="19" t="e">
        <f t="shared" si="239"/>
        <v>#DIV/0!</v>
      </c>
      <c r="BV370" s="16">
        <f t="shared" si="240"/>
        <v>0</v>
      </c>
      <c r="BW370" s="16">
        <f t="shared" si="241"/>
        <v>0</v>
      </c>
      <c r="BX370" s="3">
        <f t="shared" si="242"/>
        <v>0</v>
      </c>
      <c r="BY370" s="3">
        <f t="shared" si="271"/>
        <v>0</v>
      </c>
      <c r="BZ370" s="3" t="s">
        <v>162</v>
      </c>
      <c r="CA370" s="3">
        <f t="shared" si="243"/>
        <v>0</v>
      </c>
      <c r="CB370" s="3">
        <f t="shared" si="244"/>
        <v>0</v>
      </c>
      <c r="CC370" s="3">
        <f t="shared" si="245"/>
        <v>0</v>
      </c>
      <c r="CD370" s="3">
        <f t="shared" si="246"/>
        <v>0</v>
      </c>
      <c r="CE370" s="22">
        <f t="shared" si="251"/>
        <v>0</v>
      </c>
      <c r="CF370" s="1">
        <f t="shared" si="247"/>
        <v>0</v>
      </c>
      <c r="CG370" s="1">
        <f t="shared" si="252"/>
        <v>0</v>
      </c>
      <c r="CH370" s="3" t="s">
        <v>162</v>
      </c>
      <c r="CI370" s="1">
        <f t="shared" si="253"/>
        <v>0</v>
      </c>
      <c r="CJ370" s="1">
        <f t="shared" si="254"/>
        <v>0</v>
      </c>
      <c r="CK370" s="1">
        <f t="shared" si="255"/>
        <v>0</v>
      </c>
      <c r="CL370" s="1">
        <f t="shared" si="256"/>
        <v>0</v>
      </c>
      <c r="CM370" s="2">
        <f t="shared" si="257"/>
        <v>0</v>
      </c>
      <c r="CN370" s="1">
        <f t="shared" si="258"/>
        <v>0</v>
      </c>
      <c r="CO370" s="1">
        <f t="shared" si="259"/>
        <v>0</v>
      </c>
      <c r="CP370" s="3" t="s">
        <v>162</v>
      </c>
      <c r="CQ370" s="1">
        <f t="shared" si="260"/>
        <v>0</v>
      </c>
      <c r="CR370" s="1">
        <f t="shared" si="261"/>
        <v>0</v>
      </c>
      <c r="CS370" s="1">
        <f t="shared" si="262"/>
        <v>0</v>
      </c>
      <c r="CT370" s="1">
        <f t="shared" si="263"/>
        <v>0</v>
      </c>
      <c r="CU370" s="2">
        <f t="shared" si="264"/>
        <v>0</v>
      </c>
      <c r="CV370" s="14">
        <f t="shared" si="265"/>
        <v>0</v>
      </c>
      <c r="CW370" s="1">
        <f>ROUND(PPTest!K370,1)</f>
        <v>0</v>
      </c>
      <c r="CX370" s="3">
        <f t="shared" si="266"/>
        <v>0</v>
      </c>
      <c r="CY370" s="3">
        <f t="shared" si="267"/>
        <v>0</v>
      </c>
      <c r="CZ370" s="19">
        <f t="shared" si="268"/>
        <v>0</v>
      </c>
      <c r="DA370" s="19" t="e">
        <f t="shared" si="268"/>
        <v>#DIV/0!</v>
      </c>
      <c r="DB370" s="16">
        <f t="shared" si="269"/>
        <v>0</v>
      </c>
    </row>
    <row r="371" spans="1:113" x14ac:dyDescent="0.2">
      <c r="A371" s="15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44"/>
      <c r="AH371" s="44"/>
      <c r="AI371" s="44"/>
      <c r="AJ371" s="44"/>
      <c r="AK371" s="44"/>
      <c r="AL371" s="44"/>
      <c r="AM371" s="44"/>
      <c r="AN371" s="44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2"/>
      <c r="AZ371" s="14"/>
      <c r="BA371" s="16"/>
      <c r="BB371" s="7"/>
      <c r="BC371" s="7"/>
      <c r="BD371" s="8"/>
      <c r="BE371" s="8"/>
      <c r="BF371" s="8"/>
      <c r="BG371" s="8"/>
      <c r="BH371" s="8"/>
      <c r="BI371" s="8"/>
      <c r="BJ371" s="8"/>
      <c r="BM371" s="3"/>
      <c r="BN371" s="3"/>
      <c r="BO371" s="3"/>
      <c r="BP371" s="3"/>
      <c r="BQ371" s="3"/>
      <c r="BR371" s="3"/>
      <c r="BS371" s="3"/>
      <c r="BT371" s="3"/>
      <c r="BV371" s="16"/>
      <c r="BY371" s="2"/>
      <c r="BZ371" s="14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</row>
    <row r="372" spans="1:113" x14ac:dyDescent="0.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4"/>
      <c r="AH372" s="44"/>
      <c r="AI372" s="44"/>
      <c r="AJ372" s="44"/>
      <c r="AK372" s="44"/>
      <c r="AL372" s="44"/>
      <c r="AM372" s="44"/>
      <c r="AN372" s="4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</row>
    <row r="373" spans="1:113" x14ac:dyDescent="0.2">
      <c r="A373" s="3" t="s">
        <v>53</v>
      </c>
      <c r="C373" s="18" t="s">
        <v>98</v>
      </c>
      <c r="D373" s="45" t="s">
        <v>54</v>
      </c>
      <c r="E373" s="45" t="s">
        <v>1</v>
      </c>
      <c r="F373" s="45" t="s">
        <v>2</v>
      </c>
      <c r="G373" s="45" t="s">
        <v>3</v>
      </c>
      <c r="H373" s="45" t="s">
        <v>4</v>
      </c>
      <c r="I373" s="45" t="s">
        <v>5</v>
      </c>
      <c r="J373" s="45" t="s">
        <v>40</v>
      </c>
      <c r="K373" s="45" t="s">
        <v>41</v>
      </c>
      <c r="L373" s="45" t="s">
        <v>42</v>
      </c>
      <c r="M373" s="45" t="s">
        <v>33</v>
      </c>
      <c r="N373" s="45" t="s">
        <v>37</v>
      </c>
      <c r="O373" s="46"/>
      <c r="P373" s="45" t="s">
        <v>55</v>
      </c>
      <c r="Q373" s="18"/>
      <c r="R373" s="45" t="s">
        <v>56</v>
      </c>
      <c r="S373" s="45" t="s">
        <v>57</v>
      </c>
      <c r="T373" s="45" t="s">
        <v>58</v>
      </c>
      <c r="U373" s="45" t="s">
        <v>59</v>
      </c>
      <c r="V373" s="18"/>
      <c r="W373" s="18"/>
      <c r="X373" s="45" t="s">
        <v>60</v>
      </c>
      <c r="Y373" s="45" t="s">
        <v>1</v>
      </c>
      <c r="Z373" s="45" t="s">
        <v>61</v>
      </c>
      <c r="AA373" s="45" t="s">
        <v>3</v>
      </c>
      <c r="AB373" s="45" t="s">
        <v>63</v>
      </c>
      <c r="AC373" s="45" t="s">
        <v>5</v>
      </c>
      <c r="AD373" s="45" t="s">
        <v>64</v>
      </c>
      <c r="AE373" s="46"/>
      <c r="AF373" s="46"/>
      <c r="AG373" s="44"/>
      <c r="AH373" s="44"/>
      <c r="AI373" s="44"/>
      <c r="AJ373" s="44"/>
      <c r="AK373" s="44"/>
      <c r="AL373" s="44"/>
      <c r="AM373" s="44"/>
      <c r="AN373" s="44"/>
      <c r="AO373" s="46"/>
      <c r="AP373" s="46"/>
      <c r="AQ373" s="18"/>
      <c r="AR373" s="18"/>
      <c r="AS373" s="18"/>
      <c r="AT373" s="18"/>
      <c r="AU373" s="18"/>
      <c r="AV373" s="18"/>
      <c r="AW373" s="18"/>
      <c r="AX373" s="18"/>
      <c r="AY373" s="47" t="s">
        <v>65</v>
      </c>
      <c r="AZ373" s="3"/>
      <c r="BA373" s="3"/>
      <c r="BB373" s="2" t="s">
        <v>35</v>
      </c>
      <c r="BC373" s="2" t="s">
        <v>51</v>
      </c>
      <c r="BD373" s="3" t="s">
        <v>52</v>
      </c>
      <c r="BE373" s="3"/>
      <c r="BF373" s="3"/>
      <c r="BG373" s="3"/>
      <c r="BH373" s="5" t="s">
        <v>61</v>
      </c>
      <c r="BI373" s="5" t="s">
        <v>62</v>
      </c>
      <c r="BJ373" s="3" t="s">
        <v>121</v>
      </c>
      <c r="BL373" s="3" t="s">
        <v>96</v>
      </c>
      <c r="BM373" s="3" t="s">
        <v>97</v>
      </c>
      <c r="BN373" s="10"/>
      <c r="BO373" s="10"/>
      <c r="BP373" s="10"/>
      <c r="BQ373" s="10"/>
      <c r="BR373" s="10"/>
      <c r="BS373" s="10"/>
      <c r="BT373" s="3"/>
    </row>
    <row r="374" spans="1:113" x14ac:dyDescent="0.2">
      <c r="A374" s="3" t="s">
        <v>66</v>
      </c>
      <c r="C374" s="20">
        <f>ROUND(AVERAGE(C6:C36),2)</f>
        <v>2.2400000000000002</v>
      </c>
      <c r="D374" s="20">
        <f>ROUND(AVERAGE(D6:D36),2)</f>
        <v>2.09</v>
      </c>
      <c r="E374" s="13">
        <f t="shared" ref="E374:M374" si="272">ROUND(AVERAGE(E6:E36),1)</f>
        <v>-8.1</v>
      </c>
      <c r="F374" s="13">
        <f t="shared" si="272"/>
        <v>89.2</v>
      </c>
      <c r="G374" s="13">
        <f t="shared" si="272"/>
        <v>-8</v>
      </c>
      <c r="H374" s="13" t="e">
        <f t="shared" si="272"/>
        <v>#DIV/0!</v>
      </c>
      <c r="I374" s="13">
        <f t="shared" si="272"/>
        <v>0.8</v>
      </c>
      <c r="J374" s="13">
        <f t="shared" si="272"/>
        <v>0.5</v>
      </c>
      <c r="K374" s="13">
        <f t="shared" si="272"/>
        <v>1.1000000000000001</v>
      </c>
      <c r="L374" s="13">
        <f t="shared" si="272"/>
        <v>1.7</v>
      </c>
      <c r="M374" s="13">
        <f t="shared" si="272"/>
        <v>0</v>
      </c>
      <c r="N374" s="13">
        <f>SUM(N6:N36)</f>
        <v>0</v>
      </c>
      <c r="O374" s="13"/>
      <c r="P374" s="13">
        <f>ROUND(AVERAGE(P6:P36),1)</f>
        <v>-3.3</v>
      </c>
      <c r="Q374" s="3"/>
      <c r="R374" s="13">
        <f>ROUND(AVERAGE(R6:R36),1)</f>
        <v>-1.9</v>
      </c>
      <c r="S374" s="13">
        <f>ROUND(MAX(R6:R36),1)</f>
        <v>7.3</v>
      </c>
      <c r="T374" s="13">
        <f>ROUND(AVERAGE(T6:T36),1)</f>
        <v>0.9</v>
      </c>
      <c r="U374" s="13">
        <f>ROUND(AVERAGE(U6:U36),1)</f>
        <v>0.6</v>
      </c>
      <c r="V374" s="13"/>
      <c r="W374" s="13"/>
      <c r="X374" s="13">
        <f>ROUND(AVERAGE(X6:X36),1)</f>
        <v>0.9</v>
      </c>
      <c r="Y374" s="13">
        <f>ROUND(AVERAGE(Y6:Y36),1)</f>
        <v>-12.2</v>
      </c>
      <c r="Z374" s="13">
        <f>ROUND(AVERAGE(Z6:Z36),1)</f>
        <v>77.8</v>
      </c>
      <c r="AA374" s="13">
        <f>ROUND(AVERAGE(AA6:AA36),1)</f>
        <v>-12.5</v>
      </c>
      <c r="AB374" s="13">
        <f>ROUND(MIN(AA6:AA36),1)</f>
        <v>-21.9</v>
      </c>
      <c r="AC374" s="13">
        <f>ROUND(AVERAGE(AC6:AC36),1)</f>
        <v>0.7</v>
      </c>
      <c r="AD374" s="13">
        <f>ROUND(AVERAGE(AD6:AD36),1)</f>
        <v>0.5</v>
      </c>
      <c r="AE374" s="13"/>
      <c r="AF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7">
        <f>AY36</f>
        <v>1032</v>
      </c>
      <c r="AZ374" s="13"/>
      <c r="BA374" s="20"/>
      <c r="BB374" s="20">
        <f>ROUND(AVERAGE(BB6:BB36),2)</f>
        <v>2.62</v>
      </c>
      <c r="BC374" s="20">
        <f>ROUND(AVERAGE(BC6:BC36),2)</f>
        <v>1.98</v>
      </c>
      <c r="BD374" s="19">
        <f>BC374/BB374</f>
        <v>0.75572519083969458</v>
      </c>
      <c r="BE374" s="3"/>
      <c r="BF374" s="3"/>
      <c r="BG374" s="3"/>
      <c r="BH374" s="13">
        <f>ROUND(AVERAGE(BH6:BH36),1)</f>
        <v>77.8</v>
      </c>
      <c r="BI374" s="13">
        <f>ROUND(MIN(BH6:BH36),1)</f>
        <v>47.3</v>
      </c>
      <c r="BJ374" s="36">
        <f>ROUND(AVERAGE(BI6:BI36),3)</f>
        <v>0.376</v>
      </c>
      <c r="BL374" s="20">
        <f>ROUND(AVERAGE(BJ6:BJ36),2)</f>
        <v>0.12</v>
      </c>
      <c r="BM374" s="20">
        <f>ROUND(MAX(BJ6:BJ36),2)</f>
        <v>0.38</v>
      </c>
      <c r="BN374" s="13"/>
      <c r="BO374" s="13"/>
      <c r="BP374" s="13"/>
      <c r="BQ374" s="13"/>
      <c r="BR374" s="13"/>
      <c r="BS374" s="13"/>
      <c r="BT374" s="1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</row>
    <row r="375" spans="1:113" x14ac:dyDescent="0.2">
      <c r="A375" s="3" t="s">
        <v>67</v>
      </c>
      <c r="C375" s="20">
        <f>ROUND(AVERAGE(C37:C64),2)</f>
        <v>3.93</v>
      </c>
      <c r="D375" s="20">
        <f>ROUND(AVERAGE(D37:D64),2)</f>
        <v>4.43</v>
      </c>
      <c r="E375" s="13">
        <f t="shared" ref="E375:M375" si="273">ROUND(AVERAGE(E37:E64),1)</f>
        <v>-11.2</v>
      </c>
      <c r="F375" s="13">
        <f t="shared" si="273"/>
        <v>82.3</v>
      </c>
      <c r="G375" s="13">
        <f t="shared" si="273"/>
        <v>-11</v>
      </c>
      <c r="H375" s="13" t="e">
        <f t="shared" si="273"/>
        <v>#DIV/0!</v>
      </c>
      <c r="I375" s="13">
        <f t="shared" si="273"/>
        <v>0.7</v>
      </c>
      <c r="J375" s="13">
        <f t="shared" si="273"/>
        <v>0.2</v>
      </c>
      <c r="K375" s="13">
        <f t="shared" si="273"/>
        <v>0.9</v>
      </c>
      <c r="L375" s="13">
        <f t="shared" si="273"/>
        <v>1.5</v>
      </c>
      <c r="M375" s="13">
        <f t="shared" si="273"/>
        <v>0.1</v>
      </c>
      <c r="N375" s="13">
        <f>SUM(N37:N64)</f>
        <v>33.269999999999996</v>
      </c>
      <c r="O375" s="13"/>
      <c r="P375" s="13">
        <f>ROUND(AVERAGE(P37:P64),1)</f>
        <v>-5.5</v>
      </c>
      <c r="Q375" s="3"/>
      <c r="R375" s="13">
        <f>ROUND(AVERAGE(R37:R64),1)</f>
        <v>-2.9</v>
      </c>
      <c r="S375" s="13">
        <f>ROUND(MAX(R37:R64),1)</f>
        <v>7.9</v>
      </c>
      <c r="T375" s="13">
        <f>ROUND(AVERAGE(T37:T64),1)</f>
        <v>0.8</v>
      </c>
      <c r="U375" s="13">
        <f>ROUND(AVERAGE(U37:U64),1)</f>
        <v>0.3</v>
      </c>
      <c r="V375" s="13"/>
      <c r="W375" s="13"/>
      <c r="X375" s="13">
        <f>ROUND(AVERAGE(X37:X64),1)</f>
        <v>2</v>
      </c>
      <c r="Y375" s="13">
        <f>ROUND(AVERAGE(Y37:Y64),1)</f>
        <v>-16.8</v>
      </c>
      <c r="Z375" s="13">
        <f>ROUND(AVERAGE(Z37:Z64),1)</f>
        <v>64.7</v>
      </c>
      <c r="AA375" s="13">
        <f>ROUND(AVERAGE(AA37:AA64),1)</f>
        <v>-17.100000000000001</v>
      </c>
      <c r="AB375" s="13">
        <f>ROUND(MIN(AA37:AA64),1)</f>
        <v>-31.1</v>
      </c>
      <c r="AC375" s="13">
        <f>ROUND(AVERAGE(AC37:AC64),1)</f>
        <v>0.6</v>
      </c>
      <c r="AD375" s="13">
        <f>ROUND(AVERAGE(AD37:AD64),1)</f>
        <v>0.2</v>
      </c>
      <c r="AE375" s="13"/>
      <c r="AF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7">
        <f>AY64</f>
        <v>0</v>
      </c>
      <c r="AZ375" s="13"/>
      <c r="BA375" s="20"/>
      <c r="BB375" s="20">
        <f>ROUND(AVERAGE(BB37:BB64),2)</f>
        <v>5.08</v>
      </c>
      <c r="BC375" s="20">
        <f>ROUND(AVERAGE(BC37:BC64),2)</f>
        <v>4.08</v>
      </c>
      <c r="BD375" s="19">
        <f t="shared" ref="BD375:BD385" si="274">BC375/BB375</f>
        <v>0.80314960629921262</v>
      </c>
      <c r="BE375" s="3"/>
      <c r="BF375" s="3"/>
      <c r="BG375" s="3"/>
      <c r="BH375" s="13">
        <f>ROUND(AVERAGE(BH37:BH64),1)</f>
        <v>60.1</v>
      </c>
      <c r="BI375" s="13">
        <f>ROUND(MIN(BH37:BH64),1)</f>
        <v>0</v>
      </c>
      <c r="BJ375" s="36">
        <f>ROUND(AVERAGE(BI37:BI64),3)</f>
        <v>0.26800000000000002</v>
      </c>
      <c r="BL375" s="20" t="e">
        <f>ROUND(AVERAGE(BJ37:BJ64),2)</f>
        <v>#DIV/0!</v>
      </c>
      <c r="BM375" s="20" t="e">
        <f>ROUND(MAX(BJ37:BJ64),2)</f>
        <v>#DIV/0!</v>
      </c>
      <c r="BN375" s="13"/>
      <c r="BO375" s="13"/>
      <c r="BP375" s="13"/>
      <c r="BQ375" s="13"/>
      <c r="BR375" s="13"/>
      <c r="BS375" s="13"/>
      <c r="BT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</row>
    <row r="376" spans="1:113" x14ac:dyDescent="0.2">
      <c r="A376" s="3" t="s">
        <v>68</v>
      </c>
      <c r="C376" s="20" t="e">
        <f>ROUND(AVERAGE(C65:C95),2)</f>
        <v>#DIV/0!</v>
      </c>
      <c r="D376" s="20" t="e">
        <f>ROUND(AVERAGE(D65:D95),2)</f>
        <v>#DIV/0!</v>
      </c>
      <c r="E376" s="13" t="e">
        <f>ROUND(AVERAGE(E65:E95),1)</f>
        <v>#DIV/0!</v>
      </c>
      <c r="F376" s="13" t="e">
        <f>ROUND(AVERAGE(F65:F95),1)</f>
        <v>#DIV/0!</v>
      </c>
      <c r="G376" s="13" t="e">
        <f t="shared" ref="G376:M376" si="275">ROUND(AVERAGE(G65:G95),1)</f>
        <v>#DIV/0!</v>
      </c>
      <c r="H376" s="13" t="e">
        <f t="shared" si="275"/>
        <v>#DIV/0!</v>
      </c>
      <c r="I376" s="13" t="e">
        <f t="shared" si="275"/>
        <v>#DIV/0!</v>
      </c>
      <c r="J376" s="13" t="e">
        <f t="shared" si="275"/>
        <v>#DIV/0!</v>
      </c>
      <c r="K376" s="13" t="e">
        <f t="shared" si="275"/>
        <v>#DIV/0!</v>
      </c>
      <c r="L376" s="13" t="e">
        <f t="shared" si="275"/>
        <v>#DIV/0!</v>
      </c>
      <c r="M376" s="13" t="e">
        <f t="shared" si="275"/>
        <v>#DIV/0!</v>
      </c>
      <c r="N376" s="13">
        <f>SUM(N65:N95)</f>
        <v>0</v>
      </c>
      <c r="O376" s="13"/>
      <c r="P376" s="13" t="e">
        <f>ROUND(AVERAGE(P65:P95),1)</f>
        <v>#DIV/0!</v>
      </c>
      <c r="Q376" s="3"/>
      <c r="R376" s="13" t="e">
        <f>ROUND(AVERAGE(R65:R95),1)</f>
        <v>#DIV/0!</v>
      </c>
      <c r="S376" s="13">
        <f>ROUND(MAX(R65:R95),1)</f>
        <v>0</v>
      </c>
      <c r="T376" s="13" t="e">
        <f>ROUND(AVERAGE(T65:T95),1)</f>
        <v>#DIV/0!</v>
      </c>
      <c r="U376" s="13" t="e">
        <f>ROUND(AVERAGE(U65:U95),1)</f>
        <v>#DIV/0!</v>
      </c>
      <c r="V376" s="13"/>
      <c r="W376" s="13"/>
      <c r="X376" s="13" t="e">
        <f>ROUND(AVERAGE(X65:X95),1)</f>
        <v>#DIV/0!</v>
      </c>
      <c r="Y376" s="13" t="e">
        <f>ROUND(AVERAGE(Y65:Y95),1)</f>
        <v>#DIV/0!</v>
      </c>
      <c r="Z376" s="13" t="e">
        <f>ROUND(AVERAGE(Z65:Z95),1)</f>
        <v>#DIV/0!</v>
      </c>
      <c r="AA376" s="13" t="e">
        <f>ROUND(AVERAGE(AA65:AA95),1)</f>
        <v>#DIV/0!</v>
      </c>
      <c r="AB376" s="13">
        <f>ROUND(MIN(AA65:AA95),1)</f>
        <v>0</v>
      </c>
      <c r="AC376" s="13" t="e">
        <f>ROUND(AVERAGE(AC65:AC95),1)</f>
        <v>#DIV/0!</v>
      </c>
      <c r="AD376" s="13" t="e">
        <f>ROUND(AVERAGE(AD65:AD95),1)</f>
        <v>#DIV/0!</v>
      </c>
      <c r="AE376" s="13"/>
      <c r="AF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7">
        <f>AY95</f>
        <v>0</v>
      </c>
      <c r="AZ376" s="13"/>
      <c r="BA376" s="20"/>
      <c r="BB376" s="20" t="e">
        <f>ROUND(AVERAGE(BB65:BB95),2)</f>
        <v>#DIV/0!</v>
      </c>
      <c r="BC376" s="20" t="e">
        <f>ROUND(AVERAGE(BC65:BC95),2)</f>
        <v>#DIV/0!</v>
      </c>
      <c r="BD376" s="19" t="e">
        <f t="shared" si="274"/>
        <v>#DIV/0!</v>
      </c>
      <c r="BE376" s="3"/>
      <c r="BF376" s="3"/>
      <c r="BG376" s="3"/>
      <c r="BH376" s="13">
        <f>ROUND(AVERAGE(BH65:BH95),1)</f>
        <v>0</v>
      </c>
      <c r="BI376" s="13">
        <f>ROUND(MIN(BH65:BH95),1)</f>
        <v>0</v>
      </c>
      <c r="BJ376" s="36">
        <f>ROUND(AVERAGE(BI65:BI95),3)</f>
        <v>0</v>
      </c>
      <c r="BL376" s="20" t="e">
        <f>ROUND(AVERAGE(BJ65:BJ95),2)</f>
        <v>#DIV/0!</v>
      </c>
      <c r="BM376" s="20" t="e">
        <f>ROUND(MAX(BJ65:BJ95),2)</f>
        <v>#DIV/0!</v>
      </c>
      <c r="BN376" s="13"/>
      <c r="BO376" s="13"/>
      <c r="BP376" s="13"/>
      <c r="BQ376" s="13"/>
      <c r="BR376" s="13"/>
      <c r="BS376" s="13"/>
      <c r="BT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</row>
    <row r="377" spans="1:113" x14ac:dyDescent="0.2">
      <c r="A377" s="3" t="s">
        <v>69</v>
      </c>
      <c r="C377" s="20" t="e">
        <f>ROUND(AVERAGE(C96:C125),2)</f>
        <v>#DIV/0!</v>
      </c>
      <c r="D377" s="20" t="e">
        <f>ROUND(AVERAGE(D96:D125),2)</f>
        <v>#DIV/0!</v>
      </c>
      <c r="E377" s="13" t="e">
        <f>ROUND(AVERAGE(E96:E125),1)</f>
        <v>#DIV/0!</v>
      </c>
      <c r="F377" s="13" t="e">
        <f>ROUND(AVERAGE(F96:F125),1)</f>
        <v>#DIV/0!</v>
      </c>
      <c r="G377" s="13" t="e">
        <f t="shared" ref="G377:M377" si="276">ROUND(AVERAGE(G96:G125),1)</f>
        <v>#DIV/0!</v>
      </c>
      <c r="H377" s="13" t="e">
        <f t="shared" si="276"/>
        <v>#DIV/0!</v>
      </c>
      <c r="I377" s="13" t="e">
        <f t="shared" si="276"/>
        <v>#DIV/0!</v>
      </c>
      <c r="J377" s="13" t="e">
        <f t="shared" si="276"/>
        <v>#DIV/0!</v>
      </c>
      <c r="K377" s="13" t="e">
        <f t="shared" si="276"/>
        <v>#DIV/0!</v>
      </c>
      <c r="L377" s="13" t="e">
        <f t="shared" si="276"/>
        <v>#DIV/0!</v>
      </c>
      <c r="M377" s="13" t="e">
        <f t="shared" si="276"/>
        <v>#DIV/0!</v>
      </c>
      <c r="N377" s="13">
        <f>SUM(N96:N125)</f>
        <v>0</v>
      </c>
      <c r="O377" s="13"/>
      <c r="P377" s="13" t="e">
        <f>ROUND(AVERAGE(P96:P125),1)</f>
        <v>#DIV/0!</v>
      </c>
      <c r="Q377" s="3"/>
      <c r="R377" s="13" t="e">
        <f>ROUND(AVERAGE(R96:R125),1)</f>
        <v>#DIV/0!</v>
      </c>
      <c r="S377" s="13">
        <f>ROUND(MAX(R96:R125),1)</f>
        <v>0</v>
      </c>
      <c r="T377" s="13" t="e">
        <f>ROUND(AVERAGE(T96:T125),1)</f>
        <v>#DIV/0!</v>
      </c>
      <c r="U377" s="13" t="e">
        <f>ROUND(AVERAGE(U96:U125),1)</f>
        <v>#DIV/0!</v>
      </c>
      <c r="V377" s="13"/>
      <c r="W377" s="13"/>
      <c r="X377" s="13" t="e">
        <f>ROUND(AVERAGE(X96:X125),1)</f>
        <v>#DIV/0!</v>
      </c>
      <c r="Y377" s="13" t="e">
        <f>ROUND(AVERAGE(Y96:Y125),1)</f>
        <v>#DIV/0!</v>
      </c>
      <c r="Z377" s="13" t="e">
        <f>ROUND(AVERAGE(Z96:Z125),1)</f>
        <v>#DIV/0!</v>
      </c>
      <c r="AA377" s="13" t="e">
        <f>ROUND(AVERAGE(AA96:AA125),1)</f>
        <v>#DIV/0!</v>
      </c>
      <c r="AB377" s="13">
        <f>ROUND(MIN(AA96:AA125),1)</f>
        <v>0</v>
      </c>
      <c r="AC377" s="13" t="e">
        <f>ROUND(AVERAGE(AC96:AC125),1)</f>
        <v>#DIV/0!</v>
      </c>
      <c r="AD377" s="13" t="e">
        <f>ROUND(AVERAGE(AD96:AD125),1)</f>
        <v>#DIV/0!</v>
      </c>
      <c r="AE377" s="13"/>
      <c r="AF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7">
        <f>AY125</f>
        <v>0</v>
      </c>
      <c r="AZ377" s="13"/>
      <c r="BA377" s="20"/>
      <c r="BB377" s="20" t="e">
        <f>ROUND(AVERAGE(BB96:BB125),2)</f>
        <v>#DIV/0!</v>
      </c>
      <c r="BC377" s="20" t="e">
        <f>ROUND(AVERAGE(BC96:BC125),2)</f>
        <v>#DIV/0!</v>
      </c>
      <c r="BD377" s="19" t="e">
        <f t="shared" si="274"/>
        <v>#DIV/0!</v>
      </c>
      <c r="BE377" s="3"/>
      <c r="BF377" s="3"/>
      <c r="BG377" s="3"/>
      <c r="BH377" s="13">
        <f>ROUND(AVERAGE(BH96:BH125),1)</f>
        <v>0</v>
      </c>
      <c r="BI377" s="13">
        <f>ROUND(MIN(BH96:BH125),1)</f>
        <v>0</v>
      </c>
      <c r="BJ377" s="36">
        <f>ROUND(AVERAGE(BI96:BI125),3)</f>
        <v>0</v>
      </c>
      <c r="BL377" s="20" t="e">
        <f>ROUND(AVERAGE(BJ96:BJ125),2)</f>
        <v>#DIV/0!</v>
      </c>
      <c r="BM377" s="20" t="e">
        <f>ROUND(MAX(BJ96:BJ125),2)</f>
        <v>#DIV/0!</v>
      </c>
      <c r="BN377" s="13"/>
      <c r="BO377" s="13"/>
      <c r="BP377" s="13"/>
      <c r="BQ377" s="13"/>
      <c r="BR377" s="13"/>
      <c r="BS377" s="13"/>
      <c r="BT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</row>
    <row r="378" spans="1:113" x14ac:dyDescent="0.2">
      <c r="A378" s="3" t="s">
        <v>70</v>
      </c>
      <c r="C378" s="20" t="e">
        <f>ROUND(AVERAGE(C126:C156),2)</f>
        <v>#DIV/0!</v>
      </c>
      <c r="D378" s="20" t="e">
        <f>ROUND(AVERAGE(D126:D156),2)</f>
        <v>#DIV/0!</v>
      </c>
      <c r="E378" s="13" t="e">
        <f>ROUND(AVERAGE(E126:E156),1)</f>
        <v>#DIV/0!</v>
      </c>
      <c r="F378" s="13" t="e">
        <f>ROUND(AVERAGE(F126:F156),1)</f>
        <v>#DIV/0!</v>
      </c>
      <c r="G378" s="13" t="e">
        <f t="shared" ref="G378:M378" si="277">ROUND(AVERAGE(G126:G156),1)</f>
        <v>#DIV/0!</v>
      </c>
      <c r="H378" s="13" t="e">
        <f t="shared" si="277"/>
        <v>#DIV/0!</v>
      </c>
      <c r="I378" s="13" t="e">
        <f t="shared" si="277"/>
        <v>#DIV/0!</v>
      </c>
      <c r="J378" s="13" t="e">
        <f t="shared" si="277"/>
        <v>#DIV/0!</v>
      </c>
      <c r="K378" s="13" t="e">
        <f t="shared" si="277"/>
        <v>#DIV/0!</v>
      </c>
      <c r="L378" s="13" t="e">
        <f t="shared" si="277"/>
        <v>#DIV/0!</v>
      </c>
      <c r="M378" s="13" t="e">
        <f t="shared" si="277"/>
        <v>#DIV/0!</v>
      </c>
      <c r="N378" s="13">
        <f>SUM(N126:N156)</f>
        <v>0</v>
      </c>
      <c r="O378" s="13"/>
      <c r="P378" s="13" t="e">
        <f>ROUND(AVERAGE(P126:P156),1)</f>
        <v>#DIV/0!</v>
      </c>
      <c r="Q378" s="3"/>
      <c r="R378" s="13" t="e">
        <f>ROUND(AVERAGE(R126:R156),1)</f>
        <v>#DIV/0!</v>
      </c>
      <c r="S378" s="13">
        <f>ROUND(MAX(R126:R156),1)</f>
        <v>0</v>
      </c>
      <c r="T378" s="13" t="e">
        <f>ROUND(AVERAGE(T126:T156),1)</f>
        <v>#DIV/0!</v>
      </c>
      <c r="U378" s="13" t="e">
        <f>ROUND(AVERAGE(U126:U156),1)</f>
        <v>#DIV/0!</v>
      </c>
      <c r="V378" s="13"/>
      <c r="W378" s="13"/>
      <c r="X378" s="13" t="e">
        <f>ROUND(AVERAGE(X126:X156),1)</f>
        <v>#DIV/0!</v>
      </c>
      <c r="Y378" s="13" t="e">
        <f>ROUND(AVERAGE(Y126:Y156),1)</f>
        <v>#DIV/0!</v>
      </c>
      <c r="Z378" s="13" t="e">
        <f>ROUND(AVERAGE(Z126:Z156),1)</f>
        <v>#DIV/0!</v>
      </c>
      <c r="AA378" s="13" t="e">
        <f>ROUND(AVERAGE(AA126:AA156),1)</f>
        <v>#DIV/0!</v>
      </c>
      <c r="AB378" s="13">
        <f>ROUND(MIN(AA126:AA156),1)</f>
        <v>0</v>
      </c>
      <c r="AC378" s="13" t="e">
        <f>ROUND(AVERAGE(AC126:AC156),1)</f>
        <v>#DIV/0!</v>
      </c>
      <c r="AD378" s="13" t="e">
        <f>ROUND(AVERAGE(AD126:AD156),1)</f>
        <v>#DIV/0!</v>
      </c>
      <c r="AE378" s="13"/>
      <c r="AF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7">
        <f>AY156</f>
        <v>0</v>
      </c>
      <c r="AZ378" s="13"/>
      <c r="BA378" s="20"/>
      <c r="BB378" s="20" t="e">
        <f>ROUND(AVERAGE(BB126:BB156),2)</f>
        <v>#DIV/0!</v>
      </c>
      <c r="BC378" s="20" t="e">
        <f>ROUND(AVERAGE(BC126:BC156),2)</f>
        <v>#DIV/0!</v>
      </c>
      <c r="BD378" s="19" t="e">
        <f t="shared" si="274"/>
        <v>#DIV/0!</v>
      </c>
      <c r="BE378" s="3"/>
      <c r="BF378" s="3"/>
      <c r="BG378" s="3"/>
      <c r="BH378" s="13">
        <f>ROUND(AVERAGE(BH126:BH156),1)</f>
        <v>0</v>
      </c>
      <c r="BI378" s="13">
        <f>ROUND(MIN(BH126:BH156),1)</f>
        <v>0</v>
      </c>
      <c r="BJ378" s="36">
        <f>ROUND(AVERAGE(BI126:BI156),3)</f>
        <v>0</v>
      </c>
      <c r="BL378" s="20" t="e">
        <f>ROUND(AVERAGE(BJ126:BJ156),2)</f>
        <v>#DIV/0!</v>
      </c>
      <c r="BM378" s="20" t="e">
        <f>ROUND(MAX(BJ126:BJ156),2)</f>
        <v>#DIV/0!</v>
      </c>
      <c r="BN378" s="13"/>
      <c r="BO378" s="13"/>
      <c r="BP378" s="13"/>
      <c r="BQ378" s="13"/>
      <c r="BR378" s="13"/>
      <c r="BS378" s="13"/>
      <c r="BT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</row>
    <row r="379" spans="1:113" x14ac:dyDescent="0.2">
      <c r="A379" s="3" t="s">
        <v>71</v>
      </c>
      <c r="C379" s="20" t="e">
        <f>ROUND(AVERAGE(C157:C186),2)</f>
        <v>#DIV/0!</v>
      </c>
      <c r="D379" s="20" t="e">
        <f>ROUND(AVERAGE(D157:D186),2)</f>
        <v>#DIV/0!</v>
      </c>
      <c r="E379" s="13" t="e">
        <f>ROUND(AVERAGE(E157:E186),1)</f>
        <v>#DIV/0!</v>
      </c>
      <c r="F379" s="13" t="e">
        <f>ROUND(AVERAGE(F157:F186),1)</f>
        <v>#DIV/0!</v>
      </c>
      <c r="G379" s="13" t="e">
        <f t="shared" ref="G379:M379" si="278">ROUND(AVERAGE(G157:G186),1)</f>
        <v>#DIV/0!</v>
      </c>
      <c r="H379" s="13" t="e">
        <f t="shared" si="278"/>
        <v>#DIV/0!</v>
      </c>
      <c r="I379" s="13" t="e">
        <f t="shared" si="278"/>
        <v>#DIV/0!</v>
      </c>
      <c r="J379" s="13" t="e">
        <f t="shared" si="278"/>
        <v>#DIV/0!</v>
      </c>
      <c r="K379" s="13" t="e">
        <f t="shared" si="278"/>
        <v>#DIV/0!</v>
      </c>
      <c r="L379" s="13" t="e">
        <f t="shared" si="278"/>
        <v>#DIV/0!</v>
      </c>
      <c r="M379" s="13" t="e">
        <f t="shared" si="278"/>
        <v>#DIV/0!</v>
      </c>
      <c r="N379" s="13">
        <f>SUM(N157:N186)</f>
        <v>0</v>
      </c>
      <c r="O379" s="13"/>
      <c r="P379" s="13" t="e">
        <f>ROUND(AVERAGE(P157:P186),1)</f>
        <v>#DIV/0!</v>
      </c>
      <c r="Q379" s="3"/>
      <c r="R379" s="13" t="e">
        <f>ROUND(AVERAGE(R157:R186),1)</f>
        <v>#DIV/0!</v>
      </c>
      <c r="S379" s="13">
        <f>ROUND(MAX(R157:R186),1)</f>
        <v>0</v>
      </c>
      <c r="T379" s="13" t="e">
        <f>ROUND(AVERAGE(T157:T186),1)</f>
        <v>#DIV/0!</v>
      </c>
      <c r="U379" s="13" t="e">
        <f>ROUND(AVERAGE(U157:U186),1)</f>
        <v>#DIV/0!</v>
      </c>
      <c r="V379" s="13"/>
      <c r="W379" s="13"/>
      <c r="X379" s="13" t="e">
        <f>ROUND(AVERAGE(X157:X186),1)</f>
        <v>#DIV/0!</v>
      </c>
      <c r="Y379" s="13" t="e">
        <f>ROUND(AVERAGE(Y157:Y186),1)</f>
        <v>#DIV/0!</v>
      </c>
      <c r="Z379" s="13" t="e">
        <f>ROUND(AVERAGE(Z157:Z186),1)</f>
        <v>#DIV/0!</v>
      </c>
      <c r="AA379" s="13" t="e">
        <f>ROUND(AVERAGE(AA157:AA186),1)</f>
        <v>#DIV/0!</v>
      </c>
      <c r="AB379" s="13">
        <f>ROUND(MIN(AA157:AA186),1)</f>
        <v>0</v>
      </c>
      <c r="AC379" s="13" t="e">
        <f>ROUND(AVERAGE(AC157:AC186),1)</f>
        <v>#DIV/0!</v>
      </c>
      <c r="AD379" s="13" t="e">
        <f>ROUND(AVERAGE(AD157:AD186),1)</f>
        <v>#DIV/0!</v>
      </c>
      <c r="AE379" s="13"/>
      <c r="AF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7"/>
      <c r="AZ379" s="13"/>
      <c r="BA379" s="20"/>
      <c r="BB379" s="20" t="e">
        <f>ROUND(AVERAGE(BB157:BB186),2)</f>
        <v>#DIV/0!</v>
      </c>
      <c r="BC379" s="20" t="e">
        <f>ROUND(AVERAGE(BC157:BC186),2)</f>
        <v>#DIV/0!</v>
      </c>
      <c r="BD379" s="19" t="e">
        <f t="shared" si="274"/>
        <v>#DIV/0!</v>
      </c>
      <c r="BE379" s="3"/>
      <c r="BF379" s="3"/>
      <c r="BG379" s="3"/>
      <c r="BH379" s="13">
        <f>ROUND(AVERAGE(BH157:BH186),1)</f>
        <v>0</v>
      </c>
      <c r="BI379" s="13">
        <f>ROUND(MIN(BH157:BH186),1)</f>
        <v>0</v>
      </c>
      <c r="BJ379" s="36">
        <f>ROUND(AVERAGE(BI157:BI186),3)</f>
        <v>0</v>
      </c>
      <c r="BL379" s="20" t="e">
        <f>ROUND(AVERAGE(BJ157:BJ186),2)</f>
        <v>#DIV/0!</v>
      </c>
      <c r="BM379" s="20" t="e">
        <f>ROUND(MAX(BJ157:BJ186),2)</f>
        <v>#DIV/0!</v>
      </c>
      <c r="BN379" s="13"/>
      <c r="BO379" s="13"/>
      <c r="BP379" s="13"/>
      <c r="BQ379" s="13"/>
      <c r="BR379" s="13"/>
      <c r="BS379" s="13"/>
      <c r="BT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</row>
    <row r="380" spans="1:113" x14ac:dyDescent="0.2">
      <c r="A380" s="3" t="s">
        <v>72</v>
      </c>
      <c r="C380" s="20" t="e">
        <f>ROUND(AVERAGE(C187:C217),2)</f>
        <v>#DIV/0!</v>
      </c>
      <c r="D380" s="20" t="e">
        <f>ROUND(AVERAGE(D187:D217),2)</f>
        <v>#DIV/0!</v>
      </c>
      <c r="E380" s="13" t="e">
        <f>ROUND(AVERAGE(E187:E217),1)</f>
        <v>#DIV/0!</v>
      </c>
      <c r="F380" s="13" t="e">
        <f>ROUND(AVERAGE(F187:F217),1)</f>
        <v>#DIV/0!</v>
      </c>
      <c r="G380" s="13" t="e">
        <f t="shared" ref="G380:M380" si="279">ROUND(AVERAGE(G187:G217),1)</f>
        <v>#DIV/0!</v>
      </c>
      <c r="H380" s="13" t="e">
        <f t="shared" si="279"/>
        <v>#DIV/0!</v>
      </c>
      <c r="I380" s="13" t="e">
        <f t="shared" si="279"/>
        <v>#DIV/0!</v>
      </c>
      <c r="J380" s="13" t="e">
        <f t="shared" si="279"/>
        <v>#DIV/0!</v>
      </c>
      <c r="K380" s="13" t="e">
        <f t="shared" si="279"/>
        <v>#DIV/0!</v>
      </c>
      <c r="L380" s="13" t="e">
        <f t="shared" si="279"/>
        <v>#DIV/0!</v>
      </c>
      <c r="M380" s="13" t="e">
        <f t="shared" si="279"/>
        <v>#DIV/0!</v>
      </c>
      <c r="N380" s="13">
        <f>SUM(N187:N217)</f>
        <v>0</v>
      </c>
      <c r="O380" s="13"/>
      <c r="P380" s="13" t="e">
        <f>ROUND(AVERAGE(P187:P217),1)</f>
        <v>#DIV/0!</v>
      </c>
      <c r="Q380" s="3"/>
      <c r="R380" s="13" t="e">
        <f>ROUND(AVERAGE(R187:R217),1)</f>
        <v>#DIV/0!</v>
      </c>
      <c r="S380" s="13">
        <f>ROUND(MAX(R187:R217),1)</f>
        <v>0</v>
      </c>
      <c r="T380" s="13" t="e">
        <f>ROUND(AVERAGE(T187:T217),1)</f>
        <v>#DIV/0!</v>
      </c>
      <c r="U380" s="13" t="e">
        <f>ROUND(AVERAGE(U187:U217),1)</f>
        <v>#DIV/0!</v>
      </c>
      <c r="V380" s="13"/>
      <c r="W380" s="13"/>
      <c r="X380" s="13" t="e">
        <f>ROUND(AVERAGE(X187:X217),1)</f>
        <v>#DIV/0!</v>
      </c>
      <c r="Y380" s="13" t="e">
        <f>ROUND(AVERAGE(Y187:Y217),1)</f>
        <v>#DIV/0!</v>
      </c>
      <c r="Z380" s="13" t="e">
        <f>ROUND(AVERAGE(Z187:Z217),1)</f>
        <v>#DIV/0!</v>
      </c>
      <c r="AA380" s="13" t="e">
        <f>ROUND(AVERAGE(AA187:AA217),1)</f>
        <v>#DIV/0!</v>
      </c>
      <c r="AB380" s="13">
        <f>ROUND(MIN(AA187:AA217),1)</f>
        <v>0</v>
      </c>
      <c r="AC380" s="13" t="e">
        <f>ROUND(AVERAGE(AC187:AC217),1)</f>
        <v>#DIV/0!</v>
      </c>
      <c r="AD380" s="13" t="e">
        <f>ROUND(AVERAGE(AD187:AD217),1)</f>
        <v>#DIV/0!</v>
      </c>
      <c r="AE380" s="13"/>
      <c r="AF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7"/>
      <c r="AZ380" s="13"/>
      <c r="BA380" s="20"/>
      <c r="BB380" s="20" t="e">
        <f>ROUND(AVERAGE(BB187:BB217),2)</f>
        <v>#DIV/0!</v>
      </c>
      <c r="BC380" s="20" t="e">
        <f>ROUND(AVERAGE(BC187:BC217),2)</f>
        <v>#DIV/0!</v>
      </c>
      <c r="BD380" s="19" t="e">
        <f t="shared" si="274"/>
        <v>#DIV/0!</v>
      </c>
      <c r="BE380" s="3"/>
      <c r="BF380" s="3"/>
      <c r="BG380" s="3"/>
      <c r="BH380" s="13">
        <f>ROUND(AVERAGE(BH187:BH217),1)</f>
        <v>0</v>
      </c>
      <c r="BI380" s="13">
        <f>ROUND(MIN(BH187:BH217),1)</f>
        <v>0</v>
      </c>
      <c r="BJ380" s="36">
        <f>ROUND(AVERAGE(BI187:BI217),3)</f>
        <v>0</v>
      </c>
      <c r="BL380" s="20" t="e">
        <f>ROUND(AVERAGE(BJ187:BJ217),2)</f>
        <v>#DIV/0!</v>
      </c>
      <c r="BM380" s="20" t="e">
        <f>ROUND(MAX(BJ187:BJ217),2)</f>
        <v>#DIV/0!</v>
      </c>
      <c r="BN380" s="13"/>
      <c r="BO380" s="13"/>
      <c r="BP380" s="13"/>
      <c r="BQ380" s="13"/>
      <c r="BR380" s="13"/>
      <c r="BS380" s="13"/>
      <c r="BT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</row>
    <row r="381" spans="1:113" x14ac:dyDescent="0.2">
      <c r="A381" s="3" t="s">
        <v>73</v>
      </c>
      <c r="C381" s="20" t="e">
        <f>ROUND(AVERAGE(C218:C248),2)</f>
        <v>#DIV/0!</v>
      </c>
      <c r="D381" s="20" t="e">
        <f>ROUND(AVERAGE(D218:D248),2)</f>
        <v>#DIV/0!</v>
      </c>
      <c r="E381" s="13" t="e">
        <f>ROUND(AVERAGE(E218:E248),1)</f>
        <v>#DIV/0!</v>
      </c>
      <c r="F381" s="13" t="e">
        <f>ROUND(AVERAGE(F218:F248),1)</f>
        <v>#DIV/0!</v>
      </c>
      <c r="G381" s="13" t="e">
        <f t="shared" ref="G381:M381" si="280">ROUND(AVERAGE(G218:G248),1)</f>
        <v>#DIV/0!</v>
      </c>
      <c r="H381" s="13" t="e">
        <f t="shared" si="280"/>
        <v>#DIV/0!</v>
      </c>
      <c r="I381" s="13" t="e">
        <f t="shared" si="280"/>
        <v>#DIV/0!</v>
      </c>
      <c r="J381" s="13" t="e">
        <f t="shared" si="280"/>
        <v>#DIV/0!</v>
      </c>
      <c r="K381" s="13" t="e">
        <f t="shared" si="280"/>
        <v>#DIV/0!</v>
      </c>
      <c r="L381" s="13" t="e">
        <f t="shared" si="280"/>
        <v>#DIV/0!</v>
      </c>
      <c r="M381" s="13" t="e">
        <f t="shared" si="280"/>
        <v>#DIV/0!</v>
      </c>
      <c r="N381" s="13">
        <f>SUM(N218:N248)</f>
        <v>0</v>
      </c>
      <c r="O381" s="13"/>
      <c r="P381" s="13" t="e">
        <f>ROUND(AVERAGE(P218:P248),1)</f>
        <v>#DIV/0!</v>
      </c>
      <c r="Q381" s="3"/>
      <c r="R381" s="13" t="e">
        <f>ROUND(AVERAGE(R218:R248),1)</f>
        <v>#DIV/0!</v>
      </c>
      <c r="S381" s="13">
        <f>ROUND(MAX(R218:R248),1)</f>
        <v>0</v>
      </c>
      <c r="T381" s="13" t="e">
        <f>ROUND(AVERAGE(T218:T248),1)</f>
        <v>#DIV/0!</v>
      </c>
      <c r="U381" s="13" t="e">
        <f>ROUND(AVERAGE(U218:U248),1)</f>
        <v>#DIV/0!</v>
      </c>
      <c r="V381" s="13"/>
      <c r="W381" s="13"/>
      <c r="X381" s="13" t="e">
        <f>ROUND(AVERAGE(X218:X248),1)</f>
        <v>#DIV/0!</v>
      </c>
      <c r="Y381" s="13" t="e">
        <f>ROUND(AVERAGE(Y218:Y248),1)</f>
        <v>#DIV/0!</v>
      </c>
      <c r="Z381" s="13" t="e">
        <f>ROUND(AVERAGE(Z218:Z248),1)</f>
        <v>#DIV/0!</v>
      </c>
      <c r="AA381" s="13" t="e">
        <f>ROUND(AVERAGE(AA218:AA248),1)</f>
        <v>#DIV/0!</v>
      </c>
      <c r="AB381" s="13">
        <f>ROUND(MIN(AA218:AA248),1)</f>
        <v>0</v>
      </c>
      <c r="AC381" s="13" t="e">
        <f>ROUND(AVERAGE(AC218:AC248),1)</f>
        <v>#DIV/0!</v>
      </c>
      <c r="AD381" s="13" t="e">
        <f>ROUND(AVERAGE(AD218:AD248),1)</f>
        <v>#DIV/0!</v>
      </c>
      <c r="AE381" s="13"/>
      <c r="AF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7"/>
      <c r="AZ381" s="13"/>
      <c r="BA381" s="20"/>
      <c r="BB381" s="20" t="e">
        <f>ROUND(AVERAGE(BB218:BB248),2)</f>
        <v>#DIV/0!</v>
      </c>
      <c r="BC381" s="20" t="e">
        <f>ROUND(AVERAGE(BC218:BC248),2)</f>
        <v>#DIV/0!</v>
      </c>
      <c r="BD381" s="19" t="e">
        <f t="shared" si="274"/>
        <v>#DIV/0!</v>
      </c>
      <c r="BE381" s="3"/>
      <c r="BF381" s="3"/>
      <c r="BG381" s="3"/>
      <c r="BH381" s="13">
        <f>ROUND(AVERAGE(BH218:BH248),1)</f>
        <v>0</v>
      </c>
      <c r="BI381" s="13">
        <f>ROUND(MIN(BH218:BH248),1)</f>
        <v>0</v>
      </c>
      <c r="BJ381" s="36">
        <f>ROUND(AVERAGE(BI218:BI248),3)</f>
        <v>0</v>
      </c>
      <c r="BL381" s="20" t="e">
        <f>ROUND(AVERAGE(BJ218:BJ248),2)</f>
        <v>#DIV/0!</v>
      </c>
      <c r="BM381" s="20" t="e">
        <f>ROUND(MAX(BJ218:BJ248),2)</f>
        <v>#DIV/0!</v>
      </c>
      <c r="BN381" s="13"/>
      <c r="BO381" s="13"/>
      <c r="BP381" s="13"/>
      <c r="BQ381" s="13"/>
      <c r="BR381" s="13"/>
      <c r="BS381" s="13"/>
      <c r="BT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</row>
    <row r="382" spans="1:113" x14ac:dyDescent="0.2">
      <c r="A382" s="3" t="s">
        <v>74</v>
      </c>
      <c r="C382" s="20" t="e">
        <f>ROUND(AVERAGE(C249:C278),2)</f>
        <v>#DIV/0!</v>
      </c>
      <c r="D382" s="20" t="e">
        <f>ROUND(AVERAGE(D249:D278),2)</f>
        <v>#DIV/0!</v>
      </c>
      <c r="E382" s="13" t="e">
        <f>ROUND(AVERAGE(E249:E278),1)</f>
        <v>#DIV/0!</v>
      </c>
      <c r="F382" s="13" t="e">
        <f>ROUND(AVERAGE(F249:F278),1)</f>
        <v>#DIV/0!</v>
      </c>
      <c r="G382" s="13" t="e">
        <f t="shared" ref="G382:M382" si="281">ROUND(AVERAGE(G249:G278),1)</f>
        <v>#DIV/0!</v>
      </c>
      <c r="H382" s="13" t="e">
        <f t="shared" si="281"/>
        <v>#DIV/0!</v>
      </c>
      <c r="I382" s="13" t="e">
        <f t="shared" si="281"/>
        <v>#DIV/0!</v>
      </c>
      <c r="J382" s="13" t="e">
        <f t="shared" si="281"/>
        <v>#DIV/0!</v>
      </c>
      <c r="K382" s="13" t="e">
        <f t="shared" si="281"/>
        <v>#DIV/0!</v>
      </c>
      <c r="L382" s="13" t="e">
        <f t="shared" si="281"/>
        <v>#DIV/0!</v>
      </c>
      <c r="M382" s="13" t="e">
        <f t="shared" si="281"/>
        <v>#DIV/0!</v>
      </c>
      <c r="N382" s="13">
        <f>SUM(N249:N278)</f>
        <v>0</v>
      </c>
      <c r="O382" s="13"/>
      <c r="P382" s="13" t="e">
        <f>ROUND(AVERAGE(P249:P278),1)</f>
        <v>#DIV/0!</v>
      </c>
      <c r="Q382" s="3"/>
      <c r="R382" s="13" t="e">
        <f>ROUND(AVERAGE(R249:R278),1)</f>
        <v>#DIV/0!</v>
      </c>
      <c r="S382" s="13">
        <f>ROUND(MAX(R249:R278),1)</f>
        <v>0</v>
      </c>
      <c r="T382" s="13" t="e">
        <f>ROUND(AVERAGE(T249:T278),1)</f>
        <v>#DIV/0!</v>
      </c>
      <c r="U382" s="13" t="e">
        <f>ROUND(AVERAGE(U249:U278),1)</f>
        <v>#DIV/0!</v>
      </c>
      <c r="V382" s="13"/>
      <c r="W382" s="13"/>
      <c r="X382" s="13" t="e">
        <f>ROUND(AVERAGE(X249:X278),1)</f>
        <v>#DIV/0!</v>
      </c>
      <c r="Y382" s="13" t="e">
        <f>ROUND(AVERAGE(Y249:Y278),1)</f>
        <v>#DIV/0!</v>
      </c>
      <c r="Z382" s="13" t="e">
        <f>ROUND(AVERAGE(Z249:Z278),1)</f>
        <v>#DIV/0!</v>
      </c>
      <c r="AA382" s="13" t="e">
        <f>ROUND(AVERAGE(AA249:AA278),1)</f>
        <v>#DIV/0!</v>
      </c>
      <c r="AB382" s="13">
        <f>ROUND(MIN(AA249:AA278),1)</f>
        <v>0</v>
      </c>
      <c r="AC382" s="13" t="e">
        <f>ROUND(AVERAGE(AC249:AC278),1)</f>
        <v>#DIV/0!</v>
      </c>
      <c r="AD382" s="13" t="e">
        <f>ROUND(AVERAGE(AD249:AD278),1)</f>
        <v>#DIV/0!</v>
      </c>
      <c r="AE382" s="13"/>
      <c r="AF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7">
        <f>AY278</f>
        <v>0</v>
      </c>
      <c r="AZ382" s="13"/>
      <c r="BA382" s="20"/>
      <c r="BB382" s="20" t="e">
        <f>ROUND(AVERAGE(BB249:BB278),2)</f>
        <v>#DIV/0!</v>
      </c>
      <c r="BC382" s="20" t="e">
        <f>ROUND(AVERAGE(BC249:BC278),2)</f>
        <v>#DIV/0!</v>
      </c>
      <c r="BD382" s="19" t="e">
        <f t="shared" si="274"/>
        <v>#DIV/0!</v>
      </c>
      <c r="BE382" s="3"/>
      <c r="BF382" s="3"/>
      <c r="BG382" s="3"/>
      <c r="BH382" s="13">
        <f>ROUND(AVERAGE(BH249:BH278),1)</f>
        <v>0</v>
      </c>
      <c r="BI382" s="13">
        <f>ROUND(MIN(BH249:BH278),1)</f>
        <v>0</v>
      </c>
      <c r="BJ382" s="36">
        <f>ROUND(AVERAGE(BI249:BI278),3)</f>
        <v>0</v>
      </c>
      <c r="BL382" s="20" t="e">
        <f>ROUND(AVERAGE(BJ249:BJ278),2)</f>
        <v>#DIV/0!</v>
      </c>
      <c r="BM382" s="20" t="e">
        <f>ROUND(MAX(BJ249:BJ278),2)</f>
        <v>#DIV/0!</v>
      </c>
      <c r="BN382" s="13"/>
      <c r="BO382" s="13"/>
      <c r="BP382" s="13"/>
      <c r="BQ382" s="13"/>
      <c r="BR382" s="13"/>
      <c r="BS382" s="13"/>
      <c r="BT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</row>
    <row r="383" spans="1:113" x14ac:dyDescent="0.2">
      <c r="A383" s="3" t="s">
        <v>75</v>
      </c>
      <c r="C383" s="20" t="e">
        <f>ROUND(AVERAGE(C279:C309),2)</f>
        <v>#DIV/0!</v>
      </c>
      <c r="D383" s="20" t="e">
        <f>ROUND(AVERAGE(D279:D309),2)</f>
        <v>#DIV/0!</v>
      </c>
      <c r="E383" s="13" t="e">
        <f>ROUND(AVERAGE(E279:E309),1)</f>
        <v>#DIV/0!</v>
      </c>
      <c r="F383" s="13" t="e">
        <f>ROUND(AVERAGE(F279:F309),1)</f>
        <v>#DIV/0!</v>
      </c>
      <c r="G383" s="13" t="e">
        <f t="shared" ref="G383:M383" si="282">ROUND(AVERAGE(G279:G309),1)</f>
        <v>#DIV/0!</v>
      </c>
      <c r="H383" s="13" t="e">
        <f t="shared" si="282"/>
        <v>#DIV/0!</v>
      </c>
      <c r="I383" s="13" t="e">
        <f t="shared" si="282"/>
        <v>#DIV/0!</v>
      </c>
      <c r="J383" s="13" t="e">
        <f t="shared" si="282"/>
        <v>#DIV/0!</v>
      </c>
      <c r="K383" s="13" t="e">
        <f t="shared" si="282"/>
        <v>#DIV/0!</v>
      </c>
      <c r="L383" s="13" t="e">
        <f t="shared" si="282"/>
        <v>#DIV/0!</v>
      </c>
      <c r="M383" s="13" t="e">
        <f t="shared" si="282"/>
        <v>#DIV/0!</v>
      </c>
      <c r="N383" s="13">
        <f>SUM(N279:N309)</f>
        <v>0</v>
      </c>
      <c r="O383" s="13"/>
      <c r="P383" s="13" t="e">
        <f>ROUND(AVERAGE(P279:P309),1)</f>
        <v>#DIV/0!</v>
      </c>
      <c r="Q383" s="3"/>
      <c r="R383" s="13" t="e">
        <f>ROUND(AVERAGE(R279:R309),1)</f>
        <v>#DIV/0!</v>
      </c>
      <c r="S383" s="21">
        <f>ROUND(MAX(R279:R309),1)</f>
        <v>0</v>
      </c>
      <c r="T383" s="13" t="e">
        <f>ROUND(AVERAGE(T279:T309),1)</f>
        <v>#DIV/0!</v>
      </c>
      <c r="U383" s="13" t="e">
        <f>ROUND(AVERAGE(U279:U309),1)</f>
        <v>#DIV/0!</v>
      </c>
      <c r="V383" s="21"/>
      <c r="W383" s="21"/>
      <c r="X383" s="13" t="e">
        <f>ROUND(AVERAGE(X279:X309),1)</f>
        <v>#DIV/0!</v>
      </c>
      <c r="Y383" s="13" t="e">
        <f>ROUND(AVERAGE(Y279:Y309),1)</f>
        <v>#DIV/0!</v>
      </c>
      <c r="Z383" s="13" t="e">
        <f>ROUND(AVERAGE(Z279:Z309),1)</f>
        <v>#DIV/0!</v>
      </c>
      <c r="AA383" s="13" t="e">
        <f>ROUND(AVERAGE(AA279:AA309),1)</f>
        <v>#DIV/0!</v>
      </c>
      <c r="AB383" s="21">
        <f>ROUND(MIN(AA279:AA309),1)</f>
        <v>0</v>
      </c>
      <c r="AC383" s="13" t="e">
        <f>ROUND(AVERAGE(AC279:AC309),1)</f>
        <v>#DIV/0!</v>
      </c>
      <c r="AD383" s="13" t="e">
        <f>ROUND(AVERAGE(AD279:AD309),1)</f>
        <v>#DIV/0!</v>
      </c>
      <c r="AE383" s="21"/>
      <c r="AF383" s="21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7">
        <f>AY309</f>
        <v>0</v>
      </c>
      <c r="AZ383" s="13"/>
      <c r="BA383" s="20"/>
      <c r="BB383" s="20" t="e">
        <f>ROUND(AVERAGE(BB279:BB309),2)</f>
        <v>#DIV/0!</v>
      </c>
      <c r="BC383" s="20" t="e">
        <f>ROUND(AVERAGE(BC279:BC309),2)</f>
        <v>#DIV/0!</v>
      </c>
      <c r="BD383" s="19" t="e">
        <f t="shared" si="274"/>
        <v>#DIV/0!</v>
      </c>
      <c r="BE383" s="3"/>
      <c r="BF383" s="3"/>
      <c r="BG383" s="3"/>
      <c r="BH383" s="13">
        <f>ROUND(AVERAGE(BH279:BH309),1)</f>
        <v>0</v>
      </c>
      <c r="BI383" s="21">
        <f>ROUND(MIN(BH279:BH309),1)</f>
        <v>0</v>
      </c>
      <c r="BJ383" s="36">
        <f>ROUND(AVERAGE(BI279:BI309),3)</f>
        <v>0</v>
      </c>
      <c r="BL383" s="20" t="e">
        <f>ROUND(AVERAGE(BJ279:BJ309),2)</f>
        <v>#DIV/0!</v>
      </c>
      <c r="BM383" s="33" t="e">
        <f>ROUND(MAX(BJ279:BJ309),2)</f>
        <v>#DIV/0!</v>
      </c>
      <c r="BN383" s="21"/>
      <c r="BO383" s="21"/>
      <c r="BP383" s="21"/>
      <c r="BQ383" s="13"/>
      <c r="BR383" s="13"/>
      <c r="BS383" s="13"/>
      <c r="BT383" s="13"/>
      <c r="BU383" s="22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DH383" s="22"/>
      <c r="DI383" s="22"/>
    </row>
    <row r="384" spans="1:113" x14ac:dyDescent="0.2">
      <c r="A384" s="3" t="s">
        <v>76</v>
      </c>
      <c r="C384" s="23" t="e">
        <f>ROUND(AVERAGE(C310:C339),2)</f>
        <v>#DIV/0!</v>
      </c>
      <c r="D384" s="23" t="e">
        <f>ROUND(AVERAGE(D310:D339),2)</f>
        <v>#DIV/0!</v>
      </c>
      <c r="E384" s="24" t="e">
        <f>ROUND(AVERAGE(E310:E339),1)</f>
        <v>#DIV/0!</v>
      </c>
      <c r="F384" s="24" t="e">
        <f>ROUND(AVERAGE(F310:F339),1)</f>
        <v>#DIV/0!</v>
      </c>
      <c r="G384" s="24" t="e">
        <f t="shared" ref="G384:M384" si="283">ROUND(AVERAGE(G310:G339),1)</f>
        <v>#DIV/0!</v>
      </c>
      <c r="H384" s="24" t="e">
        <f t="shared" si="283"/>
        <v>#DIV/0!</v>
      </c>
      <c r="I384" s="24" t="e">
        <f t="shared" si="283"/>
        <v>#DIV/0!</v>
      </c>
      <c r="J384" s="24" t="e">
        <f t="shared" si="283"/>
        <v>#DIV/0!</v>
      </c>
      <c r="K384" s="24" t="e">
        <f t="shared" si="283"/>
        <v>#DIV/0!</v>
      </c>
      <c r="L384" s="24" t="e">
        <f t="shared" si="283"/>
        <v>#DIV/0!</v>
      </c>
      <c r="M384" s="24" t="e">
        <f t="shared" si="283"/>
        <v>#DIV/0!</v>
      </c>
      <c r="N384" s="13">
        <f>SUM(N310:N339)</f>
        <v>0</v>
      </c>
      <c r="O384" s="13"/>
      <c r="P384" s="24" t="e">
        <f>ROUND(AVERAGE(P310:P339),1)</f>
        <v>#DIV/0!</v>
      </c>
      <c r="Q384" s="3"/>
      <c r="R384" s="24" t="e">
        <f>ROUND(AVERAGE(R310:R339),1)</f>
        <v>#DIV/0!</v>
      </c>
      <c r="S384" s="13">
        <f>ROUND(MAX(R310:R339),1)</f>
        <v>0</v>
      </c>
      <c r="T384" s="24" t="e">
        <f>ROUND(AVERAGE(T310:T339),1)</f>
        <v>#DIV/0!</v>
      </c>
      <c r="U384" s="24" t="e">
        <f>ROUND(AVERAGE(U310:U339),1)</f>
        <v>#DIV/0!</v>
      </c>
      <c r="V384" s="13"/>
      <c r="W384" s="13"/>
      <c r="X384" s="24" t="e">
        <f>ROUND(AVERAGE(X310:X339),1)</f>
        <v>#DIV/0!</v>
      </c>
      <c r="Y384" s="24" t="e">
        <f>ROUND(AVERAGE(Y310:Y339),1)</f>
        <v>#DIV/0!</v>
      </c>
      <c r="Z384" s="24" t="e">
        <f>ROUND(AVERAGE(Z310:Z339),1)</f>
        <v>#DIV/0!</v>
      </c>
      <c r="AA384" s="24" t="e">
        <f>ROUND(AVERAGE(AA310:AA339),1)</f>
        <v>#DIV/0!</v>
      </c>
      <c r="AB384" s="13">
        <f>ROUND(MIN(AA310:AA339),1)</f>
        <v>0</v>
      </c>
      <c r="AC384" s="24" t="e">
        <f>ROUND(AVERAGE(AC310:AC339),1)</f>
        <v>#DIV/0!</v>
      </c>
      <c r="AD384" s="24" t="e">
        <f>ROUND(AVERAGE(AD310:AD339),1)</f>
        <v>#DIV/0!</v>
      </c>
      <c r="AE384" s="13"/>
      <c r="AF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7">
        <f>AY339</f>
        <v>0</v>
      </c>
      <c r="AZ384" s="13"/>
      <c r="BA384" s="23"/>
      <c r="BB384" s="23" t="e">
        <f>ROUND(AVERAGE(BB310:BB339),2)</f>
        <v>#DIV/0!</v>
      </c>
      <c r="BC384" s="23" t="e">
        <f>ROUND(AVERAGE(BC310:BC339),2)</f>
        <v>#DIV/0!</v>
      </c>
      <c r="BD384" s="19" t="e">
        <f t="shared" si="274"/>
        <v>#DIV/0!</v>
      </c>
      <c r="BE384" s="3"/>
      <c r="BF384" s="3"/>
      <c r="BG384" s="3"/>
      <c r="BH384" s="24">
        <f>ROUND(AVERAGE(BH310:BH339),1)</f>
        <v>0</v>
      </c>
      <c r="BI384" s="13">
        <f>ROUND(MIN(BH310:BH339),1)</f>
        <v>0</v>
      </c>
      <c r="BJ384" s="37">
        <f>ROUND(AVERAGE(BI310:BI339),3)</f>
        <v>0</v>
      </c>
      <c r="BL384" s="23" t="e">
        <f>ROUND(AVERAGE(BJ310:BJ339),2)</f>
        <v>#DIV/0!</v>
      </c>
      <c r="BM384" s="20" t="e">
        <f>ROUND(MAX(BJ310:BJ339),2)</f>
        <v>#DIV/0!</v>
      </c>
      <c r="BN384" s="13"/>
      <c r="BO384" s="13"/>
      <c r="BP384" s="13"/>
      <c r="BQ384" s="13"/>
      <c r="BR384" s="13"/>
      <c r="BS384" s="13"/>
      <c r="BT384" s="13"/>
      <c r="BU384" s="22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DH384" s="22"/>
      <c r="DI384" s="22"/>
    </row>
    <row r="385" spans="1:113" x14ac:dyDescent="0.2">
      <c r="A385" s="3" t="s">
        <v>77</v>
      </c>
      <c r="C385" s="20" t="e">
        <f>ROUND(AVERAGE(C340:C370),2)</f>
        <v>#DIV/0!</v>
      </c>
      <c r="D385" s="20" t="e">
        <f>ROUND(AVERAGE(D340:D370),2)</f>
        <v>#DIV/0!</v>
      </c>
      <c r="E385" s="13" t="e">
        <f>ROUND(AVERAGE(E340:E370),1)</f>
        <v>#DIV/0!</v>
      </c>
      <c r="F385" s="13" t="e">
        <f>ROUND(AVERAGE(F340:F370),1)</f>
        <v>#DIV/0!</v>
      </c>
      <c r="G385" s="13" t="e">
        <f t="shared" ref="G385:M385" si="284">ROUND(AVERAGE(G340:G370),1)</f>
        <v>#DIV/0!</v>
      </c>
      <c r="H385" s="13" t="e">
        <f t="shared" si="284"/>
        <v>#DIV/0!</v>
      </c>
      <c r="I385" s="13" t="e">
        <f t="shared" si="284"/>
        <v>#DIV/0!</v>
      </c>
      <c r="J385" s="13" t="e">
        <f t="shared" si="284"/>
        <v>#DIV/0!</v>
      </c>
      <c r="K385" s="13" t="e">
        <f t="shared" si="284"/>
        <v>#DIV/0!</v>
      </c>
      <c r="L385" s="13" t="e">
        <f t="shared" si="284"/>
        <v>#DIV/0!</v>
      </c>
      <c r="M385" s="13" t="e">
        <f t="shared" si="284"/>
        <v>#DIV/0!</v>
      </c>
      <c r="N385" s="13">
        <f>SUM(N340:N370)</f>
        <v>0</v>
      </c>
      <c r="O385" s="13"/>
      <c r="P385" s="13" t="e">
        <f>ROUND(AVERAGE(P340:P370),1)</f>
        <v>#DIV/0!</v>
      </c>
      <c r="Q385" s="3"/>
      <c r="R385" s="13" t="e">
        <f>ROUND(AVERAGE(R340:R370),1)</f>
        <v>#DIV/0!</v>
      </c>
      <c r="S385" s="13">
        <f>ROUND(MAX(R340:R370),1)</f>
        <v>0</v>
      </c>
      <c r="T385" s="13" t="e">
        <f>ROUND(AVERAGE(T340:T370),1)</f>
        <v>#DIV/0!</v>
      </c>
      <c r="U385" s="13" t="e">
        <f>ROUND(AVERAGE(U340:U370),1)</f>
        <v>#DIV/0!</v>
      </c>
      <c r="V385" s="13"/>
      <c r="W385" s="13"/>
      <c r="X385" s="13" t="e">
        <f>ROUND(AVERAGE(X340:X370),1)</f>
        <v>#DIV/0!</v>
      </c>
      <c r="Y385" s="13" t="e">
        <f>ROUND(AVERAGE(Y340:Y370),1)</f>
        <v>#DIV/0!</v>
      </c>
      <c r="Z385" s="13" t="e">
        <f>ROUND(AVERAGE(Z340:Z370),1)</f>
        <v>#DIV/0!</v>
      </c>
      <c r="AA385" s="13" t="e">
        <f>ROUND(AVERAGE(AA340:AA370),1)</f>
        <v>#DIV/0!</v>
      </c>
      <c r="AB385" s="13">
        <f>ROUND(MIN(AA340:AA370),1)</f>
        <v>0</v>
      </c>
      <c r="AC385" s="13" t="e">
        <f>ROUND(AVERAGE(AC340:AC370),1)</f>
        <v>#DIV/0!</v>
      </c>
      <c r="AD385" s="13" t="e">
        <f>ROUND(AVERAGE(AD340:AD370),1)</f>
        <v>#DIV/0!</v>
      </c>
      <c r="AE385" s="13"/>
      <c r="AF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7">
        <f>AY370</f>
        <v>0</v>
      </c>
      <c r="AZ385" s="13"/>
      <c r="BA385" s="20"/>
      <c r="BB385" s="20" t="e">
        <f>ROUND(AVERAGE(BB340:BB370),2)</f>
        <v>#DIV/0!</v>
      </c>
      <c r="BC385" s="20" t="e">
        <f>ROUND(AVERAGE(BC340:BC370),2)</f>
        <v>#DIV/0!</v>
      </c>
      <c r="BD385" s="19" t="e">
        <f t="shared" si="274"/>
        <v>#DIV/0!</v>
      </c>
      <c r="BE385" s="3"/>
      <c r="BF385" s="3"/>
      <c r="BG385" s="3"/>
      <c r="BH385" s="13">
        <f>ROUND(AVERAGE(BH340:BH370),1)</f>
        <v>0</v>
      </c>
      <c r="BI385" s="13">
        <f>ROUND(MIN(BH340:BH370),1)</f>
        <v>0</v>
      </c>
      <c r="BJ385" s="36">
        <f>ROUND(AVERAGE(BI340:BI370),3)</f>
        <v>0</v>
      </c>
      <c r="BL385" s="20" t="e">
        <f>ROUND(AVERAGE(BJ340:BJ370),2)</f>
        <v>#DIV/0!</v>
      </c>
      <c r="BM385" s="20" t="e">
        <f>ROUND(MAX(BJ340:BJ370),2)</f>
        <v>#DIV/0!</v>
      </c>
      <c r="BN385" s="13"/>
      <c r="BO385" s="13"/>
      <c r="BP385" s="13"/>
      <c r="BQ385" s="13"/>
      <c r="BR385" s="13"/>
      <c r="BS385" s="13"/>
      <c r="BT385" s="13"/>
      <c r="BU385" s="22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DH385" s="22"/>
      <c r="DI385" s="22"/>
    </row>
    <row r="386" spans="1:113" x14ac:dyDescent="0.2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K386" s="3"/>
      <c r="BM386" s="3"/>
      <c r="BN386" s="3"/>
      <c r="BO386" s="3"/>
      <c r="BP386" s="3"/>
      <c r="BQ386" s="3"/>
      <c r="BR386" s="3"/>
      <c r="BS386" s="3"/>
      <c r="BT386" s="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</row>
    <row r="387" spans="1:113" x14ac:dyDescent="0.2">
      <c r="A387" s="17" t="s">
        <v>78</v>
      </c>
      <c r="C387" s="17">
        <f t="shared" ref="C387:N387" si="285">COUNT(C6:C36)</f>
        <v>31</v>
      </c>
      <c r="D387" s="17">
        <f t="shared" si="285"/>
        <v>31</v>
      </c>
      <c r="E387" s="17">
        <f t="shared" si="285"/>
        <v>31</v>
      </c>
      <c r="F387" s="17">
        <f t="shared" si="285"/>
        <v>31</v>
      </c>
      <c r="G387" s="17">
        <f t="shared" si="285"/>
        <v>31</v>
      </c>
      <c r="H387" s="17">
        <f t="shared" si="285"/>
        <v>0</v>
      </c>
      <c r="I387" s="17">
        <f t="shared" si="285"/>
        <v>31</v>
      </c>
      <c r="J387" s="17">
        <f t="shared" si="285"/>
        <v>31</v>
      </c>
      <c r="K387" s="17">
        <f t="shared" si="285"/>
        <v>31</v>
      </c>
      <c r="L387" s="17">
        <f t="shared" si="285"/>
        <v>31</v>
      </c>
      <c r="M387" s="17">
        <f t="shared" si="285"/>
        <v>31</v>
      </c>
      <c r="N387" s="17">
        <f t="shared" si="285"/>
        <v>31</v>
      </c>
      <c r="O387" s="17"/>
      <c r="P387" s="17">
        <f t="shared" ref="P387:AF387" si="286">COUNT(P6:P36)</f>
        <v>31</v>
      </c>
      <c r="Q387" s="17">
        <f t="shared" si="286"/>
        <v>31</v>
      </c>
      <c r="R387" s="17">
        <f t="shared" si="286"/>
        <v>31</v>
      </c>
      <c r="S387" s="17">
        <f t="shared" si="286"/>
        <v>0</v>
      </c>
      <c r="T387" s="17">
        <f t="shared" si="286"/>
        <v>31</v>
      </c>
      <c r="U387" s="17">
        <f t="shared" si="286"/>
        <v>31</v>
      </c>
      <c r="V387" s="17">
        <f t="shared" si="286"/>
        <v>31</v>
      </c>
      <c r="W387" s="17">
        <f t="shared" si="286"/>
        <v>31</v>
      </c>
      <c r="X387" s="17">
        <f t="shared" si="286"/>
        <v>31</v>
      </c>
      <c r="Y387" s="17">
        <f t="shared" si="286"/>
        <v>31</v>
      </c>
      <c r="Z387" s="17">
        <f t="shared" si="286"/>
        <v>31</v>
      </c>
      <c r="AA387" s="17">
        <f t="shared" si="286"/>
        <v>31</v>
      </c>
      <c r="AB387" s="17">
        <f t="shared" si="286"/>
        <v>0</v>
      </c>
      <c r="AC387" s="17">
        <f t="shared" si="286"/>
        <v>31</v>
      </c>
      <c r="AD387" s="17">
        <f t="shared" si="286"/>
        <v>31</v>
      </c>
      <c r="AE387" s="17">
        <f t="shared" si="286"/>
        <v>31</v>
      </c>
      <c r="AF387" s="17">
        <f t="shared" si="286"/>
        <v>31</v>
      </c>
      <c r="AO387" s="17">
        <f t="shared" ref="AO387:AW387" si="287">COUNT(AO6:AO36)</f>
        <v>31</v>
      </c>
      <c r="AP387" s="17">
        <f t="shared" si="287"/>
        <v>31</v>
      </c>
      <c r="AQ387" s="17">
        <f t="shared" si="287"/>
        <v>31</v>
      </c>
      <c r="AR387" s="17">
        <f t="shared" si="287"/>
        <v>31</v>
      </c>
      <c r="AS387" s="17">
        <f t="shared" si="287"/>
        <v>31</v>
      </c>
      <c r="AT387" s="17">
        <f t="shared" si="287"/>
        <v>31</v>
      </c>
      <c r="AU387" s="17">
        <f t="shared" si="287"/>
        <v>31</v>
      </c>
      <c r="AV387" s="17">
        <f t="shared" si="287"/>
        <v>31</v>
      </c>
      <c r="AW387" s="17">
        <f t="shared" si="287"/>
        <v>31</v>
      </c>
      <c r="AX387" s="17"/>
      <c r="AY387" s="17">
        <f>COUNT(AY6:AY36)</f>
        <v>31</v>
      </c>
      <c r="AZ387" s="17"/>
      <c r="BA387" s="17"/>
      <c r="BB387" s="17">
        <f>COUNT(BB6:BB36)</f>
        <v>31</v>
      </c>
      <c r="BC387" s="17">
        <f>COUNT(BC6:BC36)</f>
        <v>31</v>
      </c>
      <c r="BD387" s="17"/>
      <c r="BE387" s="17"/>
      <c r="BF387" s="17"/>
      <c r="BG387" s="17"/>
      <c r="BH387" s="17">
        <f>COUNT(BH6:BH36)</f>
        <v>31</v>
      </c>
      <c r="BI387" s="17"/>
      <c r="BJ387" s="17">
        <f>COUNT(BJ6:BJ36)</f>
        <v>31</v>
      </c>
      <c r="BK387" s="17"/>
      <c r="BM387" s="17">
        <f t="shared" ref="BM387:BT387" si="288">COUNT(BM6:BM36)</f>
        <v>31</v>
      </c>
      <c r="BN387" s="17">
        <f t="shared" si="288"/>
        <v>31</v>
      </c>
      <c r="BO387" s="17">
        <f t="shared" si="288"/>
        <v>31</v>
      </c>
      <c r="BP387" s="17">
        <f t="shared" si="288"/>
        <v>31</v>
      </c>
      <c r="BQ387" s="17">
        <f t="shared" si="288"/>
        <v>31</v>
      </c>
      <c r="BR387" s="17">
        <f t="shared" si="288"/>
        <v>31</v>
      </c>
      <c r="BS387" s="17">
        <f t="shared" si="288"/>
        <v>31</v>
      </c>
      <c r="BT387" s="17">
        <f t="shared" si="288"/>
        <v>31</v>
      </c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</row>
    <row r="388" spans="1:113" x14ac:dyDescent="0.2">
      <c r="A388" s="17" t="s">
        <v>79</v>
      </c>
      <c r="C388" s="17">
        <f t="shared" ref="C388:N388" si="289">COUNT(C37:C64)</f>
        <v>26</v>
      </c>
      <c r="D388" s="17">
        <f t="shared" si="289"/>
        <v>26</v>
      </c>
      <c r="E388" s="17">
        <f t="shared" si="289"/>
        <v>26</v>
      </c>
      <c r="F388" s="17">
        <f t="shared" si="289"/>
        <v>26</v>
      </c>
      <c r="G388" s="17">
        <f t="shared" si="289"/>
        <v>26</v>
      </c>
      <c r="H388" s="17">
        <f t="shared" si="289"/>
        <v>0</v>
      </c>
      <c r="I388" s="17">
        <f t="shared" si="289"/>
        <v>26</v>
      </c>
      <c r="J388" s="17">
        <f t="shared" si="289"/>
        <v>26</v>
      </c>
      <c r="K388" s="17">
        <f t="shared" si="289"/>
        <v>26</v>
      </c>
      <c r="L388" s="17">
        <f t="shared" si="289"/>
        <v>26</v>
      </c>
      <c r="M388" s="17">
        <f t="shared" si="289"/>
        <v>26</v>
      </c>
      <c r="N388" s="17">
        <f t="shared" si="289"/>
        <v>26</v>
      </c>
      <c r="O388" s="17"/>
      <c r="P388" s="17">
        <f t="shared" ref="P388:AF388" si="290">COUNT(P37:P64)</f>
        <v>26</v>
      </c>
      <c r="Q388" s="17">
        <f t="shared" si="290"/>
        <v>26</v>
      </c>
      <c r="R388" s="17">
        <f t="shared" si="290"/>
        <v>26</v>
      </c>
      <c r="S388" s="17">
        <f t="shared" si="290"/>
        <v>0</v>
      </c>
      <c r="T388" s="17">
        <f t="shared" si="290"/>
        <v>26</v>
      </c>
      <c r="U388" s="17">
        <f t="shared" si="290"/>
        <v>26</v>
      </c>
      <c r="V388" s="17">
        <f t="shared" si="290"/>
        <v>26</v>
      </c>
      <c r="W388" s="17">
        <f t="shared" si="290"/>
        <v>26</v>
      </c>
      <c r="X388" s="17">
        <f t="shared" si="290"/>
        <v>26</v>
      </c>
      <c r="Y388" s="17">
        <f t="shared" si="290"/>
        <v>26</v>
      </c>
      <c r="Z388" s="17">
        <f t="shared" si="290"/>
        <v>26</v>
      </c>
      <c r="AA388" s="17">
        <f t="shared" si="290"/>
        <v>26</v>
      </c>
      <c r="AB388" s="17">
        <f t="shared" si="290"/>
        <v>0</v>
      </c>
      <c r="AC388" s="17">
        <f t="shared" si="290"/>
        <v>26</v>
      </c>
      <c r="AD388" s="17">
        <f t="shared" si="290"/>
        <v>26</v>
      </c>
      <c r="AE388" s="17">
        <f t="shared" si="290"/>
        <v>26</v>
      </c>
      <c r="AF388" s="17">
        <f t="shared" si="290"/>
        <v>26</v>
      </c>
      <c r="AO388" s="17">
        <f t="shared" ref="AO388:AW388" si="291">COUNT(AO37:AO64)</f>
        <v>26</v>
      </c>
      <c r="AP388" s="17">
        <f t="shared" si="291"/>
        <v>26</v>
      </c>
      <c r="AQ388" s="17">
        <f t="shared" si="291"/>
        <v>26</v>
      </c>
      <c r="AR388" s="17">
        <f t="shared" si="291"/>
        <v>26</v>
      </c>
      <c r="AS388" s="17">
        <f t="shared" si="291"/>
        <v>26</v>
      </c>
      <c r="AT388" s="17">
        <f t="shared" si="291"/>
        <v>26</v>
      </c>
      <c r="AU388" s="17">
        <f t="shared" si="291"/>
        <v>26</v>
      </c>
      <c r="AV388" s="17">
        <f t="shared" si="291"/>
        <v>26</v>
      </c>
      <c r="AW388" s="17">
        <f t="shared" si="291"/>
        <v>26</v>
      </c>
      <c r="AX388" s="17"/>
      <c r="AY388" s="17">
        <f>COUNT(AY37:AY64)</f>
        <v>26</v>
      </c>
      <c r="AZ388" s="17"/>
      <c r="BA388" s="17"/>
      <c r="BB388" s="17">
        <f>COUNT(BB37:BB64)</f>
        <v>26</v>
      </c>
      <c r="BC388" s="17">
        <f>COUNT(BC37:BC64)</f>
        <v>26</v>
      </c>
      <c r="BD388" s="17"/>
      <c r="BE388" s="17"/>
      <c r="BF388" s="17"/>
      <c r="BG388" s="17"/>
      <c r="BH388" s="17">
        <f>COUNT(BH37:BH64)</f>
        <v>28</v>
      </c>
      <c r="BI388" s="17"/>
      <c r="BJ388" s="17">
        <f>COUNT(BJ37:BJ64)</f>
        <v>26</v>
      </c>
      <c r="BK388" s="17"/>
      <c r="BM388" s="17">
        <f t="shared" ref="BM388:BT388" si="292">COUNT(BM37:BM64)</f>
        <v>26</v>
      </c>
      <c r="BN388" s="17">
        <f t="shared" si="292"/>
        <v>26</v>
      </c>
      <c r="BO388" s="17">
        <f t="shared" si="292"/>
        <v>26</v>
      </c>
      <c r="BP388" s="17">
        <f t="shared" si="292"/>
        <v>26</v>
      </c>
      <c r="BQ388" s="17">
        <f t="shared" si="292"/>
        <v>26</v>
      </c>
      <c r="BR388" s="17">
        <f t="shared" si="292"/>
        <v>26</v>
      </c>
      <c r="BS388" s="17">
        <f t="shared" si="292"/>
        <v>26</v>
      </c>
      <c r="BT388" s="17">
        <f t="shared" si="292"/>
        <v>26</v>
      </c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</row>
    <row r="389" spans="1:113" x14ac:dyDescent="0.2">
      <c r="A389" s="17" t="s">
        <v>80</v>
      </c>
      <c r="C389" s="17">
        <f>COUNT(C65:C95)</f>
        <v>0</v>
      </c>
      <c r="D389" s="17">
        <f>COUNT(D65:D95)</f>
        <v>0</v>
      </c>
      <c r="E389" s="17">
        <f>COUNT(E65:E95)</f>
        <v>0</v>
      </c>
      <c r="F389" s="17">
        <f t="shared" ref="F389:AW389" si="293">COUNT(F65:F95)</f>
        <v>0</v>
      </c>
      <c r="G389" s="17">
        <f t="shared" si="293"/>
        <v>0</v>
      </c>
      <c r="H389" s="17">
        <f t="shared" si="293"/>
        <v>0</v>
      </c>
      <c r="I389" s="17">
        <f t="shared" si="293"/>
        <v>0</v>
      </c>
      <c r="J389" s="17">
        <f t="shared" si="293"/>
        <v>0</v>
      </c>
      <c r="K389" s="17">
        <f t="shared" si="293"/>
        <v>0</v>
      </c>
      <c r="L389" s="17">
        <f t="shared" si="293"/>
        <v>0</v>
      </c>
      <c r="M389" s="17">
        <f t="shared" si="293"/>
        <v>0</v>
      </c>
      <c r="N389" s="17">
        <f t="shared" si="293"/>
        <v>0</v>
      </c>
      <c r="O389" s="17"/>
      <c r="P389" s="17">
        <f t="shared" si="293"/>
        <v>0</v>
      </c>
      <c r="Q389" s="17">
        <f t="shared" si="293"/>
        <v>0</v>
      </c>
      <c r="R389" s="17">
        <f t="shared" si="293"/>
        <v>0</v>
      </c>
      <c r="S389" s="17">
        <f t="shared" si="293"/>
        <v>0</v>
      </c>
      <c r="T389" s="17">
        <f t="shared" si="293"/>
        <v>0</v>
      </c>
      <c r="U389" s="17">
        <f t="shared" si="293"/>
        <v>0</v>
      </c>
      <c r="V389" s="17">
        <f t="shared" si="293"/>
        <v>0</v>
      </c>
      <c r="W389" s="17">
        <f t="shared" si="293"/>
        <v>0</v>
      </c>
      <c r="X389" s="17">
        <f t="shared" si="293"/>
        <v>0</v>
      </c>
      <c r="Y389" s="17">
        <f t="shared" si="293"/>
        <v>0</v>
      </c>
      <c r="Z389" s="17">
        <f t="shared" si="293"/>
        <v>0</v>
      </c>
      <c r="AA389" s="17">
        <f t="shared" si="293"/>
        <v>0</v>
      </c>
      <c r="AB389" s="17">
        <f t="shared" si="293"/>
        <v>0</v>
      </c>
      <c r="AC389" s="17">
        <f t="shared" si="293"/>
        <v>0</v>
      </c>
      <c r="AD389" s="17">
        <f t="shared" si="293"/>
        <v>0</v>
      </c>
      <c r="AE389" s="17">
        <f t="shared" si="293"/>
        <v>0</v>
      </c>
      <c r="AF389" s="17">
        <f t="shared" si="293"/>
        <v>0</v>
      </c>
      <c r="AO389" s="17">
        <f t="shared" si="293"/>
        <v>0</v>
      </c>
      <c r="AP389" s="17">
        <f t="shared" si="293"/>
        <v>0</v>
      </c>
      <c r="AQ389" s="17">
        <f t="shared" si="293"/>
        <v>0</v>
      </c>
      <c r="AR389" s="17">
        <f t="shared" si="293"/>
        <v>0</v>
      </c>
      <c r="AS389" s="17">
        <f t="shared" si="293"/>
        <v>0</v>
      </c>
      <c r="AT389" s="17">
        <f t="shared" si="293"/>
        <v>0</v>
      </c>
      <c r="AU389" s="17">
        <f t="shared" si="293"/>
        <v>0</v>
      </c>
      <c r="AV389" s="17">
        <f t="shared" si="293"/>
        <v>0</v>
      </c>
      <c r="AW389" s="17">
        <f t="shared" si="293"/>
        <v>0</v>
      </c>
      <c r="AX389" s="17"/>
      <c r="AY389" s="17">
        <f>COUNT(AY65:AY95)</f>
        <v>0</v>
      </c>
      <c r="AZ389" s="17"/>
      <c r="BA389" s="17"/>
      <c r="BB389" s="17">
        <f>COUNT(BB65:BB95)</f>
        <v>0</v>
      </c>
      <c r="BC389" s="17">
        <f>COUNT(BC65:BC95)</f>
        <v>0</v>
      </c>
      <c r="BD389" s="17"/>
      <c r="BE389" s="17"/>
      <c r="BF389" s="17"/>
      <c r="BG389" s="17"/>
      <c r="BH389" s="17">
        <f>COUNT(BH65:BH95)</f>
        <v>31</v>
      </c>
      <c r="BI389" s="17"/>
      <c r="BJ389" s="17">
        <f>COUNT(BJ65:BJ95)</f>
        <v>0</v>
      </c>
      <c r="BK389" s="17"/>
      <c r="BM389" s="17">
        <f t="shared" ref="BM389:BT389" si="294">COUNT(BM65:BM95)</f>
        <v>0</v>
      </c>
      <c r="BN389" s="17">
        <f t="shared" si="294"/>
        <v>0</v>
      </c>
      <c r="BO389" s="17">
        <f t="shared" si="294"/>
        <v>0</v>
      </c>
      <c r="BP389" s="17">
        <f t="shared" si="294"/>
        <v>0</v>
      </c>
      <c r="BQ389" s="17">
        <f t="shared" si="294"/>
        <v>0</v>
      </c>
      <c r="BR389" s="17">
        <f t="shared" si="294"/>
        <v>0</v>
      </c>
      <c r="BS389" s="17">
        <f t="shared" si="294"/>
        <v>0</v>
      </c>
      <c r="BT389" s="17">
        <f t="shared" si="294"/>
        <v>0</v>
      </c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</row>
    <row r="390" spans="1:113" x14ac:dyDescent="0.2">
      <c r="A390" s="17" t="s">
        <v>69</v>
      </c>
      <c r="C390" s="17">
        <f>COUNT(C96:C125)</f>
        <v>0</v>
      </c>
      <c r="D390" s="17">
        <f>COUNT(D96:D125)</f>
        <v>0</v>
      </c>
      <c r="E390" s="17">
        <f>COUNT(E96:E125)</f>
        <v>0</v>
      </c>
      <c r="F390" s="17">
        <f t="shared" ref="F390:AW390" si="295">COUNT(F96:F125)</f>
        <v>0</v>
      </c>
      <c r="G390" s="17">
        <f t="shared" si="295"/>
        <v>0</v>
      </c>
      <c r="H390" s="17">
        <f t="shared" si="295"/>
        <v>0</v>
      </c>
      <c r="I390" s="17">
        <f t="shared" si="295"/>
        <v>0</v>
      </c>
      <c r="J390" s="17">
        <f t="shared" si="295"/>
        <v>0</v>
      </c>
      <c r="K390" s="17">
        <f t="shared" si="295"/>
        <v>0</v>
      </c>
      <c r="L390" s="17">
        <f t="shared" si="295"/>
        <v>0</v>
      </c>
      <c r="M390" s="17">
        <f t="shared" si="295"/>
        <v>0</v>
      </c>
      <c r="N390" s="17">
        <f t="shared" si="295"/>
        <v>0</v>
      </c>
      <c r="O390" s="17"/>
      <c r="P390" s="17">
        <f t="shared" si="295"/>
        <v>0</v>
      </c>
      <c r="Q390" s="17">
        <f t="shared" si="295"/>
        <v>0</v>
      </c>
      <c r="R390" s="17">
        <f t="shared" si="295"/>
        <v>0</v>
      </c>
      <c r="S390" s="17">
        <f t="shared" si="295"/>
        <v>0</v>
      </c>
      <c r="T390" s="17">
        <f t="shared" si="295"/>
        <v>0</v>
      </c>
      <c r="U390" s="17">
        <f t="shared" si="295"/>
        <v>0</v>
      </c>
      <c r="V390" s="17">
        <f t="shared" si="295"/>
        <v>0</v>
      </c>
      <c r="W390" s="17">
        <f t="shared" si="295"/>
        <v>0</v>
      </c>
      <c r="X390" s="17">
        <f t="shared" si="295"/>
        <v>0</v>
      </c>
      <c r="Y390" s="17">
        <f t="shared" si="295"/>
        <v>0</v>
      </c>
      <c r="Z390" s="17">
        <f t="shared" si="295"/>
        <v>0</v>
      </c>
      <c r="AA390" s="17">
        <f t="shared" si="295"/>
        <v>0</v>
      </c>
      <c r="AB390" s="17">
        <f t="shared" si="295"/>
        <v>0</v>
      </c>
      <c r="AC390" s="17">
        <f t="shared" si="295"/>
        <v>0</v>
      </c>
      <c r="AD390" s="17">
        <f t="shared" si="295"/>
        <v>0</v>
      </c>
      <c r="AE390" s="17">
        <f t="shared" si="295"/>
        <v>0</v>
      </c>
      <c r="AF390" s="17">
        <f t="shared" si="295"/>
        <v>0</v>
      </c>
      <c r="AO390" s="17">
        <f t="shared" si="295"/>
        <v>0</v>
      </c>
      <c r="AP390" s="17">
        <f t="shared" si="295"/>
        <v>0</v>
      </c>
      <c r="AQ390" s="17">
        <f t="shared" si="295"/>
        <v>0</v>
      </c>
      <c r="AR390" s="17">
        <f t="shared" si="295"/>
        <v>0</v>
      </c>
      <c r="AS390" s="17">
        <f t="shared" si="295"/>
        <v>0</v>
      </c>
      <c r="AT390" s="17">
        <f t="shared" si="295"/>
        <v>0</v>
      </c>
      <c r="AU390" s="17">
        <f t="shared" si="295"/>
        <v>0</v>
      </c>
      <c r="AV390" s="17">
        <f t="shared" si="295"/>
        <v>0</v>
      </c>
      <c r="AW390" s="17">
        <f t="shared" si="295"/>
        <v>0</v>
      </c>
      <c r="AX390" s="17"/>
      <c r="AY390" s="17">
        <f>COUNT(AY96:AY125)</f>
        <v>0</v>
      </c>
      <c r="AZ390" s="17"/>
      <c r="BA390" s="17"/>
      <c r="BB390" s="17">
        <f>COUNT(BB96:BB125)</f>
        <v>0</v>
      </c>
      <c r="BC390" s="17">
        <f>COUNT(BC96:BC125)</f>
        <v>0</v>
      </c>
      <c r="BD390" s="17"/>
      <c r="BE390" s="17"/>
      <c r="BF390" s="17"/>
      <c r="BG390" s="17"/>
      <c r="BH390" s="17">
        <f>COUNT(BH96:BH125)</f>
        <v>30</v>
      </c>
      <c r="BI390" s="17"/>
      <c r="BJ390" s="17">
        <f>COUNT(BJ96:BJ125)</f>
        <v>0</v>
      </c>
      <c r="BK390" s="17"/>
      <c r="BM390" s="17">
        <f t="shared" ref="BM390:BT390" si="296">COUNT(BM96:BM125)</f>
        <v>0</v>
      </c>
      <c r="BN390" s="17">
        <f t="shared" si="296"/>
        <v>0</v>
      </c>
      <c r="BO390" s="17">
        <f t="shared" si="296"/>
        <v>0</v>
      </c>
      <c r="BP390" s="17">
        <f t="shared" si="296"/>
        <v>0</v>
      </c>
      <c r="BQ390" s="17">
        <f t="shared" si="296"/>
        <v>0</v>
      </c>
      <c r="BR390" s="17">
        <f t="shared" si="296"/>
        <v>0</v>
      </c>
      <c r="BS390" s="17">
        <f t="shared" si="296"/>
        <v>0</v>
      </c>
      <c r="BT390" s="17">
        <f t="shared" si="296"/>
        <v>0</v>
      </c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</row>
    <row r="391" spans="1:113" x14ac:dyDescent="0.2">
      <c r="A391" s="17" t="s">
        <v>70</v>
      </c>
      <c r="C391" s="17">
        <f>COUNT(C126:C156)</f>
        <v>0</v>
      </c>
      <c r="D391" s="17">
        <f>COUNT(D126:D156)</f>
        <v>0</v>
      </c>
      <c r="E391" s="17">
        <f>COUNT(E126:E156)</f>
        <v>0</v>
      </c>
      <c r="F391" s="17">
        <f t="shared" ref="F391:AW391" si="297">COUNT(F126:F156)</f>
        <v>0</v>
      </c>
      <c r="G391" s="17">
        <f t="shared" si="297"/>
        <v>0</v>
      </c>
      <c r="H391" s="17">
        <f t="shared" si="297"/>
        <v>0</v>
      </c>
      <c r="I391" s="17">
        <f t="shared" si="297"/>
        <v>0</v>
      </c>
      <c r="J391" s="17">
        <f t="shared" si="297"/>
        <v>0</v>
      </c>
      <c r="K391" s="17">
        <f t="shared" si="297"/>
        <v>0</v>
      </c>
      <c r="L391" s="17">
        <f t="shared" si="297"/>
        <v>0</v>
      </c>
      <c r="M391" s="17">
        <f t="shared" si="297"/>
        <v>0</v>
      </c>
      <c r="N391" s="17">
        <f t="shared" si="297"/>
        <v>0</v>
      </c>
      <c r="O391" s="17"/>
      <c r="P391" s="17">
        <f t="shared" si="297"/>
        <v>0</v>
      </c>
      <c r="Q391" s="17">
        <f t="shared" si="297"/>
        <v>0</v>
      </c>
      <c r="R391" s="17">
        <f t="shared" si="297"/>
        <v>0</v>
      </c>
      <c r="S391" s="17">
        <f t="shared" si="297"/>
        <v>0</v>
      </c>
      <c r="T391" s="17">
        <f t="shared" si="297"/>
        <v>0</v>
      </c>
      <c r="U391" s="17">
        <f t="shared" si="297"/>
        <v>0</v>
      </c>
      <c r="V391" s="17">
        <f t="shared" si="297"/>
        <v>0</v>
      </c>
      <c r="W391" s="17">
        <f t="shared" si="297"/>
        <v>0</v>
      </c>
      <c r="X391" s="17">
        <f t="shared" si="297"/>
        <v>0</v>
      </c>
      <c r="Y391" s="17">
        <f t="shared" si="297"/>
        <v>0</v>
      </c>
      <c r="Z391" s="17">
        <f t="shared" si="297"/>
        <v>0</v>
      </c>
      <c r="AA391" s="17">
        <f t="shared" si="297"/>
        <v>0</v>
      </c>
      <c r="AB391" s="17">
        <f t="shared" si="297"/>
        <v>0</v>
      </c>
      <c r="AC391" s="17">
        <f t="shared" si="297"/>
        <v>0</v>
      </c>
      <c r="AD391" s="17">
        <f t="shared" si="297"/>
        <v>0</v>
      </c>
      <c r="AE391" s="17">
        <f t="shared" si="297"/>
        <v>0</v>
      </c>
      <c r="AF391" s="17">
        <f t="shared" si="297"/>
        <v>0</v>
      </c>
      <c r="AO391" s="17">
        <f t="shared" si="297"/>
        <v>0</v>
      </c>
      <c r="AP391" s="17">
        <f t="shared" si="297"/>
        <v>0</v>
      </c>
      <c r="AQ391" s="17">
        <f t="shared" si="297"/>
        <v>0</v>
      </c>
      <c r="AR391" s="17">
        <f t="shared" si="297"/>
        <v>0</v>
      </c>
      <c r="AS391" s="17">
        <f t="shared" si="297"/>
        <v>0</v>
      </c>
      <c r="AT391" s="17">
        <f t="shared" si="297"/>
        <v>0</v>
      </c>
      <c r="AU391" s="17">
        <f t="shared" si="297"/>
        <v>0</v>
      </c>
      <c r="AV391" s="17">
        <f t="shared" si="297"/>
        <v>0</v>
      </c>
      <c r="AW391" s="17">
        <f t="shared" si="297"/>
        <v>0</v>
      </c>
      <c r="AX391" s="17"/>
      <c r="AY391" s="17">
        <f>COUNT(AY126:AY156)</f>
        <v>0</v>
      </c>
      <c r="AZ391" s="17"/>
      <c r="BA391" s="17"/>
      <c r="BB391" s="17">
        <f>COUNT(BB126:BB156)</f>
        <v>0</v>
      </c>
      <c r="BC391" s="17">
        <f>COUNT(BC126:BC156)</f>
        <v>0</v>
      </c>
      <c r="BD391" s="17"/>
      <c r="BE391" s="17"/>
      <c r="BF391" s="17"/>
      <c r="BG391" s="17"/>
      <c r="BH391" s="17">
        <f>COUNT(BH126:BH156)</f>
        <v>31</v>
      </c>
      <c r="BI391" s="17"/>
      <c r="BJ391" s="17">
        <f>COUNT(BJ126:BJ156)</f>
        <v>0</v>
      </c>
      <c r="BK391" s="17"/>
      <c r="BM391" s="17">
        <f t="shared" ref="BM391:BT391" si="298">COUNT(BM126:BM156)</f>
        <v>0</v>
      </c>
      <c r="BN391" s="17">
        <f t="shared" si="298"/>
        <v>0</v>
      </c>
      <c r="BO391" s="17">
        <f t="shared" si="298"/>
        <v>0</v>
      </c>
      <c r="BP391" s="17">
        <f t="shared" si="298"/>
        <v>0</v>
      </c>
      <c r="BQ391" s="17">
        <f t="shared" si="298"/>
        <v>0</v>
      </c>
      <c r="BR391" s="17">
        <f t="shared" si="298"/>
        <v>0</v>
      </c>
      <c r="BS391" s="17">
        <f t="shared" si="298"/>
        <v>0</v>
      </c>
      <c r="BT391" s="17">
        <f t="shared" si="298"/>
        <v>0</v>
      </c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</row>
    <row r="392" spans="1:113" x14ac:dyDescent="0.2">
      <c r="A392" s="17" t="s">
        <v>71</v>
      </c>
      <c r="C392" s="17">
        <f>COUNT(C157:C186)</f>
        <v>0</v>
      </c>
      <c r="D392" s="17">
        <f>COUNT(D157:D186)</f>
        <v>0</v>
      </c>
      <c r="E392" s="17">
        <f>COUNT(E157:E186)</f>
        <v>0</v>
      </c>
      <c r="F392" s="17">
        <f t="shared" ref="F392:AW392" si="299">COUNT(F157:F186)</f>
        <v>0</v>
      </c>
      <c r="G392" s="17">
        <f t="shared" si="299"/>
        <v>0</v>
      </c>
      <c r="H392" s="17">
        <f t="shared" si="299"/>
        <v>0</v>
      </c>
      <c r="I392" s="17">
        <f t="shared" si="299"/>
        <v>0</v>
      </c>
      <c r="J392" s="17">
        <f t="shared" si="299"/>
        <v>0</v>
      </c>
      <c r="K392" s="17">
        <f t="shared" si="299"/>
        <v>0</v>
      </c>
      <c r="L392" s="17">
        <f t="shared" si="299"/>
        <v>0</v>
      </c>
      <c r="M392" s="17">
        <f t="shared" si="299"/>
        <v>0</v>
      </c>
      <c r="N392" s="17">
        <f t="shared" si="299"/>
        <v>0</v>
      </c>
      <c r="O392" s="17"/>
      <c r="P392" s="17">
        <f t="shared" si="299"/>
        <v>0</v>
      </c>
      <c r="Q392" s="17">
        <f t="shared" si="299"/>
        <v>0</v>
      </c>
      <c r="R392" s="17">
        <f t="shared" si="299"/>
        <v>0</v>
      </c>
      <c r="S392" s="17">
        <f t="shared" si="299"/>
        <v>0</v>
      </c>
      <c r="T392" s="17">
        <f t="shared" si="299"/>
        <v>0</v>
      </c>
      <c r="U392" s="17">
        <f t="shared" si="299"/>
        <v>0</v>
      </c>
      <c r="V392" s="17">
        <f t="shared" si="299"/>
        <v>0</v>
      </c>
      <c r="W392" s="17">
        <f t="shared" si="299"/>
        <v>0</v>
      </c>
      <c r="X392" s="17">
        <f t="shared" si="299"/>
        <v>0</v>
      </c>
      <c r="Y392" s="17">
        <f t="shared" si="299"/>
        <v>0</v>
      </c>
      <c r="Z392" s="17">
        <f t="shared" si="299"/>
        <v>0</v>
      </c>
      <c r="AA392" s="17">
        <f t="shared" si="299"/>
        <v>0</v>
      </c>
      <c r="AB392" s="17">
        <f t="shared" si="299"/>
        <v>0</v>
      </c>
      <c r="AC392" s="17">
        <f t="shared" si="299"/>
        <v>0</v>
      </c>
      <c r="AD392" s="17">
        <f t="shared" si="299"/>
        <v>0</v>
      </c>
      <c r="AE392" s="17">
        <f t="shared" si="299"/>
        <v>0</v>
      </c>
      <c r="AF392" s="17">
        <f t="shared" si="299"/>
        <v>0</v>
      </c>
      <c r="AO392" s="17">
        <f t="shared" si="299"/>
        <v>0</v>
      </c>
      <c r="AP392" s="17">
        <f t="shared" si="299"/>
        <v>0</v>
      </c>
      <c r="AQ392" s="17">
        <f t="shared" si="299"/>
        <v>0</v>
      </c>
      <c r="AR392" s="17">
        <f t="shared" si="299"/>
        <v>0</v>
      </c>
      <c r="AS392" s="17">
        <f t="shared" si="299"/>
        <v>0</v>
      </c>
      <c r="AT392" s="17">
        <f t="shared" si="299"/>
        <v>0</v>
      </c>
      <c r="AU392" s="17">
        <f t="shared" si="299"/>
        <v>0</v>
      </c>
      <c r="AV392" s="17">
        <f t="shared" si="299"/>
        <v>0</v>
      </c>
      <c r="AW392" s="17">
        <f t="shared" si="299"/>
        <v>0</v>
      </c>
      <c r="AX392" s="17"/>
      <c r="AY392" s="17">
        <f>COUNT(AY157:AY186)</f>
        <v>0</v>
      </c>
      <c r="AZ392" s="17"/>
      <c r="BA392" s="17"/>
      <c r="BB392" s="17">
        <f>COUNT(BB157:BB186)</f>
        <v>0</v>
      </c>
      <c r="BC392" s="17">
        <f>COUNT(BC157:BC186)</f>
        <v>0</v>
      </c>
      <c r="BD392" s="17"/>
      <c r="BE392" s="17"/>
      <c r="BF392" s="17"/>
      <c r="BG392" s="17"/>
      <c r="BH392" s="17">
        <f>COUNT(BH157:BH186)</f>
        <v>30</v>
      </c>
      <c r="BI392" s="17"/>
      <c r="BJ392" s="17">
        <f>COUNT(BJ157:BJ186)</f>
        <v>0</v>
      </c>
      <c r="BK392" s="17"/>
      <c r="BM392" s="17">
        <f t="shared" ref="BM392:BT392" si="300">COUNT(BM157:BM186)</f>
        <v>0</v>
      </c>
      <c r="BN392" s="17">
        <f t="shared" si="300"/>
        <v>0</v>
      </c>
      <c r="BO392" s="17">
        <f t="shared" si="300"/>
        <v>0</v>
      </c>
      <c r="BP392" s="17">
        <f t="shared" si="300"/>
        <v>0</v>
      </c>
      <c r="BQ392" s="17">
        <f t="shared" si="300"/>
        <v>0</v>
      </c>
      <c r="BR392" s="17">
        <f t="shared" si="300"/>
        <v>0</v>
      </c>
      <c r="BS392" s="17">
        <f t="shared" si="300"/>
        <v>0</v>
      </c>
      <c r="BT392" s="17">
        <f t="shared" si="300"/>
        <v>0</v>
      </c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</row>
    <row r="393" spans="1:113" x14ac:dyDescent="0.2">
      <c r="A393" s="17" t="s">
        <v>72</v>
      </c>
      <c r="C393" s="17">
        <f>COUNT(C187:C217)</f>
        <v>0</v>
      </c>
      <c r="D393" s="17">
        <f>COUNT(D187:D217)</f>
        <v>0</v>
      </c>
      <c r="E393" s="17">
        <f>COUNT(E187:E217)</f>
        <v>0</v>
      </c>
      <c r="F393" s="17">
        <f t="shared" ref="F393:AW393" si="301">COUNT(F187:F217)</f>
        <v>0</v>
      </c>
      <c r="G393" s="17">
        <f t="shared" si="301"/>
        <v>0</v>
      </c>
      <c r="H393" s="17">
        <f t="shared" si="301"/>
        <v>0</v>
      </c>
      <c r="I393" s="17">
        <f t="shared" si="301"/>
        <v>0</v>
      </c>
      <c r="J393" s="17">
        <f t="shared" si="301"/>
        <v>0</v>
      </c>
      <c r="K393" s="17">
        <f t="shared" si="301"/>
        <v>0</v>
      </c>
      <c r="L393" s="17">
        <f t="shared" si="301"/>
        <v>0</v>
      </c>
      <c r="M393" s="17">
        <f t="shared" si="301"/>
        <v>0</v>
      </c>
      <c r="N393" s="17">
        <f t="shared" si="301"/>
        <v>0</v>
      </c>
      <c r="O393" s="17"/>
      <c r="P393" s="17">
        <f t="shared" si="301"/>
        <v>0</v>
      </c>
      <c r="Q393" s="17">
        <f t="shared" si="301"/>
        <v>0</v>
      </c>
      <c r="R393" s="17">
        <f t="shared" si="301"/>
        <v>0</v>
      </c>
      <c r="S393" s="17">
        <f t="shared" si="301"/>
        <v>0</v>
      </c>
      <c r="T393" s="17">
        <f t="shared" si="301"/>
        <v>0</v>
      </c>
      <c r="U393" s="17">
        <f t="shared" si="301"/>
        <v>0</v>
      </c>
      <c r="V393" s="17">
        <f t="shared" si="301"/>
        <v>0</v>
      </c>
      <c r="W393" s="17">
        <f t="shared" si="301"/>
        <v>0</v>
      </c>
      <c r="X393" s="17">
        <f t="shared" si="301"/>
        <v>0</v>
      </c>
      <c r="Y393" s="17">
        <f t="shared" si="301"/>
        <v>0</v>
      </c>
      <c r="Z393" s="17">
        <f t="shared" si="301"/>
        <v>0</v>
      </c>
      <c r="AA393" s="17">
        <f t="shared" si="301"/>
        <v>0</v>
      </c>
      <c r="AB393" s="17">
        <f t="shared" si="301"/>
        <v>0</v>
      </c>
      <c r="AC393" s="17">
        <f t="shared" si="301"/>
        <v>0</v>
      </c>
      <c r="AD393" s="17">
        <f t="shared" si="301"/>
        <v>0</v>
      </c>
      <c r="AE393" s="17">
        <f t="shared" si="301"/>
        <v>0</v>
      </c>
      <c r="AF393" s="17">
        <f t="shared" si="301"/>
        <v>0</v>
      </c>
      <c r="AO393" s="17">
        <f t="shared" si="301"/>
        <v>0</v>
      </c>
      <c r="AP393" s="17">
        <f t="shared" si="301"/>
        <v>0</v>
      </c>
      <c r="AQ393" s="17">
        <f t="shared" si="301"/>
        <v>0</v>
      </c>
      <c r="AR393" s="17">
        <f t="shared" si="301"/>
        <v>0</v>
      </c>
      <c r="AS393" s="17">
        <f t="shared" si="301"/>
        <v>0</v>
      </c>
      <c r="AT393" s="17">
        <f t="shared" si="301"/>
        <v>0</v>
      </c>
      <c r="AU393" s="17">
        <f t="shared" si="301"/>
        <v>0</v>
      </c>
      <c r="AV393" s="17">
        <f t="shared" si="301"/>
        <v>0</v>
      </c>
      <c r="AW393" s="17">
        <f t="shared" si="301"/>
        <v>0</v>
      </c>
      <c r="AX393" s="17"/>
      <c r="AY393" s="17">
        <f>COUNT(AY187:AY217)</f>
        <v>0</v>
      </c>
      <c r="AZ393" s="17"/>
      <c r="BA393" s="17"/>
      <c r="BB393" s="17">
        <f>COUNT(BB187:BB217)</f>
        <v>0</v>
      </c>
      <c r="BC393" s="17">
        <f>COUNT(BC187:BC217)</f>
        <v>0</v>
      </c>
      <c r="BD393" s="17"/>
      <c r="BE393" s="17"/>
      <c r="BF393" s="17"/>
      <c r="BG393" s="17"/>
      <c r="BH393" s="17">
        <f>COUNT(BH187:BH217)</f>
        <v>31</v>
      </c>
      <c r="BI393" s="17"/>
      <c r="BJ393" s="17">
        <f>COUNT(BJ187:BJ217)</f>
        <v>0</v>
      </c>
      <c r="BK393" s="17"/>
      <c r="BM393" s="17">
        <f t="shared" ref="BM393:BT393" si="302">COUNT(BM187:BM217)</f>
        <v>0</v>
      </c>
      <c r="BN393" s="17">
        <f t="shared" si="302"/>
        <v>0</v>
      </c>
      <c r="BO393" s="17">
        <f t="shared" si="302"/>
        <v>0</v>
      </c>
      <c r="BP393" s="17">
        <f t="shared" si="302"/>
        <v>0</v>
      </c>
      <c r="BQ393" s="17">
        <f t="shared" si="302"/>
        <v>0</v>
      </c>
      <c r="BR393" s="17">
        <f t="shared" si="302"/>
        <v>0</v>
      </c>
      <c r="BS393" s="17">
        <f t="shared" si="302"/>
        <v>0</v>
      </c>
      <c r="BT393" s="17">
        <f t="shared" si="302"/>
        <v>0</v>
      </c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</row>
    <row r="394" spans="1:113" x14ac:dyDescent="0.2">
      <c r="A394" s="17" t="s">
        <v>73</v>
      </c>
      <c r="C394" s="17">
        <f>COUNT(C218:C248)</f>
        <v>0</v>
      </c>
      <c r="D394" s="17">
        <f>COUNT(D218:D248)</f>
        <v>0</v>
      </c>
      <c r="E394" s="17">
        <f>COUNT(E218:E248)</f>
        <v>0</v>
      </c>
      <c r="F394" s="17">
        <f t="shared" ref="F394:AW394" si="303">COUNT(F218:F248)</f>
        <v>0</v>
      </c>
      <c r="G394" s="17">
        <f t="shared" si="303"/>
        <v>0</v>
      </c>
      <c r="H394" s="17">
        <f t="shared" si="303"/>
        <v>0</v>
      </c>
      <c r="I394" s="17">
        <f t="shared" si="303"/>
        <v>0</v>
      </c>
      <c r="J394" s="17">
        <f t="shared" si="303"/>
        <v>0</v>
      </c>
      <c r="K394" s="17">
        <f t="shared" si="303"/>
        <v>0</v>
      </c>
      <c r="L394" s="17">
        <f t="shared" si="303"/>
        <v>0</v>
      </c>
      <c r="M394" s="17">
        <f t="shared" si="303"/>
        <v>0</v>
      </c>
      <c r="N394" s="17">
        <f t="shared" si="303"/>
        <v>0</v>
      </c>
      <c r="O394" s="17"/>
      <c r="P394" s="17">
        <f t="shared" si="303"/>
        <v>0</v>
      </c>
      <c r="Q394" s="17">
        <f t="shared" si="303"/>
        <v>0</v>
      </c>
      <c r="R394" s="17">
        <f t="shared" si="303"/>
        <v>0</v>
      </c>
      <c r="S394" s="17">
        <f t="shared" si="303"/>
        <v>0</v>
      </c>
      <c r="T394" s="17">
        <f t="shared" si="303"/>
        <v>0</v>
      </c>
      <c r="U394" s="17">
        <f t="shared" si="303"/>
        <v>0</v>
      </c>
      <c r="V394" s="17">
        <f t="shared" si="303"/>
        <v>0</v>
      </c>
      <c r="W394" s="17">
        <f t="shared" si="303"/>
        <v>0</v>
      </c>
      <c r="X394" s="17">
        <f t="shared" si="303"/>
        <v>0</v>
      </c>
      <c r="Y394" s="17">
        <f t="shared" si="303"/>
        <v>0</v>
      </c>
      <c r="Z394" s="17">
        <f t="shared" si="303"/>
        <v>0</v>
      </c>
      <c r="AA394" s="17">
        <f t="shared" si="303"/>
        <v>0</v>
      </c>
      <c r="AB394" s="17">
        <f t="shared" si="303"/>
        <v>0</v>
      </c>
      <c r="AC394" s="17">
        <f t="shared" si="303"/>
        <v>0</v>
      </c>
      <c r="AD394" s="17">
        <f t="shared" si="303"/>
        <v>0</v>
      </c>
      <c r="AE394" s="17">
        <f t="shared" si="303"/>
        <v>0</v>
      </c>
      <c r="AF394" s="17">
        <f t="shared" si="303"/>
        <v>0</v>
      </c>
      <c r="AO394" s="17">
        <f t="shared" si="303"/>
        <v>0</v>
      </c>
      <c r="AP394" s="17">
        <f t="shared" si="303"/>
        <v>0</v>
      </c>
      <c r="AQ394" s="17">
        <f t="shared" si="303"/>
        <v>0</v>
      </c>
      <c r="AR394" s="17">
        <f t="shared" si="303"/>
        <v>0</v>
      </c>
      <c r="AS394" s="17">
        <f t="shared" si="303"/>
        <v>0</v>
      </c>
      <c r="AT394" s="17">
        <f t="shared" si="303"/>
        <v>0</v>
      </c>
      <c r="AU394" s="17">
        <f t="shared" si="303"/>
        <v>0</v>
      </c>
      <c r="AV394" s="17">
        <f t="shared" si="303"/>
        <v>0</v>
      </c>
      <c r="AW394" s="17">
        <f t="shared" si="303"/>
        <v>0</v>
      </c>
      <c r="AX394" s="17"/>
      <c r="AY394" s="17">
        <f>COUNT(AY218:AY248)</f>
        <v>0</v>
      </c>
      <c r="AZ394" s="17"/>
      <c r="BA394" s="17"/>
      <c r="BB394" s="17">
        <f>COUNT(BB218:BB248)</f>
        <v>0</v>
      </c>
      <c r="BC394" s="17">
        <f>COUNT(BC218:BC248)</f>
        <v>0</v>
      </c>
      <c r="BD394" s="17"/>
      <c r="BE394" s="17"/>
      <c r="BF394" s="17"/>
      <c r="BG394" s="17"/>
      <c r="BH394" s="17">
        <f>COUNT(BH218:BH248)</f>
        <v>31</v>
      </c>
      <c r="BI394" s="17"/>
      <c r="BJ394" s="17">
        <f>COUNT(BJ218:BJ248)</f>
        <v>0</v>
      </c>
      <c r="BK394" s="17"/>
      <c r="BM394" s="17">
        <f t="shared" ref="BM394:BT394" si="304">COUNT(BM218:BM248)</f>
        <v>0</v>
      </c>
      <c r="BN394" s="17">
        <f t="shared" si="304"/>
        <v>0</v>
      </c>
      <c r="BO394" s="17">
        <f t="shared" si="304"/>
        <v>0</v>
      </c>
      <c r="BP394" s="17">
        <f t="shared" si="304"/>
        <v>0</v>
      </c>
      <c r="BQ394" s="17">
        <f t="shared" si="304"/>
        <v>0</v>
      </c>
      <c r="BR394" s="17">
        <f t="shared" si="304"/>
        <v>0</v>
      </c>
      <c r="BS394" s="17">
        <f t="shared" si="304"/>
        <v>0</v>
      </c>
      <c r="BT394" s="17">
        <f t="shared" si="304"/>
        <v>0</v>
      </c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</row>
    <row r="395" spans="1:113" x14ac:dyDescent="0.2">
      <c r="A395" s="17" t="s">
        <v>74</v>
      </c>
      <c r="C395" s="17">
        <f>COUNT(C249:C278)</f>
        <v>0</v>
      </c>
      <c r="D395" s="17">
        <f>COUNT(D249:D278)</f>
        <v>0</v>
      </c>
      <c r="E395" s="17">
        <f>COUNT(E249:E278)</f>
        <v>0</v>
      </c>
      <c r="F395" s="17">
        <f t="shared" ref="F395:AW395" si="305">COUNT(F249:F278)</f>
        <v>0</v>
      </c>
      <c r="G395" s="17">
        <f t="shared" si="305"/>
        <v>0</v>
      </c>
      <c r="H395" s="17">
        <f t="shared" si="305"/>
        <v>0</v>
      </c>
      <c r="I395" s="17">
        <f t="shared" si="305"/>
        <v>0</v>
      </c>
      <c r="J395" s="17">
        <f t="shared" si="305"/>
        <v>0</v>
      </c>
      <c r="K395" s="17">
        <f t="shared" si="305"/>
        <v>0</v>
      </c>
      <c r="L395" s="17">
        <f t="shared" si="305"/>
        <v>0</v>
      </c>
      <c r="M395" s="17">
        <f t="shared" si="305"/>
        <v>0</v>
      </c>
      <c r="N395" s="17">
        <f t="shared" si="305"/>
        <v>0</v>
      </c>
      <c r="O395" s="17"/>
      <c r="P395" s="17">
        <f t="shared" si="305"/>
        <v>0</v>
      </c>
      <c r="Q395" s="17">
        <f t="shared" si="305"/>
        <v>0</v>
      </c>
      <c r="R395" s="17">
        <f t="shared" si="305"/>
        <v>0</v>
      </c>
      <c r="S395" s="17">
        <f t="shared" si="305"/>
        <v>0</v>
      </c>
      <c r="T395" s="17">
        <f t="shared" si="305"/>
        <v>0</v>
      </c>
      <c r="U395" s="17">
        <f t="shared" si="305"/>
        <v>0</v>
      </c>
      <c r="V395" s="17">
        <f t="shared" si="305"/>
        <v>0</v>
      </c>
      <c r="W395" s="17">
        <f t="shared" si="305"/>
        <v>0</v>
      </c>
      <c r="X395" s="17">
        <f t="shared" si="305"/>
        <v>0</v>
      </c>
      <c r="Y395" s="17">
        <f t="shared" si="305"/>
        <v>0</v>
      </c>
      <c r="Z395" s="17">
        <f t="shared" si="305"/>
        <v>0</v>
      </c>
      <c r="AA395" s="17">
        <f t="shared" si="305"/>
        <v>0</v>
      </c>
      <c r="AB395" s="17">
        <f t="shared" si="305"/>
        <v>0</v>
      </c>
      <c r="AC395" s="17">
        <f t="shared" si="305"/>
        <v>0</v>
      </c>
      <c r="AD395" s="17">
        <f t="shared" si="305"/>
        <v>0</v>
      </c>
      <c r="AE395" s="17">
        <f t="shared" si="305"/>
        <v>0</v>
      </c>
      <c r="AF395" s="17">
        <f t="shared" si="305"/>
        <v>0</v>
      </c>
      <c r="AO395" s="17">
        <f t="shared" si="305"/>
        <v>0</v>
      </c>
      <c r="AP395" s="17">
        <f t="shared" si="305"/>
        <v>0</v>
      </c>
      <c r="AQ395" s="17">
        <f t="shared" si="305"/>
        <v>0</v>
      </c>
      <c r="AR395" s="17">
        <f t="shared" si="305"/>
        <v>0</v>
      </c>
      <c r="AS395" s="17">
        <f t="shared" si="305"/>
        <v>0</v>
      </c>
      <c r="AT395" s="17">
        <f t="shared" si="305"/>
        <v>0</v>
      </c>
      <c r="AU395" s="17">
        <f t="shared" si="305"/>
        <v>0</v>
      </c>
      <c r="AV395" s="17">
        <f t="shared" si="305"/>
        <v>0</v>
      </c>
      <c r="AW395" s="17">
        <f t="shared" si="305"/>
        <v>0</v>
      </c>
      <c r="AX395" s="17"/>
      <c r="AY395" s="17">
        <f>COUNT(AY249:AY278)</f>
        <v>0</v>
      </c>
      <c r="AZ395" s="17"/>
      <c r="BA395" s="17"/>
      <c r="BB395" s="17">
        <f>COUNT(BB249:BB278)</f>
        <v>0</v>
      </c>
      <c r="BC395" s="17">
        <f>COUNT(BC249:BC278)</f>
        <v>0</v>
      </c>
      <c r="BD395" s="17"/>
      <c r="BE395" s="17"/>
      <c r="BF395" s="17"/>
      <c r="BG395" s="17"/>
      <c r="BH395" s="17">
        <f>COUNT(BH249:BH278)</f>
        <v>30</v>
      </c>
      <c r="BI395" s="17"/>
      <c r="BJ395" s="17">
        <f>COUNT(BJ249:BJ278)</f>
        <v>0</v>
      </c>
      <c r="BK395" s="17"/>
      <c r="BM395" s="17">
        <f t="shared" ref="BM395:BT395" si="306">COUNT(BM249:BM278)</f>
        <v>0</v>
      </c>
      <c r="BN395" s="17">
        <f t="shared" si="306"/>
        <v>0</v>
      </c>
      <c r="BO395" s="17">
        <f t="shared" si="306"/>
        <v>0</v>
      </c>
      <c r="BP395" s="17">
        <f t="shared" si="306"/>
        <v>0</v>
      </c>
      <c r="BQ395" s="17">
        <f t="shared" si="306"/>
        <v>0</v>
      </c>
      <c r="BR395" s="17">
        <f t="shared" si="306"/>
        <v>0</v>
      </c>
      <c r="BS395" s="17">
        <f t="shared" si="306"/>
        <v>0</v>
      </c>
      <c r="BT395" s="17">
        <f t="shared" si="306"/>
        <v>0</v>
      </c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</row>
    <row r="396" spans="1:113" x14ac:dyDescent="0.2">
      <c r="A396" s="17" t="s">
        <v>75</v>
      </c>
      <c r="C396" s="17">
        <f>COUNT(C279:C309)</f>
        <v>0</v>
      </c>
      <c r="D396" s="17">
        <f>COUNT(D279:D309)</f>
        <v>0</v>
      </c>
      <c r="E396" s="17">
        <f>COUNT(E279:E309)</f>
        <v>0</v>
      </c>
      <c r="F396" s="17">
        <f t="shared" ref="F396:AW396" si="307">COUNT(F279:F309)</f>
        <v>0</v>
      </c>
      <c r="G396" s="17">
        <f t="shared" si="307"/>
        <v>0</v>
      </c>
      <c r="H396" s="17">
        <f t="shared" si="307"/>
        <v>0</v>
      </c>
      <c r="I396" s="17">
        <f t="shared" si="307"/>
        <v>0</v>
      </c>
      <c r="J396" s="17">
        <f t="shared" si="307"/>
        <v>0</v>
      </c>
      <c r="K396" s="17">
        <f t="shared" si="307"/>
        <v>0</v>
      </c>
      <c r="L396" s="17">
        <f t="shared" si="307"/>
        <v>0</v>
      </c>
      <c r="M396" s="17">
        <f t="shared" si="307"/>
        <v>0</v>
      </c>
      <c r="N396" s="17">
        <f t="shared" si="307"/>
        <v>0</v>
      </c>
      <c r="O396" s="17"/>
      <c r="P396" s="17">
        <f t="shared" si="307"/>
        <v>0</v>
      </c>
      <c r="Q396" s="17">
        <f t="shared" si="307"/>
        <v>0</v>
      </c>
      <c r="R396" s="17">
        <f t="shared" si="307"/>
        <v>0</v>
      </c>
      <c r="S396" s="17">
        <f t="shared" si="307"/>
        <v>0</v>
      </c>
      <c r="T396" s="17">
        <f t="shared" si="307"/>
        <v>0</v>
      </c>
      <c r="U396" s="17">
        <f t="shared" si="307"/>
        <v>0</v>
      </c>
      <c r="V396" s="17">
        <f t="shared" si="307"/>
        <v>0</v>
      </c>
      <c r="W396" s="17">
        <f t="shared" si="307"/>
        <v>0</v>
      </c>
      <c r="X396" s="17">
        <f t="shared" si="307"/>
        <v>0</v>
      </c>
      <c r="Y396" s="17">
        <f t="shared" si="307"/>
        <v>0</v>
      </c>
      <c r="Z396" s="17">
        <f t="shared" si="307"/>
        <v>0</v>
      </c>
      <c r="AA396" s="17">
        <f t="shared" si="307"/>
        <v>0</v>
      </c>
      <c r="AB396" s="17">
        <f t="shared" si="307"/>
        <v>0</v>
      </c>
      <c r="AC396" s="17">
        <f t="shared" si="307"/>
        <v>0</v>
      </c>
      <c r="AD396" s="17">
        <f t="shared" si="307"/>
        <v>0</v>
      </c>
      <c r="AE396" s="17">
        <f t="shared" si="307"/>
        <v>0</v>
      </c>
      <c r="AF396" s="17">
        <f t="shared" si="307"/>
        <v>0</v>
      </c>
      <c r="AO396" s="17">
        <f t="shared" si="307"/>
        <v>0</v>
      </c>
      <c r="AP396" s="17">
        <f t="shared" si="307"/>
        <v>0</v>
      </c>
      <c r="AQ396" s="17">
        <f t="shared" si="307"/>
        <v>0</v>
      </c>
      <c r="AR396" s="17">
        <f t="shared" si="307"/>
        <v>0</v>
      </c>
      <c r="AS396" s="17">
        <f t="shared" si="307"/>
        <v>0</v>
      </c>
      <c r="AT396" s="17">
        <f t="shared" si="307"/>
        <v>0</v>
      </c>
      <c r="AU396" s="17">
        <f t="shared" si="307"/>
        <v>0</v>
      </c>
      <c r="AV396" s="17">
        <f t="shared" si="307"/>
        <v>0</v>
      </c>
      <c r="AW396" s="17">
        <f t="shared" si="307"/>
        <v>0</v>
      </c>
      <c r="AX396" s="17"/>
      <c r="AY396" s="17">
        <f>COUNT(AY279:AY309)</f>
        <v>0</v>
      </c>
      <c r="AZ396" s="17"/>
      <c r="BA396" s="17"/>
      <c r="BB396" s="17">
        <f>COUNT(BB279:BB309)</f>
        <v>0</v>
      </c>
      <c r="BC396" s="17">
        <f>COUNT(BC279:BC309)</f>
        <v>0</v>
      </c>
      <c r="BD396" s="17"/>
      <c r="BE396" s="17"/>
      <c r="BF396" s="17"/>
      <c r="BG396" s="17"/>
      <c r="BH396" s="17">
        <f>COUNT(BH279:BH309)</f>
        <v>31</v>
      </c>
      <c r="BI396" s="17"/>
      <c r="BJ396" s="17">
        <f>COUNT(BJ279:BJ309)</f>
        <v>0</v>
      </c>
      <c r="BK396" s="17"/>
      <c r="BM396" s="17">
        <f t="shared" ref="BM396:BT396" si="308">COUNT(BM279:BM309)</f>
        <v>0</v>
      </c>
      <c r="BN396" s="17">
        <f t="shared" si="308"/>
        <v>0</v>
      </c>
      <c r="BO396" s="17">
        <f t="shared" si="308"/>
        <v>0</v>
      </c>
      <c r="BP396" s="17">
        <f t="shared" si="308"/>
        <v>0</v>
      </c>
      <c r="BQ396" s="17">
        <f t="shared" si="308"/>
        <v>0</v>
      </c>
      <c r="BR396" s="17">
        <f t="shared" si="308"/>
        <v>0</v>
      </c>
      <c r="BS396" s="17">
        <f t="shared" si="308"/>
        <v>0</v>
      </c>
      <c r="BT396" s="17">
        <f t="shared" si="308"/>
        <v>0</v>
      </c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</row>
    <row r="397" spans="1:113" x14ac:dyDescent="0.2">
      <c r="A397" s="17" t="s">
        <v>76</v>
      </c>
      <c r="C397" s="17">
        <f>COUNT(C310:C339)</f>
        <v>0</v>
      </c>
      <c r="D397" s="17">
        <f>COUNT(D310:D339)</f>
        <v>0</v>
      </c>
      <c r="E397" s="17">
        <f>COUNT(E310:E339)</f>
        <v>0</v>
      </c>
      <c r="F397" s="17">
        <f t="shared" ref="F397:AW397" si="309">COUNT(F310:F339)</f>
        <v>0</v>
      </c>
      <c r="G397" s="17">
        <f t="shared" si="309"/>
        <v>0</v>
      </c>
      <c r="H397" s="17">
        <f t="shared" si="309"/>
        <v>0</v>
      </c>
      <c r="I397" s="17">
        <f t="shared" si="309"/>
        <v>0</v>
      </c>
      <c r="J397" s="17">
        <f t="shared" si="309"/>
        <v>0</v>
      </c>
      <c r="K397" s="17">
        <f t="shared" si="309"/>
        <v>0</v>
      </c>
      <c r="L397" s="17">
        <f t="shared" si="309"/>
        <v>0</v>
      </c>
      <c r="M397" s="17">
        <f t="shared" si="309"/>
        <v>0</v>
      </c>
      <c r="N397" s="17">
        <f t="shared" si="309"/>
        <v>0</v>
      </c>
      <c r="O397" s="17"/>
      <c r="P397" s="17">
        <f t="shared" si="309"/>
        <v>0</v>
      </c>
      <c r="Q397" s="17">
        <f t="shared" si="309"/>
        <v>0</v>
      </c>
      <c r="R397" s="17">
        <f t="shared" si="309"/>
        <v>0</v>
      </c>
      <c r="S397" s="17">
        <f t="shared" si="309"/>
        <v>0</v>
      </c>
      <c r="T397" s="17">
        <f t="shared" si="309"/>
        <v>0</v>
      </c>
      <c r="U397" s="17">
        <f t="shared" si="309"/>
        <v>0</v>
      </c>
      <c r="V397" s="17">
        <f t="shared" si="309"/>
        <v>0</v>
      </c>
      <c r="W397" s="17">
        <f t="shared" si="309"/>
        <v>0</v>
      </c>
      <c r="X397" s="17">
        <f t="shared" si="309"/>
        <v>0</v>
      </c>
      <c r="Y397" s="17">
        <f t="shared" si="309"/>
        <v>0</v>
      </c>
      <c r="Z397" s="17">
        <f t="shared" si="309"/>
        <v>0</v>
      </c>
      <c r="AA397" s="17">
        <f t="shared" si="309"/>
        <v>0</v>
      </c>
      <c r="AB397" s="17">
        <f t="shared" si="309"/>
        <v>0</v>
      </c>
      <c r="AC397" s="17">
        <f t="shared" si="309"/>
        <v>0</v>
      </c>
      <c r="AD397" s="17">
        <f t="shared" si="309"/>
        <v>0</v>
      </c>
      <c r="AE397" s="17">
        <f t="shared" si="309"/>
        <v>0</v>
      </c>
      <c r="AF397" s="17">
        <f t="shared" si="309"/>
        <v>0</v>
      </c>
      <c r="AO397" s="17">
        <f t="shared" si="309"/>
        <v>0</v>
      </c>
      <c r="AP397" s="17">
        <f t="shared" si="309"/>
        <v>0</v>
      </c>
      <c r="AQ397" s="17">
        <f t="shared" si="309"/>
        <v>0</v>
      </c>
      <c r="AR397" s="17">
        <f t="shared" si="309"/>
        <v>0</v>
      </c>
      <c r="AS397" s="17">
        <f t="shared" si="309"/>
        <v>0</v>
      </c>
      <c r="AT397" s="17">
        <f t="shared" si="309"/>
        <v>0</v>
      </c>
      <c r="AU397" s="17">
        <f t="shared" si="309"/>
        <v>0</v>
      </c>
      <c r="AV397" s="17">
        <f t="shared" si="309"/>
        <v>0</v>
      </c>
      <c r="AW397" s="17">
        <f t="shared" si="309"/>
        <v>0</v>
      </c>
      <c r="AX397" s="17"/>
      <c r="AY397" s="17">
        <f>COUNT(AY310:AY339)</f>
        <v>0</v>
      </c>
      <c r="AZ397" s="17"/>
      <c r="BA397" s="17"/>
      <c r="BB397" s="17">
        <f>COUNT(BB310:BB339)</f>
        <v>0</v>
      </c>
      <c r="BC397" s="17">
        <f>COUNT(BC310:BC339)</f>
        <v>0</v>
      </c>
      <c r="BD397" s="17"/>
      <c r="BE397" s="17"/>
      <c r="BF397" s="17"/>
      <c r="BG397" s="17"/>
      <c r="BH397" s="17">
        <f>COUNT(BH310:BH339)</f>
        <v>30</v>
      </c>
      <c r="BI397" s="17"/>
      <c r="BJ397" s="17">
        <f>COUNT(BJ310:BJ339)</f>
        <v>0</v>
      </c>
      <c r="BK397" s="17"/>
      <c r="BM397" s="17">
        <f t="shared" ref="BM397:BT397" si="310">COUNT(BM310:BM339)</f>
        <v>0</v>
      </c>
      <c r="BN397" s="17">
        <f t="shared" si="310"/>
        <v>0</v>
      </c>
      <c r="BO397" s="17">
        <f t="shared" si="310"/>
        <v>0</v>
      </c>
      <c r="BP397" s="17">
        <f t="shared" si="310"/>
        <v>0</v>
      </c>
      <c r="BQ397" s="17">
        <f t="shared" si="310"/>
        <v>0</v>
      </c>
      <c r="BR397" s="17">
        <f t="shared" si="310"/>
        <v>0</v>
      </c>
      <c r="BS397" s="17">
        <f t="shared" si="310"/>
        <v>0</v>
      </c>
      <c r="BT397" s="17">
        <f t="shared" si="310"/>
        <v>0</v>
      </c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</row>
    <row r="398" spans="1:113" x14ac:dyDescent="0.2">
      <c r="A398" s="17" t="s">
        <v>77</v>
      </c>
      <c r="C398" s="17">
        <f>COUNT(C340:C370)</f>
        <v>0</v>
      </c>
      <c r="D398" s="17">
        <f>COUNT(D340:D370)</f>
        <v>0</v>
      </c>
      <c r="E398" s="17">
        <f>COUNT(E340:E370)</f>
        <v>0</v>
      </c>
      <c r="F398" s="17">
        <f t="shared" ref="F398:AW398" si="311">COUNT(F340:F370)</f>
        <v>0</v>
      </c>
      <c r="G398" s="17">
        <f t="shared" si="311"/>
        <v>0</v>
      </c>
      <c r="H398" s="17">
        <f t="shared" si="311"/>
        <v>0</v>
      </c>
      <c r="I398" s="17">
        <f t="shared" si="311"/>
        <v>0</v>
      </c>
      <c r="J398" s="17">
        <f t="shared" si="311"/>
        <v>0</v>
      </c>
      <c r="K398" s="17">
        <f t="shared" si="311"/>
        <v>0</v>
      </c>
      <c r="L398" s="17">
        <f t="shared" si="311"/>
        <v>0</v>
      </c>
      <c r="M398" s="17">
        <f t="shared" si="311"/>
        <v>0</v>
      </c>
      <c r="N398" s="17">
        <f t="shared" si="311"/>
        <v>0</v>
      </c>
      <c r="O398" s="17"/>
      <c r="P398" s="17">
        <f t="shared" si="311"/>
        <v>0</v>
      </c>
      <c r="Q398" s="17">
        <f t="shared" si="311"/>
        <v>0</v>
      </c>
      <c r="R398" s="17">
        <f t="shared" si="311"/>
        <v>0</v>
      </c>
      <c r="S398" s="17">
        <f t="shared" si="311"/>
        <v>0</v>
      </c>
      <c r="T398" s="17">
        <f t="shared" si="311"/>
        <v>0</v>
      </c>
      <c r="U398" s="17">
        <f t="shared" si="311"/>
        <v>0</v>
      </c>
      <c r="V398" s="17">
        <f t="shared" si="311"/>
        <v>0</v>
      </c>
      <c r="W398" s="17">
        <f t="shared" si="311"/>
        <v>0</v>
      </c>
      <c r="X398" s="17">
        <f t="shared" si="311"/>
        <v>0</v>
      </c>
      <c r="Y398" s="17">
        <f t="shared" si="311"/>
        <v>0</v>
      </c>
      <c r="Z398" s="17">
        <f t="shared" si="311"/>
        <v>0</v>
      </c>
      <c r="AA398" s="17">
        <f t="shared" si="311"/>
        <v>0</v>
      </c>
      <c r="AB398" s="17">
        <f t="shared" si="311"/>
        <v>0</v>
      </c>
      <c r="AC398" s="17">
        <f t="shared" si="311"/>
        <v>0</v>
      </c>
      <c r="AD398" s="17">
        <f t="shared" si="311"/>
        <v>0</v>
      </c>
      <c r="AE398" s="17">
        <f t="shared" si="311"/>
        <v>0</v>
      </c>
      <c r="AF398" s="17">
        <f t="shared" si="311"/>
        <v>0</v>
      </c>
      <c r="AO398" s="17">
        <f t="shared" si="311"/>
        <v>0</v>
      </c>
      <c r="AP398" s="17">
        <f t="shared" si="311"/>
        <v>0</v>
      </c>
      <c r="AQ398" s="17">
        <f t="shared" si="311"/>
        <v>0</v>
      </c>
      <c r="AR398" s="17">
        <f t="shared" si="311"/>
        <v>0</v>
      </c>
      <c r="AS398" s="17">
        <f t="shared" si="311"/>
        <v>0</v>
      </c>
      <c r="AT398" s="17">
        <f t="shared" si="311"/>
        <v>0</v>
      </c>
      <c r="AU398" s="17">
        <f t="shared" si="311"/>
        <v>0</v>
      </c>
      <c r="AV398" s="17">
        <f t="shared" si="311"/>
        <v>0</v>
      </c>
      <c r="AW398" s="17">
        <f t="shared" si="311"/>
        <v>0</v>
      </c>
      <c r="AX398" s="17"/>
      <c r="AY398" s="17">
        <f>COUNT(AY340:AY370)</f>
        <v>0</v>
      </c>
      <c r="AZ398" s="17"/>
      <c r="BA398" s="17"/>
      <c r="BB398" s="17">
        <f>COUNT(BB340:BB370)</f>
        <v>0</v>
      </c>
      <c r="BC398" s="17">
        <f>COUNT(BC340:BC370)</f>
        <v>0</v>
      </c>
      <c r="BD398" s="17"/>
      <c r="BE398" s="17"/>
      <c r="BF398" s="17"/>
      <c r="BG398" s="17"/>
      <c r="BH398" s="17">
        <f>COUNT(BH340:BH370)</f>
        <v>31</v>
      </c>
      <c r="BI398" s="17"/>
      <c r="BJ398" s="17">
        <f>COUNT(BJ340:BJ370)</f>
        <v>0</v>
      </c>
      <c r="BK398" s="17"/>
      <c r="BM398" s="17">
        <f t="shared" ref="BM398:BT398" si="312">COUNT(BM340:BM370)</f>
        <v>0</v>
      </c>
      <c r="BN398" s="17">
        <f t="shared" si="312"/>
        <v>0</v>
      </c>
      <c r="BO398" s="17">
        <f t="shared" si="312"/>
        <v>0</v>
      </c>
      <c r="BP398" s="17">
        <f t="shared" si="312"/>
        <v>0</v>
      </c>
      <c r="BQ398" s="17">
        <f t="shared" si="312"/>
        <v>0</v>
      </c>
      <c r="BR398" s="17">
        <f t="shared" si="312"/>
        <v>0</v>
      </c>
      <c r="BS398" s="17">
        <f t="shared" si="312"/>
        <v>0</v>
      </c>
      <c r="BT398" s="17">
        <f t="shared" si="312"/>
        <v>0</v>
      </c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</row>
    <row r="399" spans="1:113" x14ac:dyDescent="0.2"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2"/>
  <sheetViews>
    <sheetView workbookViewId="0">
      <pane xSplit="4" ySplit="6" topLeftCell="E7" activePane="bottomRight" state="frozen"/>
      <selection pane="topRight" activeCell="D1" sqref="D1"/>
      <selection pane="bottomLeft" activeCell="A7" sqref="A7"/>
      <selection pane="bottomRight" activeCell="A3" sqref="A3"/>
    </sheetView>
  </sheetViews>
  <sheetFormatPr defaultRowHeight="12.75" x14ac:dyDescent="0.2"/>
  <cols>
    <col min="3" max="8" width="6.7109375" customWidth="1"/>
    <col min="9" max="9" width="13.85546875" bestFit="1" customWidth="1"/>
    <col min="10" max="11" width="12.7109375" bestFit="1" customWidth="1"/>
  </cols>
  <sheetData>
    <row r="1" spans="1:17" x14ac:dyDescent="0.2">
      <c r="A1" s="3" t="s">
        <v>125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">
      <c r="A2" s="3" t="str">
        <f>Data!A2</f>
        <v>Last edit  19/04/25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 t="s">
        <v>126</v>
      </c>
      <c r="Q5" s="3"/>
    </row>
    <row r="6" spans="1:17" x14ac:dyDescent="0.2">
      <c r="A6" s="6" t="s">
        <v>16</v>
      </c>
      <c r="B6" s="6" t="s">
        <v>143</v>
      </c>
      <c r="C6" s="5" t="s">
        <v>50</v>
      </c>
      <c r="D6" s="3" t="s">
        <v>127</v>
      </c>
      <c r="E6" s="3" t="s">
        <v>128</v>
      </c>
      <c r="F6" s="3" t="s">
        <v>129</v>
      </c>
      <c r="G6" s="3"/>
      <c r="I6" s="40" t="s">
        <v>130</v>
      </c>
      <c r="J6" t="s">
        <v>131</v>
      </c>
      <c r="K6" t="s">
        <v>132</v>
      </c>
      <c r="L6" s="3"/>
      <c r="M6" s="3" t="s">
        <v>127</v>
      </c>
      <c r="N6" s="3" t="s">
        <v>128</v>
      </c>
      <c r="O6" s="3" t="s">
        <v>129</v>
      </c>
      <c r="P6" s="3" t="s">
        <v>128</v>
      </c>
      <c r="Q6" s="3" t="s">
        <v>129</v>
      </c>
    </row>
    <row r="7" spans="1:17" x14ac:dyDescent="0.2">
      <c r="A7" s="15">
        <v>45658</v>
      </c>
      <c r="B7" s="1">
        <v>1</v>
      </c>
      <c r="C7" s="1">
        <v>1</v>
      </c>
      <c r="D7" s="3">
        <f>202500+B7</f>
        <v>202501</v>
      </c>
      <c r="E7" s="3">
        <f>ROUND(IF(Data!E7&lt;0,0-Data!E7,0),1)</f>
        <v>7.9</v>
      </c>
      <c r="F7" s="3">
        <f>ROUND(IF(Data!E7&gt;5,Data!E7-5,0),1)</f>
        <v>0</v>
      </c>
      <c r="G7" s="3"/>
      <c r="I7" s="38">
        <v>202501</v>
      </c>
      <c r="J7" s="39">
        <v>249.4</v>
      </c>
      <c r="K7" s="39">
        <v>0</v>
      </c>
      <c r="L7" s="3"/>
      <c r="M7" s="3">
        <f>I7</f>
        <v>202501</v>
      </c>
      <c r="N7" s="3">
        <f t="shared" ref="N7:O10" si="0">J7</f>
        <v>249.4</v>
      </c>
      <c r="O7" s="3">
        <f t="shared" si="0"/>
        <v>0</v>
      </c>
      <c r="P7" s="3">
        <f>N7</f>
        <v>249.4</v>
      </c>
      <c r="Q7" s="3">
        <f>O7</f>
        <v>0</v>
      </c>
    </row>
    <row r="8" spans="1:17" x14ac:dyDescent="0.2">
      <c r="A8" s="15">
        <f>A7+1</f>
        <v>45659</v>
      </c>
      <c r="B8" s="1">
        <v>1</v>
      </c>
      <c r="C8" s="1">
        <v>2</v>
      </c>
      <c r="D8" s="3">
        <f t="shared" ref="D8:D71" si="1">202500+B8</f>
        <v>202501</v>
      </c>
      <c r="E8" s="3">
        <f>ROUND(IF(Data!E8&lt;0,0-Data!E8,0),1)</f>
        <v>6.3</v>
      </c>
      <c r="F8" s="3">
        <f>ROUND(IF(Data!E8&gt;5,Data!E8-5,0),1)</f>
        <v>0</v>
      </c>
      <c r="G8" s="3"/>
      <c r="I8" s="38">
        <v>202502</v>
      </c>
      <c r="J8" s="39">
        <v>284.7</v>
      </c>
      <c r="K8" s="39">
        <v>0</v>
      </c>
      <c r="L8" s="3"/>
      <c r="M8" s="3">
        <f t="shared" ref="M8:O18" si="2">I8</f>
        <v>202502</v>
      </c>
      <c r="N8" s="3">
        <f t="shared" si="0"/>
        <v>284.7</v>
      </c>
      <c r="O8" s="3">
        <f t="shared" si="0"/>
        <v>0</v>
      </c>
      <c r="P8" s="3">
        <f>N8+P7</f>
        <v>534.1</v>
      </c>
      <c r="Q8" s="3">
        <f t="shared" ref="Q8:Q18" si="3">O8+Q7</f>
        <v>0</v>
      </c>
    </row>
    <row r="9" spans="1:17" x14ac:dyDescent="0.2">
      <c r="A9" s="15">
        <f t="shared" ref="A9:A72" si="4">A8+1</f>
        <v>45660</v>
      </c>
      <c r="B9" s="1">
        <v>1</v>
      </c>
      <c r="C9" s="1">
        <v>3</v>
      </c>
      <c r="D9" s="3">
        <f t="shared" si="1"/>
        <v>202501</v>
      </c>
      <c r="E9" s="3">
        <f>ROUND(IF(Data!E9&lt;0,0-Data!E9,0),1)</f>
        <v>4.2</v>
      </c>
      <c r="F9" s="3">
        <f>ROUND(IF(Data!E9&gt;5,Data!E9-5,0),1)</f>
        <v>0</v>
      </c>
      <c r="G9" s="3"/>
      <c r="I9" s="38">
        <v>202503</v>
      </c>
      <c r="J9" s="39">
        <v>0</v>
      </c>
      <c r="K9" s="39">
        <v>0</v>
      </c>
      <c r="L9" s="3"/>
      <c r="M9" s="3">
        <f t="shared" si="2"/>
        <v>202503</v>
      </c>
      <c r="N9" s="3">
        <f t="shared" si="0"/>
        <v>0</v>
      </c>
      <c r="O9" s="3">
        <f t="shared" si="0"/>
        <v>0</v>
      </c>
      <c r="P9" s="3">
        <f t="shared" ref="P9:P18" si="5">N9+P8</f>
        <v>534.1</v>
      </c>
      <c r="Q9" s="3">
        <f t="shared" si="3"/>
        <v>0</v>
      </c>
    </row>
    <row r="10" spans="1:17" x14ac:dyDescent="0.2">
      <c r="A10" s="15">
        <f t="shared" si="4"/>
        <v>45661</v>
      </c>
      <c r="B10" s="1">
        <v>1</v>
      </c>
      <c r="C10" s="1">
        <v>4</v>
      </c>
      <c r="D10" s="3">
        <f t="shared" si="1"/>
        <v>202501</v>
      </c>
      <c r="E10" s="3">
        <f>ROUND(IF(Data!E10&lt;0,0-Data!E10,0),1)</f>
        <v>4</v>
      </c>
      <c r="F10" s="3">
        <f>ROUND(IF(Data!E10&gt;5,Data!E10-5,0),1)</f>
        <v>0</v>
      </c>
      <c r="G10" s="3"/>
      <c r="I10" s="38">
        <v>202504</v>
      </c>
      <c r="J10" s="39">
        <v>0</v>
      </c>
      <c r="K10" s="39">
        <v>0</v>
      </c>
      <c r="L10" s="3"/>
      <c r="M10" s="3">
        <f t="shared" si="2"/>
        <v>202504</v>
      </c>
      <c r="N10" s="3">
        <f t="shared" si="0"/>
        <v>0</v>
      </c>
      <c r="O10" s="3">
        <f t="shared" si="0"/>
        <v>0</v>
      </c>
      <c r="P10" s="3">
        <f t="shared" si="5"/>
        <v>534.1</v>
      </c>
      <c r="Q10" s="3">
        <f t="shared" si="3"/>
        <v>0</v>
      </c>
    </row>
    <row r="11" spans="1:17" x14ac:dyDescent="0.2">
      <c r="A11" s="15">
        <f t="shared" si="4"/>
        <v>45662</v>
      </c>
      <c r="B11" s="1">
        <v>1</v>
      </c>
      <c r="C11" s="1">
        <v>5</v>
      </c>
      <c r="D11" s="3">
        <f t="shared" si="1"/>
        <v>202501</v>
      </c>
      <c r="E11" s="3">
        <f>ROUND(IF(Data!E11&lt;0,0-Data!E11,0),1)</f>
        <v>5.2</v>
      </c>
      <c r="F11" s="3">
        <f>ROUND(IF(Data!E11&gt;5,Data!E11-5,0),1)</f>
        <v>0</v>
      </c>
      <c r="G11" s="3"/>
      <c r="I11" s="38">
        <v>202505</v>
      </c>
      <c r="J11" s="39">
        <v>0</v>
      </c>
      <c r="K11" s="39">
        <v>0</v>
      </c>
      <c r="L11" s="3"/>
      <c r="M11" s="3">
        <f t="shared" si="2"/>
        <v>202505</v>
      </c>
      <c r="N11" s="3">
        <f t="shared" si="2"/>
        <v>0</v>
      </c>
      <c r="O11" s="3">
        <f t="shared" si="2"/>
        <v>0</v>
      </c>
      <c r="P11" s="3">
        <f t="shared" si="5"/>
        <v>534.1</v>
      </c>
      <c r="Q11" s="3">
        <f t="shared" si="3"/>
        <v>0</v>
      </c>
    </row>
    <row r="12" spans="1:17" x14ac:dyDescent="0.2">
      <c r="A12" s="15">
        <f t="shared" si="4"/>
        <v>45663</v>
      </c>
      <c r="B12" s="1">
        <v>1</v>
      </c>
      <c r="C12" s="1">
        <v>6</v>
      </c>
      <c r="D12" s="3">
        <f t="shared" si="1"/>
        <v>202501</v>
      </c>
      <c r="E12" s="3">
        <f>ROUND(IF(Data!E12&lt;0,0-Data!E12,0),1)</f>
        <v>7.5</v>
      </c>
      <c r="F12" s="3">
        <f>ROUND(IF(Data!E12&gt;5,Data!E12-5,0),1)</f>
        <v>0</v>
      </c>
      <c r="G12" s="3"/>
      <c r="I12" s="38">
        <v>202506</v>
      </c>
      <c r="J12" s="39">
        <v>0</v>
      </c>
      <c r="K12" s="39">
        <v>0</v>
      </c>
      <c r="L12" s="3"/>
      <c r="M12" s="3">
        <f t="shared" si="2"/>
        <v>202506</v>
      </c>
      <c r="N12" s="3">
        <f t="shared" si="2"/>
        <v>0</v>
      </c>
      <c r="O12" s="3">
        <f t="shared" si="2"/>
        <v>0</v>
      </c>
      <c r="P12" s="3">
        <f t="shared" si="5"/>
        <v>534.1</v>
      </c>
      <c r="Q12" s="3">
        <f t="shared" si="3"/>
        <v>0</v>
      </c>
    </row>
    <row r="13" spans="1:17" x14ac:dyDescent="0.2">
      <c r="A13" s="15">
        <f t="shared" si="4"/>
        <v>45664</v>
      </c>
      <c r="B13" s="1">
        <v>1</v>
      </c>
      <c r="C13" s="1">
        <v>7</v>
      </c>
      <c r="D13" s="3">
        <f t="shared" si="1"/>
        <v>202501</v>
      </c>
      <c r="E13" s="3">
        <f>ROUND(IF(Data!E13&lt;0,0-Data!E13,0),1)</f>
        <v>4.8</v>
      </c>
      <c r="F13" s="3">
        <f>ROUND(IF(Data!E13&gt;5,Data!E13-5,0),1)</f>
        <v>0</v>
      </c>
      <c r="G13" s="3"/>
      <c r="I13" s="38">
        <v>202507</v>
      </c>
      <c r="J13" s="39">
        <v>0</v>
      </c>
      <c r="K13" s="39">
        <v>0</v>
      </c>
      <c r="L13" s="3"/>
      <c r="M13" s="3">
        <f t="shared" si="2"/>
        <v>202507</v>
      </c>
      <c r="N13" s="3">
        <f t="shared" si="2"/>
        <v>0</v>
      </c>
      <c r="O13" s="3">
        <f t="shared" si="2"/>
        <v>0</v>
      </c>
      <c r="P13" s="3">
        <f t="shared" si="5"/>
        <v>534.1</v>
      </c>
      <c r="Q13" s="3">
        <f t="shared" si="3"/>
        <v>0</v>
      </c>
    </row>
    <row r="14" spans="1:17" x14ac:dyDescent="0.2">
      <c r="A14" s="15">
        <f t="shared" si="4"/>
        <v>45665</v>
      </c>
      <c r="B14" s="1">
        <v>1</v>
      </c>
      <c r="C14" s="1">
        <v>8</v>
      </c>
      <c r="D14" s="3">
        <f t="shared" si="1"/>
        <v>202501</v>
      </c>
      <c r="E14" s="3">
        <f>ROUND(IF(Data!E14&lt;0,0-Data!E14,0),1)</f>
        <v>6.4</v>
      </c>
      <c r="F14" s="3">
        <f>ROUND(IF(Data!E14&gt;5,Data!E14-5,0),1)</f>
        <v>0</v>
      </c>
      <c r="G14" s="3"/>
      <c r="I14" s="38">
        <v>202508</v>
      </c>
      <c r="J14" s="39">
        <v>0</v>
      </c>
      <c r="K14" s="39">
        <v>0</v>
      </c>
      <c r="L14" s="3"/>
      <c r="M14" s="3">
        <f t="shared" si="2"/>
        <v>202508</v>
      </c>
      <c r="N14" s="3">
        <f t="shared" si="2"/>
        <v>0</v>
      </c>
      <c r="O14" s="3">
        <f t="shared" si="2"/>
        <v>0</v>
      </c>
      <c r="P14" s="3">
        <f t="shared" si="5"/>
        <v>534.1</v>
      </c>
      <c r="Q14" s="3">
        <f t="shared" si="3"/>
        <v>0</v>
      </c>
    </row>
    <row r="15" spans="1:17" x14ac:dyDescent="0.2">
      <c r="A15" s="15">
        <f t="shared" si="4"/>
        <v>45666</v>
      </c>
      <c r="B15" s="1">
        <v>1</v>
      </c>
      <c r="C15" s="1">
        <v>9</v>
      </c>
      <c r="D15" s="3">
        <f t="shared" si="1"/>
        <v>202501</v>
      </c>
      <c r="E15" s="3">
        <f>ROUND(IF(Data!E15&lt;0,0-Data!E15,0),1)</f>
        <v>5</v>
      </c>
      <c r="F15" s="3">
        <f>ROUND(IF(Data!E15&gt;5,Data!E15-5,0),1)</f>
        <v>0</v>
      </c>
      <c r="G15" s="3"/>
      <c r="I15" s="38">
        <v>202509</v>
      </c>
      <c r="J15" s="39">
        <v>0</v>
      </c>
      <c r="K15" s="39">
        <v>0</v>
      </c>
      <c r="L15" s="3"/>
      <c r="M15" s="3">
        <f t="shared" si="2"/>
        <v>202509</v>
      </c>
      <c r="N15" s="3">
        <f t="shared" si="2"/>
        <v>0</v>
      </c>
      <c r="O15" s="3">
        <f t="shared" si="2"/>
        <v>0</v>
      </c>
      <c r="P15" s="3">
        <f t="shared" si="5"/>
        <v>534.1</v>
      </c>
      <c r="Q15" s="3">
        <f t="shared" si="3"/>
        <v>0</v>
      </c>
    </row>
    <row r="16" spans="1:17" x14ac:dyDescent="0.2">
      <c r="A16" s="15">
        <f t="shared" si="4"/>
        <v>45667</v>
      </c>
      <c r="B16" s="1">
        <v>1</v>
      </c>
      <c r="C16" s="1">
        <v>10</v>
      </c>
      <c r="D16" s="3">
        <f t="shared" si="1"/>
        <v>202501</v>
      </c>
      <c r="E16" s="3">
        <f>ROUND(IF(Data!E16&lt;0,0-Data!E16,0),1)</f>
        <v>4.4000000000000004</v>
      </c>
      <c r="F16" s="3">
        <f>ROUND(IF(Data!E16&gt;5,Data!E16-5,0),1)</f>
        <v>0</v>
      </c>
      <c r="G16" s="3"/>
      <c r="I16" s="38">
        <v>202510</v>
      </c>
      <c r="J16" s="39">
        <v>0</v>
      </c>
      <c r="K16" s="39">
        <v>0</v>
      </c>
      <c r="L16" s="3"/>
      <c r="M16" s="3">
        <f t="shared" si="2"/>
        <v>202510</v>
      </c>
      <c r="N16" s="3">
        <f t="shared" si="2"/>
        <v>0</v>
      </c>
      <c r="O16" s="3">
        <f t="shared" si="2"/>
        <v>0</v>
      </c>
      <c r="P16" s="3">
        <f t="shared" si="5"/>
        <v>534.1</v>
      </c>
      <c r="Q16" s="3">
        <f t="shared" si="3"/>
        <v>0</v>
      </c>
    </row>
    <row r="17" spans="1:17" x14ac:dyDescent="0.2">
      <c r="A17" s="15">
        <f t="shared" si="4"/>
        <v>45668</v>
      </c>
      <c r="B17" s="1">
        <v>1</v>
      </c>
      <c r="C17" s="1">
        <v>11</v>
      </c>
      <c r="D17" s="3">
        <f t="shared" si="1"/>
        <v>202501</v>
      </c>
      <c r="E17" s="3">
        <f>ROUND(IF(Data!E17&lt;0,0-Data!E17,0),1)</f>
        <v>5.5</v>
      </c>
      <c r="F17" s="3">
        <f>ROUND(IF(Data!E17&gt;5,Data!E17-5,0),1)</f>
        <v>0</v>
      </c>
      <c r="G17" s="3"/>
      <c r="I17" s="38">
        <v>202511</v>
      </c>
      <c r="J17" s="39">
        <v>0</v>
      </c>
      <c r="K17" s="39">
        <v>0</v>
      </c>
      <c r="L17" s="3"/>
      <c r="M17" s="3">
        <f t="shared" si="2"/>
        <v>202511</v>
      </c>
      <c r="N17" s="3">
        <f t="shared" si="2"/>
        <v>0</v>
      </c>
      <c r="O17" s="3">
        <f t="shared" si="2"/>
        <v>0</v>
      </c>
      <c r="P17" s="3">
        <f t="shared" si="5"/>
        <v>534.1</v>
      </c>
      <c r="Q17" s="3">
        <f t="shared" si="3"/>
        <v>0</v>
      </c>
    </row>
    <row r="18" spans="1:17" x14ac:dyDescent="0.2">
      <c r="A18" s="15">
        <f t="shared" si="4"/>
        <v>45669</v>
      </c>
      <c r="B18" s="1">
        <v>1</v>
      </c>
      <c r="C18" s="1">
        <v>12</v>
      </c>
      <c r="D18" s="3">
        <f t="shared" si="1"/>
        <v>202501</v>
      </c>
      <c r="E18" s="3">
        <f>ROUND(IF(Data!E18&lt;0,0-Data!E18,0),1)</f>
        <v>10.1</v>
      </c>
      <c r="F18" s="3">
        <f>ROUND(IF(Data!E18&gt;5,Data!E18-5,0),1)</f>
        <v>0</v>
      </c>
      <c r="G18" s="3"/>
      <c r="I18" s="38">
        <v>202512</v>
      </c>
      <c r="J18" s="39">
        <v>0</v>
      </c>
      <c r="K18" s="39">
        <v>0</v>
      </c>
      <c r="L18" s="3"/>
      <c r="M18" s="3">
        <f t="shared" si="2"/>
        <v>202512</v>
      </c>
      <c r="N18" s="3">
        <f t="shared" si="2"/>
        <v>0</v>
      </c>
      <c r="O18" s="3">
        <f t="shared" si="2"/>
        <v>0</v>
      </c>
      <c r="P18" s="3">
        <f t="shared" si="5"/>
        <v>534.1</v>
      </c>
      <c r="Q18" s="3">
        <f t="shared" si="3"/>
        <v>0</v>
      </c>
    </row>
    <row r="19" spans="1:17" x14ac:dyDescent="0.2">
      <c r="A19" s="15">
        <f t="shared" si="4"/>
        <v>45670</v>
      </c>
      <c r="B19" s="1">
        <v>1</v>
      </c>
      <c r="C19" s="1">
        <v>13</v>
      </c>
      <c r="D19" s="3">
        <f t="shared" si="1"/>
        <v>202501</v>
      </c>
      <c r="E19" s="3">
        <f>ROUND(IF(Data!E19&lt;0,0-Data!E19,0),1)</f>
        <v>5.7</v>
      </c>
      <c r="F19" s="3">
        <f>ROUND(IF(Data!E19&gt;5,Data!E19-5,0),1)</f>
        <v>0</v>
      </c>
      <c r="G19" s="3"/>
      <c r="I19" s="38" t="s">
        <v>133</v>
      </c>
      <c r="J19" s="39">
        <v>534.1</v>
      </c>
      <c r="K19" s="39">
        <v>0</v>
      </c>
      <c r="L19" s="3"/>
      <c r="M19" s="3"/>
      <c r="N19" s="3"/>
      <c r="O19" s="3"/>
      <c r="P19" s="3"/>
      <c r="Q19" s="3"/>
    </row>
    <row r="20" spans="1:17" x14ac:dyDescent="0.2">
      <c r="A20" s="15">
        <f t="shared" si="4"/>
        <v>45671</v>
      </c>
      <c r="B20" s="1">
        <v>1</v>
      </c>
      <c r="C20" s="1">
        <v>14</v>
      </c>
      <c r="D20" s="3">
        <f t="shared" si="1"/>
        <v>202501</v>
      </c>
      <c r="E20" s="3">
        <f>ROUND(IF(Data!E20&lt;0,0-Data!E20,0),1)</f>
        <v>3.9</v>
      </c>
      <c r="F20" s="3">
        <f>ROUND(IF(Data!E20&gt;5,Data!E20-5,0),1)</f>
        <v>0</v>
      </c>
      <c r="G20" s="3"/>
      <c r="L20" s="3"/>
      <c r="M20" s="3"/>
      <c r="N20" s="3"/>
      <c r="O20" s="3"/>
      <c r="P20" s="3"/>
      <c r="Q20" s="3"/>
    </row>
    <row r="21" spans="1:17" x14ac:dyDescent="0.2">
      <c r="A21" s="15">
        <f t="shared" si="4"/>
        <v>45672</v>
      </c>
      <c r="B21" s="1">
        <v>1</v>
      </c>
      <c r="C21" s="1">
        <v>15</v>
      </c>
      <c r="D21" s="3">
        <f t="shared" si="1"/>
        <v>202501</v>
      </c>
      <c r="E21" s="3">
        <f>ROUND(IF(Data!E21&lt;0,0-Data!E21,0),1)</f>
        <v>5.3</v>
      </c>
      <c r="F21" s="3">
        <f>ROUND(IF(Data!E21&gt;5,Data!E21-5,0),1)</f>
        <v>0</v>
      </c>
      <c r="G21" s="3"/>
      <c r="L21" s="3"/>
      <c r="M21" s="3"/>
      <c r="N21" s="3"/>
      <c r="O21" s="3"/>
      <c r="P21" s="3"/>
      <c r="Q21" s="3"/>
    </row>
    <row r="22" spans="1:17" x14ac:dyDescent="0.2">
      <c r="A22" s="15">
        <f t="shared" si="4"/>
        <v>45673</v>
      </c>
      <c r="B22" s="1">
        <v>1</v>
      </c>
      <c r="C22" s="1">
        <v>16</v>
      </c>
      <c r="D22" s="3">
        <f t="shared" si="1"/>
        <v>202501</v>
      </c>
      <c r="E22" s="3">
        <f>ROUND(IF(Data!E22&lt;0,0-Data!E22,0),1)</f>
        <v>8.8000000000000007</v>
      </c>
      <c r="F22" s="3">
        <f>ROUND(IF(Data!E22&gt;5,Data!E22-5,0),1)</f>
        <v>0</v>
      </c>
      <c r="G22" s="3"/>
      <c r="L22" s="3"/>
      <c r="M22" s="3"/>
      <c r="N22" s="3"/>
      <c r="O22" s="3"/>
      <c r="P22" s="3"/>
      <c r="Q22" s="3"/>
    </row>
    <row r="23" spans="1:17" x14ac:dyDescent="0.2">
      <c r="A23" s="15">
        <f t="shared" si="4"/>
        <v>45674</v>
      </c>
      <c r="B23" s="1">
        <v>1</v>
      </c>
      <c r="C23" s="1">
        <v>17</v>
      </c>
      <c r="D23" s="3">
        <f t="shared" si="1"/>
        <v>202501</v>
      </c>
      <c r="E23" s="3">
        <f>ROUND(IF(Data!E23&lt;0,0-Data!E23,0),1)</f>
        <v>11.8</v>
      </c>
      <c r="F23" s="3">
        <f>ROUND(IF(Data!E23&gt;5,Data!E23-5,0),1)</f>
        <v>0</v>
      </c>
      <c r="G23" s="3"/>
      <c r="L23" s="3"/>
      <c r="M23" s="3"/>
      <c r="N23" s="3"/>
      <c r="O23" s="3"/>
      <c r="P23" s="3"/>
      <c r="Q23" s="3"/>
    </row>
    <row r="24" spans="1:17" x14ac:dyDescent="0.2">
      <c r="A24" s="15">
        <f t="shared" si="4"/>
        <v>45675</v>
      </c>
      <c r="B24" s="1">
        <v>1</v>
      </c>
      <c r="C24" s="1">
        <v>18</v>
      </c>
      <c r="D24" s="3">
        <f t="shared" si="1"/>
        <v>202501</v>
      </c>
      <c r="E24" s="3">
        <f>ROUND(IF(Data!E24&lt;0,0-Data!E24,0),1)</f>
        <v>13.4</v>
      </c>
      <c r="F24" s="3">
        <f>ROUND(IF(Data!E24&gt;5,Data!E24-5,0),1)</f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">
      <c r="A25" s="15">
        <f t="shared" si="4"/>
        <v>45676</v>
      </c>
      <c r="B25" s="1">
        <v>1</v>
      </c>
      <c r="C25" s="1">
        <v>19</v>
      </c>
      <c r="D25" s="3">
        <f t="shared" si="1"/>
        <v>202501</v>
      </c>
      <c r="E25" s="3">
        <f>ROUND(IF(Data!E25&lt;0,0-Data!E25,0),1)</f>
        <v>12.7</v>
      </c>
      <c r="F25" s="3">
        <f>ROUND(IF(Data!E25&gt;5,Data!E25-5,0),1)</f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">
      <c r="A26" s="15">
        <f t="shared" si="4"/>
        <v>45677</v>
      </c>
      <c r="B26" s="1">
        <v>1</v>
      </c>
      <c r="C26" s="1">
        <v>20</v>
      </c>
      <c r="D26" s="3">
        <f t="shared" si="1"/>
        <v>202501</v>
      </c>
      <c r="E26" s="3">
        <f>ROUND(IF(Data!E26&lt;0,0-Data!E26,0),1)</f>
        <v>11.3</v>
      </c>
      <c r="F26" s="3">
        <f>ROUND(IF(Data!E26&gt;5,Data!E26-5,0),1)</f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">
      <c r="A27" s="15">
        <f t="shared" si="4"/>
        <v>45678</v>
      </c>
      <c r="B27" s="1">
        <v>1</v>
      </c>
      <c r="C27" s="1">
        <v>21</v>
      </c>
      <c r="D27" s="3">
        <f t="shared" si="1"/>
        <v>202501</v>
      </c>
      <c r="E27" s="3">
        <f>ROUND(IF(Data!E27&lt;0,0-Data!E27,0),1)</f>
        <v>13.6</v>
      </c>
      <c r="F27" s="3">
        <f>ROUND(IF(Data!E27&gt;5,Data!E27-5,0),1)</f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">
      <c r="A28" s="15">
        <f t="shared" si="4"/>
        <v>45679</v>
      </c>
      <c r="B28" s="1">
        <v>1</v>
      </c>
      <c r="C28" s="1">
        <v>22</v>
      </c>
      <c r="D28" s="3">
        <f t="shared" si="1"/>
        <v>202501</v>
      </c>
      <c r="E28" s="3">
        <f>ROUND(IF(Data!E28&lt;0,0-Data!E28,0),1)</f>
        <v>8.6999999999999993</v>
      </c>
      <c r="F28" s="3">
        <f>ROUND(IF(Data!E28&gt;5,Data!E28-5,0),1)</f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">
      <c r="A29" s="15">
        <f t="shared" si="4"/>
        <v>45680</v>
      </c>
      <c r="B29" s="1">
        <v>1</v>
      </c>
      <c r="C29" s="1">
        <v>23</v>
      </c>
      <c r="D29" s="3">
        <f t="shared" si="1"/>
        <v>202501</v>
      </c>
      <c r="E29" s="3">
        <f>ROUND(IF(Data!E29&lt;0,0-Data!E29,0),1)</f>
        <v>10.3</v>
      </c>
      <c r="F29" s="3">
        <f>ROUND(IF(Data!E29&gt;5,Data!E29-5,0),1)</f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">
      <c r="A30" s="15">
        <f t="shared" si="4"/>
        <v>45681</v>
      </c>
      <c r="B30" s="1">
        <v>1</v>
      </c>
      <c r="C30" s="1">
        <v>24</v>
      </c>
      <c r="D30" s="3">
        <f t="shared" si="1"/>
        <v>202501</v>
      </c>
      <c r="E30" s="3">
        <f>ROUND(IF(Data!E30&lt;0,0-Data!E30,0),1)</f>
        <v>14.5</v>
      </c>
      <c r="F30" s="3">
        <f>ROUND(IF(Data!E30&gt;5,Data!E30-5,0),1)</f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">
      <c r="A31" s="15">
        <f t="shared" si="4"/>
        <v>45682</v>
      </c>
      <c r="B31" s="1">
        <v>1</v>
      </c>
      <c r="C31" s="1">
        <v>25</v>
      </c>
      <c r="D31" s="3">
        <f t="shared" si="1"/>
        <v>202501</v>
      </c>
      <c r="E31" s="3">
        <f>ROUND(IF(Data!E31&lt;0,0-Data!E31,0),1)</f>
        <v>12.5</v>
      </c>
      <c r="F31" s="3">
        <f>ROUND(IF(Data!E31&gt;5,Data!E31-5,0),1)</f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">
      <c r="A32" s="15">
        <f t="shared" si="4"/>
        <v>45683</v>
      </c>
      <c r="B32" s="1">
        <v>1</v>
      </c>
      <c r="C32" s="1">
        <v>26</v>
      </c>
      <c r="D32" s="3">
        <f t="shared" si="1"/>
        <v>202501</v>
      </c>
      <c r="E32" s="3">
        <f>ROUND(IF(Data!E32&lt;0,0-Data!E32,0),1)</f>
        <v>12.6</v>
      </c>
      <c r="F32" s="3">
        <f>ROUND(IF(Data!E32&gt;5,Data!E32-5,0),1)</f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">
      <c r="A33" s="15">
        <f t="shared" si="4"/>
        <v>45684</v>
      </c>
      <c r="B33" s="1">
        <v>1</v>
      </c>
      <c r="C33" s="1">
        <v>27</v>
      </c>
      <c r="D33" s="3">
        <f t="shared" si="1"/>
        <v>202501</v>
      </c>
      <c r="E33" s="3">
        <f>ROUND(IF(Data!E33&lt;0,0-Data!E33,0),1)</f>
        <v>9.4</v>
      </c>
      <c r="F33" s="3">
        <f>ROUND(IF(Data!E33&gt;5,Data!E33-5,0),1)</f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">
      <c r="A34" s="15">
        <f t="shared" si="4"/>
        <v>45685</v>
      </c>
      <c r="B34" s="1">
        <v>1</v>
      </c>
      <c r="C34" s="1">
        <v>28</v>
      </c>
      <c r="D34" s="3">
        <f t="shared" si="1"/>
        <v>202501</v>
      </c>
      <c r="E34" s="3">
        <f>ROUND(IF(Data!E34&lt;0,0-Data!E34,0),1)</f>
        <v>8.9</v>
      </c>
      <c r="F34" s="3">
        <f>ROUND(IF(Data!E34&gt;5,Data!E34-5,0),1)</f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">
      <c r="A35" s="15">
        <f t="shared" si="4"/>
        <v>45686</v>
      </c>
      <c r="B35" s="1">
        <v>1</v>
      </c>
      <c r="C35" s="1">
        <v>29</v>
      </c>
      <c r="D35" s="3">
        <f t="shared" si="1"/>
        <v>202501</v>
      </c>
      <c r="E35" s="3">
        <f>ROUND(IF(Data!E35&lt;0,0-Data!E35,0),1)</f>
        <v>3.8</v>
      </c>
      <c r="F35" s="3">
        <f>ROUND(IF(Data!E35&gt;5,Data!E35-5,0),1)</f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">
      <c r="A36" s="15">
        <f t="shared" si="4"/>
        <v>45687</v>
      </c>
      <c r="B36" s="1">
        <v>1</v>
      </c>
      <c r="C36" s="1">
        <v>30</v>
      </c>
      <c r="D36" s="3">
        <f t="shared" si="1"/>
        <v>202501</v>
      </c>
      <c r="E36" s="3">
        <f>ROUND(IF(Data!E36&lt;0,0-Data!E36,0),1)</f>
        <v>3.1</v>
      </c>
      <c r="F36" s="3">
        <f>ROUND(IF(Data!E36&gt;5,Data!E36-5,0),1)</f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">
      <c r="A37" s="15">
        <f t="shared" si="4"/>
        <v>45688</v>
      </c>
      <c r="B37" s="1">
        <v>1</v>
      </c>
      <c r="C37" s="1">
        <v>31</v>
      </c>
      <c r="D37" s="3">
        <f t="shared" si="1"/>
        <v>202501</v>
      </c>
      <c r="E37" s="3">
        <f>ROUND(IF(Data!E37&lt;0,0-Data!E37,0),1)</f>
        <v>7.8</v>
      </c>
      <c r="F37" s="3">
        <f>ROUND(IF(Data!E37&gt;5,Data!E37-5,0),1)</f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">
      <c r="A38" s="15">
        <f t="shared" si="4"/>
        <v>45689</v>
      </c>
      <c r="B38" s="1">
        <v>2</v>
      </c>
      <c r="C38" s="1">
        <v>32</v>
      </c>
      <c r="D38" s="3">
        <f t="shared" si="1"/>
        <v>202502</v>
      </c>
      <c r="E38" s="3">
        <f>ROUND(IF(Data!E38&lt;0,0-Data!E38,0),1)</f>
        <v>12.7</v>
      </c>
      <c r="F38" s="3">
        <f>ROUND(IF(Data!E38&gt;5,Data!E38-5,0),1)</f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">
      <c r="A39" s="15">
        <f t="shared" si="4"/>
        <v>45690</v>
      </c>
      <c r="B39" s="1">
        <v>2</v>
      </c>
      <c r="C39" s="1">
        <v>33</v>
      </c>
      <c r="D39" s="3">
        <f t="shared" si="1"/>
        <v>202502</v>
      </c>
      <c r="E39" s="3">
        <f>ROUND(IF(Data!E39&lt;0,0-Data!E39,0),1)</f>
        <v>15.3</v>
      </c>
      <c r="F39" s="3">
        <f>ROUND(IF(Data!E39&gt;5,Data!E39-5,0),1)</f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">
      <c r="A40" s="15">
        <f t="shared" si="4"/>
        <v>45691</v>
      </c>
      <c r="B40" s="1">
        <v>2</v>
      </c>
      <c r="C40" s="1">
        <v>34</v>
      </c>
      <c r="D40" s="3">
        <f t="shared" si="1"/>
        <v>202502</v>
      </c>
      <c r="E40" s="3">
        <f>ROUND(IF(Data!E40&lt;0,0-Data!E40,0),1)</f>
        <v>21.1</v>
      </c>
      <c r="F40" s="3">
        <f>ROUND(IF(Data!E40&gt;5,Data!E40-5,0),1)</f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">
      <c r="A41" s="15">
        <f t="shared" si="4"/>
        <v>45692</v>
      </c>
      <c r="B41" s="1">
        <v>2</v>
      </c>
      <c r="C41" s="1">
        <v>35</v>
      </c>
      <c r="D41" s="3">
        <f t="shared" si="1"/>
        <v>202502</v>
      </c>
      <c r="E41" s="3">
        <f>ROUND(IF(Data!E41&lt;0,0-Data!E41,0),1)</f>
        <v>22.3</v>
      </c>
      <c r="F41" s="3">
        <f>ROUND(IF(Data!E41&gt;5,Data!E41-5,0),1)</f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">
      <c r="A42" s="15">
        <f t="shared" si="4"/>
        <v>45693</v>
      </c>
      <c r="B42" s="1">
        <v>2</v>
      </c>
      <c r="C42" s="1">
        <v>36</v>
      </c>
      <c r="D42" s="3">
        <f t="shared" si="1"/>
        <v>202502</v>
      </c>
      <c r="E42" s="3">
        <f>ROUND(IF(Data!E42&lt;0,0-Data!E42,0),1)</f>
        <v>19.8</v>
      </c>
      <c r="F42" s="3">
        <f>ROUND(IF(Data!E42&gt;5,Data!E42-5,0),1)</f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">
      <c r="A43" s="15">
        <f t="shared" si="4"/>
        <v>45694</v>
      </c>
      <c r="B43" s="1">
        <v>2</v>
      </c>
      <c r="C43" s="1">
        <v>37</v>
      </c>
      <c r="D43" s="3">
        <f t="shared" si="1"/>
        <v>202502</v>
      </c>
      <c r="E43" s="3">
        <f>ROUND(IF(Data!E43&lt;0,0-Data!E43,0),1)</f>
        <v>19.3</v>
      </c>
      <c r="F43" s="3">
        <f>ROUND(IF(Data!E43&gt;5,Data!E43-5,0),1)</f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">
      <c r="A44" s="15">
        <f t="shared" si="4"/>
        <v>45695</v>
      </c>
      <c r="B44" s="1">
        <v>2</v>
      </c>
      <c r="C44" s="1">
        <v>38</v>
      </c>
      <c r="D44" s="3">
        <f t="shared" si="1"/>
        <v>202502</v>
      </c>
      <c r="E44" s="3">
        <f>ROUND(IF(Data!E44&lt;0,0-Data!E44,0),1)</f>
        <v>15.4</v>
      </c>
      <c r="F44" s="3">
        <f>ROUND(IF(Data!E44&gt;5,Data!E44-5,0),1)</f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">
      <c r="A45" s="15">
        <f t="shared" si="4"/>
        <v>45696</v>
      </c>
      <c r="B45" s="1">
        <v>2</v>
      </c>
      <c r="C45" s="1">
        <v>39</v>
      </c>
      <c r="D45" s="3">
        <f t="shared" si="1"/>
        <v>202502</v>
      </c>
      <c r="E45" s="3">
        <f>ROUND(IF(Data!E45&lt;0,0-Data!E45,0),1)</f>
        <v>17</v>
      </c>
      <c r="F45" s="3">
        <f>ROUND(IF(Data!E45&gt;5,Data!E45-5,0),1)</f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">
      <c r="A46" s="15">
        <f t="shared" si="4"/>
        <v>45697</v>
      </c>
      <c r="B46" s="1">
        <v>2</v>
      </c>
      <c r="C46" s="1">
        <v>40</v>
      </c>
      <c r="D46" s="3">
        <f t="shared" si="1"/>
        <v>202502</v>
      </c>
      <c r="E46" s="3">
        <f>ROUND(IF(Data!E46&lt;0,0-Data!E46,0),1)</f>
        <v>22.8</v>
      </c>
      <c r="F46" s="3">
        <f>ROUND(IF(Data!E46&gt;5,Data!E46-5,0),1)</f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">
      <c r="A47" s="15">
        <f t="shared" si="4"/>
        <v>45698</v>
      </c>
      <c r="B47" s="1">
        <v>2</v>
      </c>
      <c r="C47" s="1">
        <v>41</v>
      </c>
      <c r="D47" s="3">
        <f t="shared" si="1"/>
        <v>202502</v>
      </c>
      <c r="E47" s="3">
        <f>ROUND(IF(Data!E47&lt;0,0-Data!E47,0),1)</f>
        <v>22.1</v>
      </c>
      <c r="F47" s="3">
        <f>ROUND(IF(Data!E47&gt;5,Data!E47-5,0),1)</f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">
      <c r="A48" s="15">
        <f t="shared" si="4"/>
        <v>45699</v>
      </c>
      <c r="B48" s="1">
        <v>2</v>
      </c>
      <c r="C48" s="1">
        <v>42</v>
      </c>
      <c r="D48" s="3">
        <f t="shared" si="1"/>
        <v>202502</v>
      </c>
      <c r="E48" s="3">
        <f>ROUND(IF(Data!E48&lt;0,0-Data!E48,0),1)</f>
        <v>20.5</v>
      </c>
      <c r="F48" s="3">
        <f>ROUND(IF(Data!E48&gt;5,Data!E48-5,0),1)</f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">
      <c r="A49" s="15">
        <f t="shared" si="4"/>
        <v>45700</v>
      </c>
      <c r="B49" s="1">
        <v>2</v>
      </c>
      <c r="C49" s="1">
        <v>43</v>
      </c>
      <c r="D49" s="3">
        <f t="shared" si="1"/>
        <v>202502</v>
      </c>
      <c r="E49" s="3">
        <f>ROUND(IF(Data!E49&lt;0,0-Data!E49,0),1)</f>
        <v>16.399999999999999</v>
      </c>
      <c r="F49" s="3">
        <f>ROUND(IF(Data!E49&gt;5,Data!E49-5,0),1)</f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">
      <c r="A50" s="15">
        <f t="shared" si="4"/>
        <v>45701</v>
      </c>
      <c r="B50" s="1">
        <v>2</v>
      </c>
      <c r="C50" s="1">
        <v>44</v>
      </c>
      <c r="D50" s="3">
        <f t="shared" si="1"/>
        <v>202502</v>
      </c>
      <c r="E50" s="3">
        <f>ROUND(IF(Data!E50&lt;0,0-Data!E50,0),1)</f>
        <v>11.5</v>
      </c>
      <c r="F50" s="3">
        <f>ROUND(IF(Data!E50&gt;5,Data!E50-5,0),1)</f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">
      <c r="A51" s="15">
        <f t="shared" si="4"/>
        <v>45702</v>
      </c>
      <c r="B51" s="1">
        <v>2</v>
      </c>
      <c r="C51" s="1">
        <v>45</v>
      </c>
      <c r="D51" s="3">
        <f t="shared" si="1"/>
        <v>202502</v>
      </c>
      <c r="E51" s="3">
        <f>ROUND(IF(Data!E51&lt;0,0-Data!E51,0),1)</f>
        <v>12.1</v>
      </c>
      <c r="F51" s="3">
        <f>ROUND(IF(Data!E51&gt;5,Data!E51-5,0),1)</f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">
      <c r="A52" s="15">
        <f t="shared" si="4"/>
        <v>45703</v>
      </c>
      <c r="B52" s="1">
        <v>2</v>
      </c>
      <c r="C52" s="1">
        <v>46</v>
      </c>
      <c r="D52" s="3">
        <f t="shared" si="1"/>
        <v>202502</v>
      </c>
      <c r="E52" s="3">
        <f>ROUND(IF(Data!E52&lt;0,0-Data!E52,0),1)</f>
        <v>7.1</v>
      </c>
      <c r="F52" s="3">
        <f>ROUND(IF(Data!E52&gt;5,Data!E52-5,0),1)</f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">
      <c r="A53" s="15">
        <f t="shared" si="4"/>
        <v>45704</v>
      </c>
      <c r="B53" s="1">
        <v>2</v>
      </c>
      <c r="C53" s="1">
        <v>47</v>
      </c>
      <c r="D53" s="3">
        <f t="shared" si="1"/>
        <v>202502</v>
      </c>
      <c r="E53" s="3">
        <f>ROUND(IF(Data!E53&lt;0,0-Data!E53,0),1)</f>
        <v>7.6</v>
      </c>
      <c r="F53" s="3">
        <f>ROUND(IF(Data!E53&gt;5,Data!E53-5,0),1)</f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">
      <c r="A54" s="15">
        <f t="shared" si="4"/>
        <v>45705</v>
      </c>
      <c r="B54" s="1">
        <v>2</v>
      </c>
      <c r="C54" s="1">
        <v>48</v>
      </c>
      <c r="D54" s="3">
        <f t="shared" si="1"/>
        <v>202502</v>
      </c>
      <c r="E54" s="3">
        <f>ROUND(IF(Data!E54&lt;0,0-Data!E54,0),1)</f>
        <v>7.8</v>
      </c>
      <c r="F54" s="3">
        <f>ROUND(IF(Data!E54&gt;5,Data!E54-5,0),1)</f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">
      <c r="A55" s="15">
        <f t="shared" si="4"/>
        <v>45706</v>
      </c>
      <c r="B55" s="1">
        <v>2</v>
      </c>
      <c r="C55" s="1">
        <v>49</v>
      </c>
      <c r="D55" s="3">
        <f t="shared" si="1"/>
        <v>202502</v>
      </c>
      <c r="E55" s="3">
        <f>ROUND(IF(Data!E55&lt;0,0-Data!E55,0),1)</f>
        <v>3.7</v>
      </c>
      <c r="F55" s="3">
        <f>ROUND(IF(Data!E55&gt;5,Data!E55-5,0),1)</f>
        <v>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">
      <c r="A56" s="15">
        <f t="shared" si="4"/>
        <v>45707</v>
      </c>
      <c r="B56" s="1">
        <v>2</v>
      </c>
      <c r="C56" s="1">
        <v>50</v>
      </c>
      <c r="D56" s="3">
        <f t="shared" si="1"/>
        <v>202502</v>
      </c>
      <c r="E56" s="3">
        <f>ROUND(IF(Data!E56&lt;0,0-Data!E56,0),1)</f>
        <v>2.6</v>
      </c>
      <c r="F56" s="3">
        <f>ROUND(IF(Data!E56&gt;5,Data!E56-5,0),1)</f>
        <v>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">
      <c r="A57" s="15">
        <f t="shared" si="4"/>
        <v>45708</v>
      </c>
      <c r="B57" s="1">
        <v>2</v>
      </c>
      <c r="C57" s="1">
        <v>51</v>
      </c>
      <c r="D57" s="3">
        <f t="shared" si="1"/>
        <v>202502</v>
      </c>
      <c r="E57" s="3">
        <f>ROUND(IF(Data!E57&lt;0,0-Data!E57,0),1)</f>
        <v>2.6</v>
      </c>
      <c r="F57" s="3">
        <f>ROUND(IF(Data!E57&gt;5,Data!E57-5,0),1)</f>
        <v>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">
      <c r="A58" s="15">
        <f t="shared" si="4"/>
        <v>45709</v>
      </c>
      <c r="B58" s="1">
        <v>2</v>
      </c>
      <c r="C58" s="1">
        <v>52</v>
      </c>
      <c r="D58" s="3">
        <f t="shared" si="1"/>
        <v>202502</v>
      </c>
      <c r="E58" s="3">
        <f>ROUND(IF(Data!E58&lt;0,0-Data!E58,0),1)</f>
        <v>0.5</v>
      </c>
      <c r="F58" s="3">
        <f>ROUND(IF(Data!E58&gt;5,Data!E58-5,0),1)</f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">
      <c r="A59" s="15">
        <f t="shared" si="4"/>
        <v>45710</v>
      </c>
      <c r="B59" s="1">
        <v>2</v>
      </c>
      <c r="C59" s="1">
        <v>53</v>
      </c>
      <c r="D59" s="3">
        <f t="shared" si="1"/>
        <v>202502</v>
      </c>
      <c r="E59" s="3">
        <f>ROUND(IF(Data!E59&lt;0,0-Data!E59,0),1)</f>
        <v>0</v>
      </c>
      <c r="F59" s="3">
        <f>ROUND(IF(Data!E59&gt;5,Data!E59-5,0),1)</f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">
      <c r="A60" s="15">
        <f t="shared" si="4"/>
        <v>45711</v>
      </c>
      <c r="B60" s="1">
        <v>2</v>
      </c>
      <c r="C60" s="1">
        <v>54</v>
      </c>
      <c r="D60" s="3">
        <f t="shared" si="1"/>
        <v>202502</v>
      </c>
      <c r="E60" s="3">
        <f>ROUND(IF(Data!E60&lt;0,0-Data!E60,0),1)</f>
        <v>0.9</v>
      </c>
      <c r="F60" s="3">
        <f>ROUND(IF(Data!E60&gt;5,Data!E60-5,0),1)</f>
        <v>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">
      <c r="A61" s="15">
        <f t="shared" si="4"/>
        <v>45712</v>
      </c>
      <c r="B61" s="1">
        <v>2</v>
      </c>
      <c r="C61" s="1">
        <v>55</v>
      </c>
      <c r="D61" s="3">
        <f t="shared" si="1"/>
        <v>202502</v>
      </c>
      <c r="E61" s="3">
        <f>ROUND(IF(Data!E61&lt;0,0-Data!E61,0),1)</f>
        <v>1.9</v>
      </c>
      <c r="F61" s="3">
        <f>ROUND(IF(Data!E61&gt;5,Data!E61-5,0),1)</f>
        <v>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">
      <c r="A62" s="15">
        <f t="shared" si="4"/>
        <v>45713</v>
      </c>
      <c r="B62" s="1">
        <v>2</v>
      </c>
      <c r="C62" s="1">
        <v>56</v>
      </c>
      <c r="D62" s="3">
        <f t="shared" si="1"/>
        <v>202502</v>
      </c>
      <c r="E62" s="3">
        <f>ROUND(IF(Data!E62&lt;0,0-Data!E62,0),1)</f>
        <v>1.7</v>
      </c>
      <c r="F62" s="3">
        <f>ROUND(IF(Data!E62&gt;5,Data!E62-5,0),1)</f>
        <v>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">
      <c r="A63" s="15">
        <f t="shared" si="4"/>
        <v>45714</v>
      </c>
      <c r="B63" s="1">
        <v>2</v>
      </c>
      <c r="C63" s="1">
        <v>57</v>
      </c>
      <c r="D63" s="3">
        <f t="shared" si="1"/>
        <v>202502</v>
      </c>
      <c r="E63" s="3">
        <f>ROUND(IF(Data!E63&lt;0,0-Data!E63,0),1)</f>
        <v>0</v>
      </c>
      <c r="F63" s="3">
        <f>ROUND(IF(Data!E63&gt;5,Data!E63-5,0),1)</f>
        <v>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">
      <c r="A64" s="15">
        <f t="shared" si="4"/>
        <v>45715</v>
      </c>
      <c r="B64" s="1">
        <v>2</v>
      </c>
      <c r="C64" s="1">
        <v>58</v>
      </c>
      <c r="D64" s="3">
        <f t="shared" si="1"/>
        <v>202502</v>
      </c>
      <c r="E64" s="3">
        <f>ROUND(IF(Data!E64&lt;0,0-Data!E64,0),1)</f>
        <v>0</v>
      </c>
      <c r="F64" s="3">
        <f>ROUND(IF(Data!E64&gt;5,Data!E64-5,0),1)</f>
        <v>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">
      <c r="A65" s="15">
        <f t="shared" si="4"/>
        <v>45716</v>
      </c>
      <c r="B65" s="1">
        <v>2</v>
      </c>
      <c r="C65" s="1">
        <v>59</v>
      </c>
      <c r="D65" s="3">
        <f t="shared" si="1"/>
        <v>202502</v>
      </c>
      <c r="E65" s="3">
        <f>ROUND(IF(Data!E65&lt;0,0-Data!E65,0),1)</f>
        <v>0</v>
      </c>
      <c r="F65" s="3">
        <f>ROUND(IF(Data!E65&gt;5,Data!E65-5,0),1)</f>
        <v>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">
      <c r="A66" s="15">
        <f t="shared" si="4"/>
        <v>45717</v>
      </c>
      <c r="B66" s="1">
        <v>3</v>
      </c>
      <c r="C66" s="1">
        <v>60</v>
      </c>
      <c r="D66" s="3">
        <f t="shared" si="1"/>
        <v>202503</v>
      </c>
      <c r="E66" s="3">
        <f>ROUND(IF(Data!E66&lt;0,0-Data!E66,0),1)</f>
        <v>0</v>
      </c>
      <c r="F66" s="3">
        <f>ROUND(IF(Data!E66&gt;5,Data!E66-5,0),1)</f>
        <v>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">
      <c r="A67" s="15">
        <f t="shared" si="4"/>
        <v>45718</v>
      </c>
      <c r="B67" s="1">
        <v>3</v>
      </c>
      <c r="C67" s="1">
        <v>61</v>
      </c>
      <c r="D67" s="3">
        <f t="shared" si="1"/>
        <v>202503</v>
      </c>
      <c r="E67" s="3">
        <f>ROUND(IF(Data!E67&lt;0,0-Data!E67,0),1)</f>
        <v>0</v>
      </c>
      <c r="F67" s="3">
        <f>ROUND(IF(Data!E67&gt;5,Data!E67-5,0),1)</f>
        <v>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">
      <c r="A68" s="15">
        <f t="shared" si="4"/>
        <v>45719</v>
      </c>
      <c r="B68" s="1">
        <v>3</v>
      </c>
      <c r="C68" s="1">
        <v>62</v>
      </c>
      <c r="D68" s="3">
        <f t="shared" si="1"/>
        <v>202503</v>
      </c>
      <c r="E68" s="3">
        <f>ROUND(IF(Data!E68&lt;0,0-Data!E68,0),1)</f>
        <v>0</v>
      </c>
      <c r="F68" s="3">
        <f>ROUND(IF(Data!E68&gt;5,Data!E68-5,0),1)</f>
        <v>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">
      <c r="A69" s="15">
        <f t="shared" si="4"/>
        <v>45720</v>
      </c>
      <c r="B69" s="1">
        <v>3</v>
      </c>
      <c r="C69" s="1">
        <v>63</v>
      </c>
      <c r="D69" s="3">
        <f t="shared" si="1"/>
        <v>202503</v>
      </c>
      <c r="E69" s="3">
        <f>ROUND(IF(Data!E69&lt;0,0-Data!E69,0),1)</f>
        <v>0</v>
      </c>
      <c r="F69" s="3">
        <f>ROUND(IF(Data!E69&gt;5,Data!E69-5,0),1)</f>
        <v>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">
      <c r="A70" s="15">
        <f t="shared" si="4"/>
        <v>45721</v>
      </c>
      <c r="B70" s="1">
        <v>3</v>
      </c>
      <c r="C70" s="1">
        <v>64</v>
      </c>
      <c r="D70" s="3">
        <f t="shared" si="1"/>
        <v>202503</v>
      </c>
      <c r="E70" s="3">
        <f>ROUND(IF(Data!E70&lt;0,0-Data!E70,0),1)</f>
        <v>0</v>
      </c>
      <c r="F70" s="3">
        <f>ROUND(IF(Data!E70&gt;5,Data!E70-5,0),1)</f>
        <v>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">
      <c r="A71" s="15">
        <f t="shared" si="4"/>
        <v>45722</v>
      </c>
      <c r="B71" s="1">
        <v>3</v>
      </c>
      <c r="C71" s="1">
        <v>65</v>
      </c>
      <c r="D71" s="3">
        <f t="shared" si="1"/>
        <v>202503</v>
      </c>
      <c r="E71" s="3">
        <f>ROUND(IF(Data!E71&lt;0,0-Data!E71,0),1)</f>
        <v>0</v>
      </c>
      <c r="F71" s="3">
        <f>ROUND(IF(Data!E71&gt;5,Data!E71-5,0),1)</f>
        <v>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">
      <c r="A72" s="15">
        <f t="shared" si="4"/>
        <v>45723</v>
      </c>
      <c r="B72" s="1">
        <v>3</v>
      </c>
      <c r="C72" s="1">
        <v>66</v>
      </c>
      <c r="D72" s="3">
        <f t="shared" ref="D72:D135" si="6">202500+B72</f>
        <v>202503</v>
      </c>
      <c r="E72" s="3">
        <f>ROUND(IF(Data!E72&lt;0,0-Data!E72,0),1)</f>
        <v>0</v>
      </c>
      <c r="F72" s="3">
        <f>ROUND(IF(Data!E72&gt;5,Data!E72-5,0),1)</f>
        <v>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">
      <c r="A73" s="15">
        <f t="shared" ref="A73:A136" si="7">A72+1</f>
        <v>45724</v>
      </c>
      <c r="B73" s="1">
        <v>3</v>
      </c>
      <c r="C73" s="1">
        <v>67</v>
      </c>
      <c r="D73" s="3">
        <f t="shared" si="6"/>
        <v>202503</v>
      </c>
      <c r="E73" s="3">
        <f>ROUND(IF(Data!E73&lt;0,0-Data!E73,0),1)</f>
        <v>0</v>
      </c>
      <c r="F73" s="3">
        <f>ROUND(IF(Data!E73&gt;5,Data!E73-5,0),1)</f>
        <v>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">
      <c r="A74" s="15">
        <f t="shared" si="7"/>
        <v>45725</v>
      </c>
      <c r="B74" s="1">
        <v>3</v>
      </c>
      <c r="C74" s="1">
        <v>68</v>
      </c>
      <c r="D74" s="3">
        <f t="shared" si="6"/>
        <v>202503</v>
      </c>
      <c r="E74" s="3">
        <f>ROUND(IF(Data!E74&lt;0,0-Data!E74,0),1)</f>
        <v>0</v>
      </c>
      <c r="F74" s="3">
        <f>ROUND(IF(Data!E74&gt;5,Data!E74-5,0),1)</f>
        <v>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">
      <c r="A75" s="15">
        <f t="shared" si="7"/>
        <v>45726</v>
      </c>
      <c r="B75" s="1">
        <v>3</v>
      </c>
      <c r="C75" s="1">
        <v>69</v>
      </c>
      <c r="D75" s="3">
        <f t="shared" si="6"/>
        <v>202503</v>
      </c>
      <c r="E75" s="3">
        <f>ROUND(IF(Data!E75&lt;0,0-Data!E75,0),1)</f>
        <v>0</v>
      </c>
      <c r="F75" s="3">
        <f>ROUND(IF(Data!E75&gt;5,Data!E75-5,0),1)</f>
        <v>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">
      <c r="A76" s="15">
        <f t="shared" si="7"/>
        <v>45727</v>
      </c>
      <c r="B76" s="1">
        <v>3</v>
      </c>
      <c r="C76" s="1">
        <v>70</v>
      </c>
      <c r="D76" s="3">
        <f t="shared" si="6"/>
        <v>202503</v>
      </c>
      <c r="E76" s="3">
        <f>ROUND(IF(Data!E76&lt;0,0-Data!E76,0),1)</f>
        <v>0</v>
      </c>
      <c r="F76" s="3">
        <f>ROUND(IF(Data!E76&gt;5,Data!E76-5,0),1)</f>
        <v>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">
      <c r="A77" s="15">
        <f t="shared" si="7"/>
        <v>45728</v>
      </c>
      <c r="B77" s="1">
        <v>3</v>
      </c>
      <c r="C77" s="1">
        <v>71</v>
      </c>
      <c r="D77" s="3">
        <f t="shared" si="6"/>
        <v>202503</v>
      </c>
      <c r="E77" s="3">
        <f>ROUND(IF(Data!E77&lt;0,0-Data!E77,0),1)</f>
        <v>0</v>
      </c>
      <c r="F77" s="3">
        <f>ROUND(IF(Data!E77&gt;5,Data!E77-5,0),1)</f>
        <v>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">
      <c r="A78" s="15">
        <f t="shared" si="7"/>
        <v>45729</v>
      </c>
      <c r="B78" s="1">
        <v>3</v>
      </c>
      <c r="C78" s="1">
        <v>72</v>
      </c>
      <c r="D78" s="3">
        <f t="shared" si="6"/>
        <v>202503</v>
      </c>
      <c r="E78" s="3">
        <f>ROUND(IF(Data!E78&lt;0,0-Data!E78,0),1)</f>
        <v>0</v>
      </c>
      <c r="F78" s="3">
        <f>ROUND(IF(Data!E78&gt;5,Data!E78-5,0),1)</f>
        <v>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">
      <c r="A79" s="15">
        <f t="shared" si="7"/>
        <v>45730</v>
      </c>
      <c r="B79" s="1">
        <v>3</v>
      </c>
      <c r="C79" s="1">
        <v>73</v>
      </c>
      <c r="D79" s="3">
        <f t="shared" si="6"/>
        <v>202503</v>
      </c>
      <c r="E79" s="3">
        <f>ROUND(IF(Data!E79&lt;0,0-Data!E79,0),1)</f>
        <v>0</v>
      </c>
      <c r="F79" s="3">
        <f>ROUND(IF(Data!E79&gt;5,Data!E79-5,0),1)</f>
        <v>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">
      <c r="A80" s="15">
        <f t="shared" si="7"/>
        <v>45731</v>
      </c>
      <c r="B80" s="1">
        <v>3</v>
      </c>
      <c r="C80" s="1">
        <v>74</v>
      </c>
      <c r="D80" s="3">
        <f t="shared" si="6"/>
        <v>202503</v>
      </c>
      <c r="E80" s="3">
        <f>ROUND(IF(Data!E80&lt;0,0-Data!E80,0),1)</f>
        <v>0</v>
      </c>
      <c r="F80" s="3">
        <f>ROUND(IF(Data!E80&gt;5,Data!E80-5,0),1)</f>
        <v>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">
      <c r="A81" s="15">
        <f t="shared" si="7"/>
        <v>45732</v>
      </c>
      <c r="B81" s="1">
        <v>3</v>
      </c>
      <c r="C81" s="1">
        <v>75</v>
      </c>
      <c r="D81" s="3">
        <f t="shared" si="6"/>
        <v>202503</v>
      </c>
      <c r="E81" s="3">
        <f>ROUND(IF(Data!E81&lt;0,0-Data!E81,0),1)</f>
        <v>0</v>
      </c>
      <c r="F81" s="3">
        <f>ROUND(IF(Data!E81&gt;5,Data!E81-5,0),1)</f>
        <v>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">
      <c r="A82" s="15">
        <f t="shared" si="7"/>
        <v>45733</v>
      </c>
      <c r="B82" s="1">
        <v>3</v>
      </c>
      <c r="C82" s="1">
        <v>76</v>
      </c>
      <c r="D82" s="3">
        <f t="shared" si="6"/>
        <v>202503</v>
      </c>
      <c r="E82" s="3">
        <f>ROUND(IF(Data!E82&lt;0,0-Data!E82,0),1)</f>
        <v>0</v>
      </c>
      <c r="F82" s="3">
        <f>ROUND(IF(Data!E82&gt;5,Data!E82-5,0),1)</f>
        <v>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">
      <c r="A83" s="15">
        <f t="shared" si="7"/>
        <v>45734</v>
      </c>
      <c r="B83" s="1">
        <v>3</v>
      </c>
      <c r="C83" s="1">
        <v>77</v>
      </c>
      <c r="D83" s="3">
        <f t="shared" si="6"/>
        <v>202503</v>
      </c>
      <c r="E83" s="3">
        <f>ROUND(IF(Data!E83&lt;0,0-Data!E83,0),1)</f>
        <v>0</v>
      </c>
      <c r="F83" s="3">
        <f>ROUND(IF(Data!E83&gt;5,Data!E83-5,0),1)</f>
        <v>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">
      <c r="A84" s="15">
        <f t="shared" si="7"/>
        <v>45735</v>
      </c>
      <c r="B84" s="1">
        <v>3</v>
      </c>
      <c r="C84" s="1">
        <v>78</v>
      </c>
      <c r="D84" s="3">
        <f t="shared" si="6"/>
        <v>202503</v>
      </c>
      <c r="E84" s="3">
        <f>ROUND(IF(Data!E84&lt;0,0-Data!E84,0),1)</f>
        <v>0</v>
      </c>
      <c r="F84" s="3">
        <f>ROUND(IF(Data!E84&gt;5,Data!E84-5,0),1)</f>
        <v>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">
      <c r="A85" s="15">
        <f t="shared" si="7"/>
        <v>45736</v>
      </c>
      <c r="B85" s="1">
        <v>3</v>
      </c>
      <c r="C85" s="1">
        <v>79</v>
      </c>
      <c r="D85" s="3">
        <f t="shared" si="6"/>
        <v>202503</v>
      </c>
      <c r="E85" s="3">
        <f>ROUND(IF(Data!E85&lt;0,0-Data!E85,0),1)</f>
        <v>0</v>
      </c>
      <c r="F85" s="3">
        <f>ROUND(IF(Data!E85&gt;5,Data!E85-5,0),1)</f>
        <v>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">
      <c r="A86" s="15">
        <f t="shared" si="7"/>
        <v>45737</v>
      </c>
      <c r="B86" s="1">
        <v>3</v>
      </c>
      <c r="C86" s="1">
        <v>80</v>
      </c>
      <c r="D86" s="3">
        <f t="shared" si="6"/>
        <v>202503</v>
      </c>
      <c r="E86" s="3">
        <f>ROUND(IF(Data!E86&lt;0,0-Data!E86,0),1)</f>
        <v>0</v>
      </c>
      <c r="F86" s="3">
        <f>ROUND(IF(Data!E86&gt;5,Data!E86-5,0),1)</f>
        <v>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">
      <c r="A87" s="15">
        <f t="shared" si="7"/>
        <v>45738</v>
      </c>
      <c r="B87" s="1">
        <v>3</v>
      </c>
      <c r="C87" s="1">
        <v>81</v>
      </c>
      <c r="D87" s="3">
        <f t="shared" si="6"/>
        <v>202503</v>
      </c>
      <c r="E87" s="3">
        <f>ROUND(IF(Data!E87&lt;0,0-Data!E87,0),1)</f>
        <v>0</v>
      </c>
      <c r="F87" s="3">
        <f>ROUND(IF(Data!E87&gt;5,Data!E87-5,0),1)</f>
        <v>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">
      <c r="A88" s="15">
        <f t="shared" si="7"/>
        <v>45739</v>
      </c>
      <c r="B88" s="1">
        <v>3</v>
      </c>
      <c r="C88" s="1">
        <v>82</v>
      </c>
      <c r="D88" s="3">
        <f t="shared" si="6"/>
        <v>202503</v>
      </c>
      <c r="E88" s="3">
        <f>ROUND(IF(Data!E88&lt;0,0-Data!E88,0),1)</f>
        <v>0</v>
      </c>
      <c r="F88" s="3">
        <f>ROUND(IF(Data!E88&gt;5,Data!E88-5,0),1)</f>
        <v>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">
      <c r="A89" s="15">
        <f t="shared" si="7"/>
        <v>45740</v>
      </c>
      <c r="B89" s="1">
        <v>3</v>
      </c>
      <c r="C89" s="1">
        <v>83</v>
      </c>
      <c r="D89" s="3">
        <f t="shared" si="6"/>
        <v>202503</v>
      </c>
      <c r="E89" s="3">
        <f>ROUND(IF(Data!E89&lt;0,0-Data!E89,0),1)</f>
        <v>0</v>
      </c>
      <c r="F89" s="3">
        <f>ROUND(IF(Data!E89&gt;5,Data!E89-5,0),1)</f>
        <v>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">
      <c r="A90" s="15">
        <f t="shared" si="7"/>
        <v>45741</v>
      </c>
      <c r="B90" s="1">
        <v>3</v>
      </c>
      <c r="C90" s="1">
        <v>84</v>
      </c>
      <c r="D90" s="3">
        <f t="shared" si="6"/>
        <v>202503</v>
      </c>
      <c r="E90" s="3">
        <f>ROUND(IF(Data!E90&lt;0,0-Data!E90,0),1)</f>
        <v>0</v>
      </c>
      <c r="F90" s="3">
        <f>ROUND(IF(Data!E90&gt;5,Data!E90-5,0),1)</f>
        <v>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">
      <c r="A91" s="15">
        <f t="shared" si="7"/>
        <v>45742</v>
      </c>
      <c r="B91" s="1">
        <v>3</v>
      </c>
      <c r="C91" s="1">
        <v>85</v>
      </c>
      <c r="D91" s="3">
        <f t="shared" si="6"/>
        <v>202503</v>
      </c>
      <c r="E91" s="3">
        <f>ROUND(IF(Data!E91&lt;0,0-Data!E91,0),1)</f>
        <v>0</v>
      </c>
      <c r="F91" s="3">
        <f>ROUND(IF(Data!E91&gt;5,Data!E91-5,0),1)</f>
        <v>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">
      <c r="A92" s="15">
        <f t="shared" si="7"/>
        <v>45743</v>
      </c>
      <c r="B92" s="1">
        <v>3</v>
      </c>
      <c r="C92" s="1">
        <v>86</v>
      </c>
      <c r="D92" s="3">
        <f t="shared" si="6"/>
        <v>202503</v>
      </c>
      <c r="E92" s="3">
        <f>ROUND(IF(Data!E92&lt;0,0-Data!E92,0),1)</f>
        <v>0</v>
      </c>
      <c r="F92" s="3">
        <f>ROUND(IF(Data!E92&gt;5,Data!E92-5,0),1)</f>
        <v>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">
      <c r="A93" s="15">
        <f t="shared" si="7"/>
        <v>45744</v>
      </c>
      <c r="B93" s="1">
        <v>3</v>
      </c>
      <c r="C93" s="1">
        <v>87</v>
      </c>
      <c r="D93" s="3">
        <f t="shared" si="6"/>
        <v>202503</v>
      </c>
      <c r="E93" s="3">
        <f>ROUND(IF(Data!E93&lt;0,0-Data!E93,0),1)</f>
        <v>0</v>
      </c>
      <c r="F93" s="3">
        <f>ROUND(IF(Data!E93&gt;5,Data!E93-5,0),1)</f>
        <v>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">
      <c r="A94" s="15">
        <f t="shared" si="7"/>
        <v>45745</v>
      </c>
      <c r="B94" s="1">
        <v>3</v>
      </c>
      <c r="C94" s="1">
        <v>88</v>
      </c>
      <c r="D94" s="3">
        <f t="shared" si="6"/>
        <v>202503</v>
      </c>
      <c r="E94" s="3">
        <f>ROUND(IF(Data!E94&lt;0,0-Data!E94,0),1)</f>
        <v>0</v>
      </c>
      <c r="F94" s="3">
        <f>ROUND(IF(Data!E94&gt;5,Data!E94-5,0),1)</f>
        <v>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">
      <c r="A95" s="15">
        <f t="shared" si="7"/>
        <v>45746</v>
      </c>
      <c r="B95" s="1">
        <v>3</v>
      </c>
      <c r="C95" s="1">
        <v>89</v>
      </c>
      <c r="D95" s="3">
        <f t="shared" si="6"/>
        <v>202503</v>
      </c>
      <c r="E95" s="3">
        <f>ROUND(IF(Data!E95&lt;0,0-Data!E95,0),1)</f>
        <v>0</v>
      </c>
      <c r="F95" s="3">
        <f>ROUND(IF(Data!E95&gt;5,Data!E95-5,0),1)</f>
        <v>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">
      <c r="A96" s="15">
        <f t="shared" si="7"/>
        <v>45747</v>
      </c>
      <c r="B96" s="1">
        <v>3</v>
      </c>
      <c r="C96" s="1">
        <v>90</v>
      </c>
      <c r="D96" s="3">
        <f t="shared" si="6"/>
        <v>202503</v>
      </c>
      <c r="E96" s="3">
        <f>ROUND(IF(Data!E96&lt;0,0-Data!E96,0),1)</f>
        <v>0</v>
      </c>
      <c r="F96" s="3">
        <f>ROUND(IF(Data!E96&gt;5,Data!E96-5,0),1)</f>
        <v>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">
      <c r="A97" s="15">
        <f t="shared" si="7"/>
        <v>45748</v>
      </c>
      <c r="B97" s="1">
        <v>4</v>
      </c>
      <c r="C97" s="1">
        <v>91</v>
      </c>
      <c r="D97" s="3">
        <f t="shared" si="6"/>
        <v>202504</v>
      </c>
      <c r="E97" s="3">
        <f>ROUND(IF(Data!E97&lt;0,0-Data!E97,0),1)</f>
        <v>0</v>
      </c>
      <c r="F97" s="3">
        <f>ROUND(IF(Data!E97&gt;5,Data!E97-5,0),1)</f>
        <v>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">
      <c r="A98" s="15">
        <f t="shared" si="7"/>
        <v>45749</v>
      </c>
      <c r="B98" s="1">
        <v>4</v>
      </c>
      <c r="C98" s="1">
        <v>92</v>
      </c>
      <c r="D98" s="3">
        <f t="shared" si="6"/>
        <v>202504</v>
      </c>
      <c r="E98" s="3">
        <f>ROUND(IF(Data!E98&lt;0,0-Data!E98,0),1)</f>
        <v>0</v>
      </c>
      <c r="F98" s="3">
        <f>ROUND(IF(Data!E98&gt;5,Data!E98-5,0),1)</f>
        <v>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">
      <c r="A99" s="15">
        <f t="shared" si="7"/>
        <v>45750</v>
      </c>
      <c r="B99" s="1">
        <v>4</v>
      </c>
      <c r="C99" s="1">
        <v>93</v>
      </c>
      <c r="D99" s="3">
        <f t="shared" si="6"/>
        <v>202504</v>
      </c>
      <c r="E99" s="3">
        <f>ROUND(IF(Data!E99&lt;0,0-Data!E99,0),1)</f>
        <v>0</v>
      </c>
      <c r="F99" s="3">
        <f>ROUND(IF(Data!E99&gt;5,Data!E99-5,0),1)</f>
        <v>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">
      <c r="A100" s="15">
        <f t="shared" si="7"/>
        <v>45751</v>
      </c>
      <c r="B100" s="1">
        <v>4</v>
      </c>
      <c r="C100" s="1">
        <v>94</v>
      </c>
      <c r="D100" s="3">
        <f t="shared" si="6"/>
        <v>202504</v>
      </c>
      <c r="E100" s="3">
        <f>ROUND(IF(Data!E100&lt;0,0-Data!E100,0),1)</f>
        <v>0</v>
      </c>
      <c r="F100" s="3">
        <f>ROUND(IF(Data!E100&gt;5,Data!E100-5,0),1)</f>
        <v>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x14ac:dyDescent="0.2">
      <c r="A101" s="15">
        <f t="shared" si="7"/>
        <v>45752</v>
      </c>
      <c r="B101" s="1">
        <v>4</v>
      </c>
      <c r="C101" s="1">
        <v>95</v>
      </c>
      <c r="D101" s="3">
        <f t="shared" si="6"/>
        <v>202504</v>
      </c>
      <c r="E101" s="3">
        <f>ROUND(IF(Data!E101&lt;0,0-Data!E101,0),1)</f>
        <v>0</v>
      </c>
      <c r="F101" s="3">
        <f>ROUND(IF(Data!E101&gt;5,Data!E101-5,0),1)</f>
        <v>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x14ac:dyDescent="0.2">
      <c r="A102" s="15">
        <f t="shared" si="7"/>
        <v>45753</v>
      </c>
      <c r="B102" s="1">
        <v>4</v>
      </c>
      <c r="C102" s="1">
        <v>96</v>
      </c>
      <c r="D102" s="3">
        <f t="shared" si="6"/>
        <v>202504</v>
      </c>
      <c r="E102" s="3">
        <f>ROUND(IF(Data!E102&lt;0,0-Data!E102,0),1)</f>
        <v>0</v>
      </c>
      <c r="F102" s="3">
        <f>ROUND(IF(Data!E102&gt;5,Data!E102-5,0),1)</f>
        <v>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2">
      <c r="A103" s="15">
        <f t="shared" si="7"/>
        <v>45754</v>
      </c>
      <c r="B103" s="1">
        <v>4</v>
      </c>
      <c r="C103" s="1">
        <v>97</v>
      </c>
      <c r="D103" s="3">
        <f t="shared" si="6"/>
        <v>202504</v>
      </c>
      <c r="E103" s="3">
        <f>ROUND(IF(Data!E103&lt;0,0-Data!E103,0),1)</f>
        <v>0</v>
      </c>
      <c r="F103" s="3">
        <f>ROUND(IF(Data!E103&gt;5,Data!E103-5,0),1)</f>
        <v>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x14ac:dyDescent="0.2">
      <c r="A104" s="15">
        <f t="shared" si="7"/>
        <v>45755</v>
      </c>
      <c r="B104" s="1">
        <v>4</v>
      </c>
      <c r="C104" s="1">
        <v>98</v>
      </c>
      <c r="D104" s="3">
        <f t="shared" si="6"/>
        <v>202504</v>
      </c>
      <c r="E104" s="3">
        <f>ROUND(IF(Data!E104&lt;0,0-Data!E104,0),1)</f>
        <v>0</v>
      </c>
      <c r="F104" s="3">
        <f>ROUND(IF(Data!E104&gt;5,Data!E104-5,0),1)</f>
        <v>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x14ac:dyDescent="0.2">
      <c r="A105" s="15">
        <f t="shared" si="7"/>
        <v>45756</v>
      </c>
      <c r="B105" s="1">
        <v>4</v>
      </c>
      <c r="C105" s="1">
        <v>99</v>
      </c>
      <c r="D105" s="3">
        <f t="shared" si="6"/>
        <v>202504</v>
      </c>
      <c r="E105" s="3">
        <f>ROUND(IF(Data!E105&lt;0,0-Data!E105,0),1)</f>
        <v>0</v>
      </c>
      <c r="F105" s="3">
        <f>ROUND(IF(Data!E105&gt;5,Data!E105-5,0),1)</f>
        <v>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x14ac:dyDescent="0.2">
      <c r="A106" s="15">
        <f t="shared" si="7"/>
        <v>45757</v>
      </c>
      <c r="B106" s="1">
        <v>4</v>
      </c>
      <c r="C106" s="1">
        <v>100</v>
      </c>
      <c r="D106" s="3">
        <f t="shared" si="6"/>
        <v>202504</v>
      </c>
      <c r="E106" s="3">
        <f>ROUND(IF(Data!E106&lt;0,0-Data!E106,0),1)</f>
        <v>0</v>
      </c>
      <c r="F106" s="3">
        <f>ROUND(IF(Data!E106&gt;5,Data!E106-5,0),1)</f>
        <v>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2">
      <c r="A107" s="15">
        <f t="shared" si="7"/>
        <v>45758</v>
      </c>
      <c r="B107" s="1">
        <v>4</v>
      </c>
      <c r="C107" s="1">
        <v>101</v>
      </c>
      <c r="D107" s="3">
        <f t="shared" si="6"/>
        <v>202504</v>
      </c>
      <c r="E107" s="3">
        <f>ROUND(IF(Data!E107&lt;0,0-Data!E107,0),1)</f>
        <v>0</v>
      </c>
      <c r="F107" s="3">
        <f>ROUND(IF(Data!E107&gt;5,Data!E107-5,0),1)</f>
        <v>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2">
      <c r="A108" s="15">
        <f t="shared" si="7"/>
        <v>45759</v>
      </c>
      <c r="B108" s="1">
        <v>4</v>
      </c>
      <c r="C108" s="1">
        <v>102</v>
      </c>
      <c r="D108" s="3">
        <f t="shared" si="6"/>
        <v>202504</v>
      </c>
      <c r="E108" s="3">
        <f>ROUND(IF(Data!E108&lt;0,0-Data!E108,0),1)</f>
        <v>0</v>
      </c>
      <c r="F108" s="3">
        <f>ROUND(IF(Data!E108&gt;5,Data!E108-5,0),1)</f>
        <v>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2">
      <c r="A109" s="15">
        <f t="shared" si="7"/>
        <v>45760</v>
      </c>
      <c r="B109" s="1">
        <v>4</v>
      </c>
      <c r="C109" s="1">
        <v>103</v>
      </c>
      <c r="D109" s="3">
        <f t="shared" si="6"/>
        <v>202504</v>
      </c>
      <c r="E109" s="3">
        <f>ROUND(IF(Data!E109&lt;0,0-Data!E109,0),1)</f>
        <v>0</v>
      </c>
      <c r="F109" s="3">
        <f>ROUND(IF(Data!E109&gt;5,Data!E109-5,0),1)</f>
        <v>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2">
      <c r="A110" s="15">
        <f t="shared" si="7"/>
        <v>45761</v>
      </c>
      <c r="B110" s="1">
        <v>4</v>
      </c>
      <c r="C110" s="1">
        <v>104</v>
      </c>
      <c r="D110" s="3">
        <f t="shared" si="6"/>
        <v>202504</v>
      </c>
      <c r="E110" s="3">
        <f>ROUND(IF(Data!E110&lt;0,0-Data!E110,0),1)</f>
        <v>0</v>
      </c>
      <c r="F110" s="3">
        <f>ROUND(IF(Data!E110&gt;5,Data!E110-5,0),1)</f>
        <v>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2">
      <c r="A111" s="15">
        <f t="shared" si="7"/>
        <v>45762</v>
      </c>
      <c r="B111" s="1">
        <v>4</v>
      </c>
      <c r="C111" s="1">
        <v>105</v>
      </c>
      <c r="D111" s="3">
        <f t="shared" si="6"/>
        <v>202504</v>
      </c>
      <c r="E111" s="3">
        <f>ROUND(IF(Data!E111&lt;0,0-Data!E111,0),1)</f>
        <v>0</v>
      </c>
      <c r="F111" s="3">
        <f>ROUND(IF(Data!E111&gt;5,Data!E111-5,0),1)</f>
        <v>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2">
      <c r="A112" s="15">
        <f t="shared" si="7"/>
        <v>45763</v>
      </c>
      <c r="B112" s="1">
        <v>4</v>
      </c>
      <c r="C112" s="1">
        <v>106</v>
      </c>
      <c r="D112" s="3">
        <f t="shared" si="6"/>
        <v>202504</v>
      </c>
      <c r="E112" s="3">
        <f>ROUND(IF(Data!E112&lt;0,0-Data!E112,0),1)</f>
        <v>0</v>
      </c>
      <c r="F112" s="3">
        <f>ROUND(IF(Data!E112&gt;5,Data!E112-5,0),1)</f>
        <v>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2">
      <c r="A113" s="15">
        <f t="shared" si="7"/>
        <v>45764</v>
      </c>
      <c r="B113" s="1">
        <v>4</v>
      </c>
      <c r="C113" s="1">
        <v>107</v>
      </c>
      <c r="D113" s="3">
        <f t="shared" si="6"/>
        <v>202504</v>
      </c>
      <c r="E113" s="3">
        <f>ROUND(IF(Data!E113&lt;0,0-Data!E113,0),1)</f>
        <v>0</v>
      </c>
      <c r="F113" s="3">
        <f>ROUND(IF(Data!E113&gt;5,Data!E113-5,0),1)</f>
        <v>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2">
      <c r="A114" s="15">
        <f t="shared" si="7"/>
        <v>45765</v>
      </c>
      <c r="B114" s="1">
        <v>4</v>
      </c>
      <c r="C114" s="1">
        <v>108</v>
      </c>
      <c r="D114" s="3">
        <f t="shared" si="6"/>
        <v>202504</v>
      </c>
      <c r="E114" s="3">
        <f>ROUND(IF(Data!E114&lt;0,0-Data!E114,0),1)</f>
        <v>0</v>
      </c>
      <c r="F114" s="3">
        <f>ROUND(IF(Data!E114&gt;5,Data!E114-5,0),1)</f>
        <v>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2">
      <c r="A115" s="15">
        <f t="shared" si="7"/>
        <v>45766</v>
      </c>
      <c r="B115" s="1">
        <v>4</v>
      </c>
      <c r="C115" s="1">
        <v>109</v>
      </c>
      <c r="D115" s="3">
        <f t="shared" si="6"/>
        <v>202504</v>
      </c>
      <c r="E115" s="3">
        <f>ROUND(IF(Data!E115&lt;0,0-Data!E115,0),1)</f>
        <v>0</v>
      </c>
      <c r="F115" s="3">
        <f>ROUND(IF(Data!E115&gt;5,Data!E115-5,0),1)</f>
        <v>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2">
      <c r="A116" s="15">
        <f t="shared" si="7"/>
        <v>45767</v>
      </c>
      <c r="B116" s="1">
        <v>4</v>
      </c>
      <c r="C116" s="1">
        <v>110</v>
      </c>
      <c r="D116" s="3">
        <f t="shared" si="6"/>
        <v>202504</v>
      </c>
      <c r="E116" s="3">
        <f>ROUND(IF(Data!E116&lt;0,0-Data!E116,0),1)</f>
        <v>0</v>
      </c>
      <c r="F116" s="3">
        <f>ROUND(IF(Data!E116&gt;5,Data!E116-5,0),1)</f>
        <v>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2">
      <c r="A117" s="15">
        <f t="shared" si="7"/>
        <v>45768</v>
      </c>
      <c r="B117" s="1">
        <v>4</v>
      </c>
      <c r="C117" s="1">
        <v>111</v>
      </c>
      <c r="D117" s="3">
        <f t="shared" si="6"/>
        <v>202504</v>
      </c>
      <c r="E117" s="3">
        <f>ROUND(IF(Data!E117&lt;0,0-Data!E117,0),1)</f>
        <v>0</v>
      </c>
      <c r="F117" s="3">
        <f>ROUND(IF(Data!E117&gt;5,Data!E117-5,0),1)</f>
        <v>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2">
      <c r="A118" s="15">
        <f t="shared" si="7"/>
        <v>45769</v>
      </c>
      <c r="B118" s="1">
        <v>4</v>
      </c>
      <c r="C118" s="1">
        <v>112</v>
      </c>
      <c r="D118" s="3">
        <f t="shared" si="6"/>
        <v>202504</v>
      </c>
      <c r="E118" s="3">
        <f>ROUND(IF(Data!E118&lt;0,0-Data!E118,0),1)</f>
        <v>0</v>
      </c>
      <c r="F118" s="3">
        <f>ROUND(IF(Data!E118&gt;5,Data!E118-5,0),1)</f>
        <v>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2">
      <c r="A119" s="15">
        <f t="shared" si="7"/>
        <v>45770</v>
      </c>
      <c r="B119" s="1">
        <v>4</v>
      </c>
      <c r="C119" s="1">
        <v>113</v>
      </c>
      <c r="D119" s="3">
        <f t="shared" si="6"/>
        <v>202504</v>
      </c>
      <c r="E119" s="3">
        <f>ROUND(IF(Data!E119&lt;0,0-Data!E119,0),1)</f>
        <v>0</v>
      </c>
      <c r="F119" s="3">
        <f>ROUND(IF(Data!E119&gt;5,Data!E119-5,0),1)</f>
        <v>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2">
      <c r="A120" s="15">
        <f t="shared" si="7"/>
        <v>45771</v>
      </c>
      <c r="B120" s="1">
        <v>4</v>
      </c>
      <c r="C120" s="1">
        <v>114</v>
      </c>
      <c r="D120" s="3">
        <f t="shared" si="6"/>
        <v>202504</v>
      </c>
      <c r="E120" s="3">
        <f>ROUND(IF(Data!E120&lt;0,0-Data!E120,0),1)</f>
        <v>0</v>
      </c>
      <c r="F120" s="3">
        <f>ROUND(IF(Data!E120&gt;5,Data!E120-5,0),1)</f>
        <v>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2">
      <c r="A121" s="15">
        <f t="shared" si="7"/>
        <v>45772</v>
      </c>
      <c r="B121" s="1">
        <v>4</v>
      </c>
      <c r="C121" s="1">
        <v>115</v>
      </c>
      <c r="D121" s="3">
        <f t="shared" si="6"/>
        <v>202504</v>
      </c>
      <c r="E121" s="3">
        <f>ROUND(IF(Data!E121&lt;0,0-Data!E121,0),1)</f>
        <v>0</v>
      </c>
      <c r="F121" s="3">
        <f>ROUND(IF(Data!E121&gt;5,Data!E121-5,0),1)</f>
        <v>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2">
      <c r="A122" s="15">
        <f t="shared" si="7"/>
        <v>45773</v>
      </c>
      <c r="B122" s="1">
        <v>4</v>
      </c>
      <c r="C122" s="1">
        <v>116</v>
      </c>
      <c r="D122" s="3">
        <f t="shared" si="6"/>
        <v>202504</v>
      </c>
      <c r="E122" s="3">
        <f>ROUND(IF(Data!E122&lt;0,0-Data!E122,0),1)</f>
        <v>0</v>
      </c>
      <c r="F122" s="3">
        <f>ROUND(IF(Data!E122&gt;5,Data!E122-5,0),1)</f>
        <v>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2">
      <c r="A123" s="15">
        <f t="shared" si="7"/>
        <v>45774</v>
      </c>
      <c r="B123" s="1">
        <v>4</v>
      </c>
      <c r="C123" s="1">
        <v>117</v>
      </c>
      <c r="D123" s="3">
        <f t="shared" si="6"/>
        <v>202504</v>
      </c>
      <c r="E123" s="3">
        <f>ROUND(IF(Data!E123&lt;0,0-Data!E123,0),1)</f>
        <v>0</v>
      </c>
      <c r="F123" s="3">
        <f>ROUND(IF(Data!E123&gt;5,Data!E123-5,0),1)</f>
        <v>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2">
      <c r="A124" s="15">
        <f t="shared" si="7"/>
        <v>45775</v>
      </c>
      <c r="B124" s="1">
        <v>4</v>
      </c>
      <c r="C124" s="1">
        <v>118</v>
      </c>
      <c r="D124" s="3">
        <f t="shared" si="6"/>
        <v>202504</v>
      </c>
      <c r="E124" s="3">
        <f>ROUND(IF(Data!E124&lt;0,0-Data!E124,0),1)</f>
        <v>0</v>
      </c>
      <c r="F124" s="3">
        <f>ROUND(IF(Data!E124&gt;5,Data!E124-5,0),1)</f>
        <v>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2">
      <c r="A125" s="15">
        <f t="shared" si="7"/>
        <v>45776</v>
      </c>
      <c r="B125" s="1">
        <v>4</v>
      </c>
      <c r="C125" s="1">
        <v>119</v>
      </c>
      <c r="D125" s="3">
        <f t="shared" si="6"/>
        <v>202504</v>
      </c>
      <c r="E125" s="3">
        <f>ROUND(IF(Data!E125&lt;0,0-Data!E125,0),1)</f>
        <v>0</v>
      </c>
      <c r="F125" s="3">
        <f>ROUND(IF(Data!E125&gt;5,Data!E125-5,0),1)</f>
        <v>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2">
      <c r="A126" s="15">
        <f t="shared" si="7"/>
        <v>45777</v>
      </c>
      <c r="B126" s="1">
        <v>4</v>
      </c>
      <c r="C126" s="1">
        <v>120</v>
      </c>
      <c r="D126" s="3">
        <f t="shared" si="6"/>
        <v>202504</v>
      </c>
      <c r="E126" s="3">
        <f>ROUND(IF(Data!E126&lt;0,0-Data!E126,0),1)</f>
        <v>0</v>
      </c>
      <c r="F126" s="3">
        <f>ROUND(IF(Data!E126&gt;5,Data!E126-5,0),1)</f>
        <v>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2">
      <c r="A127" s="15">
        <f t="shared" si="7"/>
        <v>45778</v>
      </c>
      <c r="B127" s="1">
        <v>5</v>
      </c>
      <c r="C127" s="1">
        <v>121</v>
      </c>
      <c r="D127" s="3">
        <f t="shared" si="6"/>
        <v>202505</v>
      </c>
      <c r="E127" s="3">
        <f>ROUND(IF(Data!E127&lt;0,0-Data!E127,0),1)</f>
        <v>0</v>
      </c>
      <c r="F127" s="3">
        <f>ROUND(IF(Data!E127&gt;5,Data!E127-5,0),1)</f>
        <v>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2">
      <c r="A128" s="15">
        <f t="shared" si="7"/>
        <v>45779</v>
      </c>
      <c r="B128" s="1">
        <v>5</v>
      </c>
      <c r="C128" s="1">
        <v>122</v>
      </c>
      <c r="D128" s="3">
        <f t="shared" si="6"/>
        <v>202505</v>
      </c>
      <c r="E128" s="3">
        <f>ROUND(IF(Data!E128&lt;0,0-Data!E128,0),1)</f>
        <v>0</v>
      </c>
      <c r="F128" s="3">
        <f>ROUND(IF(Data!E128&gt;5,Data!E128-5,0),1)</f>
        <v>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2">
      <c r="A129" s="15">
        <f t="shared" si="7"/>
        <v>45780</v>
      </c>
      <c r="B129" s="1">
        <v>5</v>
      </c>
      <c r="C129" s="1">
        <v>123</v>
      </c>
      <c r="D129" s="3">
        <f t="shared" si="6"/>
        <v>202505</v>
      </c>
      <c r="E129" s="3">
        <f>ROUND(IF(Data!E129&lt;0,0-Data!E129,0),1)</f>
        <v>0</v>
      </c>
      <c r="F129" s="3">
        <f>ROUND(IF(Data!E129&gt;5,Data!E129-5,0),1)</f>
        <v>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2">
      <c r="A130" s="15">
        <f t="shared" si="7"/>
        <v>45781</v>
      </c>
      <c r="B130" s="1">
        <v>5</v>
      </c>
      <c r="C130" s="1">
        <v>124</v>
      </c>
      <c r="D130" s="3">
        <f t="shared" si="6"/>
        <v>202505</v>
      </c>
      <c r="E130" s="3">
        <f>ROUND(IF(Data!E130&lt;0,0-Data!E130,0),1)</f>
        <v>0</v>
      </c>
      <c r="F130" s="3">
        <f>ROUND(IF(Data!E130&gt;5,Data!E130-5,0),1)</f>
        <v>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2">
      <c r="A131" s="15">
        <f t="shared" si="7"/>
        <v>45782</v>
      </c>
      <c r="B131" s="1">
        <v>5</v>
      </c>
      <c r="C131" s="1">
        <v>125</v>
      </c>
      <c r="D131" s="3">
        <f t="shared" si="6"/>
        <v>202505</v>
      </c>
      <c r="E131" s="3">
        <f>ROUND(IF(Data!E131&lt;0,0-Data!E131,0),1)</f>
        <v>0</v>
      </c>
      <c r="F131" s="3">
        <f>ROUND(IF(Data!E131&gt;5,Data!E131-5,0),1)</f>
        <v>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2">
      <c r="A132" s="15">
        <f t="shared" si="7"/>
        <v>45783</v>
      </c>
      <c r="B132" s="1">
        <v>5</v>
      </c>
      <c r="C132" s="1">
        <v>126</v>
      </c>
      <c r="D132" s="3">
        <f t="shared" si="6"/>
        <v>202505</v>
      </c>
      <c r="E132" s="3">
        <f>ROUND(IF(Data!E132&lt;0,0-Data!E132,0),1)</f>
        <v>0</v>
      </c>
      <c r="F132" s="3">
        <f>ROUND(IF(Data!E132&gt;5,Data!E132-5,0),1)</f>
        <v>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x14ac:dyDescent="0.2">
      <c r="A133" s="15">
        <f t="shared" si="7"/>
        <v>45784</v>
      </c>
      <c r="B133" s="1">
        <v>5</v>
      </c>
      <c r="C133" s="1">
        <v>127</v>
      </c>
      <c r="D133" s="3">
        <f t="shared" si="6"/>
        <v>202505</v>
      </c>
      <c r="E133" s="3">
        <f>ROUND(IF(Data!E133&lt;0,0-Data!E133,0),1)</f>
        <v>0</v>
      </c>
      <c r="F133" s="3">
        <f>ROUND(IF(Data!E133&gt;5,Data!E133-5,0),1)</f>
        <v>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x14ac:dyDescent="0.2">
      <c r="A134" s="15">
        <f t="shared" si="7"/>
        <v>45785</v>
      </c>
      <c r="B134" s="1">
        <v>5</v>
      </c>
      <c r="C134" s="1">
        <v>128</v>
      </c>
      <c r="D134" s="3">
        <f t="shared" si="6"/>
        <v>202505</v>
      </c>
      <c r="E134" s="3">
        <f>ROUND(IF(Data!E134&lt;0,0-Data!E134,0),1)</f>
        <v>0</v>
      </c>
      <c r="F134" s="3">
        <f>ROUND(IF(Data!E134&gt;5,Data!E134-5,0),1)</f>
        <v>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2">
      <c r="A135" s="15">
        <f t="shared" si="7"/>
        <v>45786</v>
      </c>
      <c r="B135" s="1">
        <v>5</v>
      </c>
      <c r="C135" s="1">
        <v>129</v>
      </c>
      <c r="D135" s="3">
        <f t="shared" si="6"/>
        <v>202505</v>
      </c>
      <c r="E135" s="3">
        <f>ROUND(IF(Data!E135&lt;0,0-Data!E135,0),1)</f>
        <v>0</v>
      </c>
      <c r="F135" s="3">
        <f>ROUND(IF(Data!E135&gt;5,Data!E135-5,0),1)</f>
        <v>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x14ac:dyDescent="0.2">
      <c r="A136" s="15">
        <f t="shared" si="7"/>
        <v>45787</v>
      </c>
      <c r="B136" s="1">
        <v>5</v>
      </c>
      <c r="C136" s="1">
        <v>130</v>
      </c>
      <c r="D136" s="3">
        <f t="shared" ref="D136:D199" si="8">202500+B136</f>
        <v>202505</v>
      </c>
      <c r="E136" s="3">
        <f>ROUND(IF(Data!E136&lt;0,0-Data!E136,0),1)</f>
        <v>0</v>
      </c>
      <c r="F136" s="3">
        <f>ROUND(IF(Data!E136&gt;5,Data!E136-5,0),1)</f>
        <v>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x14ac:dyDescent="0.2">
      <c r="A137" s="15">
        <f t="shared" ref="A137:A200" si="9">A136+1</f>
        <v>45788</v>
      </c>
      <c r="B137" s="1">
        <v>5</v>
      </c>
      <c r="C137" s="1">
        <v>131</v>
      </c>
      <c r="D137" s="3">
        <f t="shared" si="8"/>
        <v>202505</v>
      </c>
      <c r="E137" s="3">
        <f>ROUND(IF(Data!E137&lt;0,0-Data!E137,0),1)</f>
        <v>0</v>
      </c>
      <c r="F137" s="3">
        <f>ROUND(IF(Data!E137&gt;5,Data!E137-5,0),1)</f>
        <v>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2">
      <c r="A138" s="15">
        <f t="shared" si="9"/>
        <v>45789</v>
      </c>
      <c r="B138" s="1">
        <v>5</v>
      </c>
      <c r="C138" s="1">
        <v>132</v>
      </c>
      <c r="D138" s="3">
        <f t="shared" si="8"/>
        <v>202505</v>
      </c>
      <c r="E138" s="3">
        <f>ROUND(IF(Data!E138&lt;0,0-Data!E138,0),1)</f>
        <v>0</v>
      </c>
      <c r="F138" s="3">
        <f>ROUND(IF(Data!E138&gt;5,Data!E138-5,0),1)</f>
        <v>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x14ac:dyDescent="0.2">
      <c r="A139" s="15">
        <f t="shared" si="9"/>
        <v>45790</v>
      </c>
      <c r="B139" s="1">
        <v>5</v>
      </c>
      <c r="C139" s="1">
        <v>133</v>
      </c>
      <c r="D139" s="3">
        <f t="shared" si="8"/>
        <v>202505</v>
      </c>
      <c r="E139" s="3">
        <f>ROUND(IF(Data!E139&lt;0,0-Data!E139,0),1)</f>
        <v>0</v>
      </c>
      <c r="F139" s="3">
        <f>ROUND(IF(Data!E139&gt;5,Data!E139-5,0),1)</f>
        <v>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2">
      <c r="A140" s="15">
        <f t="shared" si="9"/>
        <v>45791</v>
      </c>
      <c r="B140" s="1">
        <v>5</v>
      </c>
      <c r="C140" s="1">
        <v>134</v>
      </c>
      <c r="D140" s="3">
        <f t="shared" si="8"/>
        <v>202505</v>
      </c>
      <c r="E140" s="3">
        <f>ROUND(IF(Data!E140&lt;0,0-Data!E140,0),1)</f>
        <v>0</v>
      </c>
      <c r="F140" s="3">
        <f>ROUND(IF(Data!E140&gt;5,Data!E140-5,0),1)</f>
        <v>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x14ac:dyDescent="0.2">
      <c r="A141" s="15">
        <f t="shared" si="9"/>
        <v>45792</v>
      </c>
      <c r="B141" s="1">
        <v>5</v>
      </c>
      <c r="C141" s="1">
        <v>135</v>
      </c>
      <c r="D141" s="3">
        <f t="shared" si="8"/>
        <v>202505</v>
      </c>
      <c r="E141" s="3">
        <f>ROUND(IF(Data!E141&lt;0,0-Data!E141,0),1)</f>
        <v>0</v>
      </c>
      <c r="F141" s="3">
        <f>ROUND(IF(Data!E141&gt;5,Data!E141-5,0),1)</f>
        <v>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2">
      <c r="A142" s="15">
        <f t="shared" si="9"/>
        <v>45793</v>
      </c>
      <c r="B142" s="1">
        <v>5</v>
      </c>
      <c r="C142" s="1">
        <v>136</v>
      </c>
      <c r="D142" s="3">
        <f t="shared" si="8"/>
        <v>202505</v>
      </c>
      <c r="E142" s="3">
        <f>ROUND(IF(Data!E142&lt;0,0-Data!E142,0),1)</f>
        <v>0</v>
      </c>
      <c r="F142" s="3">
        <f>ROUND(IF(Data!E142&gt;5,Data!E142-5,0),1)</f>
        <v>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x14ac:dyDescent="0.2">
      <c r="A143" s="15">
        <f t="shared" si="9"/>
        <v>45794</v>
      </c>
      <c r="B143" s="1">
        <v>5</v>
      </c>
      <c r="C143" s="1">
        <v>137</v>
      </c>
      <c r="D143" s="3">
        <f t="shared" si="8"/>
        <v>202505</v>
      </c>
      <c r="E143" s="3">
        <f>ROUND(IF(Data!E143&lt;0,0-Data!E143,0),1)</f>
        <v>0</v>
      </c>
      <c r="F143" s="3">
        <f>ROUND(IF(Data!E143&gt;5,Data!E143-5,0),1)</f>
        <v>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x14ac:dyDescent="0.2">
      <c r="A144" s="15">
        <f t="shared" si="9"/>
        <v>45795</v>
      </c>
      <c r="B144" s="1">
        <v>5</v>
      </c>
      <c r="C144" s="1">
        <v>138</v>
      </c>
      <c r="D144" s="3">
        <f t="shared" si="8"/>
        <v>202505</v>
      </c>
      <c r="E144" s="3">
        <f>ROUND(IF(Data!E144&lt;0,0-Data!E144,0),1)</f>
        <v>0</v>
      </c>
      <c r="F144" s="3">
        <f>ROUND(IF(Data!E144&gt;5,Data!E144-5,0),1)</f>
        <v>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2">
      <c r="A145" s="15">
        <f t="shared" si="9"/>
        <v>45796</v>
      </c>
      <c r="B145" s="1">
        <v>5</v>
      </c>
      <c r="C145" s="1">
        <v>139</v>
      </c>
      <c r="D145" s="3">
        <f t="shared" si="8"/>
        <v>202505</v>
      </c>
      <c r="E145" s="3">
        <f>ROUND(IF(Data!E145&lt;0,0-Data!E145,0),1)</f>
        <v>0</v>
      </c>
      <c r="F145" s="3">
        <f>ROUND(IF(Data!E145&gt;5,Data!E145-5,0),1)</f>
        <v>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2">
      <c r="A146" s="15">
        <f t="shared" si="9"/>
        <v>45797</v>
      </c>
      <c r="B146" s="1">
        <v>5</v>
      </c>
      <c r="C146" s="1">
        <v>140</v>
      </c>
      <c r="D146" s="3">
        <f t="shared" si="8"/>
        <v>202505</v>
      </c>
      <c r="E146" s="3">
        <f>ROUND(IF(Data!E146&lt;0,0-Data!E146,0),1)</f>
        <v>0</v>
      </c>
      <c r="F146" s="3">
        <f>ROUND(IF(Data!E146&gt;5,Data!E146-5,0),1)</f>
        <v>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2">
      <c r="A147" s="15">
        <f t="shared" si="9"/>
        <v>45798</v>
      </c>
      <c r="B147" s="1">
        <v>5</v>
      </c>
      <c r="C147" s="1">
        <v>141</v>
      </c>
      <c r="D147" s="3">
        <f t="shared" si="8"/>
        <v>202505</v>
      </c>
      <c r="E147" s="3">
        <f>ROUND(IF(Data!E147&lt;0,0-Data!E147,0),1)</f>
        <v>0</v>
      </c>
      <c r="F147" s="3">
        <f>ROUND(IF(Data!E147&gt;5,Data!E147-5,0),1)</f>
        <v>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2">
      <c r="A148" s="15">
        <f t="shared" si="9"/>
        <v>45799</v>
      </c>
      <c r="B148" s="1">
        <v>5</v>
      </c>
      <c r="C148" s="1">
        <v>142</v>
      </c>
      <c r="D148" s="3">
        <f t="shared" si="8"/>
        <v>202505</v>
      </c>
      <c r="E148" s="3">
        <f>ROUND(IF(Data!E148&lt;0,0-Data!E148,0),1)</f>
        <v>0</v>
      </c>
      <c r="F148" s="3">
        <f>ROUND(IF(Data!E148&gt;5,Data!E148-5,0),1)</f>
        <v>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x14ac:dyDescent="0.2">
      <c r="A149" s="15">
        <f t="shared" si="9"/>
        <v>45800</v>
      </c>
      <c r="B149" s="1">
        <v>5</v>
      </c>
      <c r="C149" s="1">
        <v>143</v>
      </c>
      <c r="D149" s="3">
        <f t="shared" si="8"/>
        <v>202505</v>
      </c>
      <c r="E149" s="3">
        <f>ROUND(IF(Data!E149&lt;0,0-Data!E149,0),1)</f>
        <v>0</v>
      </c>
      <c r="F149" s="3">
        <f>ROUND(IF(Data!E149&gt;5,Data!E149-5,0),1)</f>
        <v>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2">
      <c r="A150" s="15">
        <f t="shared" si="9"/>
        <v>45801</v>
      </c>
      <c r="B150" s="1">
        <v>5</v>
      </c>
      <c r="C150" s="1">
        <v>144</v>
      </c>
      <c r="D150" s="3">
        <f t="shared" si="8"/>
        <v>202505</v>
      </c>
      <c r="E150" s="3">
        <f>ROUND(IF(Data!E150&lt;0,0-Data!E150,0),1)</f>
        <v>0</v>
      </c>
      <c r="F150" s="3">
        <f>ROUND(IF(Data!E150&gt;5,Data!E150-5,0),1)</f>
        <v>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x14ac:dyDescent="0.2">
      <c r="A151" s="15">
        <f t="shared" si="9"/>
        <v>45802</v>
      </c>
      <c r="B151" s="1">
        <v>5</v>
      </c>
      <c r="C151" s="1">
        <v>145</v>
      </c>
      <c r="D151" s="3">
        <f t="shared" si="8"/>
        <v>202505</v>
      </c>
      <c r="E151" s="3">
        <f>ROUND(IF(Data!E151&lt;0,0-Data!E151,0),1)</f>
        <v>0</v>
      </c>
      <c r="F151" s="3">
        <f>ROUND(IF(Data!E151&gt;5,Data!E151-5,0),1)</f>
        <v>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2">
      <c r="A152" s="15">
        <f t="shared" si="9"/>
        <v>45803</v>
      </c>
      <c r="B152" s="1">
        <v>5</v>
      </c>
      <c r="C152" s="1">
        <v>146</v>
      </c>
      <c r="D152" s="3">
        <f t="shared" si="8"/>
        <v>202505</v>
      </c>
      <c r="E152" s="3">
        <f>ROUND(IF(Data!E152&lt;0,0-Data!E152,0),1)</f>
        <v>0</v>
      </c>
      <c r="F152" s="3">
        <f>ROUND(IF(Data!E152&gt;5,Data!E152-5,0),1)</f>
        <v>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2">
      <c r="A153" s="15">
        <f t="shared" si="9"/>
        <v>45804</v>
      </c>
      <c r="B153" s="1">
        <v>5</v>
      </c>
      <c r="C153" s="1">
        <v>147</v>
      </c>
      <c r="D153" s="3">
        <f t="shared" si="8"/>
        <v>202505</v>
      </c>
      <c r="E153" s="3">
        <f>ROUND(IF(Data!E153&lt;0,0-Data!E153,0),1)</f>
        <v>0</v>
      </c>
      <c r="F153" s="3">
        <f>ROUND(IF(Data!E153&gt;5,Data!E153-5,0),1)</f>
        <v>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x14ac:dyDescent="0.2">
      <c r="A154" s="15">
        <f t="shared" si="9"/>
        <v>45805</v>
      </c>
      <c r="B154" s="1">
        <v>5</v>
      </c>
      <c r="C154" s="1">
        <v>148</v>
      </c>
      <c r="D154" s="3">
        <f t="shared" si="8"/>
        <v>202505</v>
      </c>
      <c r="E154" s="3">
        <f>ROUND(IF(Data!E154&lt;0,0-Data!E154,0),1)</f>
        <v>0</v>
      </c>
      <c r="F154" s="3">
        <f>ROUND(IF(Data!E154&gt;5,Data!E154-5,0),1)</f>
        <v>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2">
      <c r="A155" s="15">
        <f t="shared" si="9"/>
        <v>45806</v>
      </c>
      <c r="B155" s="1">
        <v>5</v>
      </c>
      <c r="C155" s="1">
        <v>149</v>
      </c>
      <c r="D155" s="3">
        <f t="shared" si="8"/>
        <v>202505</v>
      </c>
      <c r="E155" s="3">
        <f>ROUND(IF(Data!E155&lt;0,0-Data!E155,0),1)</f>
        <v>0</v>
      </c>
      <c r="F155" s="3">
        <f>ROUND(IF(Data!E155&gt;5,Data!E155-5,0),1)</f>
        <v>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x14ac:dyDescent="0.2">
      <c r="A156" s="15">
        <f t="shared" si="9"/>
        <v>45807</v>
      </c>
      <c r="B156" s="1">
        <v>5</v>
      </c>
      <c r="C156" s="1">
        <v>150</v>
      </c>
      <c r="D156" s="3">
        <f t="shared" si="8"/>
        <v>202505</v>
      </c>
      <c r="E156" s="3">
        <f>ROUND(IF(Data!E156&lt;0,0-Data!E156,0),1)</f>
        <v>0</v>
      </c>
      <c r="F156" s="3">
        <f>ROUND(IF(Data!E156&gt;5,Data!E156-5,0),1)</f>
        <v>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x14ac:dyDescent="0.2">
      <c r="A157" s="15">
        <f t="shared" si="9"/>
        <v>45808</v>
      </c>
      <c r="B157" s="1">
        <v>5</v>
      </c>
      <c r="C157" s="1">
        <v>151</v>
      </c>
      <c r="D157" s="3">
        <f t="shared" si="8"/>
        <v>202505</v>
      </c>
      <c r="E157" s="3">
        <f>ROUND(IF(Data!E157&lt;0,0-Data!E157,0),1)</f>
        <v>0</v>
      </c>
      <c r="F157" s="3">
        <f>ROUND(IF(Data!E157&gt;5,Data!E157-5,0),1)</f>
        <v>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2">
      <c r="A158" s="15">
        <f t="shared" si="9"/>
        <v>45809</v>
      </c>
      <c r="B158" s="1">
        <v>6</v>
      </c>
      <c r="C158" s="1">
        <v>152</v>
      </c>
      <c r="D158" s="3">
        <f t="shared" si="8"/>
        <v>202506</v>
      </c>
      <c r="E158" s="3">
        <f>ROUND(IF(Data!E158&lt;0,0-Data!E158,0),1)</f>
        <v>0</v>
      </c>
      <c r="F158" s="3">
        <f>ROUND(IF(Data!E158&gt;5,Data!E158-5,0),1)</f>
        <v>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2">
      <c r="A159" s="15">
        <f t="shared" si="9"/>
        <v>45810</v>
      </c>
      <c r="B159" s="1">
        <v>6</v>
      </c>
      <c r="C159" s="1">
        <v>153</v>
      </c>
      <c r="D159" s="3">
        <f t="shared" si="8"/>
        <v>202506</v>
      </c>
      <c r="E159" s="3">
        <f>ROUND(IF(Data!E159&lt;0,0-Data!E159,0),1)</f>
        <v>0</v>
      </c>
      <c r="F159" s="3">
        <f>ROUND(IF(Data!E159&gt;5,Data!E159-5,0),1)</f>
        <v>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2">
      <c r="A160" s="15">
        <f t="shared" si="9"/>
        <v>45811</v>
      </c>
      <c r="B160" s="1">
        <v>6</v>
      </c>
      <c r="C160" s="1">
        <v>154</v>
      </c>
      <c r="D160" s="3">
        <f t="shared" si="8"/>
        <v>202506</v>
      </c>
      <c r="E160" s="3">
        <f>ROUND(IF(Data!E160&lt;0,0-Data!E160,0),1)</f>
        <v>0</v>
      </c>
      <c r="F160" s="3">
        <f>ROUND(IF(Data!E160&gt;5,Data!E160-5,0),1)</f>
        <v>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x14ac:dyDescent="0.2">
      <c r="A161" s="15">
        <f t="shared" si="9"/>
        <v>45812</v>
      </c>
      <c r="B161" s="1">
        <v>6</v>
      </c>
      <c r="C161" s="1">
        <v>155</v>
      </c>
      <c r="D161" s="3">
        <f t="shared" si="8"/>
        <v>202506</v>
      </c>
      <c r="E161" s="3">
        <f>ROUND(IF(Data!E161&lt;0,0-Data!E161,0),1)</f>
        <v>0</v>
      </c>
      <c r="F161" s="3">
        <f>ROUND(IF(Data!E161&gt;5,Data!E161-5,0),1)</f>
        <v>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2">
      <c r="A162" s="15">
        <f t="shared" si="9"/>
        <v>45813</v>
      </c>
      <c r="B162" s="1">
        <v>6</v>
      </c>
      <c r="C162" s="1">
        <v>156</v>
      </c>
      <c r="D162" s="3">
        <f t="shared" si="8"/>
        <v>202506</v>
      </c>
      <c r="E162" s="3">
        <f>ROUND(IF(Data!E162&lt;0,0-Data!E162,0),1)</f>
        <v>0</v>
      </c>
      <c r="F162" s="3">
        <f>ROUND(IF(Data!E162&gt;5,Data!E162-5,0),1)</f>
        <v>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2">
      <c r="A163" s="15">
        <f t="shared" si="9"/>
        <v>45814</v>
      </c>
      <c r="B163" s="1">
        <v>6</v>
      </c>
      <c r="C163" s="1">
        <v>157</v>
      </c>
      <c r="D163" s="3">
        <f t="shared" si="8"/>
        <v>202506</v>
      </c>
      <c r="E163" s="3">
        <f>ROUND(IF(Data!E163&lt;0,0-Data!E163,0),1)</f>
        <v>0</v>
      </c>
      <c r="F163" s="3">
        <f>ROUND(IF(Data!E163&gt;5,Data!E163-5,0),1)</f>
        <v>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x14ac:dyDescent="0.2">
      <c r="A164" s="15">
        <f t="shared" si="9"/>
        <v>45815</v>
      </c>
      <c r="B164" s="1">
        <v>6</v>
      </c>
      <c r="C164" s="1">
        <v>158</v>
      </c>
      <c r="D164" s="3">
        <f t="shared" si="8"/>
        <v>202506</v>
      </c>
      <c r="E164" s="3">
        <f>ROUND(IF(Data!E164&lt;0,0-Data!E164,0),1)</f>
        <v>0</v>
      </c>
      <c r="F164" s="3">
        <f>ROUND(IF(Data!E164&gt;5,Data!E164-5,0),1)</f>
        <v>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x14ac:dyDescent="0.2">
      <c r="A165" s="15">
        <f t="shared" si="9"/>
        <v>45816</v>
      </c>
      <c r="B165" s="1">
        <v>6</v>
      </c>
      <c r="C165" s="1">
        <v>159</v>
      </c>
      <c r="D165" s="3">
        <f t="shared" si="8"/>
        <v>202506</v>
      </c>
      <c r="E165" s="3">
        <f>ROUND(IF(Data!E165&lt;0,0-Data!E165,0),1)</f>
        <v>0</v>
      </c>
      <c r="F165" s="3">
        <f>ROUND(IF(Data!E165&gt;5,Data!E165-5,0),1)</f>
        <v>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x14ac:dyDescent="0.2">
      <c r="A166" s="15">
        <f t="shared" si="9"/>
        <v>45817</v>
      </c>
      <c r="B166" s="1">
        <v>6</v>
      </c>
      <c r="C166" s="1">
        <v>160</v>
      </c>
      <c r="D166" s="3">
        <f t="shared" si="8"/>
        <v>202506</v>
      </c>
      <c r="E166" s="3">
        <f>ROUND(IF(Data!E166&lt;0,0-Data!E166,0),1)</f>
        <v>0</v>
      </c>
      <c r="F166" s="3">
        <f>ROUND(IF(Data!E166&gt;5,Data!E166-5,0),1)</f>
        <v>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x14ac:dyDescent="0.2">
      <c r="A167" s="15">
        <f t="shared" si="9"/>
        <v>45818</v>
      </c>
      <c r="B167" s="1">
        <v>6</v>
      </c>
      <c r="C167" s="1">
        <v>161</v>
      </c>
      <c r="D167" s="3">
        <f t="shared" si="8"/>
        <v>202506</v>
      </c>
      <c r="E167" s="3">
        <f>ROUND(IF(Data!E167&lt;0,0-Data!E167,0),1)</f>
        <v>0</v>
      </c>
      <c r="F167" s="3">
        <f>ROUND(IF(Data!E167&gt;5,Data!E167-5,0),1)</f>
        <v>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x14ac:dyDescent="0.2">
      <c r="A168" s="15">
        <f t="shared" si="9"/>
        <v>45819</v>
      </c>
      <c r="B168" s="1">
        <v>6</v>
      </c>
      <c r="C168" s="1">
        <v>162</v>
      </c>
      <c r="D168" s="3">
        <f t="shared" si="8"/>
        <v>202506</v>
      </c>
      <c r="E168" s="3">
        <f>ROUND(IF(Data!E168&lt;0,0-Data!E168,0),1)</f>
        <v>0</v>
      </c>
      <c r="F168" s="3">
        <f>ROUND(IF(Data!E168&gt;5,Data!E168-5,0),1)</f>
        <v>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x14ac:dyDescent="0.2">
      <c r="A169" s="15">
        <f t="shared" si="9"/>
        <v>45820</v>
      </c>
      <c r="B169" s="1">
        <v>6</v>
      </c>
      <c r="C169" s="1">
        <v>163</v>
      </c>
      <c r="D169" s="3">
        <f t="shared" si="8"/>
        <v>202506</v>
      </c>
      <c r="E169" s="3">
        <f>ROUND(IF(Data!E169&lt;0,0-Data!E169,0),1)</f>
        <v>0</v>
      </c>
      <c r="F169" s="3">
        <f>ROUND(IF(Data!E169&gt;5,Data!E169-5,0),1)</f>
        <v>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2">
      <c r="A170" s="15">
        <f t="shared" si="9"/>
        <v>45821</v>
      </c>
      <c r="B170" s="1">
        <v>6</v>
      </c>
      <c r="C170" s="1">
        <v>164</v>
      </c>
      <c r="D170" s="3">
        <f t="shared" si="8"/>
        <v>202506</v>
      </c>
      <c r="E170" s="3">
        <f>ROUND(IF(Data!E170&lt;0,0-Data!E170,0),1)</f>
        <v>0</v>
      </c>
      <c r="F170" s="3">
        <f>ROUND(IF(Data!E170&gt;5,Data!E170-5,0),1)</f>
        <v>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x14ac:dyDescent="0.2">
      <c r="A171" s="15">
        <f t="shared" si="9"/>
        <v>45822</v>
      </c>
      <c r="B171" s="1">
        <v>6</v>
      </c>
      <c r="C171" s="1">
        <v>165</v>
      </c>
      <c r="D171" s="3">
        <f t="shared" si="8"/>
        <v>202506</v>
      </c>
      <c r="E171" s="3">
        <f>ROUND(IF(Data!E171&lt;0,0-Data!E171,0),1)</f>
        <v>0</v>
      </c>
      <c r="F171" s="3">
        <f>ROUND(IF(Data!E171&gt;5,Data!E171-5,0),1)</f>
        <v>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x14ac:dyDescent="0.2">
      <c r="A172" s="15">
        <f t="shared" si="9"/>
        <v>45823</v>
      </c>
      <c r="B172" s="1">
        <v>6</v>
      </c>
      <c r="C172" s="1">
        <v>166</v>
      </c>
      <c r="D172" s="3">
        <f t="shared" si="8"/>
        <v>202506</v>
      </c>
      <c r="E172" s="3">
        <f>ROUND(IF(Data!E172&lt;0,0-Data!E172,0),1)</f>
        <v>0</v>
      </c>
      <c r="F172" s="3">
        <f>ROUND(IF(Data!E172&gt;5,Data!E172-5,0),1)</f>
        <v>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x14ac:dyDescent="0.2">
      <c r="A173" s="15">
        <f t="shared" si="9"/>
        <v>45824</v>
      </c>
      <c r="B173" s="1">
        <v>6</v>
      </c>
      <c r="C173" s="1">
        <v>167</v>
      </c>
      <c r="D173" s="3">
        <f t="shared" si="8"/>
        <v>202506</v>
      </c>
      <c r="E173" s="3">
        <f>ROUND(IF(Data!E173&lt;0,0-Data!E173,0),1)</f>
        <v>0</v>
      </c>
      <c r="F173" s="3">
        <f>ROUND(IF(Data!E173&gt;5,Data!E173-5,0),1)</f>
        <v>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x14ac:dyDescent="0.2">
      <c r="A174" s="15">
        <f t="shared" si="9"/>
        <v>45825</v>
      </c>
      <c r="B174" s="1">
        <v>6</v>
      </c>
      <c r="C174" s="1">
        <v>168</v>
      </c>
      <c r="D174" s="3">
        <f t="shared" si="8"/>
        <v>202506</v>
      </c>
      <c r="E174" s="3">
        <f>ROUND(IF(Data!E174&lt;0,0-Data!E174,0),1)</f>
        <v>0</v>
      </c>
      <c r="F174" s="3">
        <f>ROUND(IF(Data!E174&gt;5,Data!E174-5,0),1)</f>
        <v>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x14ac:dyDescent="0.2">
      <c r="A175" s="15">
        <f t="shared" si="9"/>
        <v>45826</v>
      </c>
      <c r="B175" s="1">
        <v>6</v>
      </c>
      <c r="C175" s="1">
        <v>169</v>
      </c>
      <c r="D175" s="3">
        <f t="shared" si="8"/>
        <v>202506</v>
      </c>
      <c r="E175" s="3">
        <f>ROUND(IF(Data!E175&lt;0,0-Data!E175,0),1)</f>
        <v>0</v>
      </c>
      <c r="F175" s="3">
        <f>ROUND(IF(Data!E175&gt;5,Data!E175-5,0),1)</f>
        <v>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x14ac:dyDescent="0.2">
      <c r="A176" s="15">
        <f t="shared" si="9"/>
        <v>45827</v>
      </c>
      <c r="B176" s="1">
        <v>6</v>
      </c>
      <c r="C176" s="1">
        <v>170</v>
      </c>
      <c r="D176" s="3">
        <f t="shared" si="8"/>
        <v>202506</v>
      </c>
      <c r="E176" s="3">
        <f>ROUND(IF(Data!E176&lt;0,0-Data!E176,0),1)</f>
        <v>0</v>
      </c>
      <c r="F176" s="3">
        <f>ROUND(IF(Data!E176&gt;5,Data!E176-5,0),1)</f>
        <v>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x14ac:dyDescent="0.2">
      <c r="A177" s="15">
        <f t="shared" si="9"/>
        <v>45828</v>
      </c>
      <c r="B177" s="1">
        <v>6</v>
      </c>
      <c r="C177" s="1">
        <v>171</v>
      </c>
      <c r="D177" s="3">
        <f t="shared" si="8"/>
        <v>202506</v>
      </c>
      <c r="E177" s="3">
        <f>ROUND(IF(Data!E177&lt;0,0-Data!E177,0),1)</f>
        <v>0</v>
      </c>
      <c r="F177" s="3">
        <f>ROUND(IF(Data!E177&gt;5,Data!E177-5,0),1)</f>
        <v>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x14ac:dyDescent="0.2">
      <c r="A178" s="15">
        <f t="shared" si="9"/>
        <v>45829</v>
      </c>
      <c r="B178" s="1">
        <v>6</v>
      </c>
      <c r="C178" s="1">
        <v>172</v>
      </c>
      <c r="D178" s="3">
        <f t="shared" si="8"/>
        <v>202506</v>
      </c>
      <c r="E178" s="3">
        <f>ROUND(IF(Data!E178&lt;0,0-Data!E178,0),1)</f>
        <v>0</v>
      </c>
      <c r="F178" s="3">
        <f>ROUND(IF(Data!E178&gt;5,Data!E178-5,0),1)</f>
        <v>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x14ac:dyDescent="0.2">
      <c r="A179" s="15">
        <f t="shared" si="9"/>
        <v>45830</v>
      </c>
      <c r="B179" s="1">
        <v>6</v>
      </c>
      <c r="C179" s="1">
        <v>173</v>
      </c>
      <c r="D179" s="3">
        <f t="shared" si="8"/>
        <v>202506</v>
      </c>
      <c r="E179" s="3">
        <f>ROUND(IF(Data!E179&lt;0,0-Data!E179,0),1)</f>
        <v>0</v>
      </c>
      <c r="F179" s="3">
        <f>ROUND(IF(Data!E179&gt;5,Data!E179-5,0),1)</f>
        <v>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2">
      <c r="A180" s="15">
        <f t="shared" si="9"/>
        <v>45831</v>
      </c>
      <c r="B180" s="1">
        <v>6</v>
      </c>
      <c r="C180" s="1">
        <v>174</v>
      </c>
      <c r="D180" s="3">
        <f t="shared" si="8"/>
        <v>202506</v>
      </c>
      <c r="E180" s="3">
        <f>ROUND(IF(Data!E180&lt;0,0-Data!E180,0),1)</f>
        <v>0</v>
      </c>
      <c r="F180" s="3">
        <f>ROUND(IF(Data!E180&gt;5,Data!E180-5,0),1)</f>
        <v>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x14ac:dyDescent="0.2">
      <c r="A181" s="15">
        <f t="shared" si="9"/>
        <v>45832</v>
      </c>
      <c r="B181" s="1">
        <v>6</v>
      </c>
      <c r="C181" s="1">
        <v>175</v>
      </c>
      <c r="D181" s="3">
        <f t="shared" si="8"/>
        <v>202506</v>
      </c>
      <c r="E181" s="3">
        <f>ROUND(IF(Data!E181&lt;0,0-Data!E181,0),1)</f>
        <v>0</v>
      </c>
      <c r="F181" s="3">
        <f>ROUND(IF(Data!E181&gt;5,Data!E181-5,0),1)</f>
        <v>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x14ac:dyDescent="0.2">
      <c r="A182" s="15">
        <f t="shared" si="9"/>
        <v>45833</v>
      </c>
      <c r="B182" s="1">
        <v>6</v>
      </c>
      <c r="C182" s="1">
        <v>176</v>
      </c>
      <c r="D182" s="3">
        <f t="shared" si="8"/>
        <v>202506</v>
      </c>
      <c r="E182" s="3">
        <f>ROUND(IF(Data!E182&lt;0,0-Data!E182,0),1)</f>
        <v>0</v>
      </c>
      <c r="F182" s="3">
        <f>ROUND(IF(Data!E182&gt;5,Data!E182-5,0),1)</f>
        <v>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x14ac:dyDescent="0.2">
      <c r="A183" s="15">
        <f t="shared" si="9"/>
        <v>45834</v>
      </c>
      <c r="B183" s="1">
        <v>6</v>
      </c>
      <c r="C183" s="1">
        <v>177</v>
      </c>
      <c r="D183" s="3">
        <f t="shared" si="8"/>
        <v>202506</v>
      </c>
      <c r="E183" s="3">
        <f>ROUND(IF(Data!E183&lt;0,0-Data!E183,0),1)</f>
        <v>0</v>
      </c>
      <c r="F183" s="3">
        <f>ROUND(IF(Data!E183&gt;5,Data!E183-5,0),1)</f>
        <v>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x14ac:dyDescent="0.2">
      <c r="A184" s="15">
        <f t="shared" si="9"/>
        <v>45835</v>
      </c>
      <c r="B184" s="1">
        <v>6</v>
      </c>
      <c r="C184" s="1">
        <v>178</v>
      </c>
      <c r="D184" s="3">
        <f t="shared" si="8"/>
        <v>202506</v>
      </c>
      <c r="E184" s="3">
        <f>ROUND(IF(Data!E184&lt;0,0-Data!E184,0),1)</f>
        <v>0</v>
      </c>
      <c r="F184" s="3">
        <f>ROUND(IF(Data!E184&gt;5,Data!E184-5,0),1)</f>
        <v>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x14ac:dyDescent="0.2">
      <c r="A185" s="15">
        <f t="shared" si="9"/>
        <v>45836</v>
      </c>
      <c r="B185" s="1">
        <v>6</v>
      </c>
      <c r="C185" s="1">
        <v>179</v>
      </c>
      <c r="D185" s="3">
        <f t="shared" si="8"/>
        <v>202506</v>
      </c>
      <c r="E185" s="3">
        <f>ROUND(IF(Data!E185&lt;0,0-Data!E185,0),1)</f>
        <v>0</v>
      </c>
      <c r="F185" s="3">
        <f>ROUND(IF(Data!E185&gt;5,Data!E185-5,0),1)</f>
        <v>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x14ac:dyDescent="0.2">
      <c r="A186" s="15">
        <f t="shared" si="9"/>
        <v>45837</v>
      </c>
      <c r="B186" s="1">
        <v>6</v>
      </c>
      <c r="C186" s="1">
        <v>180</v>
      </c>
      <c r="D186" s="3">
        <f t="shared" si="8"/>
        <v>202506</v>
      </c>
      <c r="E186" s="3">
        <f>ROUND(IF(Data!E186&lt;0,0-Data!E186,0),1)</f>
        <v>0</v>
      </c>
      <c r="F186" s="3">
        <f>ROUND(IF(Data!E186&gt;5,Data!E186-5,0),1)</f>
        <v>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x14ac:dyDescent="0.2">
      <c r="A187" s="15">
        <f t="shared" si="9"/>
        <v>45838</v>
      </c>
      <c r="B187" s="1">
        <v>6</v>
      </c>
      <c r="C187" s="1">
        <v>181</v>
      </c>
      <c r="D187" s="3">
        <f t="shared" si="8"/>
        <v>202506</v>
      </c>
      <c r="E187" s="3">
        <f>ROUND(IF(Data!E187&lt;0,0-Data!E187,0),1)</f>
        <v>0</v>
      </c>
      <c r="F187" s="3">
        <f>ROUND(IF(Data!E187&gt;5,Data!E187-5,0),1)</f>
        <v>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x14ac:dyDescent="0.2">
      <c r="A188" s="15">
        <f t="shared" si="9"/>
        <v>45839</v>
      </c>
      <c r="B188" s="1">
        <v>7</v>
      </c>
      <c r="C188" s="1">
        <v>182</v>
      </c>
      <c r="D188" s="3">
        <f t="shared" si="8"/>
        <v>202507</v>
      </c>
      <c r="E188" s="3">
        <f>ROUND(IF(Data!E188&lt;0,0-Data!E188,0),1)</f>
        <v>0</v>
      </c>
      <c r="F188" s="3">
        <f>ROUND(IF(Data!E188&gt;5,Data!E188-5,0),1)</f>
        <v>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x14ac:dyDescent="0.2">
      <c r="A189" s="15">
        <f t="shared" si="9"/>
        <v>45840</v>
      </c>
      <c r="B189" s="1">
        <v>7</v>
      </c>
      <c r="C189" s="1">
        <v>183</v>
      </c>
      <c r="D189" s="3">
        <f t="shared" si="8"/>
        <v>202507</v>
      </c>
      <c r="E189" s="3">
        <f>ROUND(IF(Data!E189&lt;0,0-Data!E189,0),1)</f>
        <v>0</v>
      </c>
      <c r="F189" s="3">
        <f>ROUND(IF(Data!E189&gt;5,Data!E189-5,0),1)</f>
        <v>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x14ac:dyDescent="0.2">
      <c r="A190" s="15">
        <f t="shared" si="9"/>
        <v>45841</v>
      </c>
      <c r="B190" s="1">
        <v>7</v>
      </c>
      <c r="C190" s="1">
        <v>184</v>
      </c>
      <c r="D190" s="3">
        <f t="shared" si="8"/>
        <v>202507</v>
      </c>
      <c r="E190" s="3">
        <f>ROUND(IF(Data!E190&lt;0,0-Data!E190,0),1)</f>
        <v>0</v>
      </c>
      <c r="F190" s="3">
        <f>ROUND(IF(Data!E190&gt;5,Data!E190-5,0),1)</f>
        <v>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x14ac:dyDescent="0.2">
      <c r="A191" s="15">
        <f t="shared" si="9"/>
        <v>45842</v>
      </c>
      <c r="B191" s="1">
        <v>7</v>
      </c>
      <c r="C191" s="1">
        <v>185</v>
      </c>
      <c r="D191" s="3">
        <f t="shared" si="8"/>
        <v>202507</v>
      </c>
      <c r="E191" s="3">
        <f>ROUND(IF(Data!E191&lt;0,0-Data!E191,0),1)</f>
        <v>0</v>
      </c>
      <c r="F191" s="3">
        <f>ROUND(IF(Data!E191&gt;5,Data!E191-5,0),1)</f>
        <v>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x14ac:dyDescent="0.2">
      <c r="A192" s="15">
        <f t="shared" si="9"/>
        <v>45843</v>
      </c>
      <c r="B192" s="1">
        <v>7</v>
      </c>
      <c r="C192" s="1">
        <v>186</v>
      </c>
      <c r="D192" s="3">
        <f t="shared" si="8"/>
        <v>202507</v>
      </c>
      <c r="E192" s="3">
        <f>ROUND(IF(Data!E192&lt;0,0-Data!E192,0),1)</f>
        <v>0</v>
      </c>
      <c r="F192" s="3">
        <f>ROUND(IF(Data!E192&gt;5,Data!E192-5,0),1)</f>
        <v>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x14ac:dyDescent="0.2">
      <c r="A193" s="15">
        <f t="shared" si="9"/>
        <v>45844</v>
      </c>
      <c r="B193" s="1">
        <v>7</v>
      </c>
      <c r="C193" s="1">
        <v>187</v>
      </c>
      <c r="D193" s="3">
        <f t="shared" si="8"/>
        <v>202507</v>
      </c>
      <c r="E193" s="3">
        <f>ROUND(IF(Data!E193&lt;0,0-Data!E193,0),1)</f>
        <v>0</v>
      </c>
      <c r="F193" s="3">
        <f>ROUND(IF(Data!E193&gt;5,Data!E193-5,0),1)</f>
        <v>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x14ac:dyDescent="0.2">
      <c r="A194" s="15">
        <f t="shared" si="9"/>
        <v>45845</v>
      </c>
      <c r="B194" s="1">
        <v>7</v>
      </c>
      <c r="C194" s="1">
        <v>188</v>
      </c>
      <c r="D194" s="3">
        <f t="shared" si="8"/>
        <v>202507</v>
      </c>
      <c r="E194" s="3">
        <f>ROUND(IF(Data!E194&lt;0,0-Data!E194,0),1)</f>
        <v>0</v>
      </c>
      <c r="F194" s="3">
        <f>ROUND(IF(Data!E194&gt;5,Data!E194-5,0),1)</f>
        <v>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x14ac:dyDescent="0.2">
      <c r="A195" s="15">
        <f t="shared" si="9"/>
        <v>45846</v>
      </c>
      <c r="B195" s="1">
        <v>7</v>
      </c>
      <c r="C195" s="1">
        <v>189</v>
      </c>
      <c r="D195" s="3">
        <f t="shared" si="8"/>
        <v>202507</v>
      </c>
      <c r="E195" s="3">
        <f>ROUND(IF(Data!E195&lt;0,0-Data!E195,0),1)</f>
        <v>0</v>
      </c>
      <c r="F195" s="3">
        <f>ROUND(IF(Data!E195&gt;5,Data!E195-5,0),1)</f>
        <v>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x14ac:dyDescent="0.2">
      <c r="A196" s="15">
        <f t="shared" si="9"/>
        <v>45847</v>
      </c>
      <c r="B196" s="1">
        <v>7</v>
      </c>
      <c r="C196" s="1">
        <v>190</v>
      </c>
      <c r="D196" s="3">
        <f t="shared" si="8"/>
        <v>202507</v>
      </c>
      <c r="E196" s="3">
        <f>ROUND(IF(Data!E196&lt;0,0-Data!E196,0),1)</f>
        <v>0</v>
      </c>
      <c r="F196" s="3">
        <f>ROUND(IF(Data!E196&gt;5,Data!E196-5,0),1)</f>
        <v>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x14ac:dyDescent="0.2">
      <c r="A197" s="15">
        <f t="shared" si="9"/>
        <v>45848</v>
      </c>
      <c r="B197" s="1">
        <v>7</v>
      </c>
      <c r="C197" s="1">
        <v>191</v>
      </c>
      <c r="D197" s="3">
        <f t="shared" si="8"/>
        <v>202507</v>
      </c>
      <c r="E197" s="3">
        <f>ROUND(IF(Data!E197&lt;0,0-Data!E197,0),1)</f>
        <v>0</v>
      </c>
      <c r="F197" s="3">
        <f>ROUND(IF(Data!E197&gt;5,Data!E197-5,0),1)</f>
        <v>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x14ac:dyDescent="0.2">
      <c r="A198" s="15">
        <f t="shared" si="9"/>
        <v>45849</v>
      </c>
      <c r="B198" s="1">
        <v>7</v>
      </c>
      <c r="C198" s="1">
        <v>192</v>
      </c>
      <c r="D198" s="3">
        <f t="shared" si="8"/>
        <v>202507</v>
      </c>
      <c r="E198" s="3">
        <f>ROUND(IF(Data!E198&lt;0,0-Data!E198,0),1)</f>
        <v>0</v>
      </c>
      <c r="F198" s="3">
        <f>ROUND(IF(Data!E198&gt;5,Data!E198-5,0),1)</f>
        <v>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x14ac:dyDescent="0.2">
      <c r="A199" s="15">
        <f t="shared" si="9"/>
        <v>45850</v>
      </c>
      <c r="B199" s="1">
        <v>7</v>
      </c>
      <c r="C199" s="1">
        <v>193</v>
      </c>
      <c r="D199" s="3">
        <f t="shared" si="8"/>
        <v>202507</v>
      </c>
      <c r="E199" s="3">
        <f>ROUND(IF(Data!E199&lt;0,0-Data!E199,0),1)</f>
        <v>0</v>
      </c>
      <c r="F199" s="3">
        <f>ROUND(IF(Data!E199&gt;5,Data!E199-5,0),1)</f>
        <v>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x14ac:dyDescent="0.2">
      <c r="A200" s="15">
        <f t="shared" si="9"/>
        <v>45851</v>
      </c>
      <c r="B200" s="1">
        <v>7</v>
      </c>
      <c r="C200" s="1">
        <v>194</v>
      </c>
      <c r="D200" s="3">
        <f t="shared" ref="D200:D263" si="10">202500+B200</f>
        <v>202507</v>
      </c>
      <c r="E200" s="3">
        <f>ROUND(IF(Data!E200&lt;0,0-Data!E200,0),1)</f>
        <v>0</v>
      </c>
      <c r="F200" s="3">
        <f>ROUND(IF(Data!E200&gt;5,Data!E200-5,0),1)</f>
        <v>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x14ac:dyDescent="0.2">
      <c r="A201" s="15">
        <f t="shared" ref="A201:A264" si="11">A200+1</f>
        <v>45852</v>
      </c>
      <c r="B201" s="1">
        <v>7</v>
      </c>
      <c r="C201" s="1">
        <v>195</v>
      </c>
      <c r="D201" s="3">
        <f t="shared" si="10"/>
        <v>202507</v>
      </c>
      <c r="E201" s="3">
        <f>ROUND(IF(Data!E201&lt;0,0-Data!E201,0),1)</f>
        <v>0</v>
      </c>
      <c r="F201" s="3">
        <f>ROUND(IF(Data!E201&gt;5,Data!E201-5,0),1)</f>
        <v>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x14ac:dyDescent="0.2">
      <c r="A202" s="15">
        <f t="shared" si="11"/>
        <v>45853</v>
      </c>
      <c r="B202" s="1">
        <v>7</v>
      </c>
      <c r="C202" s="1">
        <v>196</v>
      </c>
      <c r="D202" s="3">
        <f t="shared" si="10"/>
        <v>202507</v>
      </c>
      <c r="E202" s="3">
        <f>ROUND(IF(Data!E202&lt;0,0-Data!E202,0),1)</f>
        <v>0</v>
      </c>
      <c r="F202" s="3">
        <f>ROUND(IF(Data!E202&gt;5,Data!E202-5,0),1)</f>
        <v>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x14ac:dyDescent="0.2">
      <c r="A203" s="15">
        <f t="shared" si="11"/>
        <v>45854</v>
      </c>
      <c r="B203" s="1">
        <v>7</v>
      </c>
      <c r="C203" s="1">
        <v>197</v>
      </c>
      <c r="D203" s="3">
        <f t="shared" si="10"/>
        <v>202507</v>
      </c>
      <c r="E203" s="3">
        <f>ROUND(IF(Data!E203&lt;0,0-Data!E203,0),1)</f>
        <v>0</v>
      </c>
      <c r="F203" s="3">
        <f>ROUND(IF(Data!E203&gt;5,Data!E203-5,0),1)</f>
        <v>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x14ac:dyDescent="0.2">
      <c r="A204" s="15">
        <f t="shared" si="11"/>
        <v>45855</v>
      </c>
      <c r="B204" s="1">
        <v>7</v>
      </c>
      <c r="C204" s="1">
        <v>198</v>
      </c>
      <c r="D204" s="3">
        <f t="shared" si="10"/>
        <v>202507</v>
      </c>
      <c r="E204" s="3">
        <f>ROUND(IF(Data!E204&lt;0,0-Data!E204,0),1)</f>
        <v>0</v>
      </c>
      <c r="F204" s="3">
        <f>ROUND(IF(Data!E204&gt;5,Data!E204-5,0),1)</f>
        <v>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x14ac:dyDescent="0.2">
      <c r="A205" s="15">
        <f t="shared" si="11"/>
        <v>45856</v>
      </c>
      <c r="B205" s="1">
        <v>7</v>
      </c>
      <c r="C205" s="1">
        <v>199</v>
      </c>
      <c r="D205" s="3">
        <f t="shared" si="10"/>
        <v>202507</v>
      </c>
      <c r="E205" s="3">
        <f>ROUND(IF(Data!E205&lt;0,0-Data!E205,0),1)</f>
        <v>0</v>
      </c>
      <c r="F205" s="3">
        <f>ROUND(IF(Data!E205&gt;5,Data!E205-5,0),1)</f>
        <v>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x14ac:dyDescent="0.2">
      <c r="A206" s="15">
        <f t="shared" si="11"/>
        <v>45857</v>
      </c>
      <c r="B206" s="1">
        <v>7</v>
      </c>
      <c r="C206" s="1">
        <v>200</v>
      </c>
      <c r="D206" s="3">
        <f t="shared" si="10"/>
        <v>202507</v>
      </c>
      <c r="E206" s="3">
        <f>ROUND(IF(Data!E206&lt;0,0-Data!E206,0),1)</f>
        <v>0</v>
      </c>
      <c r="F206" s="3">
        <f>ROUND(IF(Data!E206&gt;5,Data!E206-5,0),1)</f>
        <v>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x14ac:dyDescent="0.2">
      <c r="A207" s="15">
        <f t="shared" si="11"/>
        <v>45858</v>
      </c>
      <c r="B207" s="1">
        <v>7</v>
      </c>
      <c r="C207" s="1">
        <v>201</v>
      </c>
      <c r="D207" s="3">
        <f t="shared" si="10"/>
        <v>202507</v>
      </c>
      <c r="E207" s="3">
        <f>ROUND(IF(Data!E207&lt;0,0-Data!E207,0),1)</f>
        <v>0</v>
      </c>
      <c r="F207" s="3">
        <f>ROUND(IF(Data!E207&gt;5,Data!E207-5,0),1)</f>
        <v>0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2">
      <c r="A208" s="15">
        <f t="shared" si="11"/>
        <v>45859</v>
      </c>
      <c r="B208" s="1">
        <v>7</v>
      </c>
      <c r="C208" s="1">
        <v>202</v>
      </c>
      <c r="D208" s="3">
        <f t="shared" si="10"/>
        <v>202507</v>
      </c>
      <c r="E208" s="3">
        <f>ROUND(IF(Data!E208&lt;0,0-Data!E208,0),1)</f>
        <v>0</v>
      </c>
      <c r="F208" s="3">
        <f>ROUND(IF(Data!E208&gt;5,Data!E208-5,0),1)</f>
        <v>0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x14ac:dyDescent="0.2">
      <c r="A209" s="15">
        <f t="shared" si="11"/>
        <v>45860</v>
      </c>
      <c r="B209" s="1">
        <v>7</v>
      </c>
      <c r="C209" s="1">
        <v>203</v>
      </c>
      <c r="D209" s="3">
        <f t="shared" si="10"/>
        <v>202507</v>
      </c>
      <c r="E209" s="3">
        <f>ROUND(IF(Data!E209&lt;0,0-Data!E209,0),1)</f>
        <v>0</v>
      </c>
      <c r="F209" s="3">
        <f>ROUND(IF(Data!E209&gt;5,Data!E209-5,0),1)</f>
        <v>0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x14ac:dyDescent="0.2">
      <c r="A210" s="15">
        <f t="shared" si="11"/>
        <v>45861</v>
      </c>
      <c r="B210" s="1">
        <v>7</v>
      </c>
      <c r="C210" s="1">
        <v>204</v>
      </c>
      <c r="D210" s="3">
        <f t="shared" si="10"/>
        <v>202507</v>
      </c>
      <c r="E210" s="3">
        <f>ROUND(IF(Data!E210&lt;0,0-Data!E210,0),1)</f>
        <v>0</v>
      </c>
      <c r="F210" s="3">
        <f>ROUND(IF(Data!E210&gt;5,Data!E210-5,0),1)</f>
        <v>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x14ac:dyDescent="0.2">
      <c r="A211" s="15">
        <f t="shared" si="11"/>
        <v>45862</v>
      </c>
      <c r="B211" s="1">
        <v>7</v>
      </c>
      <c r="C211" s="1">
        <v>205</v>
      </c>
      <c r="D211" s="3">
        <f t="shared" si="10"/>
        <v>202507</v>
      </c>
      <c r="E211" s="3">
        <f>ROUND(IF(Data!E211&lt;0,0-Data!E211,0),1)</f>
        <v>0</v>
      </c>
      <c r="F211" s="3">
        <f>ROUND(IF(Data!E211&gt;5,Data!E211-5,0),1)</f>
        <v>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x14ac:dyDescent="0.2">
      <c r="A212" s="15">
        <f t="shared" si="11"/>
        <v>45863</v>
      </c>
      <c r="B212" s="1">
        <v>7</v>
      </c>
      <c r="C212" s="1">
        <v>206</v>
      </c>
      <c r="D212" s="3">
        <f t="shared" si="10"/>
        <v>202507</v>
      </c>
      <c r="E212" s="3">
        <f>ROUND(IF(Data!E212&lt;0,0-Data!E212,0),1)</f>
        <v>0</v>
      </c>
      <c r="F212" s="3">
        <f>ROUND(IF(Data!E212&gt;5,Data!E212-5,0),1)</f>
        <v>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x14ac:dyDescent="0.2">
      <c r="A213" s="15">
        <f t="shared" si="11"/>
        <v>45864</v>
      </c>
      <c r="B213" s="1">
        <v>7</v>
      </c>
      <c r="C213" s="1">
        <v>207</v>
      </c>
      <c r="D213" s="3">
        <f t="shared" si="10"/>
        <v>202507</v>
      </c>
      <c r="E213" s="3">
        <f>ROUND(IF(Data!E213&lt;0,0-Data!E213,0),1)</f>
        <v>0</v>
      </c>
      <c r="F213" s="3">
        <f>ROUND(IF(Data!E213&gt;5,Data!E213-5,0),1)</f>
        <v>0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x14ac:dyDescent="0.2">
      <c r="A214" s="15">
        <f t="shared" si="11"/>
        <v>45865</v>
      </c>
      <c r="B214" s="1">
        <v>7</v>
      </c>
      <c r="C214" s="1">
        <v>208</v>
      </c>
      <c r="D214" s="3">
        <f t="shared" si="10"/>
        <v>202507</v>
      </c>
      <c r="E214" s="3">
        <f>ROUND(IF(Data!E214&lt;0,0-Data!E214,0),1)</f>
        <v>0</v>
      </c>
      <c r="F214" s="3">
        <f>ROUND(IF(Data!E214&gt;5,Data!E214-5,0),1)</f>
        <v>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x14ac:dyDescent="0.2">
      <c r="A215" s="15">
        <f t="shared" si="11"/>
        <v>45866</v>
      </c>
      <c r="B215" s="1">
        <v>7</v>
      </c>
      <c r="C215" s="1">
        <v>209</v>
      </c>
      <c r="D215" s="3">
        <f t="shared" si="10"/>
        <v>202507</v>
      </c>
      <c r="E215" s="3">
        <f>ROUND(IF(Data!E215&lt;0,0-Data!E215,0),1)</f>
        <v>0</v>
      </c>
      <c r="F215" s="3">
        <f>ROUND(IF(Data!E215&gt;5,Data!E215-5,0),1)</f>
        <v>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x14ac:dyDescent="0.2">
      <c r="A216" s="15">
        <f t="shared" si="11"/>
        <v>45867</v>
      </c>
      <c r="B216" s="1">
        <v>7</v>
      </c>
      <c r="C216" s="1">
        <v>210</v>
      </c>
      <c r="D216" s="3">
        <f t="shared" si="10"/>
        <v>202507</v>
      </c>
      <c r="E216" s="3">
        <f>ROUND(IF(Data!E216&lt;0,0-Data!E216,0),1)</f>
        <v>0</v>
      </c>
      <c r="F216" s="3">
        <f>ROUND(IF(Data!E216&gt;5,Data!E216-5,0),1)</f>
        <v>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x14ac:dyDescent="0.2">
      <c r="A217" s="15">
        <f t="shared" si="11"/>
        <v>45868</v>
      </c>
      <c r="B217" s="1">
        <v>7</v>
      </c>
      <c r="C217" s="1">
        <v>211</v>
      </c>
      <c r="D217" s="3">
        <f t="shared" si="10"/>
        <v>202507</v>
      </c>
      <c r="E217" s="3">
        <f>ROUND(IF(Data!E217&lt;0,0-Data!E217,0),1)</f>
        <v>0</v>
      </c>
      <c r="F217" s="3">
        <f>ROUND(IF(Data!E217&gt;5,Data!E217-5,0),1)</f>
        <v>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x14ac:dyDescent="0.2">
      <c r="A218" s="15">
        <f t="shared" si="11"/>
        <v>45869</v>
      </c>
      <c r="B218" s="1">
        <v>7</v>
      </c>
      <c r="C218" s="1">
        <v>212</v>
      </c>
      <c r="D218" s="3">
        <f t="shared" si="10"/>
        <v>202507</v>
      </c>
      <c r="E218" s="3">
        <f>ROUND(IF(Data!E218&lt;0,0-Data!E218,0),1)</f>
        <v>0</v>
      </c>
      <c r="F218" s="3">
        <f>ROUND(IF(Data!E218&gt;5,Data!E218-5,0),1)</f>
        <v>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x14ac:dyDescent="0.2">
      <c r="A219" s="15">
        <f t="shared" si="11"/>
        <v>45870</v>
      </c>
      <c r="B219" s="1">
        <v>8</v>
      </c>
      <c r="C219" s="1">
        <v>213</v>
      </c>
      <c r="D219" s="3">
        <f t="shared" si="10"/>
        <v>202508</v>
      </c>
      <c r="E219" s="3">
        <f>ROUND(IF(Data!E219&lt;0,0-Data!E219,0),1)</f>
        <v>0</v>
      </c>
      <c r="F219" s="3">
        <f>ROUND(IF(Data!E219&gt;5,Data!E219-5,0),1)</f>
        <v>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x14ac:dyDescent="0.2">
      <c r="A220" s="15">
        <f t="shared" si="11"/>
        <v>45871</v>
      </c>
      <c r="B220" s="1">
        <v>8</v>
      </c>
      <c r="C220" s="1">
        <v>214</v>
      </c>
      <c r="D220" s="3">
        <f t="shared" si="10"/>
        <v>202508</v>
      </c>
      <c r="E220" s="3">
        <f>ROUND(IF(Data!E220&lt;0,0-Data!E220,0),1)</f>
        <v>0</v>
      </c>
      <c r="F220" s="3">
        <f>ROUND(IF(Data!E220&gt;5,Data!E220-5,0),1)</f>
        <v>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x14ac:dyDescent="0.2">
      <c r="A221" s="15">
        <f t="shared" si="11"/>
        <v>45872</v>
      </c>
      <c r="B221" s="1">
        <v>8</v>
      </c>
      <c r="C221" s="1">
        <v>215</v>
      </c>
      <c r="D221" s="3">
        <f t="shared" si="10"/>
        <v>202508</v>
      </c>
      <c r="E221" s="3">
        <f>ROUND(IF(Data!E221&lt;0,0-Data!E221,0),1)</f>
        <v>0</v>
      </c>
      <c r="F221" s="3">
        <f>ROUND(IF(Data!E221&gt;5,Data!E221-5,0),1)</f>
        <v>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x14ac:dyDescent="0.2">
      <c r="A222" s="15">
        <f t="shared" si="11"/>
        <v>45873</v>
      </c>
      <c r="B222" s="1">
        <v>8</v>
      </c>
      <c r="C222" s="1">
        <v>216</v>
      </c>
      <c r="D222" s="3">
        <f t="shared" si="10"/>
        <v>202508</v>
      </c>
      <c r="E222" s="3">
        <f>ROUND(IF(Data!E222&lt;0,0-Data!E222,0),1)</f>
        <v>0</v>
      </c>
      <c r="F222" s="3">
        <f>ROUND(IF(Data!E222&gt;5,Data!E222-5,0),1)</f>
        <v>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x14ac:dyDescent="0.2">
      <c r="A223" s="15">
        <f t="shared" si="11"/>
        <v>45874</v>
      </c>
      <c r="B223" s="1">
        <v>8</v>
      </c>
      <c r="C223" s="1">
        <v>217</v>
      </c>
      <c r="D223" s="3">
        <f t="shared" si="10"/>
        <v>202508</v>
      </c>
      <c r="E223" s="3">
        <f>ROUND(IF(Data!E223&lt;0,0-Data!E223,0),1)</f>
        <v>0</v>
      </c>
      <c r="F223" s="3">
        <f>ROUND(IF(Data!E223&gt;5,Data!E223-5,0),1)</f>
        <v>0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x14ac:dyDescent="0.2">
      <c r="A224" s="15">
        <f t="shared" si="11"/>
        <v>45875</v>
      </c>
      <c r="B224" s="1">
        <v>8</v>
      </c>
      <c r="C224" s="1">
        <v>218</v>
      </c>
      <c r="D224" s="3">
        <f t="shared" si="10"/>
        <v>202508</v>
      </c>
      <c r="E224" s="3">
        <f>ROUND(IF(Data!E224&lt;0,0-Data!E224,0),1)</f>
        <v>0</v>
      </c>
      <c r="F224" s="3">
        <f>ROUND(IF(Data!E224&gt;5,Data!E224-5,0),1)</f>
        <v>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x14ac:dyDescent="0.2">
      <c r="A225" s="15">
        <f t="shared" si="11"/>
        <v>45876</v>
      </c>
      <c r="B225" s="1">
        <v>8</v>
      </c>
      <c r="C225" s="1">
        <v>219</v>
      </c>
      <c r="D225" s="3">
        <f t="shared" si="10"/>
        <v>202508</v>
      </c>
      <c r="E225" s="3">
        <f>ROUND(IF(Data!E225&lt;0,0-Data!E225,0),1)</f>
        <v>0</v>
      </c>
      <c r="F225" s="3">
        <f>ROUND(IF(Data!E225&gt;5,Data!E225-5,0),1)</f>
        <v>0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x14ac:dyDescent="0.2">
      <c r="A226" s="15">
        <f t="shared" si="11"/>
        <v>45877</v>
      </c>
      <c r="B226" s="1">
        <v>8</v>
      </c>
      <c r="C226" s="1">
        <v>220</v>
      </c>
      <c r="D226" s="3">
        <f t="shared" si="10"/>
        <v>202508</v>
      </c>
      <c r="E226" s="3">
        <f>ROUND(IF(Data!E226&lt;0,0-Data!E226,0),1)</f>
        <v>0</v>
      </c>
      <c r="F226" s="3">
        <f>ROUND(IF(Data!E226&gt;5,Data!E226-5,0),1)</f>
        <v>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x14ac:dyDescent="0.2">
      <c r="A227" s="15">
        <f t="shared" si="11"/>
        <v>45878</v>
      </c>
      <c r="B227" s="1">
        <v>8</v>
      </c>
      <c r="C227" s="1">
        <v>221</v>
      </c>
      <c r="D227" s="3">
        <f t="shared" si="10"/>
        <v>202508</v>
      </c>
      <c r="E227" s="3">
        <f>ROUND(IF(Data!E227&lt;0,0-Data!E227,0),1)</f>
        <v>0</v>
      </c>
      <c r="F227" s="3">
        <f>ROUND(IF(Data!E227&gt;5,Data!E227-5,0),1)</f>
        <v>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x14ac:dyDescent="0.2">
      <c r="A228" s="15">
        <f t="shared" si="11"/>
        <v>45879</v>
      </c>
      <c r="B228" s="1">
        <v>8</v>
      </c>
      <c r="C228" s="1">
        <v>222</v>
      </c>
      <c r="D228" s="3">
        <f t="shared" si="10"/>
        <v>202508</v>
      </c>
      <c r="E228" s="3">
        <f>ROUND(IF(Data!E228&lt;0,0-Data!E228,0),1)</f>
        <v>0</v>
      </c>
      <c r="F228" s="3">
        <f>ROUND(IF(Data!E228&gt;5,Data!E228-5,0),1)</f>
        <v>0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x14ac:dyDescent="0.2">
      <c r="A229" s="15">
        <f t="shared" si="11"/>
        <v>45880</v>
      </c>
      <c r="B229" s="1">
        <v>8</v>
      </c>
      <c r="C229" s="1">
        <v>223</v>
      </c>
      <c r="D229" s="3">
        <f t="shared" si="10"/>
        <v>202508</v>
      </c>
      <c r="E229" s="3">
        <f>ROUND(IF(Data!E229&lt;0,0-Data!E229,0),1)</f>
        <v>0</v>
      </c>
      <c r="F229" s="3">
        <f>ROUND(IF(Data!E229&gt;5,Data!E229-5,0),1)</f>
        <v>0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x14ac:dyDescent="0.2">
      <c r="A230" s="15">
        <f t="shared" si="11"/>
        <v>45881</v>
      </c>
      <c r="B230" s="1">
        <v>8</v>
      </c>
      <c r="C230" s="1">
        <v>224</v>
      </c>
      <c r="D230" s="3">
        <f t="shared" si="10"/>
        <v>202508</v>
      </c>
      <c r="E230" s="3">
        <f>ROUND(IF(Data!E230&lt;0,0-Data!E230,0),1)</f>
        <v>0</v>
      </c>
      <c r="F230" s="3">
        <f>ROUND(IF(Data!E230&gt;5,Data!E230-5,0),1)</f>
        <v>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x14ac:dyDescent="0.2">
      <c r="A231" s="15">
        <f t="shared" si="11"/>
        <v>45882</v>
      </c>
      <c r="B231" s="1">
        <v>8</v>
      </c>
      <c r="C231" s="1">
        <v>225</v>
      </c>
      <c r="D231" s="3">
        <f t="shared" si="10"/>
        <v>202508</v>
      </c>
      <c r="E231" s="3">
        <f>ROUND(IF(Data!E231&lt;0,0-Data!E231,0),1)</f>
        <v>0</v>
      </c>
      <c r="F231" s="3">
        <f>ROUND(IF(Data!E231&gt;5,Data!E231-5,0),1)</f>
        <v>0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x14ac:dyDescent="0.2">
      <c r="A232" s="15">
        <f t="shared" si="11"/>
        <v>45883</v>
      </c>
      <c r="B232" s="1">
        <v>8</v>
      </c>
      <c r="C232" s="1">
        <v>226</v>
      </c>
      <c r="D232" s="3">
        <f t="shared" si="10"/>
        <v>202508</v>
      </c>
      <c r="E232" s="3">
        <f>ROUND(IF(Data!E232&lt;0,0-Data!E232,0),1)</f>
        <v>0</v>
      </c>
      <c r="F232" s="3">
        <f>ROUND(IF(Data!E232&gt;5,Data!E232-5,0),1)</f>
        <v>0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x14ac:dyDescent="0.2">
      <c r="A233" s="15">
        <f t="shared" si="11"/>
        <v>45884</v>
      </c>
      <c r="B233" s="1">
        <v>8</v>
      </c>
      <c r="C233" s="1">
        <v>227</v>
      </c>
      <c r="D233" s="3">
        <f t="shared" si="10"/>
        <v>202508</v>
      </c>
      <c r="E233" s="3">
        <f>ROUND(IF(Data!E233&lt;0,0-Data!E233,0),1)</f>
        <v>0</v>
      </c>
      <c r="F233" s="3">
        <f>ROUND(IF(Data!E233&gt;5,Data!E233-5,0),1)</f>
        <v>0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x14ac:dyDescent="0.2">
      <c r="A234" s="15">
        <f t="shared" si="11"/>
        <v>45885</v>
      </c>
      <c r="B234" s="1">
        <v>8</v>
      </c>
      <c r="C234" s="1">
        <v>228</v>
      </c>
      <c r="D234" s="3">
        <f t="shared" si="10"/>
        <v>202508</v>
      </c>
      <c r="E234" s="3">
        <f>ROUND(IF(Data!E234&lt;0,0-Data!E234,0),1)</f>
        <v>0</v>
      </c>
      <c r="F234" s="3">
        <f>ROUND(IF(Data!E234&gt;5,Data!E234-5,0),1)</f>
        <v>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x14ac:dyDescent="0.2">
      <c r="A235" s="15">
        <f t="shared" si="11"/>
        <v>45886</v>
      </c>
      <c r="B235" s="1">
        <v>8</v>
      </c>
      <c r="C235" s="1">
        <v>229</v>
      </c>
      <c r="D235" s="3">
        <f t="shared" si="10"/>
        <v>202508</v>
      </c>
      <c r="E235" s="3">
        <f>ROUND(IF(Data!E235&lt;0,0-Data!E235,0),1)</f>
        <v>0</v>
      </c>
      <c r="F235" s="3">
        <f>ROUND(IF(Data!E235&gt;5,Data!E235-5,0),1)</f>
        <v>0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x14ac:dyDescent="0.2">
      <c r="A236" s="15">
        <f t="shared" si="11"/>
        <v>45887</v>
      </c>
      <c r="B236" s="1">
        <v>8</v>
      </c>
      <c r="C236" s="1">
        <v>230</v>
      </c>
      <c r="D236" s="3">
        <f t="shared" si="10"/>
        <v>202508</v>
      </c>
      <c r="E236" s="3">
        <f>ROUND(IF(Data!E236&lt;0,0-Data!E236,0),1)</f>
        <v>0</v>
      </c>
      <c r="F236" s="3">
        <f>ROUND(IF(Data!E236&gt;5,Data!E236-5,0),1)</f>
        <v>0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x14ac:dyDescent="0.2">
      <c r="A237" s="15">
        <f t="shared" si="11"/>
        <v>45888</v>
      </c>
      <c r="B237" s="1">
        <v>8</v>
      </c>
      <c r="C237" s="1">
        <v>231</v>
      </c>
      <c r="D237" s="3">
        <f t="shared" si="10"/>
        <v>202508</v>
      </c>
      <c r="E237" s="3">
        <f>ROUND(IF(Data!E237&lt;0,0-Data!E237,0),1)</f>
        <v>0</v>
      </c>
      <c r="F237" s="3">
        <f>ROUND(IF(Data!E237&gt;5,Data!E237-5,0),1)</f>
        <v>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x14ac:dyDescent="0.2">
      <c r="A238" s="15">
        <f t="shared" si="11"/>
        <v>45889</v>
      </c>
      <c r="B238" s="1">
        <v>8</v>
      </c>
      <c r="C238" s="1">
        <v>232</v>
      </c>
      <c r="D238" s="3">
        <f t="shared" si="10"/>
        <v>202508</v>
      </c>
      <c r="E238" s="3">
        <f>ROUND(IF(Data!E238&lt;0,0-Data!E238,0),1)</f>
        <v>0</v>
      </c>
      <c r="F238" s="3">
        <f>ROUND(IF(Data!E238&gt;5,Data!E238-5,0),1)</f>
        <v>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x14ac:dyDescent="0.2">
      <c r="A239" s="15">
        <f t="shared" si="11"/>
        <v>45890</v>
      </c>
      <c r="B239" s="1">
        <v>8</v>
      </c>
      <c r="C239" s="1">
        <v>233</v>
      </c>
      <c r="D239" s="3">
        <f t="shared" si="10"/>
        <v>202508</v>
      </c>
      <c r="E239" s="3">
        <f>ROUND(IF(Data!E239&lt;0,0-Data!E239,0),1)</f>
        <v>0</v>
      </c>
      <c r="F239" s="3">
        <f>ROUND(IF(Data!E239&gt;5,Data!E239-5,0),1)</f>
        <v>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x14ac:dyDescent="0.2">
      <c r="A240" s="15">
        <f t="shared" si="11"/>
        <v>45891</v>
      </c>
      <c r="B240" s="1">
        <v>8</v>
      </c>
      <c r="C240" s="1">
        <v>234</v>
      </c>
      <c r="D240" s="3">
        <f t="shared" si="10"/>
        <v>202508</v>
      </c>
      <c r="E240" s="3">
        <f>ROUND(IF(Data!E240&lt;0,0-Data!E240,0),1)</f>
        <v>0</v>
      </c>
      <c r="F240" s="3">
        <f>ROUND(IF(Data!E240&gt;5,Data!E240-5,0),1)</f>
        <v>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x14ac:dyDescent="0.2">
      <c r="A241" s="15">
        <f t="shared" si="11"/>
        <v>45892</v>
      </c>
      <c r="B241" s="1">
        <v>8</v>
      </c>
      <c r="C241" s="1">
        <v>235</v>
      </c>
      <c r="D241" s="3">
        <f t="shared" si="10"/>
        <v>202508</v>
      </c>
      <c r="E241" s="3">
        <f>ROUND(IF(Data!E241&lt;0,0-Data!E241,0),1)</f>
        <v>0</v>
      </c>
      <c r="F241" s="3">
        <f>ROUND(IF(Data!E241&gt;5,Data!E241-5,0),1)</f>
        <v>0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x14ac:dyDescent="0.2">
      <c r="A242" s="15">
        <f t="shared" si="11"/>
        <v>45893</v>
      </c>
      <c r="B242" s="1">
        <v>8</v>
      </c>
      <c r="C242" s="1">
        <v>236</v>
      </c>
      <c r="D242" s="3">
        <f t="shared" si="10"/>
        <v>202508</v>
      </c>
      <c r="E242" s="3">
        <f>ROUND(IF(Data!E242&lt;0,0-Data!E242,0),1)</f>
        <v>0</v>
      </c>
      <c r="F242" s="3">
        <f>ROUND(IF(Data!E242&gt;5,Data!E242-5,0),1)</f>
        <v>0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x14ac:dyDescent="0.2">
      <c r="A243" s="15">
        <f t="shared" si="11"/>
        <v>45894</v>
      </c>
      <c r="B243" s="1">
        <v>8</v>
      </c>
      <c r="C243" s="1">
        <v>237</v>
      </c>
      <c r="D243" s="3">
        <f t="shared" si="10"/>
        <v>202508</v>
      </c>
      <c r="E243" s="3">
        <f>ROUND(IF(Data!E243&lt;0,0-Data!E243,0),1)</f>
        <v>0</v>
      </c>
      <c r="F243" s="3">
        <f>ROUND(IF(Data!E243&gt;5,Data!E243-5,0),1)</f>
        <v>0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x14ac:dyDescent="0.2">
      <c r="A244" s="15">
        <f t="shared" si="11"/>
        <v>45895</v>
      </c>
      <c r="B244" s="1">
        <v>8</v>
      </c>
      <c r="C244" s="1">
        <v>238</v>
      </c>
      <c r="D244" s="3">
        <f t="shared" si="10"/>
        <v>202508</v>
      </c>
      <c r="E244" s="3">
        <f>ROUND(IF(Data!E244&lt;0,0-Data!E244,0),1)</f>
        <v>0</v>
      </c>
      <c r="F244" s="3">
        <f>ROUND(IF(Data!E244&gt;5,Data!E244-5,0),1)</f>
        <v>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x14ac:dyDescent="0.2">
      <c r="A245" s="15">
        <f t="shared" si="11"/>
        <v>45896</v>
      </c>
      <c r="B245" s="1">
        <v>8</v>
      </c>
      <c r="C245" s="1">
        <v>239</v>
      </c>
      <c r="D245" s="3">
        <f t="shared" si="10"/>
        <v>202508</v>
      </c>
      <c r="E245" s="3">
        <f>ROUND(IF(Data!E245&lt;0,0-Data!E245,0),1)</f>
        <v>0</v>
      </c>
      <c r="F245" s="3">
        <f>ROUND(IF(Data!E245&gt;5,Data!E245-5,0),1)</f>
        <v>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x14ac:dyDescent="0.2">
      <c r="A246" s="15">
        <f t="shared" si="11"/>
        <v>45897</v>
      </c>
      <c r="B246" s="1">
        <v>8</v>
      </c>
      <c r="C246" s="1">
        <v>240</v>
      </c>
      <c r="D246" s="3">
        <f t="shared" si="10"/>
        <v>202508</v>
      </c>
      <c r="E246" s="3">
        <f>ROUND(IF(Data!E246&lt;0,0-Data!E246,0),1)</f>
        <v>0</v>
      </c>
      <c r="F246" s="3">
        <f>ROUND(IF(Data!E246&gt;5,Data!E246-5,0),1)</f>
        <v>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x14ac:dyDescent="0.2">
      <c r="A247" s="15">
        <f t="shared" si="11"/>
        <v>45898</v>
      </c>
      <c r="B247" s="1">
        <v>8</v>
      </c>
      <c r="C247" s="1">
        <v>241</v>
      </c>
      <c r="D247" s="3">
        <f t="shared" si="10"/>
        <v>202508</v>
      </c>
      <c r="E247" s="3">
        <f>ROUND(IF(Data!E247&lt;0,0-Data!E247,0),1)</f>
        <v>0</v>
      </c>
      <c r="F247" s="3">
        <f>ROUND(IF(Data!E247&gt;5,Data!E247-5,0),1)</f>
        <v>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x14ac:dyDescent="0.2">
      <c r="A248" s="15">
        <f t="shared" si="11"/>
        <v>45899</v>
      </c>
      <c r="B248" s="1">
        <v>8</v>
      </c>
      <c r="C248" s="1">
        <v>242</v>
      </c>
      <c r="D248" s="3">
        <f t="shared" si="10"/>
        <v>202508</v>
      </c>
      <c r="E248" s="3">
        <f>ROUND(IF(Data!E248&lt;0,0-Data!E248,0),1)</f>
        <v>0</v>
      </c>
      <c r="F248" s="3">
        <f>ROUND(IF(Data!E248&gt;5,Data!E248-5,0),1)</f>
        <v>0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x14ac:dyDescent="0.2">
      <c r="A249" s="15">
        <f t="shared" si="11"/>
        <v>45900</v>
      </c>
      <c r="B249" s="1">
        <v>8</v>
      </c>
      <c r="C249" s="1">
        <v>243</v>
      </c>
      <c r="D249" s="3">
        <f t="shared" si="10"/>
        <v>202508</v>
      </c>
      <c r="E249" s="3">
        <f>ROUND(IF(Data!E249&lt;0,0-Data!E249,0),1)</f>
        <v>0</v>
      </c>
      <c r="F249" s="3">
        <f>ROUND(IF(Data!E249&gt;5,Data!E249-5,0),1)</f>
        <v>0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x14ac:dyDescent="0.2">
      <c r="A250" s="15">
        <f t="shared" si="11"/>
        <v>45901</v>
      </c>
      <c r="B250" s="1">
        <v>9</v>
      </c>
      <c r="C250" s="1">
        <v>244</v>
      </c>
      <c r="D250" s="3">
        <f t="shared" si="10"/>
        <v>202509</v>
      </c>
      <c r="E250" s="3">
        <f>ROUND(IF(Data!E250&lt;0,0-Data!E250,0),1)</f>
        <v>0</v>
      </c>
      <c r="F250" s="3">
        <f>ROUND(IF(Data!E250&gt;5,Data!E250-5,0),1)</f>
        <v>0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x14ac:dyDescent="0.2">
      <c r="A251" s="15">
        <f t="shared" si="11"/>
        <v>45902</v>
      </c>
      <c r="B251" s="1">
        <v>9</v>
      </c>
      <c r="C251" s="1">
        <v>245</v>
      </c>
      <c r="D251" s="3">
        <f t="shared" si="10"/>
        <v>202509</v>
      </c>
      <c r="E251" s="3">
        <f>ROUND(IF(Data!E251&lt;0,0-Data!E251,0),1)</f>
        <v>0</v>
      </c>
      <c r="F251" s="3">
        <f>ROUND(IF(Data!E251&gt;5,Data!E251-5,0),1)</f>
        <v>0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x14ac:dyDescent="0.2">
      <c r="A252" s="15">
        <f t="shared" si="11"/>
        <v>45903</v>
      </c>
      <c r="B252" s="1">
        <v>9</v>
      </c>
      <c r="C252" s="1">
        <v>246</v>
      </c>
      <c r="D252" s="3">
        <f t="shared" si="10"/>
        <v>202509</v>
      </c>
      <c r="E252" s="3">
        <f>ROUND(IF(Data!E252&lt;0,0-Data!E252,0),1)</f>
        <v>0</v>
      </c>
      <c r="F252" s="3">
        <f>ROUND(IF(Data!E252&gt;5,Data!E252-5,0),1)</f>
        <v>0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x14ac:dyDescent="0.2">
      <c r="A253" s="15">
        <f t="shared" si="11"/>
        <v>45904</v>
      </c>
      <c r="B253" s="1">
        <v>9</v>
      </c>
      <c r="C253" s="1">
        <v>247</v>
      </c>
      <c r="D253" s="3">
        <f t="shared" si="10"/>
        <v>202509</v>
      </c>
      <c r="E253" s="3">
        <f>ROUND(IF(Data!E253&lt;0,0-Data!E253,0),1)</f>
        <v>0</v>
      </c>
      <c r="F253" s="3">
        <f>ROUND(IF(Data!E253&gt;5,Data!E253-5,0),1)</f>
        <v>0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x14ac:dyDescent="0.2">
      <c r="A254" s="15">
        <f t="shared" si="11"/>
        <v>45905</v>
      </c>
      <c r="B254" s="1">
        <v>9</v>
      </c>
      <c r="C254" s="1">
        <v>248</v>
      </c>
      <c r="D254" s="3">
        <f t="shared" si="10"/>
        <v>202509</v>
      </c>
      <c r="E254" s="3">
        <f>ROUND(IF(Data!E254&lt;0,0-Data!E254,0),1)</f>
        <v>0</v>
      </c>
      <c r="F254" s="3">
        <f>ROUND(IF(Data!E254&gt;5,Data!E254-5,0),1)</f>
        <v>0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x14ac:dyDescent="0.2">
      <c r="A255" s="15">
        <f t="shared" si="11"/>
        <v>45906</v>
      </c>
      <c r="B255" s="1">
        <v>9</v>
      </c>
      <c r="C255" s="1">
        <v>249</v>
      </c>
      <c r="D255" s="3">
        <f t="shared" si="10"/>
        <v>202509</v>
      </c>
      <c r="E255" s="3">
        <f>ROUND(IF(Data!E255&lt;0,0-Data!E255,0),1)</f>
        <v>0</v>
      </c>
      <c r="F255" s="3">
        <f>ROUND(IF(Data!E255&gt;5,Data!E255-5,0),1)</f>
        <v>0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x14ac:dyDescent="0.2">
      <c r="A256" s="15">
        <f t="shared" si="11"/>
        <v>45907</v>
      </c>
      <c r="B256" s="1">
        <v>9</v>
      </c>
      <c r="C256" s="1">
        <v>250</v>
      </c>
      <c r="D256" s="3">
        <f t="shared" si="10"/>
        <v>202509</v>
      </c>
      <c r="E256" s="3">
        <f>ROUND(IF(Data!E256&lt;0,0-Data!E256,0),1)</f>
        <v>0</v>
      </c>
      <c r="F256" s="3">
        <f>ROUND(IF(Data!E256&gt;5,Data!E256-5,0),1)</f>
        <v>0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x14ac:dyDescent="0.2">
      <c r="A257" s="15">
        <f t="shared" si="11"/>
        <v>45908</v>
      </c>
      <c r="B257" s="1">
        <v>9</v>
      </c>
      <c r="C257" s="1">
        <v>251</v>
      </c>
      <c r="D257" s="3">
        <f t="shared" si="10"/>
        <v>202509</v>
      </c>
      <c r="E257" s="3">
        <f>ROUND(IF(Data!E257&lt;0,0-Data!E257,0),1)</f>
        <v>0</v>
      </c>
      <c r="F257" s="3">
        <f>ROUND(IF(Data!E257&gt;5,Data!E257-5,0),1)</f>
        <v>0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x14ac:dyDescent="0.2">
      <c r="A258" s="15">
        <f t="shared" si="11"/>
        <v>45909</v>
      </c>
      <c r="B258" s="1">
        <v>9</v>
      </c>
      <c r="C258" s="1">
        <v>252</v>
      </c>
      <c r="D258" s="3">
        <f t="shared" si="10"/>
        <v>202509</v>
      </c>
      <c r="E258" s="3">
        <f>ROUND(IF(Data!E258&lt;0,0-Data!E258,0),1)</f>
        <v>0</v>
      </c>
      <c r="F258" s="3">
        <f>ROUND(IF(Data!E258&gt;5,Data!E258-5,0),1)</f>
        <v>0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x14ac:dyDescent="0.2">
      <c r="A259" s="15">
        <f t="shared" si="11"/>
        <v>45910</v>
      </c>
      <c r="B259" s="1">
        <v>9</v>
      </c>
      <c r="C259" s="1">
        <v>253</v>
      </c>
      <c r="D259" s="3">
        <f t="shared" si="10"/>
        <v>202509</v>
      </c>
      <c r="E259" s="3">
        <f>ROUND(IF(Data!E259&lt;0,0-Data!E259,0),1)</f>
        <v>0</v>
      </c>
      <c r="F259" s="3">
        <f>ROUND(IF(Data!E259&gt;5,Data!E259-5,0),1)</f>
        <v>0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x14ac:dyDescent="0.2">
      <c r="A260" s="15">
        <f t="shared" si="11"/>
        <v>45911</v>
      </c>
      <c r="B260" s="1">
        <v>9</v>
      </c>
      <c r="C260" s="1">
        <v>254</v>
      </c>
      <c r="D260" s="3">
        <f t="shared" si="10"/>
        <v>202509</v>
      </c>
      <c r="E260" s="3">
        <f>ROUND(IF(Data!E260&lt;0,0-Data!E260,0),1)</f>
        <v>0</v>
      </c>
      <c r="F260" s="3">
        <f>ROUND(IF(Data!E260&gt;5,Data!E260-5,0),1)</f>
        <v>0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x14ac:dyDescent="0.2">
      <c r="A261" s="15">
        <f t="shared" si="11"/>
        <v>45912</v>
      </c>
      <c r="B261" s="1">
        <v>9</v>
      </c>
      <c r="C261" s="1">
        <v>255</v>
      </c>
      <c r="D261" s="3">
        <f t="shared" si="10"/>
        <v>202509</v>
      </c>
      <c r="E261" s="3">
        <f>ROUND(IF(Data!E261&lt;0,0-Data!E261,0),1)</f>
        <v>0</v>
      </c>
      <c r="F261" s="3">
        <f>ROUND(IF(Data!E261&gt;5,Data!E261-5,0),1)</f>
        <v>0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x14ac:dyDescent="0.2">
      <c r="A262" s="15">
        <f t="shared" si="11"/>
        <v>45913</v>
      </c>
      <c r="B262" s="1">
        <v>9</v>
      </c>
      <c r="C262" s="1">
        <v>256</v>
      </c>
      <c r="D262" s="3">
        <f t="shared" si="10"/>
        <v>202509</v>
      </c>
      <c r="E262" s="3">
        <f>ROUND(IF(Data!E262&lt;0,0-Data!E262,0),1)</f>
        <v>0</v>
      </c>
      <c r="F262" s="3">
        <f>ROUND(IF(Data!E262&gt;5,Data!E262-5,0),1)</f>
        <v>0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x14ac:dyDescent="0.2">
      <c r="A263" s="15">
        <f t="shared" si="11"/>
        <v>45914</v>
      </c>
      <c r="B263" s="1">
        <v>9</v>
      </c>
      <c r="C263" s="1">
        <v>257</v>
      </c>
      <c r="D263" s="3">
        <f t="shared" si="10"/>
        <v>202509</v>
      </c>
      <c r="E263" s="3">
        <f>ROUND(IF(Data!E263&lt;0,0-Data!E263,0),1)</f>
        <v>0</v>
      </c>
      <c r="F263" s="3">
        <f>ROUND(IF(Data!E263&gt;5,Data!E263-5,0),1)</f>
        <v>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x14ac:dyDescent="0.2">
      <c r="A264" s="15">
        <f t="shared" si="11"/>
        <v>45915</v>
      </c>
      <c r="B264" s="1">
        <v>9</v>
      </c>
      <c r="C264" s="1">
        <v>258</v>
      </c>
      <c r="D264" s="3">
        <f t="shared" ref="D264:D327" si="12">202500+B264</f>
        <v>202509</v>
      </c>
      <c r="E264" s="3">
        <f>ROUND(IF(Data!E264&lt;0,0-Data!E264,0),1)</f>
        <v>0</v>
      </c>
      <c r="F264" s="3">
        <f>ROUND(IF(Data!E264&gt;5,Data!E264-5,0),1)</f>
        <v>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x14ac:dyDescent="0.2">
      <c r="A265" s="15">
        <f t="shared" ref="A265:A328" si="13">A264+1</f>
        <v>45916</v>
      </c>
      <c r="B265" s="1">
        <v>9</v>
      </c>
      <c r="C265" s="1">
        <v>259</v>
      </c>
      <c r="D265" s="3">
        <f t="shared" si="12"/>
        <v>202509</v>
      </c>
      <c r="E265" s="3">
        <f>ROUND(IF(Data!E265&lt;0,0-Data!E265,0),1)</f>
        <v>0</v>
      </c>
      <c r="F265" s="3">
        <f>ROUND(IF(Data!E265&gt;5,Data!E265-5,0),1)</f>
        <v>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x14ac:dyDescent="0.2">
      <c r="A266" s="15">
        <f t="shared" si="13"/>
        <v>45917</v>
      </c>
      <c r="B266" s="1">
        <v>9</v>
      </c>
      <c r="C266" s="1">
        <v>260</v>
      </c>
      <c r="D266" s="3">
        <f t="shared" si="12"/>
        <v>202509</v>
      </c>
      <c r="E266" s="3">
        <f>ROUND(IF(Data!E266&lt;0,0-Data!E266,0),1)</f>
        <v>0</v>
      </c>
      <c r="F266" s="3">
        <f>ROUND(IF(Data!E266&gt;5,Data!E266-5,0),1)</f>
        <v>0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x14ac:dyDescent="0.2">
      <c r="A267" s="15">
        <f t="shared" si="13"/>
        <v>45918</v>
      </c>
      <c r="B267" s="1">
        <v>9</v>
      </c>
      <c r="C267" s="1">
        <v>261</v>
      </c>
      <c r="D267" s="3">
        <f t="shared" si="12"/>
        <v>202509</v>
      </c>
      <c r="E267" s="3">
        <f>ROUND(IF(Data!E267&lt;0,0-Data!E267,0),1)</f>
        <v>0</v>
      </c>
      <c r="F267" s="3">
        <f>ROUND(IF(Data!E267&gt;5,Data!E267-5,0),1)</f>
        <v>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x14ac:dyDescent="0.2">
      <c r="A268" s="15">
        <f t="shared" si="13"/>
        <v>45919</v>
      </c>
      <c r="B268" s="1">
        <v>9</v>
      </c>
      <c r="C268" s="1">
        <v>262</v>
      </c>
      <c r="D268" s="3">
        <f t="shared" si="12"/>
        <v>202509</v>
      </c>
      <c r="E268" s="3">
        <f>ROUND(IF(Data!E268&lt;0,0-Data!E268,0),1)</f>
        <v>0</v>
      </c>
      <c r="F268" s="3">
        <f>ROUND(IF(Data!E268&gt;5,Data!E268-5,0),1)</f>
        <v>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x14ac:dyDescent="0.2">
      <c r="A269" s="15">
        <f t="shared" si="13"/>
        <v>45920</v>
      </c>
      <c r="B269" s="1">
        <v>9</v>
      </c>
      <c r="C269" s="1">
        <v>263</v>
      </c>
      <c r="D269" s="3">
        <f t="shared" si="12"/>
        <v>202509</v>
      </c>
      <c r="E269" s="3">
        <f>ROUND(IF(Data!E269&lt;0,0-Data!E269,0),1)</f>
        <v>0</v>
      </c>
      <c r="F269" s="3">
        <f>ROUND(IF(Data!E269&gt;5,Data!E269-5,0),1)</f>
        <v>0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x14ac:dyDescent="0.2">
      <c r="A270" s="15">
        <f t="shared" si="13"/>
        <v>45921</v>
      </c>
      <c r="B270" s="1">
        <v>9</v>
      </c>
      <c r="C270" s="1">
        <v>264</v>
      </c>
      <c r="D270" s="3">
        <f t="shared" si="12"/>
        <v>202509</v>
      </c>
      <c r="E270" s="3">
        <f>ROUND(IF(Data!E270&lt;0,0-Data!E270,0),1)</f>
        <v>0</v>
      </c>
      <c r="F270" s="3">
        <f>ROUND(IF(Data!E270&gt;5,Data!E270-5,0),1)</f>
        <v>0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x14ac:dyDescent="0.2">
      <c r="A271" s="15">
        <f t="shared" si="13"/>
        <v>45922</v>
      </c>
      <c r="B271" s="1">
        <v>9</v>
      </c>
      <c r="C271" s="1">
        <v>265</v>
      </c>
      <c r="D271" s="3">
        <f t="shared" si="12"/>
        <v>202509</v>
      </c>
      <c r="E271" s="3">
        <f>ROUND(IF(Data!E271&lt;0,0-Data!E271,0),1)</f>
        <v>0</v>
      </c>
      <c r="F271" s="3">
        <f>ROUND(IF(Data!E271&gt;5,Data!E271-5,0),1)</f>
        <v>0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x14ac:dyDescent="0.2">
      <c r="A272" s="15">
        <f t="shared" si="13"/>
        <v>45923</v>
      </c>
      <c r="B272" s="1">
        <v>9</v>
      </c>
      <c r="C272" s="1">
        <v>266</v>
      </c>
      <c r="D272" s="3">
        <f t="shared" si="12"/>
        <v>202509</v>
      </c>
      <c r="E272" s="3">
        <f>ROUND(IF(Data!E272&lt;0,0-Data!E272,0),1)</f>
        <v>0</v>
      </c>
      <c r="F272" s="3">
        <f>ROUND(IF(Data!E272&gt;5,Data!E272-5,0),1)</f>
        <v>0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x14ac:dyDescent="0.2">
      <c r="A273" s="15">
        <f t="shared" si="13"/>
        <v>45924</v>
      </c>
      <c r="B273" s="1">
        <v>9</v>
      </c>
      <c r="C273" s="1">
        <v>267</v>
      </c>
      <c r="D273" s="3">
        <f t="shared" si="12"/>
        <v>202509</v>
      </c>
      <c r="E273" s="3">
        <f>ROUND(IF(Data!E273&lt;0,0-Data!E273,0),1)</f>
        <v>0</v>
      </c>
      <c r="F273" s="3">
        <f>ROUND(IF(Data!E273&gt;5,Data!E273-5,0),1)</f>
        <v>0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x14ac:dyDescent="0.2">
      <c r="A274" s="15">
        <f t="shared" si="13"/>
        <v>45925</v>
      </c>
      <c r="B274" s="1">
        <v>9</v>
      </c>
      <c r="C274" s="1">
        <v>268</v>
      </c>
      <c r="D274" s="3">
        <f t="shared" si="12"/>
        <v>202509</v>
      </c>
      <c r="E274" s="3">
        <f>ROUND(IF(Data!E274&lt;0,0-Data!E274,0),1)</f>
        <v>0</v>
      </c>
      <c r="F274" s="3">
        <f>ROUND(IF(Data!E274&gt;5,Data!E274-5,0),1)</f>
        <v>0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x14ac:dyDescent="0.2">
      <c r="A275" s="15">
        <f t="shared" si="13"/>
        <v>45926</v>
      </c>
      <c r="B275" s="1">
        <v>9</v>
      </c>
      <c r="C275" s="1">
        <v>269</v>
      </c>
      <c r="D275" s="3">
        <f t="shared" si="12"/>
        <v>202509</v>
      </c>
      <c r="E275" s="3">
        <f>ROUND(IF(Data!E275&lt;0,0-Data!E275,0),1)</f>
        <v>0</v>
      </c>
      <c r="F275" s="3">
        <f>ROUND(IF(Data!E275&gt;5,Data!E275-5,0),1)</f>
        <v>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x14ac:dyDescent="0.2">
      <c r="A276" s="15">
        <f t="shared" si="13"/>
        <v>45927</v>
      </c>
      <c r="B276" s="1">
        <v>9</v>
      </c>
      <c r="C276" s="1">
        <v>270</v>
      </c>
      <c r="D276" s="3">
        <f t="shared" si="12"/>
        <v>202509</v>
      </c>
      <c r="E276" s="3">
        <f>ROUND(IF(Data!E276&lt;0,0-Data!E276,0),1)</f>
        <v>0</v>
      </c>
      <c r="F276" s="3">
        <f>ROUND(IF(Data!E276&gt;5,Data!E276-5,0),1)</f>
        <v>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x14ac:dyDescent="0.2">
      <c r="A277" s="15">
        <f t="shared" si="13"/>
        <v>45928</v>
      </c>
      <c r="B277" s="1">
        <v>9</v>
      </c>
      <c r="C277" s="1">
        <v>271</v>
      </c>
      <c r="D277" s="3">
        <f t="shared" si="12"/>
        <v>202509</v>
      </c>
      <c r="E277" s="3">
        <f>ROUND(IF(Data!E277&lt;0,0-Data!E277,0),1)</f>
        <v>0</v>
      </c>
      <c r="F277" s="3">
        <f>ROUND(IF(Data!E277&gt;5,Data!E277-5,0),1)</f>
        <v>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x14ac:dyDescent="0.2">
      <c r="A278" s="15">
        <f t="shared" si="13"/>
        <v>45929</v>
      </c>
      <c r="B278" s="1">
        <v>9</v>
      </c>
      <c r="C278" s="1">
        <v>272</v>
      </c>
      <c r="D278" s="3">
        <f t="shared" si="12"/>
        <v>202509</v>
      </c>
      <c r="E278" s="3">
        <f>ROUND(IF(Data!E278&lt;0,0-Data!E278,0),1)</f>
        <v>0</v>
      </c>
      <c r="F278" s="3">
        <f>ROUND(IF(Data!E278&gt;5,Data!E278-5,0),1)</f>
        <v>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x14ac:dyDescent="0.2">
      <c r="A279" s="15">
        <f t="shared" si="13"/>
        <v>45930</v>
      </c>
      <c r="B279" s="1">
        <v>9</v>
      </c>
      <c r="C279" s="1">
        <v>273</v>
      </c>
      <c r="D279" s="3">
        <f t="shared" si="12"/>
        <v>202509</v>
      </c>
      <c r="E279" s="3">
        <f>ROUND(IF(Data!E279&lt;0,0-Data!E279,0),1)</f>
        <v>0</v>
      </c>
      <c r="F279" s="3">
        <f>ROUND(IF(Data!E279&gt;5,Data!E279-5,0),1)</f>
        <v>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x14ac:dyDescent="0.2">
      <c r="A280" s="15">
        <f t="shared" si="13"/>
        <v>45931</v>
      </c>
      <c r="B280" s="1">
        <v>10</v>
      </c>
      <c r="C280" s="1">
        <v>274</v>
      </c>
      <c r="D280" s="3">
        <f t="shared" si="12"/>
        <v>202510</v>
      </c>
      <c r="E280" s="3">
        <f>ROUND(IF(Data!E280&lt;0,0-Data!E280,0),1)</f>
        <v>0</v>
      </c>
      <c r="F280" s="3">
        <f>ROUND(IF(Data!E280&gt;5,Data!E280-5,0),1)</f>
        <v>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x14ac:dyDescent="0.2">
      <c r="A281" s="15">
        <f t="shared" si="13"/>
        <v>45932</v>
      </c>
      <c r="B281" s="1">
        <v>10</v>
      </c>
      <c r="C281" s="1">
        <v>275</v>
      </c>
      <c r="D281" s="3">
        <f t="shared" si="12"/>
        <v>202510</v>
      </c>
      <c r="E281" s="3">
        <f>ROUND(IF(Data!E281&lt;0,0-Data!E281,0),1)</f>
        <v>0</v>
      </c>
      <c r="F281" s="3">
        <f>ROUND(IF(Data!E281&gt;5,Data!E281-5,0),1)</f>
        <v>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x14ac:dyDescent="0.2">
      <c r="A282" s="15">
        <f t="shared" si="13"/>
        <v>45933</v>
      </c>
      <c r="B282" s="1">
        <v>10</v>
      </c>
      <c r="C282" s="1">
        <v>276</v>
      </c>
      <c r="D282" s="3">
        <f t="shared" si="12"/>
        <v>202510</v>
      </c>
      <c r="E282" s="3">
        <f>ROUND(IF(Data!E282&lt;0,0-Data!E282,0),1)</f>
        <v>0</v>
      </c>
      <c r="F282" s="3">
        <f>ROUND(IF(Data!E282&gt;5,Data!E282-5,0),1)</f>
        <v>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x14ac:dyDescent="0.2">
      <c r="A283" s="15">
        <f t="shared" si="13"/>
        <v>45934</v>
      </c>
      <c r="B283" s="1">
        <v>10</v>
      </c>
      <c r="C283" s="1">
        <v>277</v>
      </c>
      <c r="D283" s="3">
        <f t="shared" si="12"/>
        <v>202510</v>
      </c>
      <c r="E283" s="3">
        <f>ROUND(IF(Data!E283&lt;0,0-Data!E283,0),1)</f>
        <v>0</v>
      </c>
      <c r="F283" s="3">
        <f>ROUND(IF(Data!E283&gt;5,Data!E283-5,0),1)</f>
        <v>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x14ac:dyDescent="0.2">
      <c r="A284" s="15">
        <f t="shared" si="13"/>
        <v>45935</v>
      </c>
      <c r="B284" s="1">
        <v>10</v>
      </c>
      <c r="C284" s="1">
        <v>278</v>
      </c>
      <c r="D284" s="3">
        <f t="shared" si="12"/>
        <v>202510</v>
      </c>
      <c r="E284" s="3">
        <f>ROUND(IF(Data!E284&lt;0,0-Data!E284,0),1)</f>
        <v>0</v>
      </c>
      <c r="F284" s="3">
        <f>ROUND(IF(Data!E284&gt;5,Data!E284-5,0),1)</f>
        <v>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x14ac:dyDescent="0.2">
      <c r="A285" s="15">
        <f t="shared" si="13"/>
        <v>45936</v>
      </c>
      <c r="B285" s="1">
        <v>10</v>
      </c>
      <c r="C285" s="1">
        <v>279</v>
      </c>
      <c r="D285" s="3">
        <f t="shared" si="12"/>
        <v>202510</v>
      </c>
      <c r="E285" s="3">
        <f>ROUND(IF(Data!E285&lt;0,0-Data!E285,0),1)</f>
        <v>0</v>
      </c>
      <c r="F285" s="3">
        <f>ROUND(IF(Data!E285&gt;5,Data!E285-5,0),1)</f>
        <v>0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x14ac:dyDescent="0.2">
      <c r="A286" s="15">
        <f t="shared" si="13"/>
        <v>45937</v>
      </c>
      <c r="B286" s="1">
        <v>10</v>
      </c>
      <c r="C286" s="1">
        <v>280</v>
      </c>
      <c r="D286" s="3">
        <f t="shared" si="12"/>
        <v>202510</v>
      </c>
      <c r="E286" s="3">
        <f>ROUND(IF(Data!E286&lt;0,0-Data!E286,0),1)</f>
        <v>0</v>
      </c>
      <c r="F286" s="3">
        <f>ROUND(IF(Data!E286&gt;5,Data!E286-5,0),1)</f>
        <v>0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x14ac:dyDescent="0.2">
      <c r="A287" s="15">
        <f t="shared" si="13"/>
        <v>45938</v>
      </c>
      <c r="B287" s="1">
        <v>10</v>
      </c>
      <c r="C287" s="1">
        <v>281</v>
      </c>
      <c r="D287" s="3">
        <f t="shared" si="12"/>
        <v>202510</v>
      </c>
      <c r="E287" s="3">
        <f>ROUND(IF(Data!E287&lt;0,0-Data!E287,0),1)</f>
        <v>0</v>
      </c>
      <c r="F287" s="3">
        <f>ROUND(IF(Data!E287&gt;5,Data!E287-5,0),1)</f>
        <v>0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x14ac:dyDescent="0.2">
      <c r="A288" s="15">
        <f t="shared" si="13"/>
        <v>45939</v>
      </c>
      <c r="B288" s="1">
        <v>10</v>
      </c>
      <c r="C288" s="1">
        <v>282</v>
      </c>
      <c r="D288" s="3">
        <f t="shared" si="12"/>
        <v>202510</v>
      </c>
      <c r="E288" s="3">
        <f>ROUND(IF(Data!E288&lt;0,0-Data!E288,0),1)</f>
        <v>0</v>
      </c>
      <c r="F288" s="3">
        <f>ROUND(IF(Data!E288&gt;5,Data!E288-5,0),1)</f>
        <v>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x14ac:dyDescent="0.2">
      <c r="A289" s="15">
        <f t="shared" si="13"/>
        <v>45940</v>
      </c>
      <c r="B289" s="1">
        <v>10</v>
      </c>
      <c r="C289" s="1">
        <v>283</v>
      </c>
      <c r="D289" s="3">
        <f t="shared" si="12"/>
        <v>202510</v>
      </c>
      <c r="E289" s="3">
        <f>ROUND(IF(Data!E289&lt;0,0-Data!E289,0),1)</f>
        <v>0</v>
      </c>
      <c r="F289" s="3">
        <f>ROUND(IF(Data!E289&gt;5,Data!E289-5,0),1)</f>
        <v>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x14ac:dyDescent="0.2">
      <c r="A290" s="15">
        <f t="shared" si="13"/>
        <v>45941</v>
      </c>
      <c r="B290" s="1">
        <v>10</v>
      </c>
      <c r="C290" s="1">
        <v>284</v>
      </c>
      <c r="D290" s="3">
        <f t="shared" si="12"/>
        <v>202510</v>
      </c>
      <c r="E290" s="3">
        <f>ROUND(IF(Data!E290&lt;0,0-Data!E290,0),1)</f>
        <v>0</v>
      </c>
      <c r="F290" s="3">
        <f>ROUND(IF(Data!E290&gt;5,Data!E290-5,0),1)</f>
        <v>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x14ac:dyDescent="0.2">
      <c r="A291" s="15">
        <f t="shared" si="13"/>
        <v>45942</v>
      </c>
      <c r="B291" s="1">
        <v>10</v>
      </c>
      <c r="C291" s="1">
        <v>285</v>
      </c>
      <c r="D291" s="3">
        <f t="shared" si="12"/>
        <v>202510</v>
      </c>
      <c r="E291" s="3">
        <f>ROUND(IF(Data!E291&lt;0,0-Data!E291,0),1)</f>
        <v>0</v>
      </c>
      <c r="F291" s="3">
        <f>ROUND(IF(Data!E291&gt;5,Data!E291-5,0),1)</f>
        <v>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x14ac:dyDescent="0.2">
      <c r="A292" s="15">
        <f t="shared" si="13"/>
        <v>45943</v>
      </c>
      <c r="B292" s="1">
        <v>10</v>
      </c>
      <c r="C292" s="1">
        <v>286</v>
      </c>
      <c r="D292" s="3">
        <f t="shared" si="12"/>
        <v>202510</v>
      </c>
      <c r="E292" s="3">
        <f>ROUND(IF(Data!E292&lt;0,0-Data!E292,0),1)</f>
        <v>0</v>
      </c>
      <c r="F292" s="3">
        <f>ROUND(IF(Data!E292&gt;5,Data!E292-5,0),1)</f>
        <v>0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x14ac:dyDescent="0.2">
      <c r="A293" s="15">
        <f t="shared" si="13"/>
        <v>45944</v>
      </c>
      <c r="B293" s="1">
        <v>10</v>
      </c>
      <c r="C293" s="1">
        <v>287</v>
      </c>
      <c r="D293" s="3">
        <f t="shared" si="12"/>
        <v>202510</v>
      </c>
      <c r="E293" s="3">
        <f>ROUND(IF(Data!E293&lt;0,0-Data!E293,0),1)</f>
        <v>0</v>
      </c>
      <c r="F293" s="3">
        <f>ROUND(IF(Data!E293&gt;5,Data!E293-5,0),1)</f>
        <v>0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x14ac:dyDescent="0.2">
      <c r="A294" s="15">
        <f t="shared" si="13"/>
        <v>45945</v>
      </c>
      <c r="B294" s="1">
        <v>10</v>
      </c>
      <c r="C294" s="1">
        <v>288</v>
      </c>
      <c r="D294" s="3">
        <f t="shared" si="12"/>
        <v>202510</v>
      </c>
      <c r="E294" s="3">
        <f>ROUND(IF(Data!E294&lt;0,0-Data!E294,0),1)</f>
        <v>0</v>
      </c>
      <c r="F294" s="3">
        <f>ROUND(IF(Data!E294&gt;5,Data!E294-5,0),1)</f>
        <v>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x14ac:dyDescent="0.2">
      <c r="A295" s="15">
        <f t="shared" si="13"/>
        <v>45946</v>
      </c>
      <c r="B295" s="1">
        <v>10</v>
      </c>
      <c r="C295" s="1">
        <v>289</v>
      </c>
      <c r="D295" s="3">
        <f t="shared" si="12"/>
        <v>202510</v>
      </c>
      <c r="E295" s="3">
        <f>ROUND(IF(Data!E295&lt;0,0-Data!E295,0),1)</f>
        <v>0</v>
      </c>
      <c r="F295" s="3">
        <f>ROUND(IF(Data!E295&gt;5,Data!E295-5,0),1)</f>
        <v>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x14ac:dyDescent="0.2">
      <c r="A296" s="15">
        <f t="shared" si="13"/>
        <v>45947</v>
      </c>
      <c r="B296" s="1">
        <v>10</v>
      </c>
      <c r="C296" s="1">
        <v>290</v>
      </c>
      <c r="D296" s="3">
        <f t="shared" si="12"/>
        <v>202510</v>
      </c>
      <c r="E296" s="3">
        <f>ROUND(IF(Data!E296&lt;0,0-Data!E296,0),1)</f>
        <v>0</v>
      </c>
      <c r="F296" s="3">
        <f>ROUND(IF(Data!E296&gt;5,Data!E296-5,0),1)</f>
        <v>0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x14ac:dyDescent="0.2">
      <c r="A297" s="15">
        <f t="shared" si="13"/>
        <v>45948</v>
      </c>
      <c r="B297" s="1">
        <v>10</v>
      </c>
      <c r="C297" s="1">
        <v>291</v>
      </c>
      <c r="D297" s="3">
        <f t="shared" si="12"/>
        <v>202510</v>
      </c>
      <c r="E297" s="3">
        <f>ROUND(IF(Data!E297&lt;0,0-Data!E297,0),1)</f>
        <v>0</v>
      </c>
      <c r="F297" s="3">
        <f>ROUND(IF(Data!E297&gt;5,Data!E297-5,0),1)</f>
        <v>0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x14ac:dyDescent="0.2">
      <c r="A298" s="15">
        <f t="shared" si="13"/>
        <v>45949</v>
      </c>
      <c r="B298" s="1">
        <v>10</v>
      </c>
      <c r="C298" s="1">
        <v>292</v>
      </c>
      <c r="D298" s="3">
        <f t="shared" si="12"/>
        <v>202510</v>
      </c>
      <c r="E298" s="3">
        <f>ROUND(IF(Data!E298&lt;0,0-Data!E298,0),1)</f>
        <v>0</v>
      </c>
      <c r="F298" s="3">
        <f>ROUND(IF(Data!E298&gt;5,Data!E298-5,0),1)</f>
        <v>0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x14ac:dyDescent="0.2">
      <c r="A299" s="15">
        <f t="shared" si="13"/>
        <v>45950</v>
      </c>
      <c r="B299" s="1">
        <v>10</v>
      </c>
      <c r="C299" s="1">
        <v>293</v>
      </c>
      <c r="D299" s="3">
        <f t="shared" si="12"/>
        <v>202510</v>
      </c>
      <c r="E299" s="3">
        <f>ROUND(IF(Data!E299&lt;0,0-Data!E299,0),1)</f>
        <v>0</v>
      </c>
      <c r="F299" s="3">
        <f>ROUND(IF(Data!E299&gt;5,Data!E299-5,0),1)</f>
        <v>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x14ac:dyDescent="0.2">
      <c r="A300" s="15">
        <f t="shared" si="13"/>
        <v>45951</v>
      </c>
      <c r="B300" s="1">
        <v>10</v>
      </c>
      <c r="C300" s="1">
        <v>294</v>
      </c>
      <c r="D300" s="3">
        <f t="shared" si="12"/>
        <v>202510</v>
      </c>
      <c r="E300" s="3">
        <f>ROUND(IF(Data!E300&lt;0,0-Data!E300,0),1)</f>
        <v>0</v>
      </c>
      <c r="F300" s="3">
        <f>ROUND(IF(Data!E300&gt;5,Data!E300-5,0),1)</f>
        <v>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x14ac:dyDescent="0.2">
      <c r="A301" s="15">
        <f t="shared" si="13"/>
        <v>45952</v>
      </c>
      <c r="B301" s="1">
        <v>10</v>
      </c>
      <c r="C301" s="1">
        <v>295</v>
      </c>
      <c r="D301" s="3">
        <f t="shared" si="12"/>
        <v>202510</v>
      </c>
      <c r="E301" s="3">
        <f>ROUND(IF(Data!E301&lt;0,0-Data!E301,0),1)</f>
        <v>0</v>
      </c>
      <c r="F301" s="3">
        <f>ROUND(IF(Data!E301&gt;5,Data!E301-5,0),1)</f>
        <v>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x14ac:dyDescent="0.2">
      <c r="A302" s="15">
        <f t="shared" si="13"/>
        <v>45953</v>
      </c>
      <c r="B302" s="1">
        <v>10</v>
      </c>
      <c r="C302" s="1">
        <v>296</v>
      </c>
      <c r="D302" s="3">
        <f t="shared" si="12"/>
        <v>202510</v>
      </c>
      <c r="E302" s="3">
        <f>ROUND(IF(Data!E302&lt;0,0-Data!E302,0),1)</f>
        <v>0</v>
      </c>
      <c r="F302" s="3">
        <f>ROUND(IF(Data!E302&gt;5,Data!E302-5,0),1)</f>
        <v>0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x14ac:dyDescent="0.2">
      <c r="A303" s="15">
        <f t="shared" si="13"/>
        <v>45954</v>
      </c>
      <c r="B303" s="1">
        <v>10</v>
      </c>
      <c r="C303" s="1">
        <v>297</v>
      </c>
      <c r="D303" s="3">
        <f t="shared" si="12"/>
        <v>202510</v>
      </c>
      <c r="E303" s="3">
        <f>ROUND(IF(Data!E303&lt;0,0-Data!E303,0),1)</f>
        <v>0</v>
      </c>
      <c r="F303" s="3">
        <f>ROUND(IF(Data!E303&gt;5,Data!E303-5,0),1)</f>
        <v>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x14ac:dyDescent="0.2">
      <c r="A304" s="15">
        <f t="shared" si="13"/>
        <v>45955</v>
      </c>
      <c r="B304" s="1">
        <v>10</v>
      </c>
      <c r="C304" s="1">
        <v>298</v>
      </c>
      <c r="D304" s="3">
        <f t="shared" si="12"/>
        <v>202510</v>
      </c>
      <c r="E304" s="3">
        <f>ROUND(IF(Data!E304&lt;0,0-Data!E304,0),1)</f>
        <v>0</v>
      </c>
      <c r="F304" s="3">
        <f>ROUND(IF(Data!E304&gt;5,Data!E304-5,0),1)</f>
        <v>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x14ac:dyDescent="0.2">
      <c r="A305" s="15">
        <f t="shared" si="13"/>
        <v>45956</v>
      </c>
      <c r="B305" s="1">
        <v>10</v>
      </c>
      <c r="C305" s="1">
        <v>299</v>
      </c>
      <c r="D305" s="3">
        <f t="shared" si="12"/>
        <v>202510</v>
      </c>
      <c r="E305" s="3">
        <f>ROUND(IF(Data!E305&lt;0,0-Data!E305,0),1)</f>
        <v>0</v>
      </c>
      <c r="F305" s="3">
        <f>ROUND(IF(Data!E305&gt;5,Data!E305-5,0),1)</f>
        <v>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x14ac:dyDescent="0.2">
      <c r="A306" s="15">
        <f t="shared" si="13"/>
        <v>45957</v>
      </c>
      <c r="B306" s="1">
        <v>10</v>
      </c>
      <c r="C306" s="1">
        <v>300</v>
      </c>
      <c r="D306" s="3">
        <f t="shared" si="12"/>
        <v>202510</v>
      </c>
      <c r="E306" s="3">
        <f>ROUND(IF(Data!E306&lt;0,0-Data!E306,0),1)</f>
        <v>0</v>
      </c>
      <c r="F306" s="3">
        <f>ROUND(IF(Data!E306&gt;5,Data!E306-5,0),1)</f>
        <v>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x14ac:dyDescent="0.2">
      <c r="A307" s="15">
        <f t="shared" si="13"/>
        <v>45958</v>
      </c>
      <c r="B307" s="1">
        <v>10</v>
      </c>
      <c r="C307" s="1">
        <v>301</v>
      </c>
      <c r="D307" s="3">
        <f t="shared" si="12"/>
        <v>202510</v>
      </c>
      <c r="E307" s="3">
        <f>ROUND(IF(Data!E307&lt;0,0-Data!E307,0),1)</f>
        <v>0</v>
      </c>
      <c r="F307" s="3">
        <f>ROUND(IF(Data!E307&gt;5,Data!E307-5,0),1)</f>
        <v>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x14ac:dyDescent="0.2">
      <c r="A308" s="15">
        <f t="shared" si="13"/>
        <v>45959</v>
      </c>
      <c r="B308" s="1">
        <v>10</v>
      </c>
      <c r="C308" s="1">
        <v>302</v>
      </c>
      <c r="D308" s="3">
        <f t="shared" si="12"/>
        <v>202510</v>
      </c>
      <c r="E308" s="3">
        <f>ROUND(IF(Data!E308&lt;0,0-Data!E308,0),1)</f>
        <v>0</v>
      </c>
      <c r="F308" s="3">
        <f>ROUND(IF(Data!E308&gt;5,Data!E308-5,0),1)</f>
        <v>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x14ac:dyDescent="0.2">
      <c r="A309" s="15">
        <f t="shared" si="13"/>
        <v>45960</v>
      </c>
      <c r="B309" s="1">
        <v>10</v>
      </c>
      <c r="C309" s="1">
        <v>303</v>
      </c>
      <c r="D309" s="3">
        <f t="shared" si="12"/>
        <v>202510</v>
      </c>
      <c r="E309" s="3">
        <f>ROUND(IF(Data!E309&lt;0,0-Data!E309,0),1)</f>
        <v>0</v>
      </c>
      <c r="F309" s="3">
        <f>ROUND(IF(Data!E309&gt;5,Data!E309-5,0),1)</f>
        <v>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x14ac:dyDescent="0.2">
      <c r="A310" s="15">
        <f t="shared" si="13"/>
        <v>45961</v>
      </c>
      <c r="B310" s="1">
        <v>10</v>
      </c>
      <c r="C310" s="1">
        <v>304</v>
      </c>
      <c r="D310" s="3">
        <f t="shared" si="12"/>
        <v>202510</v>
      </c>
      <c r="E310" s="3">
        <f>ROUND(IF(Data!E310&lt;0,0-Data!E310,0),1)</f>
        <v>0</v>
      </c>
      <c r="F310" s="3">
        <f>ROUND(IF(Data!E310&gt;5,Data!E310-5,0),1)</f>
        <v>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x14ac:dyDescent="0.2">
      <c r="A311" s="15">
        <f t="shared" si="13"/>
        <v>45962</v>
      </c>
      <c r="B311" s="1">
        <v>11</v>
      </c>
      <c r="C311" s="1">
        <v>305</v>
      </c>
      <c r="D311" s="3">
        <f t="shared" si="12"/>
        <v>202511</v>
      </c>
      <c r="E311" s="3">
        <f>ROUND(IF(Data!E311&lt;0,0-Data!E311,0),1)</f>
        <v>0</v>
      </c>
      <c r="F311" s="3">
        <f>ROUND(IF(Data!E311&gt;5,Data!E311-5,0),1)</f>
        <v>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x14ac:dyDescent="0.2">
      <c r="A312" s="15">
        <f t="shared" si="13"/>
        <v>45963</v>
      </c>
      <c r="B312" s="1">
        <v>11</v>
      </c>
      <c r="C312" s="1">
        <v>306</v>
      </c>
      <c r="D312" s="3">
        <f t="shared" si="12"/>
        <v>202511</v>
      </c>
      <c r="E312" s="3">
        <f>ROUND(IF(Data!E312&lt;0,0-Data!E312,0),1)</f>
        <v>0</v>
      </c>
      <c r="F312" s="3">
        <f>ROUND(IF(Data!E312&gt;5,Data!E312-5,0),1)</f>
        <v>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x14ac:dyDescent="0.2">
      <c r="A313" s="15">
        <f t="shared" si="13"/>
        <v>45964</v>
      </c>
      <c r="B313" s="1">
        <v>11</v>
      </c>
      <c r="C313" s="1">
        <v>307</v>
      </c>
      <c r="D313" s="3">
        <f t="shared" si="12"/>
        <v>202511</v>
      </c>
      <c r="E313" s="3">
        <f>ROUND(IF(Data!E313&lt;0,0-Data!E313,0),1)</f>
        <v>0</v>
      </c>
      <c r="F313" s="3">
        <f>ROUND(IF(Data!E313&gt;5,Data!E313-5,0),1)</f>
        <v>0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x14ac:dyDescent="0.2">
      <c r="A314" s="15">
        <f t="shared" si="13"/>
        <v>45965</v>
      </c>
      <c r="B314" s="1">
        <v>11</v>
      </c>
      <c r="C314" s="1">
        <v>308</v>
      </c>
      <c r="D314" s="3">
        <f t="shared" si="12"/>
        <v>202511</v>
      </c>
      <c r="E314" s="3">
        <f>ROUND(IF(Data!E314&lt;0,0-Data!E314,0),1)</f>
        <v>0</v>
      </c>
      <c r="F314" s="3">
        <f>ROUND(IF(Data!E314&gt;5,Data!E314-5,0),1)</f>
        <v>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x14ac:dyDescent="0.2">
      <c r="A315" s="15">
        <f t="shared" si="13"/>
        <v>45966</v>
      </c>
      <c r="B315" s="1">
        <v>11</v>
      </c>
      <c r="C315" s="1">
        <v>309</v>
      </c>
      <c r="D315" s="3">
        <f t="shared" si="12"/>
        <v>202511</v>
      </c>
      <c r="E315" s="3">
        <f>ROUND(IF(Data!E315&lt;0,0-Data!E315,0),1)</f>
        <v>0</v>
      </c>
      <c r="F315" s="3">
        <f>ROUND(IF(Data!E315&gt;5,Data!E315-5,0),1)</f>
        <v>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x14ac:dyDescent="0.2">
      <c r="A316" s="15">
        <f t="shared" si="13"/>
        <v>45967</v>
      </c>
      <c r="B316" s="1">
        <v>11</v>
      </c>
      <c r="C316" s="1">
        <v>310</v>
      </c>
      <c r="D316" s="3">
        <f t="shared" si="12"/>
        <v>202511</v>
      </c>
      <c r="E316" s="3">
        <f>ROUND(IF(Data!E316&lt;0,0-Data!E316,0),1)</f>
        <v>0</v>
      </c>
      <c r="F316" s="3">
        <f>ROUND(IF(Data!E316&gt;5,Data!E316-5,0),1)</f>
        <v>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x14ac:dyDescent="0.2">
      <c r="A317" s="15">
        <f t="shared" si="13"/>
        <v>45968</v>
      </c>
      <c r="B317" s="1">
        <v>11</v>
      </c>
      <c r="C317" s="1">
        <v>311</v>
      </c>
      <c r="D317" s="3">
        <f t="shared" si="12"/>
        <v>202511</v>
      </c>
      <c r="E317" s="3">
        <f>ROUND(IF(Data!E317&lt;0,0-Data!E317,0),1)</f>
        <v>0</v>
      </c>
      <c r="F317" s="3">
        <f>ROUND(IF(Data!E317&gt;5,Data!E317-5,0),1)</f>
        <v>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x14ac:dyDescent="0.2">
      <c r="A318" s="15">
        <f t="shared" si="13"/>
        <v>45969</v>
      </c>
      <c r="B318" s="1">
        <v>11</v>
      </c>
      <c r="C318" s="1">
        <v>312</v>
      </c>
      <c r="D318" s="3">
        <f t="shared" si="12"/>
        <v>202511</v>
      </c>
      <c r="E318" s="3">
        <f>ROUND(IF(Data!E318&lt;0,0-Data!E318,0),1)</f>
        <v>0</v>
      </c>
      <c r="F318" s="3">
        <f>ROUND(IF(Data!E318&gt;5,Data!E318-5,0),1)</f>
        <v>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x14ac:dyDescent="0.2">
      <c r="A319" s="15">
        <f t="shared" si="13"/>
        <v>45970</v>
      </c>
      <c r="B319" s="1">
        <v>11</v>
      </c>
      <c r="C319" s="1">
        <v>313</v>
      </c>
      <c r="D319" s="3">
        <f t="shared" si="12"/>
        <v>202511</v>
      </c>
      <c r="E319" s="3">
        <f>ROUND(IF(Data!E319&lt;0,0-Data!E319,0),1)</f>
        <v>0</v>
      </c>
      <c r="F319" s="3">
        <f>ROUND(IF(Data!E319&gt;5,Data!E319-5,0),1)</f>
        <v>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x14ac:dyDescent="0.2">
      <c r="A320" s="15">
        <f t="shared" si="13"/>
        <v>45971</v>
      </c>
      <c r="B320" s="1">
        <v>11</v>
      </c>
      <c r="C320" s="1">
        <v>314</v>
      </c>
      <c r="D320" s="3">
        <f t="shared" si="12"/>
        <v>202511</v>
      </c>
      <c r="E320" s="3">
        <f>ROUND(IF(Data!E320&lt;0,0-Data!E320,0),1)</f>
        <v>0</v>
      </c>
      <c r="F320" s="3">
        <f>ROUND(IF(Data!E320&gt;5,Data!E320-5,0),1)</f>
        <v>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x14ac:dyDescent="0.2">
      <c r="A321" s="15">
        <f t="shared" si="13"/>
        <v>45972</v>
      </c>
      <c r="B321" s="1">
        <v>11</v>
      </c>
      <c r="C321" s="1">
        <v>315</v>
      </c>
      <c r="D321" s="3">
        <f t="shared" si="12"/>
        <v>202511</v>
      </c>
      <c r="E321" s="3">
        <f>ROUND(IF(Data!E321&lt;0,0-Data!E321,0),1)</f>
        <v>0</v>
      </c>
      <c r="F321" s="3">
        <f>ROUND(IF(Data!E321&gt;5,Data!E321-5,0),1)</f>
        <v>0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x14ac:dyDescent="0.2">
      <c r="A322" s="15">
        <f t="shared" si="13"/>
        <v>45973</v>
      </c>
      <c r="B322" s="1">
        <v>11</v>
      </c>
      <c r="C322" s="1">
        <v>316</v>
      </c>
      <c r="D322" s="3">
        <f t="shared" si="12"/>
        <v>202511</v>
      </c>
      <c r="E322" s="3">
        <f>ROUND(IF(Data!E322&lt;0,0-Data!E322,0),1)</f>
        <v>0</v>
      </c>
      <c r="F322" s="3">
        <f>ROUND(IF(Data!E322&gt;5,Data!E322-5,0),1)</f>
        <v>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x14ac:dyDescent="0.2">
      <c r="A323" s="15">
        <f t="shared" si="13"/>
        <v>45974</v>
      </c>
      <c r="B323" s="1">
        <v>11</v>
      </c>
      <c r="C323" s="1">
        <v>317</v>
      </c>
      <c r="D323" s="3">
        <f t="shared" si="12"/>
        <v>202511</v>
      </c>
      <c r="E323" s="3">
        <f>ROUND(IF(Data!E323&lt;0,0-Data!E323,0),1)</f>
        <v>0</v>
      </c>
      <c r="F323" s="3">
        <f>ROUND(IF(Data!E323&gt;5,Data!E323-5,0),1)</f>
        <v>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x14ac:dyDescent="0.2">
      <c r="A324" s="15">
        <f t="shared" si="13"/>
        <v>45975</v>
      </c>
      <c r="B324" s="1">
        <v>11</v>
      </c>
      <c r="C324" s="1">
        <v>318</v>
      </c>
      <c r="D324" s="3">
        <f t="shared" si="12"/>
        <v>202511</v>
      </c>
      <c r="E324" s="3">
        <f>ROUND(IF(Data!E324&lt;0,0-Data!E324,0),1)</f>
        <v>0</v>
      </c>
      <c r="F324" s="3">
        <f>ROUND(IF(Data!E324&gt;5,Data!E324-5,0),1)</f>
        <v>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x14ac:dyDescent="0.2">
      <c r="A325" s="15">
        <f t="shared" si="13"/>
        <v>45976</v>
      </c>
      <c r="B325" s="1">
        <v>11</v>
      </c>
      <c r="C325" s="1">
        <v>319</v>
      </c>
      <c r="D325" s="3">
        <f t="shared" si="12"/>
        <v>202511</v>
      </c>
      <c r="E325" s="3">
        <f>ROUND(IF(Data!E325&lt;0,0-Data!E325,0),1)</f>
        <v>0</v>
      </c>
      <c r="F325" s="3">
        <f>ROUND(IF(Data!E325&gt;5,Data!E325-5,0),1)</f>
        <v>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x14ac:dyDescent="0.2">
      <c r="A326" s="15">
        <f t="shared" si="13"/>
        <v>45977</v>
      </c>
      <c r="B326" s="1">
        <v>11</v>
      </c>
      <c r="C326" s="1">
        <v>320</v>
      </c>
      <c r="D326" s="3">
        <f t="shared" si="12"/>
        <v>202511</v>
      </c>
      <c r="E326" s="3">
        <f>ROUND(IF(Data!E326&lt;0,0-Data!E326,0),1)</f>
        <v>0</v>
      </c>
      <c r="F326" s="3">
        <f>ROUND(IF(Data!E326&gt;5,Data!E326-5,0),1)</f>
        <v>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x14ac:dyDescent="0.2">
      <c r="A327" s="15">
        <f t="shared" si="13"/>
        <v>45978</v>
      </c>
      <c r="B327" s="1">
        <v>11</v>
      </c>
      <c r="C327" s="1">
        <v>321</v>
      </c>
      <c r="D327" s="3">
        <f t="shared" si="12"/>
        <v>202511</v>
      </c>
      <c r="E327" s="3">
        <f>ROUND(IF(Data!E327&lt;0,0-Data!E327,0),1)</f>
        <v>0</v>
      </c>
      <c r="F327" s="3">
        <f>ROUND(IF(Data!E327&gt;5,Data!E327-5,0),1)</f>
        <v>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x14ac:dyDescent="0.2">
      <c r="A328" s="15">
        <f t="shared" si="13"/>
        <v>45979</v>
      </c>
      <c r="B328" s="1">
        <v>11</v>
      </c>
      <c r="C328" s="1">
        <v>322</v>
      </c>
      <c r="D328" s="3">
        <f t="shared" ref="D328:D371" si="14">202500+B328</f>
        <v>202511</v>
      </c>
      <c r="E328" s="3">
        <f>ROUND(IF(Data!E328&lt;0,0-Data!E328,0),1)</f>
        <v>0</v>
      </c>
      <c r="F328" s="3">
        <f>ROUND(IF(Data!E328&gt;5,Data!E328-5,0),1)</f>
        <v>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x14ac:dyDescent="0.2">
      <c r="A329" s="15">
        <f t="shared" ref="A329:A371" si="15">A328+1</f>
        <v>45980</v>
      </c>
      <c r="B329" s="1">
        <v>11</v>
      </c>
      <c r="C329" s="1">
        <v>323</v>
      </c>
      <c r="D329" s="3">
        <f t="shared" si="14"/>
        <v>202511</v>
      </c>
      <c r="E329" s="3">
        <f>ROUND(IF(Data!E329&lt;0,0-Data!E329,0),1)</f>
        <v>0</v>
      </c>
      <c r="F329" s="3">
        <f>ROUND(IF(Data!E329&gt;5,Data!E329-5,0),1)</f>
        <v>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x14ac:dyDescent="0.2">
      <c r="A330" s="15">
        <f t="shared" si="15"/>
        <v>45981</v>
      </c>
      <c r="B330" s="1">
        <v>11</v>
      </c>
      <c r="C330" s="1">
        <v>324</v>
      </c>
      <c r="D330" s="3">
        <f t="shared" si="14"/>
        <v>202511</v>
      </c>
      <c r="E330" s="3">
        <f>ROUND(IF(Data!E330&lt;0,0-Data!E330,0),1)</f>
        <v>0</v>
      </c>
      <c r="F330" s="3">
        <f>ROUND(IF(Data!E330&gt;5,Data!E330-5,0),1)</f>
        <v>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x14ac:dyDescent="0.2">
      <c r="A331" s="15">
        <f t="shared" si="15"/>
        <v>45982</v>
      </c>
      <c r="B331" s="1">
        <v>11</v>
      </c>
      <c r="C331" s="1">
        <v>325</v>
      </c>
      <c r="D331" s="3">
        <f t="shared" si="14"/>
        <v>202511</v>
      </c>
      <c r="E331" s="3">
        <f>ROUND(IF(Data!E331&lt;0,0-Data!E331,0),1)</f>
        <v>0</v>
      </c>
      <c r="F331" s="3">
        <f>ROUND(IF(Data!E331&gt;5,Data!E331-5,0),1)</f>
        <v>0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x14ac:dyDescent="0.2">
      <c r="A332" s="15">
        <f t="shared" si="15"/>
        <v>45983</v>
      </c>
      <c r="B332" s="1">
        <v>11</v>
      </c>
      <c r="C332" s="1">
        <v>326</v>
      </c>
      <c r="D332" s="3">
        <f t="shared" si="14"/>
        <v>202511</v>
      </c>
      <c r="E332" s="3">
        <f>ROUND(IF(Data!E332&lt;0,0-Data!E332,0),1)</f>
        <v>0</v>
      </c>
      <c r="F332" s="3">
        <f>ROUND(IF(Data!E332&gt;5,Data!E332-5,0),1)</f>
        <v>0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x14ac:dyDescent="0.2">
      <c r="A333" s="15">
        <f t="shared" si="15"/>
        <v>45984</v>
      </c>
      <c r="B333" s="1">
        <v>11</v>
      </c>
      <c r="C333" s="1">
        <v>327</v>
      </c>
      <c r="D333" s="3">
        <f t="shared" si="14"/>
        <v>202511</v>
      </c>
      <c r="E333" s="3">
        <f>ROUND(IF(Data!E333&lt;0,0-Data!E333,0),1)</f>
        <v>0</v>
      </c>
      <c r="F333" s="3">
        <f>ROUND(IF(Data!E333&gt;5,Data!E333-5,0),1)</f>
        <v>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x14ac:dyDescent="0.2">
      <c r="A334" s="15">
        <f t="shared" si="15"/>
        <v>45985</v>
      </c>
      <c r="B334" s="1">
        <v>11</v>
      </c>
      <c r="C334" s="1">
        <v>328</v>
      </c>
      <c r="D334" s="3">
        <f t="shared" si="14"/>
        <v>202511</v>
      </c>
      <c r="E334" s="3">
        <f>ROUND(IF(Data!E334&lt;0,0-Data!E334,0),1)</f>
        <v>0</v>
      </c>
      <c r="F334" s="3">
        <f>ROUND(IF(Data!E334&gt;5,Data!E334-5,0),1)</f>
        <v>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x14ac:dyDescent="0.2">
      <c r="A335" s="15">
        <f t="shared" si="15"/>
        <v>45986</v>
      </c>
      <c r="B335" s="1">
        <v>11</v>
      </c>
      <c r="C335" s="1">
        <v>329</v>
      </c>
      <c r="D335" s="3">
        <f t="shared" si="14"/>
        <v>202511</v>
      </c>
      <c r="E335" s="3">
        <f>ROUND(IF(Data!E335&lt;0,0-Data!E335,0),1)</f>
        <v>0</v>
      </c>
      <c r="F335" s="3">
        <f>ROUND(IF(Data!E335&gt;5,Data!E335-5,0),1)</f>
        <v>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x14ac:dyDescent="0.2">
      <c r="A336" s="15">
        <f t="shared" si="15"/>
        <v>45987</v>
      </c>
      <c r="B336" s="1">
        <v>11</v>
      </c>
      <c r="C336" s="1">
        <v>330</v>
      </c>
      <c r="D336" s="3">
        <f t="shared" si="14"/>
        <v>202511</v>
      </c>
      <c r="E336" s="3">
        <f>ROUND(IF(Data!E336&lt;0,0-Data!E336,0),1)</f>
        <v>0</v>
      </c>
      <c r="F336" s="3">
        <f>ROUND(IF(Data!E336&gt;5,Data!E336-5,0),1)</f>
        <v>0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x14ac:dyDescent="0.2">
      <c r="A337" s="15">
        <f t="shared" si="15"/>
        <v>45988</v>
      </c>
      <c r="B337" s="1">
        <v>11</v>
      </c>
      <c r="C337" s="1">
        <v>331</v>
      </c>
      <c r="D337" s="3">
        <f t="shared" si="14"/>
        <v>202511</v>
      </c>
      <c r="E337" s="3">
        <f>ROUND(IF(Data!E337&lt;0,0-Data!E337,0),1)</f>
        <v>0</v>
      </c>
      <c r="F337" s="3">
        <f>ROUND(IF(Data!E337&gt;5,Data!E337-5,0),1)</f>
        <v>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x14ac:dyDescent="0.2">
      <c r="A338" s="15">
        <f t="shared" si="15"/>
        <v>45989</v>
      </c>
      <c r="B338" s="1">
        <v>11</v>
      </c>
      <c r="C338" s="1">
        <v>332</v>
      </c>
      <c r="D338" s="3">
        <f t="shared" si="14"/>
        <v>202511</v>
      </c>
      <c r="E338" s="3">
        <f>ROUND(IF(Data!E338&lt;0,0-Data!E338,0),1)</f>
        <v>0</v>
      </c>
      <c r="F338" s="3">
        <f>ROUND(IF(Data!E338&gt;5,Data!E338-5,0),1)</f>
        <v>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x14ac:dyDescent="0.2">
      <c r="A339" s="15">
        <f t="shared" si="15"/>
        <v>45990</v>
      </c>
      <c r="B339" s="1">
        <v>11</v>
      </c>
      <c r="C339" s="1">
        <v>333</v>
      </c>
      <c r="D339" s="3">
        <f t="shared" si="14"/>
        <v>202511</v>
      </c>
      <c r="E339" s="3">
        <f>ROUND(IF(Data!E339&lt;0,0-Data!E339,0),1)</f>
        <v>0</v>
      </c>
      <c r="F339" s="3">
        <f>ROUND(IF(Data!E339&gt;5,Data!E339-5,0),1)</f>
        <v>0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x14ac:dyDescent="0.2">
      <c r="A340" s="15">
        <f t="shared" si="15"/>
        <v>45991</v>
      </c>
      <c r="B340" s="1">
        <v>11</v>
      </c>
      <c r="C340" s="1">
        <v>334</v>
      </c>
      <c r="D340" s="3">
        <f t="shared" si="14"/>
        <v>202511</v>
      </c>
      <c r="E340" s="3">
        <f>ROUND(IF(Data!E340&lt;0,0-Data!E340,0),1)</f>
        <v>0</v>
      </c>
      <c r="F340" s="3">
        <f>ROUND(IF(Data!E340&gt;5,Data!E340-5,0),1)</f>
        <v>0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x14ac:dyDescent="0.2">
      <c r="A341" s="15">
        <f t="shared" si="15"/>
        <v>45992</v>
      </c>
      <c r="B341" s="1">
        <v>12</v>
      </c>
      <c r="C341" s="1">
        <v>335</v>
      </c>
      <c r="D341" s="3">
        <f t="shared" si="14"/>
        <v>202512</v>
      </c>
      <c r="E341" s="3">
        <f>ROUND(IF(Data!E341&lt;0,0-Data!E341,0),1)</f>
        <v>0</v>
      </c>
      <c r="F341" s="3">
        <f>ROUND(IF(Data!E341&gt;5,Data!E341-5,0),1)</f>
        <v>0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x14ac:dyDescent="0.2">
      <c r="A342" s="15">
        <f t="shared" si="15"/>
        <v>45993</v>
      </c>
      <c r="B342" s="1">
        <v>12</v>
      </c>
      <c r="C342" s="1">
        <v>336</v>
      </c>
      <c r="D342" s="3">
        <f t="shared" si="14"/>
        <v>202512</v>
      </c>
      <c r="E342" s="3">
        <f>ROUND(IF(Data!E342&lt;0,0-Data!E342,0),1)</f>
        <v>0</v>
      </c>
      <c r="F342" s="3">
        <f>ROUND(IF(Data!E342&gt;5,Data!E342-5,0),1)</f>
        <v>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x14ac:dyDescent="0.2">
      <c r="A343" s="15">
        <f t="shared" si="15"/>
        <v>45994</v>
      </c>
      <c r="B343" s="1">
        <v>12</v>
      </c>
      <c r="C343" s="1">
        <v>337</v>
      </c>
      <c r="D343" s="3">
        <f t="shared" si="14"/>
        <v>202512</v>
      </c>
      <c r="E343" s="3">
        <f>ROUND(IF(Data!E343&lt;0,0-Data!E343,0),1)</f>
        <v>0</v>
      </c>
      <c r="F343" s="3">
        <f>ROUND(IF(Data!E343&gt;5,Data!E343-5,0),1)</f>
        <v>0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x14ac:dyDescent="0.2">
      <c r="A344" s="15">
        <f t="shared" si="15"/>
        <v>45995</v>
      </c>
      <c r="B344" s="1">
        <v>12</v>
      </c>
      <c r="C344" s="1">
        <v>338</v>
      </c>
      <c r="D344" s="3">
        <f t="shared" si="14"/>
        <v>202512</v>
      </c>
      <c r="E344" s="3">
        <f>ROUND(IF(Data!E344&lt;0,0-Data!E344,0),1)</f>
        <v>0</v>
      </c>
      <c r="F344" s="3">
        <f>ROUND(IF(Data!E344&gt;5,Data!E344-5,0),1)</f>
        <v>0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x14ac:dyDescent="0.2">
      <c r="A345" s="15">
        <f t="shared" si="15"/>
        <v>45996</v>
      </c>
      <c r="B345" s="1">
        <v>12</v>
      </c>
      <c r="C345" s="1">
        <v>339</v>
      </c>
      <c r="D345" s="3">
        <f t="shared" si="14"/>
        <v>202512</v>
      </c>
      <c r="E345" s="3">
        <f>ROUND(IF(Data!E345&lt;0,0-Data!E345,0),1)</f>
        <v>0</v>
      </c>
      <c r="F345" s="3">
        <f>ROUND(IF(Data!E345&gt;5,Data!E345-5,0),1)</f>
        <v>0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x14ac:dyDescent="0.2">
      <c r="A346" s="15">
        <f t="shared" si="15"/>
        <v>45997</v>
      </c>
      <c r="B346" s="1">
        <v>12</v>
      </c>
      <c r="C346" s="1">
        <v>340</v>
      </c>
      <c r="D346" s="3">
        <f t="shared" si="14"/>
        <v>202512</v>
      </c>
      <c r="E346" s="3">
        <f>ROUND(IF(Data!E346&lt;0,0-Data!E346,0),1)</f>
        <v>0</v>
      </c>
      <c r="F346" s="3">
        <f>ROUND(IF(Data!E346&gt;5,Data!E346-5,0),1)</f>
        <v>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x14ac:dyDescent="0.2">
      <c r="A347" s="15">
        <f t="shared" si="15"/>
        <v>45998</v>
      </c>
      <c r="B347" s="1">
        <v>12</v>
      </c>
      <c r="C347" s="1">
        <v>341</v>
      </c>
      <c r="D347" s="3">
        <f t="shared" si="14"/>
        <v>202512</v>
      </c>
      <c r="E347" s="3">
        <f>ROUND(IF(Data!E347&lt;0,0-Data!E347,0),1)</f>
        <v>0</v>
      </c>
      <c r="F347" s="3">
        <f>ROUND(IF(Data!E347&gt;5,Data!E347-5,0),1)</f>
        <v>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x14ac:dyDescent="0.2">
      <c r="A348" s="15">
        <f t="shared" si="15"/>
        <v>45999</v>
      </c>
      <c r="B348" s="1">
        <v>12</v>
      </c>
      <c r="C348" s="1">
        <v>342</v>
      </c>
      <c r="D348" s="3">
        <f t="shared" si="14"/>
        <v>202512</v>
      </c>
      <c r="E348" s="3">
        <f>ROUND(IF(Data!E348&lt;0,0-Data!E348,0),1)</f>
        <v>0</v>
      </c>
      <c r="F348" s="3">
        <f>ROUND(IF(Data!E348&gt;5,Data!E348-5,0),1)</f>
        <v>0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x14ac:dyDescent="0.2">
      <c r="A349" s="15">
        <f t="shared" si="15"/>
        <v>46000</v>
      </c>
      <c r="B349" s="1">
        <v>12</v>
      </c>
      <c r="C349" s="1">
        <v>343</v>
      </c>
      <c r="D349" s="3">
        <f t="shared" si="14"/>
        <v>202512</v>
      </c>
      <c r="E349" s="3">
        <f>ROUND(IF(Data!E349&lt;0,0-Data!E349,0),1)</f>
        <v>0</v>
      </c>
      <c r="F349" s="3">
        <f>ROUND(IF(Data!E349&gt;5,Data!E349-5,0),1)</f>
        <v>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x14ac:dyDescent="0.2">
      <c r="A350" s="15">
        <f t="shared" si="15"/>
        <v>46001</v>
      </c>
      <c r="B350" s="1">
        <v>12</v>
      </c>
      <c r="C350" s="1">
        <v>344</v>
      </c>
      <c r="D350" s="3">
        <f t="shared" si="14"/>
        <v>202512</v>
      </c>
      <c r="E350" s="3">
        <f>ROUND(IF(Data!E350&lt;0,0-Data!E350,0),1)</f>
        <v>0</v>
      </c>
      <c r="F350" s="3">
        <f>ROUND(IF(Data!E350&gt;5,Data!E350-5,0),1)</f>
        <v>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x14ac:dyDescent="0.2">
      <c r="A351" s="15">
        <f t="shared" si="15"/>
        <v>46002</v>
      </c>
      <c r="B351" s="1">
        <v>12</v>
      </c>
      <c r="C351" s="1">
        <v>345</v>
      </c>
      <c r="D351" s="3">
        <f t="shared" si="14"/>
        <v>202512</v>
      </c>
      <c r="E351" s="3">
        <f>ROUND(IF(Data!E351&lt;0,0-Data!E351,0),1)</f>
        <v>0</v>
      </c>
      <c r="F351" s="3">
        <f>ROUND(IF(Data!E351&gt;5,Data!E351-5,0),1)</f>
        <v>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x14ac:dyDescent="0.2">
      <c r="A352" s="15">
        <f t="shared" si="15"/>
        <v>46003</v>
      </c>
      <c r="B352" s="1">
        <v>12</v>
      </c>
      <c r="C352" s="1">
        <v>346</v>
      </c>
      <c r="D352" s="3">
        <f t="shared" si="14"/>
        <v>202512</v>
      </c>
      <c r="E352" s="3">
        <f>ROUND(IF(Data!E352&lt;0,0-Data!E352,0),1)</f>
        <v>0</v>
      </c>
      <c r="F352" s="3">
        <f>ROUND(IF(Data!E352&gt;5,Data!E352-5,0),1)</f>
        <v>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x14ac:dyDescent="0.2">
      <c r="A353" s="15">
        <f t="shared" si="15"/>
        <v>46004</v>
      </c>
      <c r="B353" s="1">
        <v>12</v>
      </c>
      <c r="C353" s="1">
        <v>347</v>
      </c>
      <c r="D353" s="3">
        <f t="shared" si="14"/>
        <v>202512</v>
      </c>
      <c r="E353" s="3">
        <f>ROUND(IF(Data!E353&lt;0,0-Data!E353,0),1)</f>
        <v>0</v>
      </c>
      <c r="F353" s="3">
        <f>ROUND(IF(Data!E353&gt;5,Data!E353-5,0),1)</f>
        <v>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x14ac:dyDescent="0.2">
      <c r="A354" s="15">
        <f t="shared" si="15"/>
        <v>46005</v>
      </c>
      <c r="B354" s="1">
        <v>12</v>
      </c>
      <c r="C354" s="1">
        <v>348</v>
      </c>
      <c r="D354" s="3">
        <f t="shared" si="14"/>
        <v>202512</v>
      </c>
      <c r="E354" s="3">
        <f>ROUND(IF(Data!E354&lt;0,0-Data!E354,0),1)</f>
        <v>0</v>
      </c>
      <c r="F354" s="3">
        <f>ROUND(IF(Data!E354&gt;5,Data!E354-5,0),1)</f>
        <v>0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x14ac:dyDescent="0.2">
      <c r="A355" s="15">
        <f t="shared" si="15"/>
        <v>46006</v>
      </c>
      <c r="B355" s="1">
        <v>12</v>
      </c>
      <c r="C355" s="1">
        <v>349</v>
      </c>
      <c r="D355" s="3">
        <f t="shared" si="14"/>
        <v>202512</v>
      </c>
      <c r="E355" s="3">
        <f>ROUND(IF(Data!E355&lt;0,0-Data!E355,0),1)</f>
        <v>0</v>
      </c>
      <c r="F355" s="3">
        <f>ROUND(IF(Data!E355&gt;5,Data!E355-5,0),1)</f>
        <v>0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x14ac:dyDescent="0.2">
      <c r="A356" s="15">
        <f t="shared" si="15"/>
        <v>46007</v>
      </c>
      <c r="B356" s="1">
        <v>12</v>
      </c>
      <c r="C356" s="1">
        <v>350</v>
      </c>
      <c r="D356" s="3">
        <f t="shared" si="14"/>
        <v>202512</v>
      </c>
      <c r="E356" s="3">
        <f>ROUND(IF(Data!E356&lt;0,0-Data!E356,0),1)</f>
        <v>0</v>
      </c>
      <c r="F356" s="3">
        <f>ROUND(IF(Data!E356&gt;5,Data!E356-5,0),1)</f>
        <v>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x14ac:dyDescent="0.2">
      <c r="A357" s="15">
        <f t="shared" si="15"/>
        <v>46008</v>
      </c>
      <c r="B357" s="1">
        <v>12</v>
      </c>
      <c r="C357" s="1">
        <v>351</v>
      </c>
      <c r="D357" s="3">
        <f t="shared" si="14"/>
        <v>202512</v>
      </c>
      <c r="E357" s="3">
        <f>ROUND(IF(Data!E357&lt;0,0-Data!E357,0),1)</f>
        <v>0</v>
      </c>
      <c r="F357" s="3">
        <f>ROUND(IF(Data!E357&gt;5,Data!E357-5,0),1)</f>
        <v>0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x14ac:dyDescent="0.2">
      <c r="A358" s="15">
        <f t="shared" si="15"/>
        <v>46009</v>
      </c>
      <c r="B358" s="1">
        <v>12</v>
      </c>
      <c r="C358" s="1">
        <v>352</v>
      </c>
      <c r="D358" s="3">
        <f t="shared" si="14"/>
        <v>202512</v>
      </c>
      <c r="E358" s="3">
        <f>ROUND(IF(Data!E358&lt;0,0-Data!E358,0),1)</f>
        <v>0</v>
      </c>
      <c r="F358" s="3">
        <f>ROUND(IF(Data!E358&gt;5,Data!E358-5,0),1)</f>
        <v>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x14ac:dyDescent="0.2">
      <c r="A359" s="15">
        <f t="shared" si="15"/>
        <v>46010</v>
      </c>
      <c r="B359" s="1">
        <v>12</v>
      </c>
      <c r="C359" s="1">
        <v>353</v>
      </c>
      <c r="D359" s="3">
        <f t="shared" si="14"/>
        <v>202512</v>
      </c>
      <c r="E359" s="3">
        <f>ROUND(IF(Data!E359&lt;0,0-Data!E359,0),1)</f>
        <v>0</v>
      </c>
      <c r="F359" s="3">
        <f>ROUND(IF(Data!E359&gt;5,Data!E359-5,0),1)</f>
        <v>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x14ac:dyDescent="0.2">
      <c r="A360" s="15">
        <f t="shared" si="15"/>
        <v>46011</v>
      </c>
      <c r="B360" s="1">
        <v>12</v>
      </c>
      <c r="C360" s="1">
        <v>354</v>
      </c>
      <c r="D360" s="3">
        <f t="shared" si="14"/>
        <v>202512</v>
      </c>
      <c r="E360" s="3">
        <f>ROUND(IF(Data!E360&lt;0,0-Data!E360,0),1)</f>
        <v>0</v>
      </c>
      <c r="F360" s="3">
        <f>ROUND(IF(Data!E360&gt;5,Data!E360-5,0),1)</f>
        <v>0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x14ac:dyDescent="0.2">
      <c r="A361" s="15">
        <f t="shared" si="15"/>
        <v>46012</v>
      </c>
      <c r="B361" s="1">
        <v>12</v>
      </c>
      <c r="C361" s="1">
        <v>355</v>
      </c>
      <c r="D361" s="3">
        <f t="shared" si="14"/>
        <v>202512</v>
      </c>
      <c r="E361" s="3">
        <f>ROUND(IF(Data!E361&lt;0,0-Data!E361,0),1)</f>
        <v>0</v>
      </c>
      <c r="F361" s="3">
        <f>ROUND(IF(Data!E361&gt;5,Data!E361-5,0),1)</f>
        <v>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x14ac:dyDescent="0.2">
      <c r="A362" s="15">
        <f t="shared" si="15"/>
        <v>46013</v>
      </c>
      <c r="B362" s="1">
        <v>12</v>
      </c>
      <c r="C362" s="1">
        <v>356</v>
      </c>
      <c r="D362" s="3">
        <f t="shared" si="14"/>
        <v>202512</v>
      </c>
      <c r="E362" s="3">
        <f>ROUND(IF(Data!E362&lt;0,0-Data!E362,0),1)</f>
        <v>0</v>
      </c>
      <c r="F362" s="3">
        <f>ROUND(IF(Data!E362&gt;5,Data!E362-5,0),1)</f>
        <v>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x14ac:dyDescent="0.2">
      <c r="A363" s="15">
        <f t="shared" si="15"/>
        <v>46014</v>
      </c>
      <c r="B363" s="1">
        <v>12</v>
      </c>
      <c r="C363" s="1">
        <v>357</v>
      </c>
      <c r="D363" s="3">
        <f t="shared" si="14"/>
        <v>202512</v>
      </c>
      <c r="E363" s="3">
        <f>ROUND(IF(Data!E363&lt;0,0-Data!E363,0),1)</f>
        <v>0</v>
      </c>
      <c r="F363" s="3">
        <f>ROUND(IF(Data!E363&gt;5,Data!E363-5,0),1)</f>
        <v>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x14ac:dyDescent="0.2">
      <c r="A364" s="15">
        <f t="shared" si="15"/>
        <v>46015</v>
      </c>
      <c r="B364" s="1">
        <v>12</v>
      </c>
      <c r="C364" s="1">
        <v>358</v>
      </c>
      <c r="D364" s="3">
        <f t="shared" si="14"/>
        <v>202512</v>
      </c>
      <c r="E364" s="3">
        <f>ROUND(IF(Data!E364&lt;0,0-Data!E364,0),1)</f>
        <v>0</v>
      </c>
      <c r="F364" s="3">
        <f>ROUND(IF(Data!E364&gt;5,Data!E364-5,0),1)</f>
        <v>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x14ac:dyDescent="0.2">
      <c r="A365" s="15">
        <f t="shared" si="15"/>
        <v>46016</v>
      </c>
      <c r="B365" s="1">
        <v>12</v>
      </c>
      <c r="C365" s="1">
        <v>359</v>
      </c>
      <c r="D365" s="3">
        <f t="shared" si="14"/>
        <v>202512</v>
      </c>
      <c r="E365" s="3">
        <f>ROUND(IF(Data!E365&lt;0,0-Data!E365,0),1)</f>
        <v>0</v>
      </c>
      <c r="F365" s="3">
        <f>ROUND(IF(Data!E365&gt;5,Data!E365-5,0),1)</f>
        <v>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x14ac:dyDescent="0.2">
      <c r="A366" s="15">
        <f t="shared" si="15"/>
        <v>46017</v>
      </c>
      <c r="B366" s="1">
        <v>12</v>
      </c>
      <c r="C366" s="1">
        <v>360</v>
      </c>
      <c r="D366" s="3">
        <f t="shared" si="14"/>
        <v>202512</v>
      </c>
      <c r="E366" s="3">
        <f>ROUND(IF(Data!E366&lt;0,0-Data!E366,0),1)</f>
        <v>0</v>
      </c>
      <c r="F366" s="3">
        <f>ROUND(IF(Data!E366&gt;5,Data!E366-5,0),1)</f>
        <v>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x14ac:dyDescent="0.2">
      <c r="A367" s="15">
        <f t="shared" si="15"/>
        <v>46018</v>
      </c>
      <c r="B367" s="1">
        <v>12</v>
      </c>
      <c r="C367" s="1">
        <v>361</v>
      </c>
      <c r="D367" s="3">
        <f t="shared" si="14"/>
        <v>202512</v>
      </c>
      <c r="E367" s="3">
        <f>ROUND(IF(Data!E367&lt;0,0-Data!E367,0),1)</f>
        <v>0</v>
      </c>
      <c r="F367" s="3">
        <f>ROUND(IF(Data!E367&gt;5,Data!E367-5,0),1)</f>
        <v>0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x14ac:dyDescent="0.2">
      <c r="A368" s="15">
        <f t="shared" si="15"/>
        <v>46019</v>
      </c>
      <c r="B368" s="1">
        <v>12</v>
      </c>
      <c r="C368" s="1">
        <v>362</v>
      </c>
      <c r="D368" s="3">
        <f t="shared" si="14"/>
        <v>202512</v>
      </c>
      <c r="E368" s="3">
        <f>ROUND(IF(Data!E368&lt;0,0-Data!E368,0),1)</f>
        <v>0</v>
      </c>
      <c r="F368" s="3">
        <f>ROUND(IF(Data!E368&gt;5,Data!E368-5,0),1)</f>
        <v>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x14ac:dyDescent="0.2">
      <c r="A369" s="15">
        <f t="shared" si="15"/>
        <v>46020</v>
      </c>
      <c r="B369" s="1">
        <v>12</v>
      </c>
      <c r="C369" s="1">
        <v>363</v>
      </c>
      <c r="D369" s="3">
        <f t="shared" si="14"/>
        <v>202512</v>
      </c>
      <c r="E369" s="3">
        <f>ROUND(IF(Data!E369&lt;0,0-Data!E369,0),1)</f>
        <v>0</v>
      </c>
      <c r="F369" s="3">
        <f>ROUND(IF(Data!E369&gt;5,Data!E369-5,0),1)</f>
        <v>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x14ac:dyDescent="0.2">
      <c r="A370" s="15">
        <f t="shared" si="15"/>
        <v>46021</v>
      </c>
      <c r="B370" s="1">
        <v>12</v>
      </c>
      <c r="C370" s="1">
        <v>364</v>
      </c>
      <c r="D370" s="3">
        <f t="shared" si="14"/>
        <v>202512</v>
      </c>
      <c r="E370" s="3">
        <f>ROUND(IF(Data!E370&lt;0,0-Data!E370,0),1)</f>
        <v>0</v>
      </c>
      <c r="F370" s="3">
        <f>ROUND(IF(Data!E370&gt;5,Data!E370-5,0),1)</f>
        <v>0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x14ac:dyDescent="0.2">
      <c r="A371" s="15">
        <f t="shared" si="15"/>
        <v>46022</v>
      </c>
      <c r="B371" s="1">
        <v>12</v>
      </c>
      <c r="C371" s="1">
        <v>365</v>
      </c>
      <c r="D371" s="3">
        <f t="shared" si="14"/>
        <v>202512</v>
      </c>
      <c r="E371" s="3">
        <f>ROUND(IF(Data!E371&lt;0,0-Data!E371,0),1)</f>
        <v>0</v>
      </c>
      <c r="F371" s="3">
        <f>ROUND(IF(Data!E371&gt;5,Data!E371-5,0),1)</f>
        <v>0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x14ac:dyDescent="0.2">
      <c r="A372" s="15"/>
      <c r="B372" s="15"/>
      <c r="C372" s="4"/>
      <c r="D372" s="3"/>
      <c r="E372" s="3"/>
      <c r="F3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20</vt:i4>
      </vt:variant>
    </vt:vector>
  </HeadingPairs>
  <TitlesOfParts>
    <vt:vector size="24" baseType="lpstr">
      <vt:lpstr>Meta</vt:lpstr>
      <vt:lpstr>PPTest</vt:lpstr>
      <vt:lpstr>Data</vt:lpstr>
      <vt:lpstr>DerVar</vt:lpstr>
      <vt:lpstr>Bat_V</vt:lpstr>
      <vt:lpstr>Solar</vt:lpstr>
      <vt:lpstr>SolCor</vt:lpstr>
      <vt:lpstr>Albedo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Snow</vt:lpstr>
      <vt:lpstr>vpdX</vt:lpstr>
      <vt:lpstr>Udir1</vt:lpstr>
      <vt:lpstr>Udir2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2025-04-30T22:50:17Z</dcterms:modified>
</cp:coreProperties>
</file>