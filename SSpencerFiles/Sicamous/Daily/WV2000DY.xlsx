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drawings/drawing10.xml" ContentType="application/vnd.openxmlformats-officedocument.drawing+xml"/>
  <Override PartName="/xl/charts/chart27.xml" ContentType="application/vnd.openxmlformats-officedocument.drawingml.chart+xml"/>
  <Override PartName="/xl/drawings/drawing11.xml" ContentType="application/vnd.openxmlformats-officedocument.drawing+xml"/>
  <Override PartName="/xl/charts/chart28.xml" ContentType="application/vnd.openxmlformats-officedocument.drawingml.chart+xml"/>
  <Override PartName="/xl/drawings/drawing12.xml" ContentType="application/vnd.openxmlformats-officedocument.drawing+xml"/>
  <Override PartName="/xl/charts/chart29.xml" ContentType="application/vnd.openxmlformats-officedocument.drawingml.chart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drawings/drawing14.xml" ContentType="application/vnd.openxmlformats-officedocument.drawing+xml"/>
  <Override PartName="/xl/charts/chart31.xml" ContentType="application/vnd.openxmlformats-officedocument.drawingml.chart+xml"/>
  <Override PartName="/xl/drawings/drawing15.xml" ContentType="application/vnd.openxmlformats-officedocument.drawing+xml"/>
  <Override PartName="/xl/charts/chart32.xml" ContentType="application/vnd.openxmlformats-officedocument.drawingml.chart+xml"/>
  <Override PartName="/xl/drawings/drawing16.xml" ContentType="application/vnd.openxmlformats-officedocument.drawing+xml"/>
  <Override PartName="/xl/charts/chart33.xml" ContentType="application/vnd.openxmlformats-officedocument.drawingml.chart+xml"/>
  <Override PartName="/xl/drawings/drawing17.xml" ContentType="application/vnd.openxmlformats-officedocument.drawing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660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7" r:id="rId7"/>
    <sheet name="Ta3m" sheetId="8" r:id="rId8"/>
    <sheet name="TA15m" sheetId="9" r:id="rId9"/>
    <sheet name="Ta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" sheetId="18" r:id="rId18"/>
    <sheet name="Snow" sheetId="22" r:id="rId19"/>
  </sheets>
  <calcPr calcId="145621" iterate="1" iterateCount="1"/>
  <pivotCaches>
    <pivotCache cacheId="12" r:id="rId20"/>
  </pivotCaches>
</workbook>
</file>

<file path=xl/calcChain.xml><?xml version="1.0" encoding="utf-8"?>
<calcChain xmlns="http://schemas.openxmlformats.org/spreadsheetml/2006/main">
  <c r="BO154" i="1" l="1"/>
  <c r="BQ4" i="1" l="1"/>
  <c r="BV164" i="1" l="1"/>
  <c r="BV163" i="1"/>
  <c r="BV162" i="1"/>
  <c r="BV161" i="1"/>
  <c r="BV160" i="1"/>
  <c r="BV159" i="1"/>
  <c r="DH372" i="1" l="1"/>
  <c r="DG372" i="1"/>
  <c r="DF372" i="1"/>
  <c r="DE372" i="1"/>
  <c r="DC372" i="1"/>
  <c r="DB372" i="1"/>
  <c r="DA372" i="1"/>
  <c r="CZ372" i="1"/>
  <c r="CY372" i="1"/>
  <c r="CX372" i="1"/>
  <c r="CW372" i="1"/>
  <c r="CU372" i="1"/>
  <c r="CT372" i="1"/>
  <c r="CS372" i="1"/>
  <c r="CR372" i="1"/>
  <c r="CQ372" i="1"/>
  <c r="CP372" i="1"/>
  <c r="CO372" i="1"/>
  <c r="CM372" i="1"/>
  <c r="CL372" i="1"/>
  <c r="CK372" i="1"/>
  <c r="CJ372" i="1"/>
  <c r="CI372" i="1"/>
  <c r="CH372" i="1"/>
  <c r="CG372" i="1"/>
  <c r="CE372" i="1"/>
  <c r="CD372" i="1"/>
  <c r="CC372" i="1"/>
  <c r="CB372" i="1"/>
  <c r="DC371" i="1" l="1"/>
  <c r="DC370" i="1"/>
  <c r="DC369" i="1"/>
  <c r="DC368" i="1"/>
  <c r="DC367" i="1"/>
  <c r="DC366" i="1"/>
  <c r="DC365" i="1"/>
  <c r="DC364" i="1"/>
  <c r="DC363" i="1"/>
  <c r="DC362" i="1"/>
  <c r="DC361" i="1"/>
  <c r="DC360" i="1"/>
  <c r="DC359" i="1"/>
  <c r="DC358" i="1"/>
  <c r="DC357" i="1"/>
  <c r="DC356" i="1"/>
  <c r="DC355" i="1"/>
  <c r="DC354" i="1"/>
  <c r="DC353" i="1"/>
  <c r="DC352" i="1"/>
  <c r="DC351" i="1"/>
  <c r="DC350" i="1"/>
  <c r="DC349" i="1"/>
  <c r="DC348" i="1"/>
  <c r="DC347" i="1"/>
  <c r="DC346" i="1"/>
  <c r="DC345" i="1"/>
  <c r="DC344" i="1"/>
  <c r="DC343" i="1"/>
  <c r="DC342" i="1"/>
  <c r="DC341" i="1"/>
  <c r="DC340" i="1"/>
  <c r="DC339" i="1"/>
  <c r="DC338" i="1"/>
  <c r="DC337" i="1"/>
  <c r="DC336" i="1"/>
  <c r="DC335" i="1"/>
  <c r="DC334" i="1"/>
  <c r="DC333" i="1"/>
  <c r="DC332" i="1"/>
  <c r="DC331" i="1"/>
  <c r="DC330" i="1"/>
  <c r="DC329" i="1"/>
  <c r="DC328" i="1"/>
  <c r="DC327" i="1"/>
  <c r="DC326" i="1"/>
  <c r="DC325" i="1"/>
  <c r="DC324" i="1"/>
  <c r="DC323" i="1"/>
  <c r="DC322" i="1"/>
  <c r="DC321" i="1"/>
  <c r="DC320" i="1"/>
  <c r="DC319" i="1"/>
  <c r="DC318" i="1"/>
  <c r="DC317" i="1"/>
  <c r="DC316" i="1"/>
  <c r="DC315" i="1"/>
  <c r="DC314" i="1"/>
  <c r="DC313" i="1"/>
  <c r="DC312" i="1"/>
  <c r="DC311" i="1"/>
  <c r="DC310" i="1"/>
  <c r="DC309" i="1"/>
  <c r="DC308" i="1"/>
  <c r="DC307" i="1"/>
  <c r="DC306" i="1"/>
  <c r="DC305" i="1"/>
  <c r="DC304" i="1"/>
  <c r="DC303" i="1"/>
  <c r="DC302" i="1"/>
  <c r="DC301" i="1"/>
  <c r="DC300" i="1"/>
  <c r="DC299" i="1"/>
  <c r="DC298" i="1"/>
  <c r="DC297" i="1"/>
  <c r="DC296" i="1"/>
  <c r="DC295" i="1"/>
  <c r="DC294" i="1"/>
  <c r="DC293" i="1"/>
  <c r="DC292" i="1"/>
  <c r="DC291" i="1"/>
  <c r="DC290" i="1"/>
  <c r="DC289" i="1"/>
  <c r="DC288" i="1"/>
  <c r="DC287" i="1"/>
  <c r="DC286" i="1"/>
  <c r="DC285" i="1"/>
  <c r="DC284" i="1"/>
  <c r="DC283" i="1"/>
  <c r="DC282" i="1"/>
  <c r="DC281" i="1"/>
  <c r="DC280" i="1"/>
  <c r="DC279" i="1"/>
  <c r="DC278" i="1"/>
  <c r="DC277" i="1"/>
  <c r="DC276" i="1"/>
  <c r="DC275" i="1"/>
  <c r="DC274" i="1"/>
  <c r="DC273" i="1"/>
  <c r="DC272" i="1"/>
  <c r="DC271" i="1"/>
  <c r="DC270" i="1"/>
  <c r="DC269" i="1"/>
  <c r="DC268" i="1"/>
  <c r="DC267" i="1"/>
  <c r="DC266" i="1"/>
  <c r="DC265" i="1"/>
  <c r="DC264" i="1"/>
  <c r="DC263" i="1"/>
  <c r="DC262" i="1"/>
  <c r="DC261" i="1"/>
  <c r="DC260" i="1"/>
  <c r="DC259" i="1"/>
  <c r="DC258" i="1"/>
  <c r="DC257" i="1"/>
  <c r="DC256" i="1"/>
  <c r="DC255" i="1"/>
  <c r="DC254" i="1"/>
  <c r="DC253" i="1"/>
  <c r="DC252" i="1"/>
  <c r="DC251" i="1"/>
  <c r="DC250" i="1"/>
  <c r="DC249" i="1"/>
  <c r="DC248" i="1"/>
  <c r="DC247" i="1"/>
  <c r="DC246" i="1"/>
  <c r="DC245" i="1"/>
  <c r="DC244" i="1"/>
  <c r="DC243" i="1"/>
  <c r="DC242" i="1"/>
  <c r="DC241" i="1"/>
  <c r="DC240" i="1"/>
  <c r="DC239" i="1"/>
  <c r="DC238" i="1"/>
  <c r="DC237" i="1"/>
  <c r="DC236" i="1"/>
  <c r="DC235" i="1"/>
  <c r="DC234" i="1"/>
  <c r="DC233" i="1"/>
  <c r="DC232" i="1"/>
  <c r="DC231" i="1"/>
  <c r="DC230" i="1"/>
  <c r="DC229" i="1"/>
  <c r="DC228" i="1"/>
  <c r="DC227" i="1"/>
  <c r="DC226" i="1"/>
  <c r="DC225" i="1"/>
  <c r="DC224" i="1"/>
  <c r="DC223" i="1"/>
  <c r="DC222" i="1"/>
  <c r="DC221" i="1"/>
  <c r="DC220" i="1"/>
  <c r="DC219" i="1"/>
  <c r="DC218" i="1"/>
  <c r="DC217" i="1"/>
  <c r="DC216" i="1"/>
  <c r="DC215" i="1"/>
  <c r="DC214" i="1"/>
  <c r="DC213" i="1"/>
  <c r="DC212" i="1"/>
  <c r="DC211" i="1"/>
  <c r="DC210" i="1"/>
  <c r="DC209" i="1"/>
  <c r="DC208" i="1"/>
  <c r="DC207" i="1"/>
  <c r="DC206" i="1"/>
  <c r="DC205" i="1"/>
  <c r="DC204" i="1"/>
  <c r="DC203" i="1"/>
  <c r="DC202" i="1"/>
  <c r="DC201" i="1"/>
  <c r="DC200" i="1"/>
  <c r="DC199" i="1"/>
  <c r="DC198" i="1"/>
  <c r="DC197" i="1"/>
  <c r="DC196" i="1"/>
  <c r="DC195" i="1"/>
  <c r="DC194" i="1"/>
  <c r="DC193" i="1"/>
  <c r="DC192" i="1"/>
  <c r="DC191" i="1"/>
  <c r="DC190" i="1"/>
  <c r="DC189" i="1"/>
  <c r="DC188" i="1"/>
  <c r="DC187" i="1"/>
  <c r="DC186" i="1"/>
  <c r="DC185" i="1"/>
  <c r="DC184" i="1"/>
  <c r="DC183" i="1"/>
  <c r="DC182" i="1"/>
  <c r="DC181" i="1"/>
  <c r="DC180" i="1"/>
  <c r="DC179" i="1"/>
  <c r="DC178" i="1"/>
  <c r="DC177" i="1"/>
  <c r="DC176" i="1"/>
  <c r="DC175" i="1"/>
  <c r="DC174" i="1"/>
  <c r="DC173" i="1"/>
  <c r="DC172" i="1"/>
  <c r="DC171" i="1"/>
  <c r="DC170" i="1"/>
  <c r="DC169" i="1"/>
  <c r="DC168" i="1"/>
  <c r="DC167" i="1"/>
  <c r="DC166" i="1"/>
  <c r="DC165" i="1"/>
  <c r="DC164" i="1"/>
  <c r="DC163" i="1"/>
  <c r="DC162" i="1"/>
  <c r="DC161" i="1"/>
  <c r="DC160" i="1"/>
  <c r="DC159" i="1"/>
  <c r="DC158" i="1"/>
  <c r="DC157" i="1"/>
  <c r="DC156" i="1"/>
  <c r="DC155" i="1"/>
  <c r="DC154" i="1"/>
  <c r="DC153" i="1"/>
  <c r="DC152" i="1"/>
  <c r="DC151" i="1"/>
  <c r="DC150" i="1"/>
  <c r="DC149" i="1"/>
  <c r="DC148" i="1"/>
  <c r="DC147" i="1"/>
  <c r="DC146" i="1"/>
  <c r="DC145" i="1"/>
  <c r="DC144" i="1"/>
  <c r="DC143" i="1"/>
  <c r="DC142" i="1"/>
  <c r="DC141" i="1"/>
  <c r="DC140" i="1"/>
  <c r="DC139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C7" i="1"/>
  <c r="BV372" i="1" l="1"/>
  <c r="BV371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U164" i="1" l="1"/>
  <c r="BU163" i="1"/>
  <c r="BU162" i="1"/>
  <c r="BU161" i="1"/>
  <c r="BU160" i="1"/>
  <c r="BU159" i="1"/>
  <c r="DD158" i="1"/>
  <c r="DD157" i="1"/>
  <c r="DD156" i="1"/>
  <c r="DD155" i="1"/>
  <c r="DD154" i="1"/>
  <c r="DD153" i="1"/>
  <c r="DD152" i="1"/>
  <c r="DD151" i="1"/>
  <c r="DD150" i="1"/>
  <c r="DD149" i="1"/>
  <c r="DD148" i="1"/>
  <c r="DD147" i="1"/>
  <c r="DD146" i="1"/>
  <c r="DD145" i="1"/>
  <c r="DD144" i="1"/>
  <c r="DD143" i="1"/>
  <c r="DD142" i="1"/>
  <c r="DD141" i="1"/>
  <c r="DD140" i="1"/>
  <c r="DD139" i="1"/>
  <c r="DD138" i="1"/>
  <c r="DD137" i="1"/>
  <c r="DD136" i="1"/>
  <c r="DD135" i="1"/>
  <c r="DD134" i="1"/>
  <c r="DD133" i="1"/>
  <c r="DD132" i="1"/>
  <c r="DD131" i="1"/>
  <c r="DD130" i="1"/>
  <c r="DD129" i="1"/>
  <c r="DD128" i="1"/>
  <c r="DD127" i="1"/>
  <c r="DD126" i="1"/>
  <c r="DD125" i="1"/>
  <c r="DD124" i="1"/>
  <c r="DD123" i="1"/>
  <c r="DD122" i="1"/>
  <c r="DD121" i="1"/>
  <c r="DD120" i="1"/>
  <c r="DD119" i="1"/>
  <c r="DD118" i="1"/>
  <c r="DD117" i="1"/>
  <c r="DD116" i="1"/>
  <c r="DD115" i="1"/>
  <c r="DD114" i="1"/>
  <c r="DD113" i="1"/>
  <c r="DD112" i="1"/>
  <c r="DD111" i="1"/>
  <c r="DD110" i="1"/>
  <c r="DD109" i="1"/>
  <c r="DD108" i="1"/>
  <c r="DD107" i="1"/>
  <c r="DD106" i="1"/>
  <c r="DD105" i="1"/>
  <c r="DD104" i="1"/>
  <c r="DD103" i="1"/>
  <c r="DD102" i="1"/>
  <c r="DD101" i="1"/>
  <c r="DD100" i="1"/>
  <c r="DD99" i="1"/>
  <c r="DD98" i="1"/>
  <c r="DD97" i="1"/>
  <c r="DD96" i="1"/>
  <c r="DD95" i="1"/>
  <c r="DD94" i="1"/>
  <c r="DD93" i="1"/>
  <c r="DD92" i="1"/>
  <c r="DD91" i="1"/>
  <c r="DD90" i="1"/>
  <c r="DD89" i="1"/>
  <c r="DD88" i="1"/>
  <c r="DD87" i="1"/>
  <c r="DD86" i="1"/>
  <c r="DD85" i="1"/>
  <c r="DD84" i="1"/>
  <c r="DD83" i="1"/>
  <c r="DD82" i="1"/>
  <c r="DD81" i="1"/>
  <c r="DD80" i="1"/>
  <c r="DD79" i="1"/>
  <c r="DD78" i="1"/>
  <c r="DD77" i="1"/>
  <c r="DD76" i="1"/>
  <c r="DD75" i="1"/>
  <c r="DD74" i="1"/>
  <c r="DD73" i="1"/>
  <c r="DD72" i="1"/>
  <c r="DD71" i="1"/>
  <c r="DD70" i="1"/>
  <c r="DD69" i="1"/>
  <c r="DD68" i="1"/>
  <c r="DH371" i="1"/>
  <c r="DE371" i="1"/>
  <c r="CZ371" i="1"/>
  <c r="CY371" i="1"/>
  <c r="CX371" i="1"/>
  <c r="CW371" i="1"/>
  <c r="CU371" i="1"/>
  <c r="CT371" i="1"/>
  <c r="CR371" i="1"/>
  <c r="CQ371" i="1"/>
  <c r="CP371" i="1"/>
  <c r="CO371" i="1"/>
  <c r="CM371" i="1"/>
  <c r="CL371" i="1"/>
  <c r="CJ371" i="1"/>
  <c r="CI371" i="1"/>
  <c r="CH371" i="1"/>
  <c r="CG371" i="1"/>
  <c r="CE371" i="1"/>
  <c r="CD371" i="1"/>
  <c r="DH370" i="1"/>
  <c r="DE370" i="1"/>
  <c r="CZ370" i="1"/>
  <c r="CY370" i="1"/>
  <c r="CX370" i="1"/>
  <c r="CW370" i="1"/>
  <c r="CU370" i="1"/>
  <c r="CT370" i="1"/>
  <c r="CR370" i="1"/>
  <c r="CQ370" i="1"/>
  <c r="CP370" i="1"/>
  <c r="CO370" i="1"/>
  <c r="CM370" i="1"/>
  <c r="CL370" i="1"/>
  <c r="CJ370" i="1"/>
  <c r="CI370" i="1"/>
  <c r="CH370" i="1"/>
  <c r="CG370" i="1"/>
  <c r="CE370" i="1"/>
  <c r="CD370" i="1"/>
  <c r="DH369" i="1"/>
  <c r="DE369" i="1"/>
  <c r="CZ369" i="1"/>
  <c r="CY369" i="1"/>
  <c r="CX369" i="1"/>
  <c r="CW369" i="1"/>
  <c r="CU369" i="1"/>
  <c r="CT369" i="1"/>
  <c r="CR369" i="1"/>
  <c r="CQ369" i="1"/>
  <c r="CP369" i="1"/>
  <c r="CO369" i="1"/>
  <c r="CM369" i="1"/>
  <c r="CL369" i="1"/>
  <c r="CJ369" i="1"/>
  <c r="CI369" i="1"/>
  <c r="CH369" i="1"/>
  <c r="CG369" i="1"/>
  <c r="CE369" i="1"/>
  <c r="CD369" i="1"/>
  <c r="DH368" i="1"/>
  <c r="DE368" i="1"/>
  <c r="CZ368" i="1"/>
  <c r="CY368" i="1"/>
  <c r="CX368" i="1"/>
  <c r="CW368" i="1"/>
  <c r="CU368" i="1"/>
  <c r="CT368" i="1"/>
  <c r="CR368" i="1"/>
  <c r="CQ368" i="1"/>
  <c r="CP368" i="1"/>
  <c r="CO368" i="1"/>
  <c r="CM368" i="1"/>
  <c r="CL368" i="1"/>
  <c r="CJ368" i="1"/>
  <c r="CI368" i="1"/>
  <c r="CH368" i="1"/>
  <c r="CG368" i="1"/>
  <c r="CE368" i="1"/>
  <c r="CD368" i="1"/>
  <c r="DH367" i="1"/>
  <c r="DE367" i="1"/>
  <c r="CZ367" i="1"/>
  <c r="CY367" i="1"/>
  <c r="CX367" i="1"/>
  <c r="CW367" i="1"/>
  <c r="CU367" i="1"/>
  <c r="CT367" i="1"/>
  <c r="CR367" i="1"/>
  <c r="CQ367" i="1"/>
  <c r="CP367" i="1"/>
  <c r="CO367" i="1"/>
  <c r="CM367" i="1"/>
  <c r="CL367" i="1"/>
  <c r="CJ367" i="1"/>
  <c r="CI367" i="1"/>
  <c r="CH367" i="1"/>
  <c r="CG367" i="1"/>
  <c r="CE367" i="1"/>
  <c r="CD367" i="1"/>
  <c r="DH366" i="1"/>
  <c r="DE366" i="1"/>
  <c r="CZ366" i="1"/>
  <c r="CY366" i="1"/>
  <c r="CX366" i="1"/>
  <c r="CW366" i="1"/>
  <c r="CU366" i="1"/>
  <c r="CT366" i="1"/>
  <c r="CR366" i="1"/>
  <c r="CQ366" i="1"/>
  <c r="CP366" i="1"/>
  <c r="CO366" i="1"/>
  <c r="CM366" i="1"/>
  <c r="CL366" i="1"/>
  <c r="CJ366" i="1"/>
  <c r="CI366" i="1"/>
  <c r="CH366" i="1"/>
  <c r="CG366" i="1"/>
  <c r="CE366" i="1"/>
  <c r="CD366" i="1"/>
  <c r="DH365" i="1"/>
  <c r="DE365" i="1"/>
  <c r="CZ365" i="1"/>
  <c r="CY365" i="1"/>
  <c r="CX365" i="1"/>
  <c r="CW365" i="1"/>
  <c r="CU365" i="1"/>
  <c r="CT365" i="1"/>
  <c r="CR365" i="1"/>
  <c r="CQ365" i="1"/>
  <c r="CP365" i="1"/>
  <c r="CO365" i="1"/>
  <c r="CM365" i="1"/>
  <c r="CL365" i="1"/>
  <c r="CJ365" i="1"/>
  <c r="CI365" i="1"/>
  <c r="CH365" i="1"/>
  <c r="CG365" i="1"/>
  <c r="CE365" i="1"/>
  <c r="CD365" i="1"/>
  <c r="DH364" i="1"/>
  <c r="DE364" i="1"/>
  <c r="CZ364" i="1"/>
  <c r="CY364" i="1"/>
  <c r="CX364" i="1"/>
  <c r="CW364" i="1"/>
  <c r="CU364" i="1"/>
  <c r="CT364" i="1"/>
  <c r="CR364" i="1"/>
  <c r="CQ364" i="1"/>
  <c r="CP364" i="1"/>
  <c r="CO364" i="1"/>
  <c r="CM364" i="1"/>
  <c r="CL364" i="1"/>
  <c r="CJ364" i="1"/>
  <c r="CI364" i="1"/>
  <c r="CH364" i="1"/>
  <c r="CG364" i="1"/>
  <c r="CE364" i="1"/>
  <c r="CD364" i="1"/>
  <c r="DH363" i="1"/>
  <c r="DE363" i="1"/>
  <c r="CZ363" i="1"/>
  <c r="CY363" i="1"/>
  <c r="CX363" i="1"/>
  <c r="CW363" i="1"/>
  <c r="CU363" i="1"/>
  <c r="CT363" i="1"/>
  <c r="CR363" i="1"/>
  <c r="CQ363" i="1"/>
  <c r="CP363" i="1"/>
  <c r="CO363" i="1"/>
  <c r="CM363" i="1"/>
  <c r="CL363" i="1"/>
  <c r="CJ363" i="1"/>
  <c r="CI363" i="1"/>
  <c r="CH363" i="1"/>
  <c r="CG363" i="1"/>
  <c r="CE363" i="1"/>
  <c r="CD363" i="1"/>
  <c r="DH362" i="1"/>
  <c r="DE362" i="1"/>
  <c r="CZ362" i="1"/>
  <c r="CY362" i="1"/>
  <c r="CX362" i="1"/>
  <c r="CW362" i="1"/>
  <c r="CU362" i="1"/>
  <c r="CT362" i="1"/>
  <c r="CR362" i="1"/>
  <c r="CQ362" i="1"/>
  <c r="CP362" i="1"/>
  <c r="CO362" i="1"/>
  <c r="CM362" i="1"/>
  <c r="CL362" i="1"/>
  <c r="CJ362" i="1"/>
  <c r="CI362" i="1"/>
  <c r="CH362" i="1"/>
  <c r="CG362" i="1"/>
  <c r="CE362" i="1"/>
  <c r="CD362" i="1"/>
  <c r="DH361" i="1"/>
  <c r="DE361" i="1"/>
  <c r="CZ361" i="1"/>
  <c r="CY361" i="1"/>
  <c r="CX361" i="1"/>
  <c r="CW361" i="1"/>
  <c r="CU361" i="1"/>
  <c r="CT361" i="1"/>
  <c r="CR361" i="1"/>
  <c r="CQ361" i="1"/>
  <c r="CP361" i="1"/>
  <c r="CO361" i="1"/>
  <c r="CM361" i="1"/>
  <c r="CL361" i="1"/>
  <c r="CJ361" i="1"/>
  <c r="CI361" i="1"/>
  <c r="CH361" i="1"/>
  <c r="CG361" i="1"/>
  <c r="CE361" i="1"/>
  <c r="CD361" i="1"/>
  <c r="DH360" i="1"/>
  <c r="DE360" i="1"/>
  <c r="CZ360" i="1"/>
  <c r="CY360" i="1"/>
  <c r="CX360" i="1"/>
  <c r="CW360" i="1"/>
  <c r="CU360" i="1"/>
  <c r="CT360" i="1"/>
  <c r="CR360" i="1"/>
  <c r="CQ360" i="1"/>
  <c r="CP360" i="1"/>
  <c r="CO360" i="1"/>
  <c r="CM360" i="1"/>
  <c r="CL360" i="1"/>
  <c r="CJ360" i="1"/>
  <c r="CI360" i="1"/>
  <c r="CH360" i="1"/>
  <c r="CG360" i="1"/>
  <c r="CE360" i="1"/>
  <c r="CD360" i="1"/>
  <c r="DH359" i="1"/>
  <c r="DE359" i="1"/>
  <c r="DB359" i="1"/>
  <c r="CZ359" i="1"/>
  <c r="CY359" i="1"/>
  <c r="CX359" i="1"/>
  <c r="CW359" i="1"/>
  <c r="CU359" i="1"/>
  <c r="CT359" i="1"/>
  <c r="CR359" i="1"/>
  <c r="CQ359" i="1"/>
  <c r="CP359" i="1"/>
  <c r="CO359" i="1"/>
  <c r="CM359" i="1"/>
  <c r="CL359" i="1"/>
  <c r="CJ359" i="1"/>
  <c r="CI359" i="1"/>
  <c r="CH359" i="1"/>
  <c r="CG359" i="1"/>
  <c r="CE359" i="1"/>
  <c r="CD359" i="1"/>
  <c r="DH358" i="1"/>
  <c r="DE358" i="1"/>
  <c r="CZ358" i="1"/>
  <c r="CY358" i="1"/>
  <c r="CX358" i="1"/>
  <c r="CW358" i="1"/>
  <c r="CU358" i="1"/>
  <c r="CT358" i="1"/>
  <c r="CR358" i="1"/>
  <c r="CQ358" i="1"/>
  <c r="CP358" i="1"/>
  <c r="CO358" i="1"/>
  <c r="CM358" i="1"/>
  <c r="CL358" i="1"/>
  <c r="CJ358" i="1"/>
  <c r="CI358" i="1"/>
  <c r="CH358" i="1"/>
  <c r="CG358" i="1"/>
  <c r="CE358" i="1"/>
  <c r="CD358" i="1"/>
  <c r="DH357" i="1"/>
  <c r="DE357" i="1"/>
  <c r="CZ357" i="1"/>
  <c r="CY357" i="1"/>
  <c r="CX357" i="1"/>
  <c r="CW357" i="1"/>
  <c r="CU357" i="1"/>
  <c r="CT357" i="1"/>
  <c r="CR357" i="1"/>
  <c r="CQ357" i="1"/>
  <c r="CP357" i="1"/>
  <c r="CO357" i="1"/>
  <c r="CM357" i="1"/>
  <c r="CL357" i="1"/>
  <c r="CJ357" i="1"/>
  <c r="CI357" i="1"/>
  <c r="CH357" i="1"/>
  <c r="CG357" i="1"/>
  <c r="CE357" i="1"/>
  <c r="CD357" i="1"/>
  <c r="DH356" i="1"/>
  <c r="DE356" i="1"/>
  <c r="CZ356" i="1"/>
  <c r="CY356" i="1"/>
  <c r="CX356" i="1"/>
  <c r="CW356" i="1"/>
  <c r="CU356" i="1"/>
  <c r="CT356" i="1"/>
  <c r="CR356" i="1"/>
  <c r="CQ356" i="1"/>
  <c r="CP356" i="1"/>
  <c r="CO356" i="1"/>
  <c r="CM356" i="1"/>
  <c r="CL356" i="1"/>
  <c r="CJ356" i="1"/>
  <c r="CI356" i="1"/>
  <c r="CH356" i="1"/>
  <c r="CG356" i="1"/>
  <c r="CE356" i="1"/>
  <c r="CD356" i="1"/>
  <c r="DH355" i="1"/>
  <c r="DE355" i="1"/>
  <c r="DB355" i="1"/>
  <c r="CZ355" i="1"/>
  <c r="CY355" i="1"/>
  <c r="CX355" i="1"/>
  <c r="CW355" i="1"/>
  <c r="CU355" i="1"/>
  <c r="CT355" i="1"/>
  <c r="CR355" i="1"/>
  <c r="CQ355" i="1"/>
  <c r="CP355" i="1"/>
  <c r="CO355" i="1"/>
  <c r="CM355" i="1"/>
  <c r="CL355" i="1"/>
  <c r="CJ355" i="1"/>
  <c r="CI355" i="1"/>
  <c r="CH355" i="1"/>
  <c r="CG355" i="1"/>
  <c r="CE355" i="1"/>
  <c r="CD355" i="1"/>
  <c r="DH354" i="1"/>
  <c r="DE354" i="1"/>
  <c r="CZ354" i="1"/>
  <c r="CY354" i="1"/>
  <c r="CX354" i="1"/>
  <c r="CW354" i="1"/>
  <c r="CU354" i="1"/>
  <c r="CT354" i="1"/>
  <c r="CR354" i="1"/>
  <c r="CQ354" i="1"/>
  <c r="CP354" i="1"/>
  <c r="CO354" i="1"/>
  <c r="CM354" i="1"/>
  <c r="CL354" i="1"/>
  <c r="CJ354" i="1"/>
  <c r="CI354" i="1"/>
  <c r="CH354" i="1"/>
  <c r="CG354" i="1"/>
  <c r="CE354" i="1"/>
  <c r="CD354" i="1"/>
  <c r="DH353" i="1"/>
  <c r="DE353" i="1"/>
  <c r="CZ353" i="1"/>
  <c r="CY353" i="1"/>
  <c r="CX353" i="1"/>
  <c r="CW353" i="1"/>
  <c r="CU353" i="1"/>
  <c r="CT353" i="1"/>
  <c r="CR353" i="1"/>
  <c r="CQ353" i="1"/>
  <c r="CP353" i="1"/>
  <c r="CO353" i="1"/>
  <c r="CM353" i="1"/>
  <c r="CL353" i="1"/>
  <c r="CJ353" i="1"/>
  <c r="CI353" i="1"/>
  <c r="CH353" i="1"/>
  <c r="CG353" i="1"/>
  <c r="CE353" i="1"/>
  <c r="CD353" i="1"/>
  <c r="DH352" i="1"/>
  <c r="DE352" i="1"/>
  <c r="CZ352" i="1"/>
  <c r="CY352" i="1"/>
  <c r="CX352" i="1"/>
  <c r="CW352" i="1"/>
  <c r="CU352" i="1"/>
  <c r="CT352" i="1"/>
  <c r="CR352" i="1"/>
  <c r="CQ352" i="1"/>
  <c r="CP352" i="1"/>
  <c r="CO352" i="1"/>
  <c r="CM352" i="1"/>
  <c r="CL352" i="1"/>
  <c r="CJ352" i="1"/>
  <c r="CI352" i="1"/>
  <c r="CH352" i="1"/>
  <c r="CG352" i="1"/>
  <c r="CE352" i="1"/>
  <c r="CD352" i="1"/>
  <c r="DH351" i="1"/>
  <c r="DE351" i="1"/>
  <c r="CZ351" i="1"/>
  <c r="CY351" i="1"/>
  <c r="CX351" i="1"/>
  <c r="CW351" i="1"/>
  <c r="CU351" i="1"/>
  <c r="CT351" i="1"/>
  <c r="CR351" i="1"/>
  <c r="CQ351" i="1"/>
  <c r="CP351" i="1"/>
  <c r="CO351" i="1"/>
  <c r="CM351" i="1"/>
  <c r="CL351" i="1"/>
  <c r="CJ351" i="1"/>
  <c r="CI351" i="1"/>
  <c r="CH351" i="1"/>
  <c r="CG351" i="1"/>
  <c r="CE351" i="1"/>
  <c r="CD351" i="1"/>
  <c r="DH350" i="1"/>
  <c r="DE350" i="1"/>
  <c r="DB350" i="1"/>
  <c r="CZ350" i="1"/>
  <c r="CY350" i="1"/>
  <c r="CX350" i="1"/>
  <c r="CW350" i="1"/>
  <c r="CU350" i="1"/>
  <c r="CT350" i="1"/>
  <c r="CR350" i="1"/>
  <c r="CQ350" i="1"/>
  <c r="CP350" i="1"/>
  <c r="CO350" i="1"/>
  <c r="CM350" i="1"/>
  <c r="CL350" i="1"/>
  <c r="CJ350" i="1"/>
  <c r="CI350" i="1"/>
  <c r="CH350" i="1"/>
  <c r="CG350" i="1"/>
  <c r="CE350" i="1"/>
  <c r="CD350" i="1"/>
  <c r="DH349" i="1"/>
  <c r="DE349" i="1"/>
  <c r="CZ349" i="1"/>
  <c r="CY349" i="1"/>
  <c r="CX349" i="1"/>
  <c r="CW349" i="1"/>
  <c r="CU349" i="1"/>
  <c r="CT349" i="1"/>
  <c r="CR349" i="1"/>
  <c r="CQ349" i="1"/>
  <c r="CP349" i="1"/>
  <c r="CO349" i="1"/>
  <c r="CM349" i="1"/>
  <c r="CL349" i="1"/>
  <c r="CJ349" i="1"/>
  <c r="CI349" i="1"/>
  <c r="CH349" i="1"/>
  <c r="CG349" i="1"/>
  <c r="CE349" i="1"/>
  <c r="CD349" i="1"/>
  <c r="DH348" i="1"/>
  <c r="DE348" i="1"/>
  <c r="CZ348" i="1"/>
  <c r="CY348" i="1"/>
  <c r="CX348" i="1"/>
  <c r="CW348" i="1"/>
  <c r="CU348" i="1"/>
  <c r="CT348" i="1"/>
  <c r="CR348" i="1"/>
  <c r="CQ348" i="1"/>
  <c r="CP348" i="1"/>
  <c r="CO348" i="1"/>
  <c r="CM348" i="1"/>
  <c r="CL348" i="1"/>
  <c r="CJ348" i="1"/>
  <c r="CI348" i="1"/>
  <c r="CH348" i="1"/>
  <c r="CG348" i="1"/>
  <c r="CE348" i="1"/>
  <c r="CD348" i="1"/>
  <c r="DH347" i="1"/>
  <c r="DE347" i="1"/>
  <c r="DB347" i="1"/>
  <c r="CZ347" i="1"/>
  <c r="CY347" i="1"/>
  <c r="CX347" i="1"/>
  <c r="CW347" i="1"/>
  <c r="CU347" i="1"/>
  <c r="CT347" i="1"/>
  <c r="CR347" i="1"/>
  <c r="CQ347" i="1"/>
  <c r="CP347" i="1"/>
  <c r="CO347" i="1"/>
  <c r="CM347" i="1"/>
  <c r="CL347" i="1"/>
  <c r="CJ347" i="1"/>
  <c r="CI347" i="1"/>
  <c r="CH347" i="1"/>
  <c r="CG347" i="1"/>
  <c r="CE347" i="1"/>
  <c r="CD347" i="1"/>
  <c r="DH346" i="1"/>
  <c r="DE346" i="1"/>
  <c r="CZ346" i="1"/>
  <c r="CY346" i="1"/>
  <c r="CX346" i="1"/>
  <c r="CW346" i="1"/>
  <c r="CU346" i="1"/>
  <c r="CT346" i="1"/>
  <c r="CR346" i="1"/>
  <c r="CQ346" i="1"/>
  <c r="CP346" i="1"/>
  <c r="CO346" i="1"/>
  <c r="CM346" i="1"/>
  <c r="CL346" i="1"/>
  <c r="CJ346" i="1"/>
  <c r="CI346" i="1"/>
  <c r="CH346" i="1"/>
  <c r="CG346" i="1"/>
  <c r="CE346" i="1"/>
  <c r="CD346" i="1"/>
  <c r="DH345" i="1"/>
  <c r="DE345" i="1"/>
  <c r="CZ345" i="1"/>
  <c r="CY345" i="1"/>
  <c r="CX345" i="1"/>
  <c r="CW345" i="1"/>
  <c r="CU345" i="1"/>
  <c r="CT345" i="1"/>
  <c r="CR345" i="1"/>
  <c r="CQ345" i="1"/>
  <c r="CP345" i="1"/>
  <c r="CO345" i="1"/>
  <c r="CM345" i="1"/>
  <c r="CL345" i="1"/>
  <c r="CJ345" i="1"/>
  <c r="CI345" i="1"/>
  <c r="CH345" i="1"/>
  <c r="CG345" i="1"/>
  <c r="CE345" i="1"/>
  <c r="CD345" i="1"/>
  <c r="DH344" i="1"/>
  <c r="DE344" i="1"/>
  <c r="CZ344" i="1"/>
  <c r="CY344" i="1"/>
  <c r="CX344" i="1"/>
  <c r="CW344" i="1"/>
  <c r="CV344" i="1"/>
  <c r="CU344" i="1"/>
  <c r="CT344" i="1"/>
  <c r="CR344" i="1"/>
  <c r="CQ344" i="1"/>
  <c r="CP344" i="1"/>
  <c r="CO344" i="1"/>
  <c r="CN344" i="1"/>
  <c r="CM344" i="1"/>
  <c r="CL344" i="1"/>
  <c r="CJ344" i="1"/>
  <c r="CI344" i="1"/>
  <c r="CH344" i="1"/>
  <c r="CG344" i="1"/>
  <c r="CF344" i="1"/>
  <c r="CE344" i="1"/>
  <c r="CD344" i="1"/>
  <c r="DH343" i="1"/>
  <c r="DE343" i="1"/>
  <c r="CZ343" i="1"/>
  <c r="CY343" i="1"/>
  <c r="CX343" i="1"/>
  <c r="CW343" i="1"/>
  <c r="CV343" i="1"/>
  <c r="CU343" i="1"/>
  <c r="CT343" i="1"/>
  <c r="CR343" i="1"/>
  <c r="CQ343" i="1"/>
  <c r="CP343" i="1"/>
  <c r="CO343" i="1"/>
  <c r="CN343" i="1"/>
  <c r="CM343" i="1"/>
  <c r="CL343" i="1"/>
  <c r="CJ343" i="1"/>
  <c r="CI343" i="1"/>
  <c r="CH343" i="1"/>
  <c r="CG343" i="1"/>
  <c r="CF343" i="1"/>
  <c r="CE343" i="1"/>
  <c r="CD343" i="1"/>
  <c r="DH342" i="1"/>
  <c r="DE342" i="1"/>
  <c r="CZ342" i="1"/>
  <c r="CY342" i="1"/>
  <c r="CX342" i="1"/>
  <c r="CW342" i="1"/>
  <c r="CV342" i="1"/>
  <c r="CU342" i="1"/>
  <c r="CT342" i="1"/>
  <c r="CR342" i="1"/>
  <c r="CQ342" i="1"/>
  <c r="CP342" i="1"/>
  <c r="CO342" i="1"/>
  <c r="CN342" i="1"/>
  <c r="CM342" i="1"/>
  <c r="CL342" i="1"/>
  <c r="CJ342" i="1"/>
  <c r="CI342" i="1"/>
  <c r="CH342" i="1"/>
  <c r="CG342" i="1"/>
  <c r="CF342" i="1"/>
  <c r="CE342" i="1"/>
  <c r="CD342" i="1"/>
  <c r="DH341" i="1"/>
  <c r="DE341" i="1"/>
  <c r="CZ341" i="1"/>
  <c r="CY341" i="1"/>
  <c r="CX341" i="1"/>
  <c r="CW341" i="1"/>
  <c r="CV341" i="1"/>
  <c r="CU341" i="1"/>
  <c r="CT341" i="1"/>
  <c r="CR341" i="1"/>
  <c r="CQ341" i="1"/>
  <c r="CP341" i="1"/>
  <c r="CO341" i="1"/>
  <c r="CN341" i="1"/>
  <c r="CM341" i="1"/>
  <c r="CL341" i="1"/>
  <c r="CJ341" i="1"/>
  <c r="CI341" i="1"/>
  <c r="CH341" i="1"/>
  <c r="CG341" i="1"/>
  <c r="CF341" i="1"/>
  <c r="CE341" i="1"/>
  <c r="CD341" i="1"/>
  <c r="DH340" i="1"/>
  <c r="DE340" i="1"/>
  <c r="CZ340" i="1"/>
  <c r="CY340" i="1"/>
  <c r="CX340" i="1"/>
  <c r="CW340" i="1"/>
  <c r="CV340" i="1"/>
  <c r="CU340" i="1"/>
  <c r="CT340" i="1"/>
  <c r="CR340" i="1"/>
  <c r="CQ340" i="1"/>
  <c r="CP340" i="1"/>
  <c r="CO340" i="1"/>
  <c r="CN340" i="1"/>
  <c r="CM340" i="1"/>
  <c r="CL340" i="1"/>
  <c r="CJ340" i="1"/>
  <c r="CI340" i="1"/>
  <c r="CH340" i="1"/>
  <c r="CG340" i="1"/>
  <c r="CF340" i="1"/>
  <c r="CE340" i="1"/>
  <c r="CD340" i="1"/>
  <c r="DH339" i="1"/>
  <c r="DE339" i="1"/>
  <c r="CZ339" i="1"/>
  <c r="CY339" i="1"/>
  <c r="CX339" i="1"/>
  <c r="CW339" i="1"/>
  <c r="CV339" i="1"/>
  <c r="CU339" i="1"/>
  <c r="CT339" i="1"/>
  <c r="CR339" i="1"/>
  <c r="CQ339" i="1"/>
  <c r="CP339" i="1"/>
  <c r="CO339" i="1"/>
  <c r="CN339" i="1"/>
  <c r="CM339" i="1"/>
  <c r="CL339" i="1"/>
  <c r="CJ339" i="1"/>
  <c r="CI339" i="1"/>
  <c r="CH339" i="1"/>
  <c r="CG339" i="1"/>
  <c r="CF339" i="1"/>
  <c r="CE339" i="1"/>
  <c r="CD339" i="1"/>
  <c r="DH338" i="1"/>
  <c r="DE338" i="1"/>
  <c r="CZ338" i="1"/>
  <c r="CY338" i="1"/>
  <c r="CX338" i="1"/>
  <c r="CW338" i="1"/>
  <c r="CV338" i="1"/>
  <c r="CU338" i="1"/>
  <c r="CT338" i="1"/>
  <c r="CR338" i="1"/>
  <c r="CQ338" i="1"/>
  <c r="CP338" i="1"/>
  <c r="CO338" i="1"/>
  <c r="CN338" i="1"/>
  <c r="CM338" i="1"/>
  <c r="CL338" i="1"/>
  <c r="CJ338" i="1"/>
  <c r="CI338" i="1"/>
  <c r="CH338" i="1"/>
  <c r="CG338" i="1"/>
  <c r="CF338" i="1"/>
  <c r="CE338" i="1"/>
  <c r="CD338" i="1"/>
  <c r="DH337" i="1"/>
  <c r="DE337" i="1"/>
  <c r="CZ337" i="1"/>
  <c r="CY337" i="1"/>
  <c r="CX337" i="1"/>
  <c r="CW337" i="1"/>
  <c r="CV337" i="1"/>
  <c r="CU337" i="1"/>
  <c r="CT337" i="1"/>
  <c r="CR337" i="1"/>
  <c r="CQ337" i="1"/>
  <c r="CP337" i="1"/>
  <c r="CO337" i="1"/>
  <c r="CN337" i="1"/>
  <c r="CM337" i="1"/>
  <c r="CL337" i="1"/>
  <c r="CJ337" i="1"/>
  <c r="CI337" i="1"/>
  <c r="CH337" i="1"/>
  <c r="CG337" i="1"/>
  <c r="CF337" i="1"/>
  <c r="CE337" i="1"/>
  <c r="CD337" i="1"/>
  <c r="DH336" i="1"/>
  <c r="DE336" i="1"/>
  <c r="CZ336" i="1"/>
  <c r="CY336" i="1"/>
  <c r="CX336" i="1"/>
  <c r="CW336" i="1"/>
  <c r="CV336" i="1"/>
  <c r="CU336" i="1"/>
  <c r="CT336" i="1"/>
  <c r="CR336" i="1"/>
  <c r="CQ336" i="1"/>
  <c r="CP336" i="1"/>
  <c r="CO336" i="1"/>
  <c r="CN336" i="1"/>
  <c r="CM336" i="1"/>
  <c r="CL336" i="1"/>
  <c r="CJ336" i="1"/>
  <c r="CI336" i="1"/>
  <c r="CH336" i="1"/>
  <c r="CG336" i="1"/>
  <c r="CF336" i="1"/>
  <c r="CE336" i="1"/>
  <c r="CD336" i="1"/>
  <c r="DH335" i="1"/>
  <c r="DE335" i="1"/>
  <c r="DB335" i="1"/>
  <c r="CZ335" i="1"/>
  <c r="CY335" i="1"/>
  <c r="CX335" i="1"/>
  <c r="CW335" i="1"/>
  <c r="CV335" i="1"/>
  <c r="CU335" i="1"/>
  <c r="CT335" i="1"/>
  <c r="CR335" i="1"/>
  <c r="CQ335" i="1"/>
  <c r="CP335" i="1"/>
  <c r="CO335" i="1"/>
  <c r="CN335" i="1"/>
  <c r="CM335" i="1"/>
  <c r="CL335" i="1"/>
  <c r="CJ335" i="1"/>
  <c r="CI335" i="1"/>
  <c r="CH335" i="1"/>
  <c r="CG335" i="1"/>
  <c r="CF335" i="1"/>
  <c r="CE335" i="1"/>
  <c r="CD335" i="1"/>
  <c r="DH334" i="1"/>
  <c r="DE334" i="1"/>
  <c r="CZ334" i="1"/>
  <c r="CY334" i="1"/>
  <c r="CX334" i="1"/>
  <c r="CW334" i="1"/>
  <c r="CV334" i="1"/>
  <c r="CU334" i="1"/>
  <c r="CT334" i="1"/>
  <c r="CR334" i="1"/>
  <c r="CQ334" i="1"/>
  <c r="CP334" i="1"/>
  <c r="CO334" i="1"/>
  <c r="CN334" i="1"/>
  <c r="CM334" i="1"/>
  <c r="CL334" i="1"/>
  <c r="CJ334" i="1"/>
  <c r="CI334" i="1"/>
  <c r="CH334" i="1"/>
  <c r="CG334" i="1"/>
  <c r="CF334" i="1"/>
  <c r="CE334" i="1"/>
  <c r="CD334" i="1"/>
  <c r="DH333" i="1"/>
  <c r="DE333" i="1"/>
  <c r="CZ333" i="1"/>
  <c r="CY333" i="1"/>
  <c r="CX333" i="1"/>
  <c r="CW333" i="1"/>
  <c r="CV333" i="1"/>
  <c r="CU333" i="1"/>
  <c r="CT333" i="1"/>
  <c r="CR333" i="1"/>
  <c r="CQ333" i="1"/>
  <c r="CP333" i="1"/>
  <c r="CO333" i="1"/>
  <c r="CN333" i="1"/>
  <c r="CM333" i="1"/>
  <c r="CL333" i="1"/>
  <c r="CJ333" i="1"/>
  <c r="CI333" i="1"/>
  <c r="CH333" i="1"/>
  <c r="CG333" i="1"/>
  <c r="CF333" i="1"/>
  <c r="CE333" i="1"/>
  <c r="CD333" i="1"/>
  <c r="DH332" i="1"/>
  <c r="DE332" i="1"/>
  <c r="CZ332" i="1"/>
  <c r="CY332" i="1"/>
  <c r="CX332" i="1"/>
  <c r="CW332" i="1"/>
  <c r="CV332" i="1"/>
  <c r="CU332" i="1"/>
  <c r="CT332" i="1"/>
  <c r="CR332" i="1"/>
  <c r="CQ332" i="1"/>
  <c r="CP332" i="1"/>
  <c r="CO332" i="1"/>
  <c r="CN332" i="1"/>
  <c r="CM332" i="1"/>
  <c r="CL332" i="1"/>
  <c r="CJ332" i="1"/>
  <c r="CI332" i="1"/>
  <c r="CH332" i="1"/>
  <c r="CG332" i="1"/>
  <c r="CF332" i="1"/>
  <c r="CE332" i="1"/>
  <c r="CD332" i="1"/>
  <c r="DH331" i="1"/>
  <c r="DE331" i="1"/>
  <c r="CZ331" i="1"/>
  <c r="CY331" i="1"/>
  <c r="CX331" i="1"/>
  <c r="CW331" i="1"/>
  <c r="CV331" i="1"/>
  <c r="CU331" i="1"/>
  <c r="CT331" i="1"/>
  <c r="CR331" i="1"/>
  <c r="CQ331" i="1"/>
  <c r="CP331" i="1"/>
  <c r="CO331" i="1"/>
  <c r="CN331" i="1"/>
  <c r="CM331" i="1"/>
  <c r="CL331" i="1"/>
  <c r="CJ331" i="1"/>
  <c r="CI331" i="1"/>
  <c r="CH331" i="1"/>
  <c r="CG331" i="1"/>
  <c r="CF331" i="1"/>
  <c r="CE331" i="1"/>
  <c r="CD331" i="1"/>
  <c r="DH330" i="1"/>
  <c r="DE330" i="1"/>
  <c r="CZ330" i="1"/>
  <c r="CY330" i="1"/>
  <c r="CX330" i="1"/>
  <c r="CW330" i="1"/>
  <c r="CV330" i="1"/>
  <c r="CU330" i="1"/>
  <c r="CT330" i="1"/>
  <c r="CR330" i="1"/>
  <c r="CQ330" i="1"/>
  <c r="CP330" i="1"/>
  <c r="CO330" i="1"/>
  <c r="CN330" i="1"/>
  <c r="CM330" i="1"/>
  <c r="CL330" i="1"/>
  <c r="CJ330" i="1"/>
  <c r="CI330" i="1"/>
  <c r="CH330" i="1"/>
  <c r="CG330" i="1"/>
  <c r="CF330" i="1"/>
  <c r="CE330" i="1"/>
  <c r="CD330" i="1"/>
  <c r="DH329" i="1"/>
  <c r="DE329" i="1"/>
  <c r="CZ329" i="1"/>
  <c r="CY329" i="1"/>
  <c r="CX329" i="1"/>
  <c r="CW329" i="1"/>
  <c r="CV329" i="1"/>
  <c r="CU329" i="1"/>
  <c r="CT329" i="1"/>
  <c r="CR329" i="1"/>
  <c r="CQ329" i="1"/>
  <c r="CP329" i="1"/>
  <c r="CO329" i="1"/>
  <c r="CN329" i="1"/>
  <c r="CM329" i="1"/>
  <c r="CL329" i="1"/>
  <c r="CJ329" i="1"/>
  <c r="CI329" i="1"/>
  <c r="CH329" i="1"/>
  <c r="CG329" i="1"/>
  <c r="CF329" i="1"/>
  <c r="CE329" i="1"/>
  <c r="CD329" i="1"/>
  <c r="DH328" i="1"/>
  <c r="DE328" i="1"/>
  <c r="CZ328" i="1"/>
  <c r="CY328" i="1"/>
  <c r="CX328" i="1"/>
  <c r="CW328" i="1"/>
  <c r="CV328" i="1"/>
  <c r="CU328" i="1"/>
  <c r="CT328" i="1"/>
  <c r="CR328" i="1"/>
  <c r="CQ328" i="1"/>
  <c r="CP328" i="1"/>
  <c r="CO328" i="1"/>
  <c r="CN328" i="1"/>
  <c r="CM328" i="1"/>
  <c r="CL328" i="1"/>
  <c r="CJ328" i="1"/>
  <c r="CI328" i="1"/>
  <c r="CH328" i="1"/>
  <c r="CG328" i="1"/>
  <c r="CF328" i="1"/>
  <c r="CE328" i="1"/>
  <c r="CD328" i="1"/>
  <c r="DH327" i="1"/>
  <c r="DE327" i="1"/>
  <c r="CZ327" i="1"/>
  <c r="CY327" i="1"/>
  <c r="CX327" i="1"/>
  <c r="CW327" i="1"/>
  <c r="CV327" i="1"/>
  <c r="CU327" i="1"/>
  <c r="CT327" i="1"/>
  <c r="CR327" i="1"/>
  <c r="CQ327" i="1"/>
  <c r="CP327" i="1"/>
  <c r="CO327" i="1"/>
  <c r="CN327" i="1"/>
  <c r="CM327" i="1"/>
  <c r="CL327" i="1"/>
  <c r="CJ327" i="1"/>
  <c r="CI327" i="1"/>
  <c r="CH327" i="1"/>
  <c r="CG327" i="1"/>
  <c r="CF327" i="1"/>
  <c r="CE327" i="1"/>
  <c r="CD327" i="1"/>
  <c r="DH326" i="1"/>
  <c r="DE326" i="1"/>
  <c r="CZ326" i="1"/>
  <c r="CY326" i="1"/>
  <c r="CX326" i="1"/>
  <c r="CW326" i="1"/>
  <c r="CV326" i="1"/>
  <c r="CU326" i="1"/>
  <c r="CT326" i="1"/>
  <c r="CR326" i="1"/>
  <c r="CQ326" i="1"/>
  <c r="CP326" i="1"/>
  <c r="CO326" i="1"/>
  <c r="CN326" i="1"/>
  <c r="CM326" i="1"/>
  <c r="CL326" i="1"/>
  <c r="CJ326" i="1"/>
  <c r="CI326" i="1"/>
  <c r="CH326" i="1"/>
  <c r="CG326" i="1"/>
  <c r="CF326" i="1"/>
  <c r="CE326" i="1"/>
  <c r="CD326" i="1"/>
  <c r="DH325" i="1"/>
  <c r="DE325" i="1"/>
  <c r="CZ325" i="1"/>
  <c r="CY325" i="1"/>
  <c r="CX325" i="1"/>
  <c r="CW325" i="1"/>
  <c r="CV325" i="1"/>
  <c r="CU325" i="1"/>
  <c r="CT325" i="1"/>
  <c r="CR325" i="1"/>
  <c r="CQ325" i="1"/>
  <c r="CP325" i="1"/>
  <c r="CO325" i="1"/>
  <c r="CN325" i="1"/>
  <c r="CM325" i="1"/>
  <c r="CL325" i="1"/>
  <c r="CJ325" i="1"/>
  <c r="CI325" i="1"/>
  <c r="CH325" i="1"/>
  <c r="CG325" i="1"/>
  <c r="CF325" i="1"/>
  <c r="CE325" i="1"/>
  <c r="CD325" i="1"/>
  <c r="DH324" i="1"/>
  <c r="DE324" i="1"/>
  <c r="CZ324" i="1"/>
  <c r="CY324" i="1"/>
  <c r="CX324" i="1"/>
  <c r="CW324" i="1"/>
  <c r="CV324" i="1"/>
  <c r="CU324" i="1"/>
  <c r="CT324" i="1"/>
  <c r="CR324" i="1"/>
  <c r="CQ324" i="1"/>
  <c r="CP324" i="1"/>
  <c r="CO324" i="1"/>
  <c r="CN324" i="1"/>
  <c r="CM324" i="1"/>
  <c r="CL324" i="1"/>
  <c r="CJ324" i="1"/>
  <c r="CI324" i="1"/>
  <c r="CH324" i="1"/>
  <c r="CG324" i="1"/>
  <c r="CF324" i="1"/>
  <c r="CE324" i="1"/>
  <c r="CD324" i="1"/>
  <c r="DH323" i="1"/>
  <c r="DE323" i="1"/>
  <c r="CZ323" i="1"/>
  <c r="CY323" i="1"/>
  <c r="CX323" i="1"/>
  <c r="CW323" i="1"/>
  <c r="CV323" i="1"/>
  <c r="CU323" i="1"/>
  <c r="CT323" i="1"/>
  <c r="CR323" i="1"/>
  <c r="CQ323" i="1"/>
  <c r="CP323" i="1"/>
  <c r="CO323" i="1"/>
  <c r="CN323" i="1"/>
  <c r="CM323" i="1"/>
  <c r="CL323" i="1"/>
  <c r="CJ323" i="1"/>
  <c r="CI323" i="1"/>
  <c r="CH323" i="1"/>
  <c r="CG323" i="1"/>
  <c r="CF323" i="1"/>
  <c r="CE323" i="1"/>
  <c r="CD323" i="1"/>
  <c r="DH322" i="1"/>
  <c r="DE322" i="1"/>
  <c r="CZ322" i="1"/>
  <c r="CY322" i="1"/>
  <c r="CX322" i="1"/>
  <c r="CW322" i="1"/>
  <c r="CV322" i="1"/>
  <c r="CU322" i="1"/>
  <c r="CT322" i="1"/>
  <c r="CR322" i="1"/>
  <c r="CQ322" i="1"/>
  <c r="CP322" i="1"/>
  <c r="CO322" i="1"/>
  <c r="CN322" i="1"/>
  <c r="CM322" i="1"/>
  <c r="CL322" i="1"/>
  <c r="CJ322" i="1"/>
  <c r="CI322" i="1"/>
  <c r="CH322" i="1"/>
  <c r="CG322" i="1"/>
  <c r="CF322" i="1"/>
  <c r="CE322" i="1"/>
  <c r="CD322" i="1"/>
  <c r="DH321" i="1"/>
  <c r="DE321" i="1"/>
  <c r="CZ321" i="1"/>
  <c r="CY321" i="1"/>
  <c r="CX321" i="1"/>
  <c r="CW321" i="1"/>
  <c r="CV321" i="1"/>
  <c r="CU321" i="1"/>
  <c r="CT321" i="1"/>
  <c r="CR321" i="1"/>
  <c r="CQ321" i="1"/>
  <c r="CP321" i="1"/>
  <c r="CO321" i="1"/>
  <c r="CN321" i="1"/>
  <c r="CM321" i="1"/>
  <c r="CL321" i="1"/>
  <c r="CJ321" i="1"/>
  <c r="CI321" i="1"/>
  <c r="CH321" i="1"/>
  <c r="CG321" i="1"/>
  <c r="CF321" i="1"/>
  <c r="CE321" i="1"/>
  <c r="CD321" i="1"/>
  <c r="DH320" i="1"/>
  <c r="DE320" i="1"/>
  <c r="CZ320" i="1"/>
  <c r="CY320" i="1"/>
  <c r="CX320" i="1"/>
  <c r="CW320" i="1"/>
  <c r="CV320" i="1"/>
  <c r="CU320" i="1"/>
  <c r="CT320" i="1"/>
  <c r="CR320" i="1"/>
  <c r="CQ320" i="1"/>
  <c r="CP320" i="1"/>
  <c r="CO320" i="1"/>
  <c r="CN320" i="1"/>
  <c r="CM320" i="1"/>
  <c r="CL320" i="1"/>
  <c r="CJ320" i="1"/>
  <c r="CI320" i="1"/>
  <c r="CH320" i="1"/>
  <c r="CG320" i="1"/>
  <c r="CF320" i="1"/>
  <c r="CE320" i="1"/>
  <c r="CD320" i="1"/>
  <c r="DH319" i="1"/>
  <c r="DE319" i="1"/>
  <c r="CZ319" i="1"/>
  <c r="CY319" i="1"/>
  <c r="CX319" i="1"/>
  <c r="CW319" i="1"/>
  <c r="CV319" i="1"/>
  <c r="CU319" i="1"/>
  <c r="CT319" i="1"/>
  <c r="CR319" i="1"/>
  <c r="CQ319" i="1"/>
  <c r="CP319" i="1"/>
  <c r="CO319" i="1"/>
  <c r="CN319" i="1"/>
  <c r="CM319" i="1"/>
  <c r="CL319" i="1"/>
  <c r="CJ319" i="1"/>
  <c r="CI319" i="1"/>
  <c r="CH319" i="1"/>
  <c r="CG319" i="1"/>
  <c r="CF319" i="1"/>
  <c r="CE319" i="1"/>
  <c r="CD319" i="1"/>
  <c r="DH318" i="1"/>
  <c r="DE318" i="1"/>
  <c r="CZ318" i="1"/>
  <c r="CY318" i="1"/>
  <c r="CX318" i="1"/>
  <c r="CW318" i="1"/>
  <c r="CV318" i="1"/>
  <c r="CU318" i="1"/>
  <c r="CT318" i="1"/>
  <c r="CR318" i="1"/>
  <c r="CQ318" i="1"/>
  <c r="CP318" i="1"/>
  <c r="CO318" i="1"/>
  <c r="CN318" i="1"/>
  <c r="CM318" i="1"/>
  <c r="CL318" i="1"/>
  <c r="CJ318" i="1"/>
  <c r="CI318" i="1"/>
  <c r="CH318" i="1"/>
  <c r="CG318" i="1"/>
  <c r="CF318" i="1"/>
  <c r="CE318" i="1"/>
  <c r="CD318" i="1"/>
  <c r="DH317" i="1"/>
  <c r="DE317" i="1"/>
  <c r="CZ317" i="1"/>
  <c r="CY317" i="1"/>
  <c r="CX317" i="1"/>
  <c r="CW317" i="1"/>
  <c r="CV317" i="1"/>
  <c r="CU317" i="1"/>
  <c r="CT317" i="1"/>
  <c r="CR317" i="1"/>
  <c r="CQ317" i="1"/>
  <c r="CP317" i="1"/>
  <c r="CO317" i="1"/>
  <c r="CN317" i="1"/>
  <c r="CM317" i="1"/>
  <c r="CL317" i="1"/>
  <c r="CJ317" i="1"/>
  <c r="CI317" i="1"/>
  <c r="CH317" i="1"/>
  <c r="CG317" i="1"/>
  <c r="CF317" i="1"/>
  <c r="CE317" i="1"/>
  <c r="CD317" i="1"/>
  <c r="DH316" i="1"/>
  <c r="DE316" i="1"/>
  <c r="CZ316" i="1"/>
  <c r="CY316" i="1"/>
  <c r="CX316" i="1"/>
  <c r="CW316" i="1"/>
  <c r="CV316" i="1"/>
  <c r="CU316" i="1"/>
  <c r="CT316" i="1"/>
  <c r="CR316" i="1"/>
  <c r="CQ316" i="1"/>
  <c r="CP316" i="1"/>
  <c r="CO316" i="1"/>
  <c r="CN316" i="1"/>
  <c r="CM316" i="1"/>
  <c r="CL316" i="1"/>
  <c r="CJ316" i="1"/>
  <c r="CI316" i="1"/>
  <c r="CH316" i="1"/>
  <c r="CG316" i="1"/>
  <c r="CF316" i="1"/>
  <c r="CE316" i="1"/>
  <c r="CD316" i="1"/>
  <c r="DH315" i="1"/>
  <c r="DE315" i="1"/>
  <c r="CZ315" i="1"/>
  <c r="CY315" i="1"/>
  <c r="CX315" i="1"/>
  <c r="CW315" i="1"/>
  <c r="CV315" i="1"/>
  <c r="CU315" i="1"/>
  <c r="CT315" i="1"/>
  <c r="CR315" i="1"/>
  <c r="CQ315" i="1"/>
  <c r="CP315" i="1"/>
  <c r="CO315" i="1"/>
  <c r="CN315" i="1"/>
  <c r="CM315" i="1"/>
  <c r="CL315" i="1"/>
  <c r="CJ315" i="1"/>
  <c r="CI315" i="1"/>
  <c r="CH315" i="1"/>
  <c r="CG315" i="1"/>
  <c r="CF315" i="1"/>
  <c r="CE315" i="1"/>
  <c r="CD315" i="1"/>
  <c r="DH314" i="1"/>
  <c r="DE314" i="1"/>
  <c r="CZ314" i="1"/>
  <c r="CY314" i="1"/>
  <c r="CX314" i="1"/>
  <c r="CW314" i="1"/>
  <c r="CV314" i="1"/>
  <c r="CU314" i="1"/>
  <c r="CT314" i="1"/>
  <c r="CR314" i="1"/>
  <c r="CQ314" i="1"/>
  <c r="CP314" i="1"/>
  <c r="CO314" i="1"/>
  <c r="CN314" i="1"/>
  <c r="CM314" i="1"/>
  <c r="CL314" i="1"/>
  <c r="CJ314" i="1"/>
  <c r="CI314" i="1"/>
  <c r="CH314" i="1"/>
  <c r="CG314" i="1"/>
  <c r="CF314" i="1"/>
  <c r="CE314" i="1"/>
  <c r="CD314" i="1"/>
  <c r="DH313" i="1"/>
  <c r="DE313" i="1"/>
  <c r="CZ313" i="1"/>
  <c r="CY313" i="1"/>
  <c r="CX313" i="1"/>
  <c r="CW313" i="1"/>
  <c r="CV313" i="1"/>
  <c r="CU313" i="1"/>
  <c r="CT313" i="1"/>
  <c r="CR313" i="1"/>
  <c r="CQ313" i="1"/>
  <c r="CP313" i="1"/>
  <c r="CO313" i="1"/>
  <c r="CN313" i="1"/>
  <c r="CM313" i="1"/>
  <c r="CL313" i="1"/>
  <c r="CJ313" i="1"/>
  <c r="CI313" i="1"/>
  <c r="CH313" i="1"/>
  <c r="CG313" i="1"/>
  <c r="CF313" i="1"/>
  <c r="CE313" i="1"/>
  <c r="CD313" i="1"/>
  <c r="DH312" i="1"/>
  <c r="DE312" i="1"/>
  <c r="CZ312" i="1"/>
  <c r="CY312" i="1"/>
  <c r="CX312" i="1"/>
  <c r="CW312" i="1"/>
  <c r="CV312" i="1"/>
  <c r="CU312" i="1"/>
  <c r="CT312" i="1"/>
  <c r="CR312" i="1"/>
  <c r="CQ312" i="1"/>
  <c r="CP312" i="1"/>
  <c r="CO312" i="1"/>
  <c r="CN312" i="1"/>
  <c r="CM312" i="1"/>
  <c r="CL312" i="1"/>
  <c r="CJ312" i="1"/>
  <c r="CI312" i="1"/>
  <c r="CH312" i="1"/>
  <c r="CG312" i="1"/>
  <c r="CF312" i="1"/>
  <c r="CE312" i="1"/>
  <c r="CD312" i="1"/>
  <c r="DH311" i="1"/>
  <c r="DE311" i="1"/>
  <c r="CZ311" i="1"/>
  <c r="CY311" i="1"/>
  <c r="CX311" i="1"/>
  <c r="CW311" i="1"/>
  <c r="CV311" i="1"/>
  <c r="CU311" i="1"/>
  <c r="CT311" i="1"/>
  <c r="CR311" i="1"/>
  <c r="CQ311" i="1"/>
  <c r="CP311" i="1"/>
  <c r="CO311" i="1"/>
  <c r="CN311" i="1"/>
  <c r="CM311" i="1"/>
  <c r="CL311" i="1"/>
  <c r="CJ311" i="1"/>
  <c r="CI311" i="1"/>
  <c r="CH311" i="1"/>
  <c r="CG311" i="1"/>
  <c r="CF311" i="1"/>
  <c r="CE311" i="1"/>
  <c r="CD311" i="1"/>
  <c r="DH310" i="1"/>
  <c r="DE310" i="1"/>
  <c r="CZ310" i="1"/>
  <c r="CY310" i="1"/>
  <c r="CX310" i="1"/>
  <c r="CW310" i="1"/>
  <c r="CV310" i="1"/>
  <c r="CU310" i="1"/>
  <c r="CT310" i="1"/>
  <c r="CR310" i="1"/>
  <c r="CQ310" i="1"/>
  <c r="CP310" i="1"/>
  <c r="CO310" i="1"/>
  <c r="CN310" i="1"/>
  <c r="CM310" i="1"/>
  <c r="CL310" i="1"/>
  <c r="CJ310" i="1"/>
  <c r="CI310" i="1"/>
  <c r="CH310" i="1"/>
  <c r="CG310" i="1"/>
  <c r="CF310" i="1"/>
  <c r="CE310" i="1"/>
  <c r="CD310" i="1"/>
  <c r="DH309" i="1"/>
  <c r="DE309" i="1"/>
  <c r="CZ309" i="1"/>
  <c r="CY309" i="1"/>
  <c r="CX309" i="1"/>
  <c r="CW309" i="1"/>
  <c r="CV309" i="1"/>
  <c r="CU309" i="1"/>
  <c r="CT309" i="1"/>
  <c r="CR309" i="1"/>
  <c r="CQ309" i="1"/>
  <c r="CP309" i="1"/>
  <c r="CO309" i="1"/>
  <c r="CN309" i="1"/>
  <c r="CM309" i="1"/>
  <c r="CL309" i="1"/>
  <c r="CJ309" i="1"/>
  <c r="CI309" i="1"/>
  <c r="CH309" i="1"/>
  <c r="CG309" i="1"/>
  <c r="CF309" i="1"/>
  <c r="CE309" i="1"/>
  <c r="CD309" i="1"/>
  <c r="DH308" i="1"/>
  <c r="DE308" i="1"/>
  <c r="DB308" i="1"/>
  <c r="CZ308" i="1"/>
  <c r="CY308" i="1"/>
  <c r="CX308" i="1"/>
  <c r="CW308" i="1"/>
  <c r="CV308" i="1"/>
  <c r="CU308" i="1"/>
  <c r="CT308" i="1"/>
  <c r="CR308" i="1"/>
  <c r="CQ308" i="1"/>
  <c r="CP308" i="1"/>
  <c r="CO308" i="1"/>
  <c r="CN308" i="1"/>
  <c r="CM308" i="1"/>
  <c r="CL308" i="1"/>
  <c r="CJ308" i="1"/>
  <c r="CI308" i="1"/>
  <c r="CH308" i="1"/>
  <c r="CG308" i="1"/>
  <c r="CF308" i="1"/>
  <c r="CE308" i="1"/>
  <c r="CD308" i="1"/>
  <c r="DH307" i="1"/>
  <c r="DE307" i="1"/>
  <c r="DB307" i="1"/>
  <c r="CZ307" i="1"/>
  <c r="CY307" i="1"/>
  <c r="CX307" i="1"/>
  <c r="CW307" i="1"/>
  <c r="CV307" i="1"/>
  <c r="CU307" i="1"/>
  <c r="CT307" i="1"/>
  <c r="CR307" i="1"/>
  <c r="CQ307" i="1"/>
  <c r="CP307" i="1"/>
  <c r="CO307" i="1"/>
  <c r="CN307" i="1"/>
  <c r="CM307" i="1"/>
  <c r="CL307" i="1"/>
  <c r="CJ307" i="1"/>
  <c r="CI307" i="1"/>
  <c r="CH307" i="1"/>
  <c r="CG307" i="1"/>
  <c r="CF307" i="1"/>
  <c r="CE307" i="1"/>
  <c r="CD307" i="1"/>
  <c r="DH306" i="1"/>
  <c r="DE306" i="1"/>
  <c r="DB306" i="1"/>
  <c r="CZ306" i="1"/>
  <c r="CY306" i="1"/>
  <c r="CX306" i="1"/>
  <c r="CW306" i="1"/>
  <c r="CV306" i="1"/>
  <c r="CU306" i="1"/>
  <c r="CT306" i="1"/>
  <c r="CR306" i="1"/>
  <c r="CQ306" i="1"/>
  <c r="CP306" i="1"/>
  <c r="CO306" i="1"/>
  <c r="CN306" i="1"/>
  <c r="CM306" i="1"/>
  <c r="CL306" i="1"/>
  <c r="CJ306" i="1"/>
  <c r="CI306" i="1"/>
  <c r="CH306" i="1"/>
  <c r="CG306" i="1"/>
  <c r="CF306" i="1"/>
  <c r="CE306" i="1"/>
  <c r="CD306" i="1"/>
  <c r="DH305" i="1"/>
  <c r="DE305" i="1"/>
  <c r="DB305" i="1"/>
  <c r="CZ305" i="1"/>
  <c r="CY305" i="1"/>
  <c r="CX305" i="1"/>
  <c r="CW305" i="1"/>
  <c r="CV305" i="1"/>
  <c r="CU305" i="1"/>
  <c r="CT305" i="1"/>
  <c r="CR305" i="1"/>
  <c r="CQ305" i="1"/>
  <c r="CP305" i="1"/>
  <c r="CO305" i="1"/>
  <c r="CN305" i="1"/>
  <c r="CM305" i="1"/>
  <c r="CL305" i="1"/>
  <c r="CJ305" i="1"/>
  <c r="CI305" i="1"/>
  <c r="CH305" i="1"/>
  <c r="CG305" i="1"/>
  <c r="CF305" i="1"/>
  <c r="CE305" i="1"/>
  <c r="CD305" i="1"/>
  <c r="DH304" i="1"/>
  <c r="DE304" i="1"/>
  <c r="DB304" i="1"/>
  <c r="CZ304" i="1"/>
  <c r="CY304" i="1"/>
  <c r="CX304" i="1"/>
  <c r="CW304" i="1"/>
  <c r="CV304" i="1"/>
  <c r="CU304" i="1"/>
  <c r="CT304" i="1"/>
  <c r="CR304" i="1"/>
  <c r="CQ304" i="1"/>
  <c r="CP304" i="1"/>
  <c r="CO304" i="1"/>
  <c r="CN304" i="1"/>
  <c r="CM304" i="1"/>
  <c r="CL304" i="1"/>
  <c r="CJ304" i="1"/>
  <c r="CI304" i="1"/>
  <c r="CH304" i="1"/>
  <c r="CG304" i="1"/>
  <c r="CF304" i="1"/>
  <c r="CE304" i="1"/>
  <c r="CD304" i="1"/>
  <c r="DH303" i="1"/>
  <c r="DE303" i="1"/>
  <c r="DB303" i="1"/>
  <c r="CZ303" i="1"/>
  <c r="CY303" i="1"/>
  <c r="CX303" i="1"/>
  <c r="CW303" i="1"/>
  <c r="CV303" i="1"/>
  <c r="CU303" i="1"/>
  <c r="CT303" i="1"/>
  <c r="CR303" i="1"/>
  <c r="CQ303" i="1"/>
  <c r="CP303" i="1"/>
  <c r="CO303" i="1"/>
  <c r="CN303" i="1"/>
  <c r="CM303" i="1"/>
  <c r="CL303" i="1"/>
  <c r="CJ303" i="1"/>
  <c r="CI303" i="1"/>
  <c r="CH303" i="1"/>
  <c r="CG303" i="1"/>
  <c r="CF303" i="1"/>
  <c r="CE303" i="1"/>
  <c r="CD303" i="1"/>
  <c r="DH302" i="1"/>
  <c r="DE302" i="1"/>
  <c r="DB302" i="1"/>
  <c r="CZ302" i="1"/>
  <c r="CY302" i="1"/>
  <c r="CX302" i="1"/>
  <c r="CW302" i="1"/>
  <c r="CV302" i="1"/>
  <c r="CU302" i="1"/>
  <c r="CT302" i="1"/>
  <c r="CR302" i="1"/>
  <c r="CQ302" i="1"/>
  <c r="CP302" i="1"/>
  <c r="CO302" i="1"/>
  <c r="CN302" i="1"/>
  <c r="CM302" i="1"/>
  <c r="CL302" i="1"/>
  <c r="CJ302" i="1"/>
  <c r="CI302" i="1"/>
  <c r="CH302" i="1"/>
  <c r="CG302" i="1"/>
  <c r="CF302" i="1"/>
  <c r="CE302" i="1"/>
  <c r="CD302" i="1"/>
  <c r="DH301" i="1"/>
  <c r="DE301" i="1"/>
  <c r="DB301" i="1"/>
  <c r="CZ301" i="1"/>
  <c r="CY301" i="1"/>
  <c r="CX301" i="1"/>
  <c r="CW301" i="1"/>
  <c r="CV301" i="1"/>
  <c r="CU301" i="1"/>
  <c r="CT301" i="1"/>
  <c r="CR301" i="1"/>
  <c r="CQ301" i="1"/>
  <c r="CP301" i="1"/>
  <c r="CO301" i="1"/>
  <c r="CN301" i="1"/>
  <c r="CM301" i="1"/>
  <c r="CL301" i="1"/>
  <c r="CJ301" i="1"/>
  <c r="CI301" i="1"/>
  <c r="CH301" i="1"/>
  <c r="CG301" i="1"/>
  <c r="CF301" i="1"/>
  <c r="CE301" i="1"/>
  <c r="CD301" i="1"/>
  <c r="DH300" i="1"/>
  <c r="DE300" i="1"/>
  <c r="DB300" i="1"/>
  <c r="CZ300" i="1"/>
  <c r="CY300" i="1"/>
  <c r="CX300" i="1"/>
  <c r="CW300" i="1"/>
  <c r="CV300" i="1"/>
  <c r="CU300" i="1"/>
  <c r="CT300" i="1"/>
  <c r="CR300" i="1"/>
  <c r="CQ300" i="1"/>
  <c r="CP300" i="1"/>
  <c r="CO300" i="1"/>
  <c r="CN300" i="1"/>
  <c r="CM300" i="1"/>
  <c r="CL300" i="1"/>
  <c r="CJ300" i="1"/>
  <c r="CI300" i="1"/>
  <c r="CH300" i="1"/>
  <c r="CG300" i="1"/>
  <c r="CF300" i="1"/>
  <c r="CE300" i="1"/>
  <c r="CD300" i="1"/>
  <c r="DH299" i="1"/>
  <c r="DE299" i="1"/>
  <c r="DB299" i="1"/>
  <c r="CZ299" i="1"/>
  <c r="CY299" i="1"/>
  <c r="CX299" i="1"/>
  <c r="CW299" i="1"/>
  <c r="CV299" i="1"/>
  <c r="CU299" i="1"/>
  <c r="CT299" i="1"/>
  <c r="CR299" i="1"/>
  <c r="CQ299" i="1"/>
  <c r="CP299" i="1"/>
  <c r="CO299" i="1"/>
  <c r="CN299" i="1"/>
  <c r="CM299" i="1"/>
  <c r="CL299" i="1"/>
  <c r="CJ299" i="1"/>
  <c r="CI299" i="1"/>
  <c r="CH299" i="1"/>
  <c r="CG299" i="1"/>
  <c r="CF299" i="1"/>
  <c r="CE299" i="1"/>
  <c r="CD299" i="1"/>
  <c r="DH298" i="1"/>
  <c r="DE298" i="1"/>
  <c r="DB298" i="1"/>
  <c r="CZ298" i="1"/>
  <c r="CY298" i="1"/>
  <c r="CX298" i="1"/>
  <c r="CW298" i="1"/>
  <c r="CV298" i="1"/>
  <c r="CU298" i="1"/>
  <c r="CT298" i="1"/>
  <c r="CR298" i="1"/>
  <c r="CQ298" i="1"/>
  <c r="CP298" i="1"/>
  <c r="CO298" i="1"/>
  <c r="CN298" i="1"/>
  <c r="CM298" i="1"/>
  <c r="CL298" i="1"/>
  <c r="CJ298" i="1"/>
  <c r="CI298" i="1"/>
  <c r="CH298" i="1"/>
  <c r="CG298" i="1"/>
  <c r="CF298" i="1"/>
  <c r="CE298" i="1"/>
  <c r="CD298" i="1"/>
  <c r="DH297" i="1"/>
  <c r="DE297" i="1"/>
  <c r="DB297" i="1"/>
  <c r="CZ297" i="1"/>
  <c r="CY297" i="1"/>
  <c r="CX297" i="1"/>
  <c r="CW297" i="1"/>
  <c r="CV297" i="1"/>
  <c r="CU297" i="1"/>
  <c r="CT297" i="1"/>
  <c r="CR297" i="1"/>
  <c r="CQ297" i="1"/>
  <c r="CP297" i="1"/>
  <c r="CO297" i="1"/>
  <c r="CN297" i="1"/>
  <c r="CM297" i="1"/>
  <c r="CL297" i="1"/>
  <c r="CJ297" i="1"/>
  <c r="CI297" i="1"/>
  <c r="CH297" i="1"/>
  <c r="CG297" i="1"/>
  <c r="CF297" i="1"/>
  <c r="CE297" i="1"/>
  <c r="CD297" i="1"/>
  <c r="DH296" i="1"/>
  <c r="DE296" i="1"/>
  <c r="DB296" i="1"/>
  <c r="CZ296" i="1"/>
  <c r="CY296" i="1"/>
  <c r="CX296" i="1"/>
  <c r="CW296" i="1"/>
  <c r="CV296" i="1"/>
  <c r="CU296" i="1"/>
  <c r="CT296" i="1"/>
  <c r="CR296" i="1"/>
  <c r="CQ296" i="1"/>
  <c r="CP296" i="1"/>
  <c r="CO296" i="1"/>
  <c r="CN296" i="1"/>
  <c r="CM296" i="1"/>
  <c r="CL296" i="1"/>
  <c r="CJ296" i="1"/>
  <c r="CI296" i="1"/>
  <c r="CH296" i="1"/>
  <c r="CG296" i="1"/>
  <c r="CF296" i="1"/>
  <c r="CE296" i="1"/>
  <c r="CD296" i="1"/>
  <c r="DH295" i="1"/>
  <c r="DE295" i="1"/>
  <c r="DB295" i="1"/>
  <c r="CZ295" i="1"/>
  <c r="CY295" i="1"/>
  <c r="CX295" i="1"/>
  <c r="CW295" i="1"/>
  <c r="CV295" i="1"/>
  <c r="CU295" i="1"/>
  <c r="CT295" i="1"/>
  <c r="CR295" i="1"/>
  <c r="CQ295" i="1"/>
  <c r="CP295" i="1"/>
  <c r="CO295" i="1"/>
  <c r="CN295" i="1"/>
  <c r="CM295" i="1"/>
  <c r="CL295" i="1"/>
  <c r="CJ295" i="1"/>
  <c r="CI295" i="1"/>
  <c r="CH295" i="1"/>
  <c r="CG295" i="1"/>
  <c r="CF295" i="1"/>
  <c r="CE295" i="1"/>
  <c r="CD295" i="1"/>
  <c r="DH294" i="1"/>
  <c r="DE294" i="1"/>
  <c r="DB294" i="1"/>
  <c r="CZ294" i="1"/>
  <c r="CY294" i="1"/>
  <c r="CX294" i="1"/>
  <c r="CW294" i="1"/>
  <c r="CV294" i="1"/>
  <c r="CU294" i="1"/>
  <c r="CT294" i="1"/>
  <c r="CR294" i="1"/>
  <c r="CQ294" i="1"/>
  <c r="CP294" i="1"/>
  <c r="CO294" i="1"/>
  <c r="CN294" i="1"/>
  <c r="CM294" i="1"/>
  <c r="CL294" i="1"/>
  <c r="CJ294" i="1"/>
  <c r="CI294" i="1"/>
  <c r="CH294" i="1"/>
  <c r="CG294" i="1"/>
  <c r="CF294" i="1"/>
  <c r="CE294" i="1"/>
  <c r="CD294" i="1"/>
  <c r="DH293" i="1"/>
  <c r="DE293" i="1"/>
  <c r="DB293" i="1"/>
  <c r="CZ293" i="1"/>
  <c r="CY293" i="1"/>
  <c r="CX293" i="1"/>
  <c r="CW293" i="1"/>
  <c r="CV293" i="1"/>
  <c r="CU293" i="1"/>
  <c r="CT293" i="1"/>
  <c r="CR293" i="1"/>
  <c r="CQ293" i="1"/>
  <c r="CP293" i="1"/>
  <c r="CO293" i="1"/>
  <c r="CN293" i="1"/>
  <c r="CM293" i="1"/>
  <c r="CL293" i="1"/>
  <c r="CJ293" i="1"/>
  <c r="CI293" i="1"/>
  <c r="CH293" i="1"/>
  <c r="CG293" i="1"/>
  <c r="CF293" i="1"/>
  <c r="CE293" i="1"/>
  <c r="CD293" i="1"/>
  <c r="DH292" i="1"/>
  <c r="DE292" i="1"/>
  <c r="DB292" i="1"/>
  <c r="CZ292" i="1"/>
  <c r="CY292" i="1"/>
  <c r="CX292" i="1"/>
  <c r="CW292" i="1"/>
  <c r="CV292" i="1"/>
  <c r="CU292" i="1"/>
  <c r="CT292" i="1"/>
  <c r="CR292" i="1"/>
  <c r="CQ292" i="1"/>
  <c r="CP292" i="1"/>
  <c r="CO292" i="1"/>
  <c r="CN292" i="1"/>
  <c r="CM292" i="1"/>
  <c r="CL292" i="1"/>
  <c r="CJ292" i="1"/>
  <c r="CI292" i="1"/>
  <c r="CH292" i="1"/>
  <c r="CG292" i="1"/>
  <c r="CF292" i="1"/>
  <c r="CE292" i="1"/>
  <c r="CD292" i="1"/>
  <c r="DH291" i="1"/>
  <c r="DE291" i="1"/>
  <c r="DB291" i="1"/>
  <c r="CZ291" i="1"/>
  <c r="CY291" i="1"/>
  <c r="CX291" i="1"/>
  <c r="CW291" i="1"/>
  <c r="CV291" i="1"/>
  <c r="CU291" i="1"/>
  <c r="CT291" i="1"/>
  <c r="CR291" i="1"/>
  <c r="CQ291" i="1"/>
  <c r="CP291" i="1"/>
  <c r="CO291" i="1"/>
  <c r="CN291" i="1"/>
  <c r="CM291" i="1"/>
  <c r="CL291" i="1"/>
  <c r="CJ291" i="1"/>
  <c r="CI291" i="1"/>
  <c r="CH291" i="1"/>
  <c r="CG291" i="1"/>
  <c r="CF291" i="1"/>
  <c r="CE291" i="1"/>
  <c r="CD291" i="1"/>
  <c r="DH290" i="1"/>
  <c r="DE290" i="1"/>
  <c r="DB290" i="1"/>
  <c r="CZ290" i="1"/>
  <c r="CY290" i="1"/>
  <c r="CX290" i="1"/>
  <c r="CW290" i="1"/>
  <c r="CV290" i="1"/>
  <c r="CU290" i="1"/>
  <c r="CT290" i="1"/>
  <c r="CR290" i="1"/>
  <c r="CQ290" i="1"/>
  <c r="CP290" i="1"/>
  <c r="CO290" i="1"/>
  <c r="CN290" i="1"/>
  <c r="CM290" i="1"/>
  <c r="CL290" i="1"/>
  <c r="CJ290" i="1"/>
  <c r="CI290" i="1"/>
  <c r="CH290" i="1"/>
  <c r="CG290" i="1"/>
  <c r="CF290" i="1"/>
  <c r="CE290" i="1"/>
  <c r="CD290" i="1"/>
  <c r="DH289" i="1"/>
  <c r="DE289" i="1"/>
  <c r="DB289" i="1"/>
  <c r="CZ289" i="1"/>
  <c r="CY289" i="1"/>
  <c r="CX289" i="1"/>
  <c r="CW289" i="1"/>
  <c r="CV289" i="1"/>
  <c r="CU289" i="1"/>
  <c r="CT289" i="1"/>
  <c r="CR289" i="1"/>
  <c r="CQ289" i="1"/>
  <c r="CP289" i="1"/>
  <c r="CO289" i="1"/>
  <c r="CN289" i="1"/>
  <c r="CM289" i="1"/>
  <c r="CL289" i="1"/>
  <c r="CJ289" i="1"/>
  <c r="CI289" i="1"/>
  <c r="CH289" i="1"/>
  <c r="CG289" i="1"/>
  <c r="CF289" i="1"/>
  <c r="CE289" i="1"/>
  <c r="CD289" i="1"/>
  <c r="DH288" i="1"/>
  <c r="DE288" i="1"/>
  <c r="DB288" i="1"/>
  <c r="CZ288" i="1"/>
  <c r="CY288" i="1"/>
  <c r="CX288" i="1"/>
  <c r="CW288" i="1"/>
  <c r="CV288" i="1"/>
  <c r="CU288" i="1"/>
  <c r="CT288" i="1"/>
  <c r="CR288" i="1"/>
  <c r="CQ288" i="1"/>
  <c r="CP288" i="1"/>
  <c r="CO288" i="1"/>
  <c r="CN288" i="1"/>
  <c r="CM288" i="1"/>
  <c r="CL288" i="1"/>
  <c r="CJ288" i="1"/>
  <c r="CI288" i="1"/>
  <c r="CH288" i="1"/>
  <c r="CG288" i="1"/>
  <c r="CF288" i="1"/>
  <c r="CE288" i="1"/>
  <c r="CD288" i="1"/>
  <c r="DH287" i="1"/>
  <c r="DE287" i="1"/>
  <c r="DB287" i="1"/>
  <c r="CZ287" i="1"/>
  <c r="CY287" i="1"/>
  <c r="CX287" i="1"/>
  <c r="CW287" i="1"/>
  <c r="CV287" i="1"/>
  <c r="CU287" i="1"/>
  <c r="CT287" i="1"/>
  <c r="CR287" i="1"/>
  <c r="CQ287" i="1"/>
  <c r="CP287" i="1"/>
  <c r="CO287" i="1"/>
  <c r="CN287" i="1"/>
  <c r="CM287" i="1"/>
  <c r="CL287" i="1"/>
  <c r="CJ287" i="1"/>
  <c r="CI287" i="1"/>
  <c r="CH287" i="1"/>
  <c r="CG287" i="1"/>
  <c r="CF287" i="1"/>
  <c r="CE287" i="1"/>
  <c r="CD287" i="1"/>
  <c r="DH286" i="1"/>
  <c r="DE286" i="1"/>
  <c r="DB286" i="1"/>
  <c r="CZ286" i="1"/>
  <c r="CY286" i="1"/>
  <c r="CX286" i="1"/>
  <c r="CW286" i="1"/>
  <c r="CV286" i="1"/>
  <c r="CU286" i="1"/>
  <c r="CT286" i="1"/>
  <c r="CR286" i="1"/>
  <c r="CQ286" i="1"/>
  <c r="CP286" i="1"/>
  <c r="CO286" i="1"/>
  <c r="CN286" i="1"/>
  <c r="CM286" i="1"/>
  <c r="CL286" i="1"/>
  <c r="CJ286" i="1"/>
  <c r="CI286" i="1"/>
  <c r="CH286" i="1"/>
  <c r="CG286" i="1"/>
  <c r="CF286" i="1"/>
  <c r="CE286" i="1"/>
  <c r="CD286" i="1"/>
  <c r="DH285" i="1"/>
  <c r="DE285" i="1"/>
  <c r="DB285" i="1"/>
  <c r="CZ285" i="1"/>
  <c r="CY285" i="1"/>
  <c r="CX285" i="1"/>
  <c r="CW285" i="1"/>
  <c r="CV285" i="1"/>
  <c r="CU285" i="1"/>
  <c r="CT285" i="1"/>
  <c r="CR285" i="1"/>
  <c r="CQ285" i="1"/>
  <c r="CP285" i="1"/>
  <c r="CO285" i="1"/>
  <c r="CN285" i="1"/>
  <c r="CM285" i="1"/>
  <c r="CL285" i="1"/>
  <c r="CJ285" i="1"/>
  <c r="CI285" i="1"/>
  <c r="CH285" i="1"/>
  <c r="CG285" i="1"/>
  <c r="CF285" i="1"/>
  <c r="CE285" i="1"/>
  <c r="CD285" i="1"/>
  <c r="DH284" i="1"/>
  <c r="DE284" i="1"/>
  <c r="DB284" i="1"/>
  <c r="CZ284" i="1"/>
  <c r="CY284" i="1"/>
  <c r="CX284" i="1"/>
  <c r="CW284" i="1"/>
  <c r="CV284" i="1"/>
  <c r="CU284" i="1"/>
  <c r="CT284" i="1"/>
  <c r="CR284" i="1"/>
  <c r="CQ284" i="1"/>
  <c r="CP284" i="1"/>
  <c r="CO284" i="1"/>
  <c r="CN284" i="1"/>
  <c r="CM284" i="1"/>
  <c r="CL284" i="1"/>
  <c r="CJ284" i="1"/>
  <c r="CI284" i="1"/>
  <c r="CH284" i="1"/>
  <c r="CG284" i="1"/>
  <c r="CF284" i="1"/>
  <c r="CE284" i="1"/>
  <c r="CD284" i="1"/>
  <c r="DH283" i="1"/>
  <c r="DE283" i="1"/>
  <c r="DB283" i="1"/>
  <c r="CZ283" i="1"/>
  <c r="CY283" i="1"/>
  <c r="CX283" i="1"/>
  <c r="CW283" i="1"/>
  <c r="CV283" i="1"/>
  <c r="CU283" i="1"/>
  <c r="CT283" i="1"/>
  <c r="CR283" i="1"/>
  <c r="CQ283" i="1"/>
  <c r="CP283" i="1"/>
  <c r="CO283" i="1"/>
  <c r="CN283" i="1"/>
  <c r="CM283" i="1"/>
  <c r="CL283" i="1"/>
  <c r="CJ283" i="1"/>
  <c r="CI283" i="1"/>
  <c r="CH283" i="1"/>
  <c r="CG283" i="1"/>
  <c r="CF283" i="1"/>
  <c r="CE283" i="1"/>
  <c r="CD283" i="1"/>
  <c r="DH282" i="1"/>
  <c r="DE282" i="1"/>
  <c r="DB282" i="1"/>
  <c r="CZ282" i="1"/>
  <c r="CY282" i="1"/>
  <c r="CX282" i="1"/>
  <c r="CW282" i="1"/>
  <c r="CV282" i="1"/>
  <c r="CU282" i="1"/>
  <c r="CT282" i="1"/>
  <c r="CR282" i="1"/>
  <c r="CQ282" i="1"/>
  <c r="CP282" i="1"/>
  <c r="CO282" i="1"/>
  <c r="CN282" i="1"/>
  <c r="CM282" i="1"/>
  <c r="CL282" i="1"/>
  <c r="CJ282" i="1"/>
  <c r="CI282" i="1"/>
  <c r="CH282" i="1"/>
  <c r="CG282" i="1"/>
  <c r="CF282" i="1"/>
  <c r="CE282" i="1"/>
  <c r="CD282" i="1"/>
  <c r="DH281" i="1"/>
  <c r="DE281" i="1"/>
  <c r="DB281" i="1"/>
  <c r="CZ281" i="1"/>
  <c r="CY281" i="1"/>
  <c r="CX281" i="1"/>
  <c r="CW281" i="1"/>
  <c r="CV281" i="1"/>
  <c r="CU281" i="1"/>
  <c r="CT281" i="1"/>
  <c r="CR281" i="1"/>
  <c r="CQ281" i="1"/>
  <c r="CP281" i="1"/>
  <c r="CO281" i="1"/>
  <c r="CN281" i="1"/>
  <c r="CM281" i="1"/>
  <c r="CL281" i="1"/>
  <c r="CJ281" i="1"/>
  <c r="CI281" i="1"/>
  <c r="CH281" i="1"/>
  <c r="CG281" i="1"/>
  <c r="CF281" i="1"/>
  <c r="CE281" i="1"/>
  <c r="CD281" i="1"/>
  <c r="DH280" i="1"/>
  <c r="DE280" i="1"/>
  <c r="DB280" i="1"/>
  <c r="CZ280" i="1"/>
  <c r="CY280" i="1"/>
  <c r="CX280" i="1"/>
  <c r="CW280" i="1"/>
  <c r="CV280" i="1"/>
  <c r="CU280" i="1"/>
  <c r="CT280" i="1"/>
  <c r="CR280" i="1"/>
  <c r="CQ280" i="1"/>
  <c r="CP280" i="1"/>
  <c r="CO280" i="1"/>
  <c r="CN280" i="1"/>
  <c r="CM280" i="1"/>
  <c r="CL280" i="1"/>
  <c r="CJ280" i="1"/>
  <c r="CI280" i="1"/>
  <c r="CH280" i="1"/>
  <c r="CG280" i="1"/>
  <c r="CF280" i="1"/>
  <c r="CE280" i="1"/>
  <c r="CD280" i="1"/>
  <c r="DH279" i="1"/>
  <c r="DE279" i="1"/>
  <c r="DB279" i="1"/>
  <c r="CZ279" i="1"/>
  <c r="CY279" i="1"/>
  <c r="CX279" i="1"/>
  <c r="CW279" i="1"/>
  <c r="CV279" i="1"/>
  <c r="CU279" i="1"/>
  <c r="CT279" i="1"/>
  <c r="CR279" i="1"/>
  <c r="CQ279" i="1"/>
  <c r="CP279" i="1"/>
  <c r="CO279" i="1"/>
  <c r="CN279" i="1"/>
  <c r="CM279" i="1"/>
  <c r="CL279" i="1"/>
  <c r="CJ279" i="1"/>
  <c r="CI279" i="1"/>
  <c r="CH279" i="1"/>
  <c r="CG279" i="1"/>
  <c r="CF279" i="1"/>
  <c r="CE279" i="1"/>
  <c r="CD279" i="1"/>
  <c r="DH278" i="1"/>
  <c r="DE278" i="1"/>
  <c r="DB278" i="1"/>
  <c r="CZ278" i="1"/>
  <c r="CY278" i="1"/>
  <c r="CX278" i="1"/>
  <c r="CW278" i="1"/>
  <c r="CV278" i="1"/>
  <c r="CU278" i="1"/>
  <c r="CT278" i="1"/>
  <c r="CR278" i="1"/>
  <c r="CQ278" i="1"/>
  <c r="CP278" i="1"/>
  <c r="CO278" i="1"/>
  <c r="CN278" i="1"/>
  <c r="CM278" i="1"/>
  <c r="CL278" i="1"/>
  <c r="CJ278" i="1"/>
  <c r="CI278" i="1"/>
  <c r="CH278" i="1"/>
  <c r="CG278" i="1"/>
  <c r="CF278" i="1"/>
  <c r="CE278" i="1"/>
  <c r="CD278" i="1"/>
  <c r="DH277" i="1"/>
  <c r="DE277" i="1"/>
  <c r="DB277" i="1"/>
  <c r="CZ277" i="1"/>
  <c r="CY277" i="1"/>
  <c r="CX277" i="1"/>
  <c r="CW277" i="1"/>
  <c r="CV277" i="1"/>
  <c r="CU277" i="1"/>
  <c r="CT277" i="1"/>
  <c r="CR277" i="1"/>
  <c r="CQ277" i="1"/>
  <c r="CP277" i="1"/>
  <c r="CO277" i="1"/>
  <c r="CN277" i="1"/>
  <c r="CM277" i="1"/>
  <c r="CL277" i="1"/>
  <c r="CJ277" i="1"/>
  <c r="CI277" i="1"/>
  <c r="CH277" i="1"/>
  <c r="CG277" i="1"/>
  <c r="CF277" i="1"/>
  <c r="CE277" i="1"/>
  <c r="CD277" i="1"/>
  <c r="DH276" i="1"/>
  <c r="DE276" i="1"/>
  <c r="DB276" i="1"/>
  <c r="CZ276" i="1"/>
  <c r="CY276" i="1"/>
  <c r="CX276" i="1"/>
  <c r="CW276" i="1"/>
  <c r="CV276" i="1"/>
  <c r="CU276" i="1"/>
  <c r="CT276" i="1"/>
  <c r="CR276" i="1"/>
  <c r="CQ276" i="1"/>
  <c r="CP276" i="1"/>
  <c r="CO276" i="1"/>
  <c r="CN276" i="1"/>
  <c r="CM276" i="1"/>
  <c r="CL276" i="1"/>
  <c r="CJ276" i="1"/>
  <c r="CI276" i="1"/>
  <c r="CH276" i="1"/>
  <c r="CG276" i="1"/>
  <c r="CF276" i="1"/>
  <c r="CE276" i="1"/>
  <c r="CD276" i="1"/>
  <c r="DH275" i="1"/>
  <c r="DE275" i="1"/>
  <c r="DB275" i="1"/>
  <c r="CZ275" i="1"/>
  <c r="CY275" i="1"/>
  <c r="CX275" i="1"/>
  <c r="CW275" i="1"/>
  <c r="CV275" i="1"/>
  <c r="CU275" i="1"/>
  <c r="CT275" i="1"/>
  <c r="CR275" i="1"/>
  <c r="CQ275" i="1"/>
  <c r="CP275" i="1"/>
  <c r="CO275" i="1"/>
  <c r="CN275" i="1"/>
  <c r="CM275" i="1"/>
  <c r="CL275" i="1"/>
  <c r="CJ275" i="1"/>
  <c r="CI275" i="1"/>
  <c r="CH275" i="1"/>
  <c r="CG275" i="1"/>
  <c r="CF275" i="1"/>
  <c r="CE275" i="1"/>
  <c r="CD275" i="1"/>
  <c r="DH274" i="1"/>
  <c r="DE274" i="1"/>
  <c r="DB274" i="1"/>
  <c r="CZ274" i="1"/>
  <c r="CY274" i="1"/>
  <c r="CX274" i="1"/>
  <c r="CW274" i="1"/>
  <c r="CV274" i="1"/>
  <c r="CU274" i="1"/>
  <c r="CT274" i="1"/>
  <c r="CR274" i="1"/>
  <c r="CQ274" i="1"/>
  <c r="CP274" i="1"/>
  <c r="CO274" i="1"/>
  <c r="CN274" i="1"/>
  <c r="CM274" i="1"/>
  <c r="CL274" i="1"/>
  <c r="CJ274" i="1"/>
  <c r="CI274" i="1"/>
  <c r="CH274" i="1"/>
  <c r="CG274" i="1"/>
  <c r="CF274" i="1"/>
  <c r="CE274" i="1"/>
  <c r="CD274" i="1"/>
  <c r="DH273" i="1"/>
  <c r="DE273" i="1"/>
  <c r="DB273" i="1"/>
  <c r="CZ273" i="1"/>
  <c r="CY273" i="1"/>
  <c r="CX273" i="1"/>
  <c r="CW273" i="1"/>
  <c r="CV273" i="1"/>
  <c r="CU273" i="1"/>
  <c r="CT273" i="1"/>
  <c r="CR273" i="1"/>
  <c r="CQ273" i="1"/>
  <c r="CP273" i="1"/>
  <c r="CO273" i="1"/>
  <c r="CN273" i="1"/>
  <c r="CM273" i="1"/>
  <c r="CL273" i="1"/>
  <c r="CJ273" i="1"/>
  <c r="CI273" i="1"/>
  <c r="CH273" i="1"/>
  <c r="CG273" i="1"/>
  <c r="CF273" i="1"/>
  <c r="CE273" i="1"/>
  <c r="CD273" i="1"/>
  <c r="DH272" i="1"/>
  <c r="DE272" i="1"/>
  <c r="DB272" i="1"/>
  <c r="CZ272" i="1"/>
  <c r="CY272" i="1"/>
  <c r="CX272" i="1"/>
  <c r="CW272" i="1"/>
  <c r="CV272" i="1"/>
  <c r="CU272" i="1"/>
  <c r="CT272" i="1"/>
  <c r="CR272" i="1"/>
  <c r="CQ272" i="1"/>
  <c r="CP272" i="1"/>
  <c r="CO272" i="1"/>
  <c r="CN272" i="1"/>
  <c r="CM272" i="1"/>
  <c r="CL272" i="1"/>
  <c r="CJ272" i="1"/>
  <c r="CI272" i="1"/>
  <c r="CH272" i="1"/>
  <c r="CG272" i="1"/>
  <c r="CF272" i="1"/>
  <c r="CE272" i="1"/>
  <c r="CD272" i="1"/>
  <c r="DH271" i="1"/>
  <c r="DE271" i="1"/>
  <c r="DB271" i="1"/>
  <c r="CZ271" i="1"/>
  <c r="CY271" i="1"/>
  <c r="CX271" i="1"/>
  <c r="CW271" i="1"/>
  <c r="CV271" i="1"/>
  <c r="CU271" i="1"/>
  <c r="CT271" i="1"/>
  <c r="CR271" i="1"/>
  <c r="CQ271" i="1"/>
  <c r="CP271" i="1"/>
  <c r="CO271" i="1"/>
  <c r="CN271" i="1"/>
  <c r="CM271" i="1"/>
  <c r="CL271" i="1"/>
  <c r="CJ271" i="1"/>
  <c r="CI271" i="1"/>
  <c r="CH271" i="1"/>
  <c r="CG271" i="1"/>
  <c r="CF271" i="1"/>
  <c r="CE271" i="1"/>
  <c r="CD271" i="1"/>
  <c r="DH270" i="1"/>
  <c r="DE270" i="1"/>
  <c r="DB270" i="1"/>
  <c r="CZ270" i="1"/>
  <c r="CY270" i="1"/>
  <c r="CX270" i="1"/>
  <c r="CW270" i="1"/>
  <c r="CV270" i="1"/>
  <c r="CU270" i="1"/>
  <c r="CT270" i="1"/>
  <c r="CR270" i="1"/>
  <c r="CQ270" i="1"/>
  <c r="CP270" i="1"/>
  <c r="CO270" i="1"/>
  <c r="CN270" i="1"/>
  <c r="CM270" i="1"/>
  <c r="CL270" i="1"/>
  <c r="CJ270" i="1"/>
  <c r="CI270" i="1"/>
  <c r="CH270" i="1"/>
  <c r="CG270" i="1"/>
  <c r="CF270" i="1"/>
  <c r="CE270" i="1"/>
  <c r="CD270" i="1"/>
  <c r="DH269" i="1"/>
  <c r="DE269" i="1"/>
  <c r="DB269" i="1"/>
  <c r="CZ269" i="1"/>
  <c r="CY269" i="1"/>
  <c r="CX269" i="1"/>
  <c r="CW269" i="1"/>
  <c r="CV269" i="1"/>
  <c r="CU269" i="1"/>
  <c r="CT269" i="1"/>
  <c r="CR269" i="1"/>
  <c r="CQ269" i="1"/>
  <c r="CP269" i="1"/>
  <c r="CO269" i="1"/>
  <c r="CN269" i="1"/>
  <c r="CM269" i="1"/>
  <c r="CL269" i="1"/>
  <c r="CJ269" i="1"/>
  <c r="CI269" i="1"/>
  <c r="CH269" i="1"/>
  <c r="CG269" i="1"/>
  <c r="CF269" i="1"/>
  <c r="CE269" i="1"/>
  <c r="CD269" i="1"/>
  <c r="DH268" i="1"/>
  <c r="DB268" i="1"/>
  <c r="DB267" i="1"/>
  <c r="DB266" i="1"/>
  <c r="DB265" i="1"/>
  <c r="DB264" i="1"/>
  <c r="DB263" i="1"/>
  <c r="DB262" i="1"/>
  <c r="DB261" i="1"/>
  <c r="DB260" i="1"/>
  <c r="DB259" i="1"/>
  <c r="DB258" i="1"/>
  <c r="DB257" i="1"/>
  <c r="DB256" i="1"/>
  <c r="DB255" i="1"/>
  <c r="DB254" i="1"/>
  <c r="DB253" i="1"/>
  <c r="DB252" i="1"/>
  <c r="DB251" i="1"/>
  <c r="DB250" i="1"/>
  <c r="DB249" i="1"/>
  <c r="DB248" i="1"/>
  <c r="DB247" i="1"/>
  <c r="DB246" i="1"/>
  <c r="DB245" i="1"/>
  <c r="DB244" i="1"/>
  <c r="DB243" i="1"/>
  <c r="DB242" i="1"/>
  <c r="DB241" i="1"/>
  <c r="DB240" i="1"/>
  <c r="DB239" i="1"/>
  <c r="DB238" i="1"/>
  <c r="DB237" i="1"/>
  <c r="DB236" i="1"/>
  <c r="DB235" i="1"/>
  <c r="DB234" i="1"/>
  <c r="DB233" i="1"/>
  <c r="DB232" i="1"/>
  <c r="DB231" i="1"/>
  <c r="DB230" i="1"/>
  <c r="DB229" i="1"/>
  <c r="DB228" i="1"/>
  <c r="DB227" i="1"/>
  <c r="DB226" i="1"/>
  <c r="DB225" i="1"/>
  <c r="DB224" i="1"/>
  <c r="DB223" i="1"/>
  <c r="DB222" i="1"/>
  <c r="DB221" i="1"/>
  <c r="DB220" i="1"/>
  <c r="DB219" i="1"/>
  <c r="DA219" i="1"/>
  <c r="DB218" i="1"/>
  <c r="DA218" i="1"/>
  <c r="DB217" i="1"/>
  <c r="DB216" i="1"/>
  <c r="DB215" i="1"/>
  <c r="DB214" i="1"/>
  <c r="DB213" i="1"/>
  <c r="DB212" i="1"/>
  <c r="DB211" i="1"/>
  <c r="DB210" i="1"/>
  <c r="DB209" i="1"/>
  <c r="DB208" i="1"/>
  <c r="DB207" i="1"/>
  <c r="DB206" i="1"/>
  <c r="DB205" i="1"/>
  <c r="DB204" i="1"/>
  <c r="DB203" i="1"/>
  <c r="DB202" i="1"/>
  <c r="DB201" i="1"/>
  <c r="DB200" i="1"/>
  <c r="DB199" i="1"/>
  <c r="DB198" i="1"/>
  <c r="DB197" i="1"/>
  <c r="DB196" i="1"/>
  <c r="DB195" i="1"/>
  <c r="DB194" i="1"/>
  <c r="DB193" i="1"/>
  <c r="DB192" i="1"/>
  <c r="DB191" i="1"/>
  <c r="DB190" i="1"/>
  <c r="DB189" i="1"/>
  <c r="DB188" i="1"/>
  <c r="DB187" i="1"/>
  <c r="DB186" i="1"/>
  <c r="DB185" i="1"/>
  <c r="DB184" i="1"/>
  <c r="DB183" i="1"/>
  <c r="DB182" i="1"/>
  <c r="DB181" i="1"/>
  <c r="DB180" i="1"/>
  <c r="DB179" i="1"/>
  <c r="DB178" i="1"/>
  <c r="DB177" i="1"/>
  <c r="DB176" i="1"/>
  <c r="DB175" i="1"/>
  <c r="DB174" i="1"/>
  <c r="DB173" i="1"/>
  <c r="DB172" i="1"/>
  <c r="DB171" i="1"/>
  <c r="DB170" i="1"/>
  <c r="DB169" i="1"/>
  <c r="DB168" i="1"/>
  <c r="DB167" i="1"/>
  <c r="DB166" i="1"/>
  <c r="DB165" i="1"/>
  <c r="DB164" i="1"/>
  <c r="DB163" i="1"/>
  <c r="DB162" i="1"/>
  <c r="DB161" i="1"/>
  <c r="DB160" i="1"/>
  <c r="DH159" i="1"/>
  <c r="DB159" i="1"/>
  <c r="DH158" i="1"/>
  <c r="DE158" i="1"/>
  <c r="CZ158" i="1"/>
  <c r="CY158" i="1"/>
  <c r="CX158" i="1"/>
  <c r="CW158" i="1"/>
  <c r="CV158" i="1"/>
  <c r="CU158" i="1"/>
  <c r="CT158" i="1"/>
  <c r="CR158" i="1"/>
  <c r="CQ158" i="1"/>
  <c r="CP158" i="1"/>
  <c r="CO158" i="1"/>
  <c r="CN158" i="1"/>
  <c r="CM158" i="1"/>
  <c r="CL158" i="1"/>
  <c r="CJ158" i="1"/>
  <c r="CI158" i="1"/>
  <c r="CH158" i="1"/>
  <c r="CG158" i="1"/>
  <c r="CF158" i="1"/>
  <c r="CE158" i="1"/>
  <c r="CD158" i="1"/>
  <c r="DH157" i="1"/>
  <c r="DE157" i="1"/>
  <c r="CZ157" i="1"/>
  <c r="CY157" i="1"/>
  <c r="CX157" i="1"/>
  <c r="CW157" i="1"/>
  <c r="CV157" i="1"/>
  <c r="CU157" i="1"/>
  <c r="CT157" i="1"/>
  <c r="CR157" i="1"/>
  <c r="CQ157" i="1"/>
  <c r="CP157" i="1"/>
  <c r="CO157" i="1"/>
  <c r="CN157" i="1"/>
  <c r="CM157" i="1"/>
  <c r="CL157" i="1"/>
  <c r="CJ157" i="1"/>
  <c r="CI157" i="1"/>
  <c r="CH157" i="1"/>
  <c r="CG157" i="1"/>
  <c r="CF157" i="1"/>
  <c r="CE157" i="1"/>
  <c r="CD157" i="1"/>
  <c r="DH156" i="1"/>
  <c r="DE156" i="1"/>
  <c r="CZ156" i="1"/>
  <c r="CY156" i="1"/>
  <c r="CX156" i="1"/>
  <c r="CW156" i="1"/>
  <c r="CV156" i="1"/>
  <c r="CU156" i="1"/>
  <c r="CT156" i="1"/>
  <c r="CR156" i="1"/>
  <c r="CQ156" i="1"/>
  <c r="CP156" i="1"/>
  <c r="CO156" i="1"/>
  <c r="CN156" i="1"/>
  <c r="CM156" i="1"/>
  <c r="CL156" i="1"/>
  <c r="CJ156" i="1"/>
  <c r="CI156" i="1"/>
  <c r="CH156" i="1"/>
  <c r="CG156" i="1"/>
  <c r="CF156" i="1"/>
  <c r="CE156" i="1"/>
  <c r="CD156" i="1"/>
  <c r="DH155" i="1"/>
  <c r="DE155" i="1"/>
  <c r="CZ155" i="1"/>
  <c r="CY155" i="1"/>
  <c r="CX155" i="1"/>
  <c r="CW155" i="1"/>
  <c r="CV155" i="1"/>
  <c r="CU155" i="1"/>
  <c r="CT155" i="1"/>
  <c r="CR155" i="1"/>
  <c r="CQ155" i="1"/>
  <c r="CP155" i="1"/>
  <c r="CO155" i="1"/>
  <c r="CN155" i="1"/>
  <c r="CM155" i="1"/>
  <c r="CL155" i="1"/>
  <c r="CJ155" i="1"/>
  <c r="CI155" i="1"/>
  <c r="CH155" i="1"/>
  <c r="CG155" i="1"/>
  <c r="CF155" i="1"/>
  <c r="CE155" i="1"/>
  <c r="CD155" i="1"/>
  <c r="DH154" i="1"/>
  <c r="DE154" i="1"/>
  <c r="CZ154" i="1"/>
  <c r="CY154" i="1"/>
  <c r="CX154" i="1"/>
  <c r="CW154" i="1"/>
  <c r="CU154" i="1"/>
  <c r="CT154" i="1"/>
  <c r="CR154" i="1"/>
  <c r="CQ154" i="1"/>
  <c r="CP154" i="1"/>
  <c r="CO154" i="1"/>
  <c r="CM154" i="1"/>
  <c r="CL154" i="1"/>
  <c r="CJ154" i="1"/>
  <c r="CI154" i="1"/>
  <c r="CH154" i="1"/>
  <c r="CG154" i="1"/>
  <c r="CE154" i="1"/>
  <c r="CD154" i="1"/>
  <c r="CB154" i="1"/>
  <c r="DH153" i="1"/>
  <c r="DE153" i="1"/>
  <c r="CZ153" i="1"/>
  <c r="CY153" i="1"/>
  <c r="CX153" i="1"/>
  <c r="CW153" i="1"/>
  <c r="CU153" i="1"/>
  <c r="CT153" i="1"/>
  <c r="CR153" i="1"/>
  <c r="CQ153" i="1"/>
  <c r="CP153" i="1"/>
  <c r="CO153" i="1"/>
  <c r="CM153" i="1"/>
  <c r="CL153" i="1"/>
  <c r="CJ153" i="1"/>
  <c r="CI153" i="1"/>
  <c r="CH153" i="1"/>
  <c r="CG153" i="1"/>
  <c r="CE153" i="1"/>
  <c r="CD153" i="1"/>
  <c r="DH152" i="1"/>
  <c r="DE152" i="1"/>
  <c r="CZ152" i="1"/>
  <c r="CY152" i="1"/>
  <c r="CX152" i="1"/>
  <c r="CW152" i="1"/>
  <c r="CU152" i="1"/>
  <c r="CT152" i="1"/>
  <c r="CR152" i="1"/>
  <c r="CQ152" i="1"/>
  <c r="CP152" i="1"/>
  <c r="CO152" i="1"/>
  <c r="CM152" i="1"/>
  <c r="CL152" i="1"/>
  <c r="CJ152" i="1"/>
  <c r="CI152" i="1"/>
  <c r="CH152" i="1"/>
  <c r="CG152" i="1"/>
  <c r="CE152" i="1"/>
  <c r="CD152" i="1"/>
  <c r="DH151" i="1"/>
  <c r="DE151" i="1"/>
  <c r="CZ151" i="1"/>
  <c r="CY151" i="1"/>
  <c r="CX151" i="1"/>
  <c r="CW151" i="1"/>
  <c r="CU151" i="1"/>
  <c r="CT151" i="1"/>
  <c r="CR151" i="1"/>
  <c r="CQ151" i="1"/>
  <c r="CP151" i="1"/>
  <c r="CO151" i="1"/>
  <c r="CM151" i="1"/>
  <c r="CL151" i="1"/>
  <c r="CJ151" i="1"/>
  <c r="CI151" i="1"/>
  <c r="CH151" i="1"/>
  <c r="CG151" i="1"/>
  <c r="CE151" i="1"/>
  <c r="CD151" i="1"/>
  <c r="DH150" i="1"/>
  <c r="DE150" i="1"/>
  <c r="CZ150" i="1"/>
  <c r="CY150" i="1"/>
  <c r="CX150" i="1"/>
  <c r="CW150" i="1"/>
  <c r="CU150" i="1"/>
  <c r="CT150" i="1"/>
  <c r="CR150" i="1"/>
  <c r="CQ150" i="1"/>
  <c r="CP150" i="1"/>
  <c r="CO150" i="1"/>
  <c r="CM150" i="1"/>
  <c r="CL150" i="1"/>
  <c r="CJ150" i="1"/>
  <c r="CI150" i="1"/>
  <c r="CH150" i="1"/>
  <c r="CG150" i="1"/>
  <c r="CE150" i="1"/>
  <c r="CD150" i="1"/>
  <c r="DH149" i="1"/>
  <c r="DE149" i="1"/>
  <c r="CZ149" i="1"/>
  <c r="CY149" i="1"/>
  <c r="CX149" i="1"/>
  <c r="CW149" i="1"/>
  <c r="CU149" i="1"/>
  <c r="CT149" i="1"/>
  <c r="CR149" i="1"/>
  <c r="CQ149" i="1"/>
  <c r="CP149" i="1"/>
  <c r="CO149" i="1"/>
  <c r="CM149" i="1"/>
  <c r="CL149" i="1"/>
  <c r="CJ149" i="1"/>
  <c r="CI149" i="1"/>
  <c r="CH149" i="1"/>
  <c r="CG149" i="1"/>
  <c r="CE149" i="1"/>
  <c r="CD149" i="1"/>
  <c r="DH148" i="1"/>
  <c r="DE148" i="1"/>
  <c r="CZ148" i="1"/>
  <c r="CY148" i="1"/>
  <c r="CX148" i="1"/>
  <c r="CW148" i="1"/>
  <c r="CU148" i="1"/>
  <c r="CT148" i="1"/>
  <c r="CR148" i="1"/>
  <c r="CQ148" i="1"/>
  <c r="CP148" i="1"/>
  <c r="CO148" i="1"/>
  <c r="CM148" i="1"/>
  <c r="CL148" i="1"/>
  <c r="CJ148" i="1"/>
  <c r="CI148" i="1"/>
  <c r="CH148" i="1"/>
  <c r="CG148" i="1"/>
  <c r="CE148" i="1"/>
  <c r="CD148" i="1"/>
  <c r="DH147" i="1"/>
  <c r="DE147" i="1"/>
  <c r="CZ147" i="1"/>
  <c r="CY147" i="1"/>
  <c r="CX147" i="1"/>
  <c r="CW147" i="1"/>
  <c r="CU147" i="1"/>
  <c r="CT147" i="1"/>
  <c r="CR147" i="1"/>
  <c r="CQ147" i="1"/>
  <c r="CP147" i="1"/>
  <c r="CO147" i="1"/>
  <c r="CM147" i="1"/>
  <c r="CL147" i="1"/>
  <c r="CJ147" i="1"/>
  <c r="CI147" i="1"/>
  <c r="CH147" i="1"/>
  <c r="CG147" i="1"/>
  <c r="CE147" i="1"/>
  <c r="CD147" i="1"/>
  <c r="DH146" i="1"/>
  <c r="DE146" i="1"/>
  <c r="CZ146" i="1"/>
  <c r="CY146" i="1"/>
  <c r="CX146" i="1"/>
  <c r="CW146" i="1"/>
  <c r="CU146" i="1"/>
  <c r="CT146" i="1"/>
  <c r="CR146" i="1"/>
  <c r="CQ146" i="1"/>
  <c r="CP146" i="1"/>
  <c r="CO146" i="1"/>
  <c r="CM146" i="1"/>
  <c r="CL146" i="1"/>
  <c r="CJ146" i="1"/>
  <c r="CI146" i="1"/>
  <c r="CH146" i="1"/>
  <c r="CG146" i="1"/>
  <c r="CE146" i="1"/>
  <c r="CD146" i="1"/>
  <c r="DH145" i="1"/>
  <c r="DE145" i="1"/>
  <c r="CZ145" i="1"/>
  <c r="CY145" i="1"/>
  <c r="CX145" i="1"/>
  <c r="CW145" i="1"/>
  <c r="CU145" i="1"/>
  <c r="CT145" i="1"/>
  <c r="CR145" i="1"/>
  <c r="CQ145" i="1"/>
  <c r="CP145" i="1"/>
  <c r="CO145" i="1"/>
  <c r="CM145" i="1"/>
  <c r="CL145" i="1"/>
  <c r="CJ145" i="1"/>
  <c r="CI145" i="1"/>
  <c r="CH145" i="1"/>
  <c r="CG145" i="1"/>
  <c r="CE145" i="1"/>
  <c r="CD145" i="1"/>
  <c r="DH144" i="1"/>
  <c r="DE144" i="1"/>
  <c r="CZ144" i="1"/>
  <c r="CY144" i="1"/>
  <c r="CX144" i="1"/>
  <c r="CW144" i="1"/>
  <c r="CU144" i="1"/>
  <c r="CT144" i="1"/>
  <c r="CR144" i="1"/>
  <c r="CQ144" i="1"/>
  <c r="CP144" i="1"/>
  <c r="CO144" i="1"/>
  <c r="CM144" i="1"/>
  <c r="CL144" i="1"/>
  <c r="CJ144" i="1"/>
  <c r="CI144" i="1"/>
  <c r="CH144" i="1"/>
  <c r="CG144" i="1"/>
  <c r="CE144" i="1"/>
  <c r="CD144" i="1"/>
  <c r="DH143" i="1"/>
  <c r="DE143" i="1"/>
  <c r="CZ143" i="1"/>
  <c r="CY143" i="1"/>
  <c r="CX143" i="1"/>
  <c r="CW143" i="1"/>
  <c r="CU143" i="1"/>
  <c r="CT143" i="1"/>
  <c r="CR143" i="1"/>
  <c r="CQ143" i="1"/>
  <c r="CP143" i="1"/>
  <c r="CO143" i="1"/>
  <c r="CM143" i="1"/>
  <c r="CL143" i="1"/>
  <c r="CJ143" i="1"/>
  <c r="CI143" i="1"/>
  <c r="CH143" i="1"/>
  <c r="CG143" i="1"/>
  <c r="CE143" i="1"/>
  <c r="CD143" i="1"/>
  <c r="DH142" i="1"/>
  <c r="DE142" i="1"/>
  <c r="CZ142" i="1"/>
  <c r="CY142" i="1"/>
  <c r="CX142" i="1"/>
  <c r="CW142" i="1"/>
  <c r="CU142" i="1"/>
  <c r="CT142" i="1"/>
  <c r="CR142" i="1"/>
  <c r="CQ142" i="1"/>
  <c r="CP142" i="1"/>
  <c r="CO142" i="1"/>
  <c r="CM142" i="1"/>
  <c r="CL142" i="1"/>
  <c r="CJ142" i="1"/>
  <c r="CI142" i="1"/>
  <c r="CH142" i="1"/>
  <c r="CG142" i="1"/>
  <c r="CE142" i="1"/>
  <c r="CD142" i="1"/>
  <c r="DH141" i="1"/>
  <c r="DE141" i="1"/>
  <c r="CZ141" i="1"/>
  <c r="CY141" i="1"/>
  <c r="CX141" i="1"/>
  <c r="CW141" i="1"/>
  <c r="CU141" i="1"/>
  <c r="CT141" i="1"/>
  <c r="CR141" i="1"/>
  <c r="CQ141" i="1"/>
  <c r="CP141" i="1"/>
  <c r="CO141" i="1"/>
  <c r="CM141" i="1"/>
  <c r="CL141" i="1"/>
  <c r="CJ141" i="1"/>
  <c r="CI141" i="1"/>
  <c r="CH141" i="1"/>
  <c r="CG141" i="1"/>
  <c r="CE141" i="1"/>
  <c r="CD141" i="1"/>
  <c r="DH140" i="1"/>
  <c r="DE140" i="1"/>
  <c r="CZ140" i="1"/>
  <c r="CY140" i="1"/>
  <c r="CX140" i="1"/>
  <c r="CW140" i="1"/>
  <c r="CU140" i="1"/>
  <c r="CT140" i="1"/>
  <c r="CR140" i="1"/>
  <c r="CQ140" i="1"/>
  <c r="CP140" i="1"/>
  <c r="CO140" i="1"/>
  <c r="CM140" i="1"/>
  <c r="CL140" i="1"/>
  <c r="CJ140" i="1"/>
  <c r="CI140" i="1"/>
  <c r="CH140" i="1"/>
  <c r="CG140" i="1"/>
  <c r="CE140" i="1"/>
  <c r="CD140" i="1"/>
  <c r="DH139" i="1"/>
  <c r="DE139" i="1"/>
  <c r="CZ139" i="1"/>
  <c r="CY139" i="1"/>
  <c r="CX139" i="1"/>
  <c r="CW139" i="1"/>
  <c r="CU139" i="1"/>
  <c r="CT139" i="1"/>
  <c r="CR139" i="1"/>
  <c r="CQ139" i="1"/>
  <c r="CP139" i="1"/>
  <c r="CO139" i="1"/>
  <c r="CM139" i="1"/>
  <c r="CL139" i="1"/>
  <c r="CJ139" i="1"/>
  <c r="CI139" i="1"/>
  <c r="CH139" i="1"/>
  <c r="CG139" i="1"/>
  <c r="CE139" i="1"/>
  <c r="CD139" i="1"/>
  <c r="DH138" i="1"/>
  <c r="DE138" i="1"/>
  <c r="CZ138" i="1"/>
  <c r="CY138" i="1"/>
  <c r="CX138" i="1"/>
  <c r="CW138" i="1"/>
  <c r="CU138" i="1"/>
  <c r="CT138" i="1"/>
  <c r="CR138" i="1"/>
  <c r="CQ138" i="1"/>
  <c r="CP138" i="1"/>
  <c r="CO138" i="1"/>
  <c r="CM138" i="1"/>
  <c r="CL138" i="1"/>
  <c r="CJ138" i="1"/>
  <c r="CI138" i="1"/>
  <c r="CH138" i="1"/>
  <c r="CG138" i="1"/>
  <c r="CE138" i="1"/>
  <c r="CD138" i="1"/>
  <c r="DH137" i="1"/>
  <c r="DE137" i="1"/>
  <c r="CZ137" i="1"/>
  <c r="CY137" i="1"/>
  <c r="CX137" i="1"/>
  <c r="CW137" i="1"/>
  <c r="CU137" i="1"/>
  <c r="CT137" i="1"/>
  <c r="CR137" i="1"/>
  <c r="CQ137" i="1"/>
  <c r="CP137" i="1"/>
  <c r="CO137" i="1"/>
  <c r="CM137" i="1"/>
  <c r="CL137" i="1"/>
  <c r="CJ137" i="1"/>
  <c r="CI137" i="1"/>
  <c r="CH137" i="1"/>
  <c r="CG137" i="1"/>
  <c r="CE137" i="1"/>
  <c r="CD137" i="1"/>
  <c r="DH136" i="1"/>
  <c r="DE136" i="1"/>
  <c r="CZ136" i="1"/>
  <c r="CY136" i="1"/>
  <c r="CX136" i="1"/>
  <c r="CW136" i="1"/>
  <c r="CU136" i="1"/>
  <c r="CT136" i="1"/>
  <c r="CR136" i="1"/>
  <c r="CQ136" i="1"/>
  <c r="CP136" i="1"/>
  <c r="CO136" i="1"/>
  <c r="CM136" i="1"/>
  <c r="CL136" i="1"/>
  <c r="CJ136" i="1"/>
  <c r="CI136" i="1"/>
  <c r="CH136" i="1"/>
  <c r="CG136" i="1"/>
  <c r="CE136" i="1"/>
  <c r="CD136" i="1"/>
  <c r="DH135" i="1"/>
  <c r="DE135" i="1"/>
  <c r="CZ135" i="1"/>
  <c r="CY135" i="1"/>
  <c r="CX135" i="1"/>
  <c r="CW135" i="1"/>
  <c r="CU135" i="1"/>
  <c r="CT135" i="1"/>
  <c r="CR135" i="1"/>
  <c r="CQ135" i="1"/>
  <c r="CP135" i="1"/>
  <c r="CO135" i="1"/>
  <c r="CM135" i="1"/>
  <c r="CL135" i="1"/>
  <c r="CJ135" i="1"/>
  <c r="CI135" i="1"/>
  <c r="CH135" i="1"/>
  <c r="CG135" i="1"/>
  <c r="CE135" i="1"/>
  <c r="CD135" i="1"/>
  <c r="DH134" i="1"/>
  <c r="DE134" i="1"/>
  <c r="CZ134" i="1"/>
  <c r="CY134" i="1"/>
  <c r="CX134" i="1"/>
  <c r="CW134" i="1"/>
  <c r="CU134" i="1"/>
  <c r="CT134" i="1"/>
  <c r="CR134" i="1"/>
  <c r="CQ134" i="1"/>
  <c r="CP134" i="1"/>
  <c r="CO134" i="1"/>
  <c r="CM134" i="1"/>
  <c r="CL134" i="1"/>
  <c r="CJ134" i="1"/>
  <c r="CI134" i="1"/>
  <c r="CH134" i="1"/>
  <c r="CG134" i="1"/>
  <c r="CE134" i="1"/>
  <c r="CD134" i="1"/>
  <c r="DH133" i="1"/>
  <c r="DE133" i="1"/>
  <c r="CZ133" i="1"/>
  <c r="CY133" i="1"/>
  <c r="CX133" i="1"/>
  <c r="CW133" i="1"/>
  <c r="CU133" i="1"/>
  <c r="CT133" i="1"/>
  <c r="CR133" i="1"/>
  <c r="CQ133" i="1"/>
  <c r="CP133" i="1"/>
  <c r="CO133" i="1"/>
  <c r="CM133" i="1"/>
  <c r="CL133" i="1"/>
  <c r="CJ133" i="1"/>
  <c r="CI133" i="1"/>
  <c r="CH133" i="1"/>
  <c r="CG133" i="1"/>
  <c r="CE133" i="1"/>
  <c r="CD133" i="1"/>
  <c r="DH132" i="1"/>
  <c r="DE132" i="1"/>
  <c r="CZ132" i="1"/>
  <c r="CY132" i="1"/>
  <c r="CX132" i="1"/>
  <c r="CW132" i="1"/>
  <c r="CU132" i="1"/>
  <c r="CT132" i="1"/>
  <c r="CR132" i="1"/>
  <c r="CQ132" i="1"/>
  <c r="CP132" i="1"/>
  <c r="CO132" i="1"/>
  <c r="CM132" i="1"/>
  <c r="CL132" i="1"/>
  <c r="CJ132" i="1"/>
  <c r="CI132" i="1"/>
  <c r="CH132" i="1"/>
  <c r="CG132" i="1"/>
  <c r="CE132" i="1"/>
  <c r="CD132" i="1"/>
  <c r="DH131" i="1"/>
  <c r="DE131" i="1"/>
  <c r="CZ131" i="1"/>
  <c r="CY131" i="1"/>
  <c r="CX131" i="1"/>
  <c r="CW131" i="1"/>
  <c r="CU131" i="1"/>
  <c r="CT131" i="1"/>
  <c r="CR131" i="1"/>
  <c r="CQ131" i="1"/>
  <c r="CP131" i="1"/>
  <c r="CO131" i="1"/>
  <c r="CM131" i="1"/>
  <c r="CL131" i="1"/>
  <c r="CJ131" i="1"/>
  <c r="CI131" i="1"/>
  <c r="CH131" i="1"/>
  <c r="CG131" i="1"/>
  <c r="CE131" i="1"/>
  <c r="CD131" i="1"/>
  <c r="DH130" i="1"/>
  <c r="DE130" i="1"/>
  <c r="CZ130" i="1"/>
  <c r="CY130" i="1"/>
  <c r="CX130" i="1"/>
  <c r="CW130" i="1"/>
  <c r="CU130" i="1"/>
  <c r="CT130" i="1"/>
  <c r="CR130" i="1"/>
  <c r="CQ130" i="1"/>
  <c r="CP130" i="1"/>
  <c r="CO130" i="1"/>
  <c r="CM130" i="1"/>
  <c r="CL130" i="1"/>
  <c r="CJ130" i="1"/>
  <c r="CI130" i="1"/>
  <c r="CH130" i="1"/>
  <c r="CG130" i="1"/>
  <c r="CE130" i="1"/>
  <c r="CD130" i="1"/>
  <c r="DH129" i="1"/>
  <c r="DE129" i="1"/>
  <c r="CZ129" i="1"/>
  <c r="CY129" i="1"/>
  <c r="CX129" i="1"/>
  <c r="CW129" i="1"/>
  <c r="CU129" i="1"/>
  <c r="CT129" i="1"/>
  <c r="CR129" i="1"/>
  <c r="CQ129" i="1"/>
  <c r="CP129" i="1"/>
  <c r="CO129" i="1"/>
  <c r="CM129" i="1"/>
  <c r="CL129" i="1"/>
  <c r="CJ129" i="1"/>
  <c r="CI129" i="1"/>
  <c r="CH129" i="1"/>
  <c r="CG129" i="1"/>
  <c r="CE129" i="1"/>
  <c r="CD129" i="1"/>
  <c r="DH128" i="1"/>
  <c r="DE128" i="1"/>
  <c r="CZ128" i="1"/>
  <c r="CY128" i="1"/>
  <c r="CX128" i="1"/>
  <c r="CW128" i="1"/>
  <c r="CU128" i="1"/>
  <c r="CT128" i="1"/>
  <c r="CR128" i="1"/>
  <c r="CQ128" i="1"/>
  <c r="CP128" i="1"/>
  <c r="CO128" i="1"/>
  <c r="CM128" i="1"/>
  <c r="CL128" i="1"/>
  <c r="CJ128" i="1"/>
  <c r="CI128" i="1"/>
  <c r="CH128" i="1"/>
  <c r="CG128" i="1"/>
  <c r="CE128" i="1"/>
  <c r="CD128" i="1"/>
  <c r="DH127" i="1"/>
  <c r="DE127" i="1"/>
  <c r="CZ127" i="1"/>
  <c r="CY127" i="1"/>
  <c r="CX127" i="1"/>
  <c r="CW127" i="1"/>
  <c r="CU127" i="1"/>
  <c r="CT127" i="1"/>
  <c r="CR127" i="1"/>
  <c r="CQ127" i="1"/>
  <c r="CP127" i="1"/>
  <c r="CO127" i="1"/>
  <c r="CM127" i="1"/>
  <c r="CL127" i="1"/>
  <c r="CJ127" i="1"/>
  <c r="CI127" i="1"/>
  <c r="CH127" i="1"/>
  <c r="CG127" i="1"/>
  <c r="CE127" i="1"/>
  <c r="CD127" i="1"/>
  <c r="DH126" i="1"/>
  <c r="DE126" i="1"/>
  <c r="CZ126" i="1"/>
  <c r="CY126" i="1"/>
  <c r="CX126" i="1"/>
  <c r="CW126" i="1"/>
  <c r="CU126" i="1"/>
  <c r="CT126" i="1"/>
  <c r="CR126" i="1"/>
  <c r="CQ126" i="1"/>
  <c r="CP126" i="1"/>
  <c r="CO126" i="1"/>
  <c r="CM126" i="1"/>
  <c r="CL126" i="1"/>
  <c r="CJ126" i="1"/>
  <c r="CI126" i="1"/>
  <c r="CH126" i="1"/>
  <c r="CG126" i="1"/>
  <c r="CE126" i="1"/>
  <c r="CD126" i="1"/>
  <c r="DH125" i="1"/>
  <c r="DE125" i="1"/>
  <c r="CZ125" i="1"/>
  <c r="CY125" i="1"/>
  <c r="CX125" i="1"/>
  <c r="CW125" i="1"/>
  <c r="CU125" i="1"/>
  <c r="CT125" i="1"/>
  <c r="CR125" i="1"/>
  <c r="CQ125" i="1"/>
  <c r="CP125" i="1"/>
  <c r="CO125" i="1"/>
  <c r="CM125" i="1"/>
  <c r="CL125" i="1"/>
  <c r="CJ125" i="1"/>
  <c r="CI125" i="1"/>
  <c r="CH125" i="1"/>
  <c r="CG125" i="1"/>
  <c r="CE125" i="1"/>
  <c r="CD125" i="1"/>
  <c r="DH124" i="1"/>
  <c r="DE124" i="1"/>
  <c r="CZ124" i="1"/>
  <c r="CY124" i="1"/>
  <c r="CX124" i="1"/>
  <c r="CW124" i="1"/>
  <c r="CU124" i="1"/>
  <c r="CT124" i="1"/>
  <c r="CR124" i="1"/>
  <c r="CQ124" i="1"/>
  <c r="CP124" i="1"/>
  <c r="CO124" i="1"/>
  <c r="CM124" i="1"/>
  <c r="CL124" i="1"/>
  <c r="CJ124" i="1"/>
  <c r="CI124" i="1"/>
  <c r="CH124" i="1"/>
  <c r="CG124" i="1"/>
  <c r="CE124" i="1"/>
  <c r="CD124" i="1"/>
  <c r="DH123" i="1"/>
  <c r="DE123" i="1"/>
  <c r="CZ123" i="1"/>
  <c r="CY123" i="1"/>
  <c r="CX123" i="1"/>
  <c r="CW123" i="1"/>
  <c r="CU123" i="1"/>
  <c r="CT123" i="1"/>
  <c r="CR123" i="1"/>
  <c r="CQ123" i="1"/>
  <c r="CP123" i="1"/>
  <c r="CO123" i="1"/>
  <c r="CM123" i="1"/>
  <c r="CL123" i="1"/>
  <c r="CJ123" i="1"/>
  <c r="CI123" i="1"/>
  <c r="CH123" i="1"/>
  <c r="CG123" i="1"/>
  <c r="CE123" i="1"/>
  <c r="CD123" i="1"/>
  <c r="DH122" i="1"/>
  <c r="DE122" i="1"/>
  <c r="CZ122" i="1"/>
  <c r="CY122" i="1"/>
  <c r="CX122" i="1"/>
  <c r="CW122" i="1"/>
  <c r="CU122" i="1"/>
  <c r="CT122" i="1"/>
  <c r="CR122" i="1"/>
  <c r="CQ122" i="1"/>
  <c r="CP122" i="1"/>
  <c r="CO122" i="1"/>
  <c r="CM122" i="1"/>
  <c r="CL122" i="1"/>
  <c r="CJ122" i="1"/>
  <c r="CI122" i="1"/>
  <c r="CH122" i="1"/>
  <c r="CG122" i="1"/>
  <c r="CE122" i="1"/>
  <c r="CD122" i="1"/>
  <c r="DH121" i="1"/>
  <c r="DE121" i="1"/>
  <c r="CZ121" i="1"/>
  <c r="CY121" i="1"/>
  <c r="CX121" i="1"/>
  <c r="CW121" i="1"/>
  <c r="CU121" i="1"/>
  <c r="CT121" i="1"/>
  <c r="CR121" i="1"/>
  <c r="CQ121" i="1"/>
  <c r="CP121" i="1"/>
  <c r="CO121" i="1"/>
  <c r="CM121" i="1"/>
  <c r="CL121" i="1"/>
  <c r="CJ121" i="1"/>
  <c r="CI121" i="1"/>
  <c r="CH121" i="1"/>
  <c r="CG121" i="1"/>
  <c r="CE121" i="1"/>
  <c r="CD121" i="1"/>
  <c r="DH120" i="1"/>
  <c r="DE120" i="1"/>
  <c r="CZ120" i="1"/>
  <c r="CY120" i="1"/>
  <c r="CX120" i="1"/>
  <c r="CW120" i="1"/>
  <c r="CU120" i="1"/>
  <c r="CT120" i="1"/>
  <c r="CR120" i="1"/>
  <c r="CQ120" i="1"/>
  <c r="CP120" i="1"/>
  <c r="CO120" i="1"/>
  <c r="CM120" i="1"/>
  <c r="CL120" i="1"/>
  <c r="CJ120" i="1"/>
  <c r="CI120" i="1"/>
  <c r="CH120" i="1"/>
  <c r="CG120" i="1"/>
  <c r="CE120" i="1"/>
  <c r="CD120" i="1"/>
  <c r="DH119" i="1"/>
  <c r="DE119" i="1"/>
  <c r="CZ119" i="1"/>
  <c r="CY119" i="1"/>
  <c r="CX119" i="1"/>
  <c r="CW119" i="1"/>
  <c r="CU119" i="1"/>
  <c r="CT119" i="1"/>
  <c r="CR119" i="1"/>
  <c r="CQ119" i="1"/>
  <c r="CP119" i="1"/>
  <c r="CO119" i="1"/>
  <c r="CM119" i="1"/>
  <c r="CL119" i="1"/>
  <c r="CJ119" i="1"/>
  <c r="CI119" i="1"/>
  <c r="CH119" i="1"/>
  <c r="CG119" i="1"/>
  <c r="CE119" i="1"/>
  <c r="CD119" i="1"/>
  <c r="DH118" i="1"/>
  <c r="DE118" i="1"/>
  <c r="CZ118" i="1"/>
  <c r="CY118" i="1"/>
  <c r="CX118" i="1"/>
  <c r="CW118" i="1"/>
  <c r="CU118" i="1"/>
  <c r="CT118" i="1"/>
  <c r="CR118" i="1"/>
  <c r="CQ118" i="1"/>
  <c r="CP118" i="1"/>
  <c r="CO118" i="1"/>
  <c r="CM118" i="1"/>
  <c r="CL118" i="1"/>
  <c r="CJ118" i="1"/>
  <c r="CI118" i="1"/>
  <c r="CH118" i="1"/>
  <c r="CG118" i="1"/>
  <c r="CE118" i="1"/>
  <c r="CD118" i="1"/>
  <c r="DH117" i="1"/>
  <c r="DE117" i="1"/>
  <c r="CZ117" i="1"/>
  <c r="CY117" i="1"/>
  <c r="CX117" i="1"/>
  <c r="CW117" i="1"/>
  <c r="CU117" i="1"/>
  <c r="CT117" i="1"/>
  <c r="CR117" i="1"/>
  <c r="CQ117" i="1"/>
  <c r="CP117" i="1"/>
  <c r="CO117" i="1"/>
  <c r="CM117" i="1"/>
  <c r="CL117" i="1"/>
  <c r="CJ117" i="1"/>
  <c r="CI117" i="1"/>
  <c r="CH117" i="1"/>
  <c r="CG117" i="1"/>
  <c r="CE117" i="1"/>
  <c r="CD117" i="1"/>
  <c r="DH116" i="1"/>
  <c r="DE116" i="1"/>
  <c r="CZ116" i="1"/>
  <c r="CY116" i="1"/>
  <c r="CX116" i="1"/>
  <c r="CW116" i="1"/>
  <c r="CU116" i="1"/>
  <c r="CT116" i="1"/>
  <c r="CR116" i="1"/>
  <c r="CQ116" i="1"/>
  <c r="CP116" i="1"/>
  <c r="CO116" i="1"/>
  <c r="CM116" i="1"/>
  <c r="CL116" i="1"/>
  <c r="CJ116" i="1"/>
  <c r="CI116" i="1"/>
  <c r="CH116" i="1"/>
  <c r="CG116" i="1"/>
  <c r="CE116" i="1"/>
  <c r="CD116" i="1"/>
  <c r="DH115" i="1"/>
  <c r="DE115" i="1"/>
  <c r="CZ115" i="1"/>
  <c r="CY115" i="1"/>
  <c r="CX115" i="1"/>
  <c r="CW115" i="1"/>
  <c r="CU115" i="1"/>
  <c r="CT115" i="1"/>
  <c r="CR115" i="1"/>
  <c r="CQ115" i="1"/>
  <c r="CP115" i="1"/>
  <c r="CO115" i="1"/>
  <c r="CM115" i="1"/>
  <c r="CL115" i="1"/>
  <c r="CJ115" i="1"/>
  <c r="CI115" i="1"/>
  <c r="CH115" i="1"/>
  <c r="CG115" i="1"/>
  <c r="CE115" i="1"/>
  <c r="CD115" i="1"/>
  <c r="DH114" i="1"/>
  <c r="DE114" i="1"/>
  <c r="CZ114" i="1"/>
  <c r="CY114" i="1"/>
  <c r="CX114" i="1"/>
  <c r="CW114" i="1"/>
  <c r="CU114" i="1"/>
  <c r="CT114" i="1"/>
  <c r="CR114" i="1"/>
  <c r="CQ114" i="1"/>
  <c r="CP114" i="1"/>
  <c r="CO114" i="1"/>
  <c r="CM114" i="1"/>
  <c r="CL114" i="1"/>
  <c r="CJ114" i="1"/>
  <c r="CI114" i="1"/>
  <c r="CH114" i="1"/>
  <c r="CG114" i="1"/>
  <c r="CE114" i="1"/>
  <c r="CD114" i="1"/>
  <c r="DH113" i="1"/>
  <c r="DE113" i="1"/>
  <c r="CZ113" i="1"/>
  <c r="CY113" i="1"/>
  <c r="CX113" i="1"/>
  <c r="CW113" i="1"/>
  <c r="CU113" i="1"/>
  <c r="CT113" i="1"/>
  <c r="CR113" i="1"/>
  <c r="CQ113" i="1"/>
  <c r="CP113" i="1"/>
  <c r="CO113" i="1"/>
  <c r="CM113" i="1"/>
  <c r="CL113" i="1"/>
  <c r="CJ113" i="1"/>
  <c r="CI113" i="1"/>
  <c r="CH113" i="1"/>
  <c r="CG113" i="1"/>
  <c r="CE113" i="1"/>
  <c r="CD113" i="1"/>
  <c r="DH112" i="1"/>
  <c r="DE112" i="1"/>
  <c r="CZ112" i="1"/>
  <c r="CY112" i="1"/>
  <c r="CX112" i="1"/>
  <c r="CW112" i="1"/>
  <c r="CU112" i="1"/>
  <c r="CT112" i="1"/>
  <c r="CR112" i="1"/>
  <c r="CQ112" i="1"/>
  <c r="CP112" i="1"/>
  <c r="CO112" i="1"/>
  <c r="CM112" i="1"/>
  <c r="CL112" i="1"/>
  <c r="CJ112" i="1"/>
  <c r="CI112" i="1"/>
  <c r="CH112" i="1"/>
  <c r="CG112" i="1"/>
  <c r="CE112" i="1"/>
  <c r="CD112" i="1"/>
  <c r="DH111" i="1"/>
  <c r="DE111" i="1"/>
  <c r="DB111" i="1"/>
  <c r="CZ111" i="1"/>
  <c r="CY111" i="1"/>
  <c r="CX111" i="1"/>
  <c r="CW111" i="1"/>
  <c r="CU111" i="1"/>
  <c r="CT111" i="1"/>
  <c r="CR111" i="1"/>
  <c r="CQ111" i="1"/>
  <c r="CP111" i="1"/>
  <c r="CO111" i="1"/>
  <c r="CM111" i="1"/>
  <c r="CL111" i="1"/>
  <c r="CJ111" i="1"/>
  <c r="CI111" i="1"/>
  <c r="CH111" i="1"/>
  <c r="CG111" i="1"/>
  <c r="CE111" i="1"/>
  <c r="CD111" i="1"/>
  <c r="DH110" i="1"/>
  <c r="DE110" i="1"/>
  <c r="CZ110" i="1"/>
  <c r="CY110" i="1"/>
  <c r="CX110" i="1"/>
  <c r="CW110" i="1"/>
  <c r="CU110" i="1"/>
  <c r="CT110" i="1"/>
  <c r="CR110" i="1"/>
  <c r="CQ110" i="1"/>
  <c r="CP110" i="1"/>
  <c r="CO110" i="1"/>
  <c r="CM110" i="1"/>
  <c r="CL110" i="1"/>
  <c r="CJ110" i="1"/>
  <c r="CI110" i="1"/>
  <c r="CH110" i="1"/>
  <c r="CG110" i="1"/>
  <c r="CE110" i="1"/>
  <c r="CD110" i="1"/>
  <c r="DH109" i="1"/>
  <c r="DE109" i="1"/>
  <c r="CZ109" i="1"/>
  <c r="CY109" i="1"/>
  <c r="CX109" i="1"/>
  <c r="CW109" i="1"/>
  <c r="CU109" i="1"/>
  <c r="CT109" i="1"/>
  <c r="CR109" i="1"/>
  <c r="CQ109" i="1"/>
  <c r="CP109" i="1"/>
  <c r="CO109" i="1"/>
  <c r="CM109" i="1"/>
  <c r="CL109" i="1"/>
  <c r="CJ109" i="1"/>
  <c r="CI109" i="1"/>
  <c r="CH109" i="1"/>
  <c r="CG109" i="1"/>
  <c r="CE109" i="1"/>
  <c r="CD109" i="1"/>
  <c r="DH108" i="1"/>
  <c r="DE108" i="1"/>
  <c r="CZ108" i="1"/>
  <c r="CY108" i="1"/>
  <c r="CX108" i="1"/>
  <c r="CW108" i="1"/>
  <c r="CU108" i="1"/>
  <c r="CT108" i="1"/>
  <c r="CR108" i="1"/>
  <c r="CQ108" i="1"/>
  <c r="CP108" i="1"/>
  <c r="CO108" i="1"/>
  <c r="CM108" i="1"/>
  <c r="CL108" i="1"/>
  <c r="CJ108" i="1"/>
  <c r="CI108" i="1"/>
  <c r="CH108" i="1"/>
  <c r="CG108" i="1"/>
  <c r="CE108" i="1"/>
  <c r="CD108" i="1"/>
  <c r="DH107" i="1"/>
  <c r="DE107" i="1"/>
  <c r="CZ107" i="1"/>
  <c r="CY107" i="1"/>
  <c r="CX107" i="1"/>
  <c r="CW107" i="1"/>
  <c r="CU107" i="1"/>
  <c r="CT107" i="1"/>
  <c r="CR107" i="1"/>
  <c r="CQ107" i="1"/>
  <c r="CP107" i="1"/>
  <c r="CO107" i="1"/>
  <c r="CM107" i="1"/>
  <c r="CL107" i="1"/>
  <c r="CJ107" i="1"/>
  <c r="CI107" i="1"/>
  <c r="CH107" i="1"/>
  <c r="CG107" i="1"/>
  <c r="CE107" i="1"/>
  <c r="CD107" i="1"/>
  <c r="DH106" i="1"/>
  <c r="DE106" i="1"/>
  <c r="CZ106" i="1"/>
  <c r="CY106" i="1"/>
  <c r="CX106" i="1"/>
  <c r="CW106" i="1"/>
  <c r="CU106" i="1"/>
  <c r="CT106" i="1"/>
  <c r="CR106" i="1"/>
  <c r="CQ106" i="1"/>
  <c r="CP106" i="1"/>
  <c r="CO106" i="1"/>
  <c r="CM106" i="1"/>
  <c r="CL106" i="1"/>
  <c r="CJ106" i="1"/>
  <c r="CI106" i="1"/>
  <c r="CH106" i="1"/>
  <c r="CG106" i="1"/>
  <c r="CE106" i="1"/>
  <c r="CD106" i="1"/>
  <c r="DH105" i="1"/>
  <c r="DE105" i="1"/>
  <c r="CZ105" i="1"/>
  <c r="CY105" i="1"/>
  <c r="CX105" i="1"/>
  <c r="CW105" i="1"/>
  <c r="CU105" i="1"/>
  <c r="CT105" i="1"/>
  <c r="CR105" i="1"/>
  <c r="CQ105" i="1"/>
  <c r="CP105" i="1"/>
  <c r="CO105" i="1"/>
  <c r="CM105" i="1"/>
  <c r="CL105" i="1"/>
  <c r="CJ105" i="1"/>
  <c r="CI105" i="1"/>
  <c r="CH105" i="1"/>
  <c r="CG105" i="1"/>
  <c r="CE105" i="1"/>
  <c r="CD105" i="1"/>
  <c r="DH104" i="1"/>
  <c r="DE104" i="1"/>
  <c r="CZ104" i="1"/>
  <c r="CY104" i="1"/>
  <c r="CX104" i="1"/>
  <c r="CW104" i="1"/>
  <c r="CU104" i="1"/>
  <c r="CT104" i="1"/>
  <c r="CR104" i="1"/>
  <c r="CQ104" i="1"/>
  <c r="CP104" i="1"/>
  <c r="CO104" i="1"/>
  <c r="CM104" i="1"/>
  <c r="CL104" i="1"/>
  <c r="CJ104" i="1"/>
  <c r="CI104" i="1"/>
  <c r="CH104" i="1"/>
  <c r="CG104" i="1"/>
  <c r="CE104" i="1"/>
  <c r="CD104" i="1"/>
  <c r="DH103" i="1"/>
  <c r="DE103" i="1"/>
  <c r="DB103" i="1"/>
  <c r="CZ103" i="1"/>
  <c r="CY103" i="1"/>
  <c r="CX103" i="1"/>
  <c r="CW103" i="1"/>
  <c r="CU103" i="1"/>
  <c r="CT103" i="1"/>
  <c r="CR103" i="1"/>
  <c r="CQ103" i="1"/>
  <c r="CP103" i="1"/>
  <c r="CO103" i="1"/>
  <c r="CM103" i="1"/>
  <c r="CL103" i="1"/>
  <c r="CJ103" i="1"/>
  <c r="CI103" i="1"/>
  <c r="CH103" i="1"/>
  <c r="CG103" i="1"/>
  <c r="CE103" i="1"/>
  <c r="CD103" i="1"/>
  <c r="DH102" i="1"/>
  <c r="DE102" i="1"/>
  <c r="CZ102" i="1"/>
  <c r="CY102" i="1"/>
  <c r="CX102" i="1"/>
  <c r="CW102" i="1"/>
  <c r="CU102" i="1"/>
  <c r="CT102" i="1"/>
  <c r="CR102" i="1"/>
  <c r="CQ102" i="1"/>
  <c r="CP102" i="1"/>
  <c r="CO102" i="1"/>
  <c r="CM102" i="1"/>
  <c r="CL102" i="1"/>
  <c r="CJ102" i="1"/>
  <c r="CI102" i="1"/>
  <c r="CH102" i="1"/>
  <c r="CG102" i="1"/>
  <c r="CE102" i="1"/>
  <c r="CD102" i="1"/>
  <c r="DH101" i="1"/>
  <c r="DE101" i="1"/>
  <c r="CZ101" i="1"/>
  <c r="CY101" i="1"/>
  <c r="CX101" i="1"/>
  <c r="CW101" i="1"/>
  <c r="CU101" i="1"/>
  <c r="CT101" i="1"/>
  <c r="CR101" i="1"/>
  <c r="CQ101" i="1"/>
  <c r="CP101" i="1"/>
  <c r="CO101" i="1"/>
  <c r="CM101" i="1"/>
  <c r="CL101" i="1"/>
  <c r="CJ101" i="1"/>
  <c r="CI101" i="1"/>
  <c r="CH101" i="1"/>
  <c r="CG101" i="1"/>
  <c r="CE101" i="1"/>
  <c r="CD101" i="1"/>
  <c r="DH100" i="1"/>
  <c r="DE100" i="1"/>
  <c r="CZ100" i="1"/>
  <c r="CY100" i="1"/>
  <c r="CX100" i="1"/>
  <c r="CW100" i="1"/>
  <c r="CU100" i="1"/>
  <c r="CT100" i="1"/>
  <c r="CR100" i="1"/>
  <c r="CQ100" i="1"/>
  <c r="CP100" i="1"/>
  <c r="CO100" i="1"/>
  <c r="CM100" i="1"/>
  <c r="CL100" i="1"/>
  <c r="CJ100" i="1"/>
  <c r="CI100" i="1"/>
  <c r="CH100" i="1"/>
  <c r="CG100" i="1"/>
  <c r="CE100" i="1"/>
  <c r="CD100" i="1"/>
  <c r="DH99" i="1"/>
  <c r="DE99" i="1"/>
  <c r="CZ99" i="1"/>
  <c r="CY99" i="1"/>
  <c r="CX99" i="1"/>
  <c r="CW99" i="1"/>
  <c r="CU99" i="1"/>
  <c r="CT99" i="1"/>
  <c r="CR99" i="1"/>
  <c r="CQ99" i="1"/>
  <c r="CP99" i="1"/>
  <c r="CO99" i="1"/>
  <c r="CM99" i="1"/>
  <c r="CL99" i="1"/>
  <c r="CJ99" i="1"/>
  <c r="CI99" i="1"/>
  <c r="CH99" i="1"/>
  <c r="CG99" i="1"/>
  <c r="CE99" i="1"/>
  <c r="CD99" i="1"/>
  <c r="DH98" i="1"/>
  <c r="DE98" i="1"/>
  <c r="CZ98" i="1"/>
  <c r="CY98" i="1"/>
  <c r="CX98" i="1"/>
  <c r="CW98" i="1"/>
  <c r="CU98" i="1"/>
  <c r="CT98" i="1"/>
  <c r="CR98" i="1"/>
  <c r="CQ98" i="1"/>
  <c r="CP98" i="1"/>
  <c r="CO98" i="1"/>
  <c r="CM98" i="1"/>
  <c r="CL98" i="1"/>
  <c r="CJ98" i="1"/>
  <c r="CI98" i="1"/>
  <c r="CH98" i="1"/>
  <c r="CG98" i="1"/>
  <c r="CE98" i="1"/>
  <c r="CD98" i="1"/>
  <c r="DH97" i="1"/>
  <c r="DE97" i="1"/>
  <c r="CZ97" i="1"/>
  <c r="CY97" i="1"/>
  <c r="CX97" i="1"/>
  <c r="CW97" i="1"/>
  <c r="CU97" i="1"/>
  <c r="CT97" i="1"/>
  <c r="CR97" i="1"/>
  <c r="CQ97" i="1"/>
  <c r="CP97" i="1"/>
  <c r="CO97" i="1"/>
  <c r="CM97" i="1"/>
  <c r="CL97" i="1"/>
  <c r="CJ97" i="1"/>
  <c r="CI97" i="1"/>
  <c r="CH97" i="1"/>
  <c r="CG97" i="1"/>
  <c r="CE97" i="1"/>
  <c r="CD97" i="1"/>
  <c r="DH96" i="1"/>
  <c r="DE96" i="1"/>
  <c r="CZ96" i="1"/>
  <c r="CY96" i="1"/>
  <c r="CX96" i="1"/>
  <c r="CW96" i="1"/>
  <c r="CU96" i="1"/>
  <c r="CT96" i="1"/>
  <c r="CR96" i="1"/>
  <c r="CQ96" i="1"/>
  <c r="CP96" i="1"/>
  <c r="CO96" i="1"/>
  <c r="CM96" i="1"/>
  <c r="CL96" i="1"/>
  <c r="CJ96" i="1"/>
  <c r="CI96" i="1"/>
  <c r="CH96" i="1"/>
  <c r="CG96" i="1"/>
  <c r="CE96" i="1"/>
  <c r="CD96" i="1"/>
  <c r="DH95" i="1"/>
  <c r="DE95" i="1"/>
  <c r="CZ95" i="1"/>
  <c r="CY95" i="1"/>
  <c r="CX95" i="1"/>
  <c r="CW95" i="1"/>
  <c r="CU95" i="1"/>
  <c r="CT95" i="1"/>
  <c r="CR95" i="1"/>
  <c r="CQ95" i="1"/>
  <c r="CP95" i="1"/>
  <c r="CO95" i="1"/>
  <c r="CM95" i="1"/>
  <c r="CL95" i="1"/>
  <c r="CJ95" i="1"/>
  <c r="CI95" i="1"/>
  <c r="CH95" i="1"/>
  <c r="CG95" i="1"/>
  <c r="CE95" i="1"/>
  <c r="CD95" i="1"/>
  <c r="DH94" i="1"/>
  <c r="DE94" i="1"/>
  <c r="CZ94" i="1"/>
  <c r="CY94" i="1"/>
  <c r="CX94" i="1"/>
  <c r="CW94" i="1"/>
  <c r="CU94" i="1"/>
  <c r="CT94" i="1"/>
  <c r="CR94" i="1"/>
  <c r="CQ94" i="1"/>
  <c r="CP94" i="1"/>
  <c r="CO94" i="1"/>
  <c r="CM94" i="1"/>
  <c r="CL94" i="1"/>
  <c r="CJ94" i="1"/>
  <c r="CI94" i="1"/>
  <c r="CH94" i="1"/>
  <c r="CG94" i="1"/>
  <c r="CE94" i="1"/>
  <c r="CD94" i="1"/>
  <c r="DH93" i="1"/>
  <c r="DE93" i="1"/>
  <c r="CZ93" i="1"/>
  <c r="CY93" i="1"/>
  <c r="CX93" i="1"/>
  <c r="CW93" i="1"/>
  <c r="CU93" i="1"/>
  <c r="CT93" i="1"/>
  <c r="CR93" i="1"/>
  <c r="CQ93" i="1"/>
  <c r="CP93" i="1"/>
  <c r="CO93" i="1"/>
  <c r="CM93" i="1"/>
  <c r="CL93" i="1"/>
  <c r="CJ93" i="1"/>
  <c r="CI93" i="1"/>
  <c r="CH93" i="1"/>
  <c r="CG93" i="1"/>
  <c r="CE93" i="1"/>
  <c r="CD93" i="1"/>
  <c r="DH92" i="1"/>
  <c r="DE92" i="1"/>
  <c r="CZ92" i="1"/>
  <c r="CY92" i="1"/>
  <c r="CX92" i="1"/>
  <c r="CW92" i="1"/>
  <c r="CU92" i="1"/>
  <c r="CT92" i="1"/>
  <c r="CR92" i="1"/>
  <c r="CQ92" i="1"/>
  <c r="CP92" i="1"/>
  <c r="CO92" i="1"/>
  <c r="CM92" i="1"/>
  <c r="CL92" i="1"/>
  <c r="CJ92" i="1"/>
  <c r="CI92" i="1"/>
  <c r="CH92" i="1"/>
  <c r="CG92" i="1"/>
  <c r="CE92" i="1"/>
  <c r="CD92" i="1"/>
  <c r="DH91" i="1"/>
  <c r="DE91" i="1"/>
  <c r="CZ91" i="1"/>
  <c r="CY91" i="1"/>
  <c r="CX91" i="1"/>
  <c r="CW91" i="1"/>
  <c r="CU91" i="1"/>
  <c r="CT91" i="1"/>
  <c r="CR91" i="1"/>
  <c r="CQ91" i="1"/>
  <c r="CP91" i="1"/>
  <c r="CO91" i="1"/>
  <c r="CM91" i="1"/>
  <c r="CL91" i="1"/>
  <c r="CJ91" i="1"/>
  <c r="CI91" i="1"/>
  <c r="CH91" i="1"/>
  <c r="CG91" i="1"/>
  <c r="CE91" i="1"/>
  <c r="CD91" i="1"/>
  <c r="DH90" i="1"/>
  <c r="DE90" i="1"/>
  <c r="CZ90" i="1"/>
  <c r="CY90" i="1"/>
  <c r="CX90" i="1"/>
  <c r="CW90" i="1"/>
  <c r="CU90" i="1"/>
  <c r="CT90" i="1"/>
  <c r="CR90" i="1"/>
  <c r="CQ90" i="1"/>
  <c r="CP90" i="1"/>
  <c r="CO90" i="1"/>
  <c r="CM90" i="1"/>
  <c r="CL90" i="1"/>
  <c r="CJ90" i="1"/>
  <c r="CI90" i="1"/>
  <c r="CH90" i="1"/>
  <c r="CG90" i="1"/>
  <c r="CE90" i="1"/>
  <c r="CD90" i="1"/>
  <c r="DH89" i="1"/>
  <c r="DE89" i="1"/>
  <c r="CZ89" i="1"/>
  <c r="CY89" i="1"/>
  <c r="CX89" i="1"/>
  <c r="CW89" i="1"/>
  <c r="CU89" i="1"/>
  <c r="CT89" i="1"/>
  <c r="CR89" i="1"/>
  <c r="CQ89" i="1"/>
  <c r="CP89" i="1"/>
  <c r="CO89" i="1"/>
  <c r="CM89" i="1"/>
  <c r="CL89" i="1"/>
  <c r="CJ89" i="1"/>
  <c r="CI89" i="1"/>
  <c r="CH89" i="1"/>
  <c r="CG89" i="1"/>
  <c r="CE89" i="1"/>
  <c r="CD89" i="1"/>
  <c r="DH88" i="1"/>
  <c r="DE88" i="1"/>
  <c r="CZ88" i="1"/>
  <c r="CY88" i="1"/>
  <c r="CX88" i="1"/>
  <c r="CW88" i="1"/>
  <c r="CU88" i="1"/>
  <c r="CT88" i="1"/>
  <c r="CR88" i="1"/>
  <c r="CQ88" i="1"/>
  <c r="CP88" i="1"/>
  <c r="CO88" i="1"/>
  <c r="CM88" i="1"/>
  <c r="CL88" i="1"/>
  <c r="CJ88" i="1"/>
  <c r="CI88" i="1"/>
  <c r="CH88" i="1"/>
  <c r="CG88" i="1"/>
  <c r="CE88" i="1"/>
  <c r="CD88" i="1"/>
  <c r="DH87" i="1"/>
  <c r="DE87" i="1"/>
  <c r="CZ87" i="1"/>
  <c r="CY87" i="1"/>
  <c r="CX87" i="1"/>
  <c r="CW87" i="1"/>
  <c r="CU87" i="1"/>
  <c r="CT87" i="1"/>
  <c r="CR87" i="1"/>
  <c r="CQ87" i="1"/>
  <c r="CP87" i="1"/>
  <c r="CO87" i="1"/>
  <c r="CM87" i="1"/>
  <c r="CL87" i="1"/>
  <c r="CJ87" i="1"/>
  <c r="CI87" i="1"/>
  <c r="CH87" i="1"/>
  <c r="CG87" i="1"/>
  <c r="CE87" i="1"/>
  <c r="CD87" i="1"/>
  <c r="DH86" i="1"/>
  <c r="DE86" i="1"/>
  <c r="CZ86" i="1"/>
  <c r="CY86" i="1"/>
  <c r="CX86" i="1"/>
  <c r="CW86" i="1"/>
  <c r="CU86" i="1"/>
  <c r="CT86" i="1"/>
  <c r="CR86" i="1"/>
  <c r="CQ86" i="1"/>
  <c r="CP86" i="1"/>
  <c r="CO86" i="1"/>
  <c r="CM86" i="1"/>
  <c r="CL86" i="1"/>
  <c r="CJ86" i="1"/>
  <c r="CI86" i="1"/>
  <c r="CH86" i="1"/>
  <c r="CG86" i="1"/>
  <c r="CE86" i="1"/>
  <c r="CD86" i="1"/>
  <c r="DH85" i="1"/>
  <c r="DE85" i="1"/>
  <c r="CZ85" i="1"/>
  <c r="CY85" i="1"/>
  <c r="CX85" i="1"/>
  <c r="CW85" i="1"/>
  <c r="CU85" i="1"/>
  <c r="CT85" i="1"/>
  <c r="CR85" i="1"/>
  <c r="CQ85" i="1"/>
  <c r="CP85" i="1"/>
  <c r="CO85" i="1"/>
  <c r="CM85" i="1"/>
  <c r="CL85" i="1"/>
  <c r="CJ85" i="1"/>
  <c r="CI85" i="1"/>
  <c r="CH85" i="1"/>
  <c r="CG85" i="1"/>
  <c r="CE85" i="1"/>
  <c r="CD85" i="1"/>
  <c r="DH84" i="1"/>
  <c r="DE84" i="1"/>
  <c r="CZ84" i="1"/>
  <c r="CY84" i="1"/>
  <c r="CX84" i="1"/>
  <c r="CW84" i="1"/>
  <c r="CU84" i="1"/>
  <c r="CT84" i="1"/>
  <c r="CR84" i="1"/>
  <c r="CQ84" i="1"/>
  <c r="CP84" i="1"/>
  <c r="CO84" i="1"/>
  <c r="CM84" i="1"/>
  <c r="CL84" i="1"/>
  <c r="CJ84" i="1"/>
  <c r="CI84" i="1"/>
  <c r="CH84" i="1"/>
  <c r="CG84" i="1"/>
  <c r="CE84" i="1"/>
  <c r="CD84" i="1"/>
  <c r="DH83" i="1"/>
  <c r="DE83" i="1"/>
  <c r="CZ83" i="1"/>
  <c r="CY83" i="1"/>
  <c r="CX83" i="1"/>
  <c r="CW83" i="1"/>
  <c r="CU83" i="1"/>
  <c r="CT83" i="1"/>
  <c r="CR83" i="1"/>
  <c r="CQ83" i="1"/>
  <c r="CP83" i="1"/>
  <c r="CO83" i="1"/>
  <c r="CM83" i="1"/>
  <c r="CL83" i="1"/>
  <c r="CJ83" i="1"/>
  <c r="CI83" i="1"/>
  <c r="CH83" i="1"/>
  <c r="CG83" i="1"/>
  <c r="CE83" i="1"/>
  <c r="CD83" i="1"/>
  <c r="DH82" i="1"/>
  <c r="DE82" i="1"/>
  <c r="CZ82" i="1"/>
  <c r="CY82" i="1"/>
  <c r="CX82" i="1"/>
  <c r="CW82" i="1"/>
  <c r="CU82" i="1"/>
  <c r="CT82" i="1"/>
  <c r="CR82" i="1"/>
  <c r="CQ82" i="1"/>
  <c r="CP82" i="1"/>
  <c r="CO82" i="1"/>
  <c r="CM82" i="1"/>
  <c r="CL82" i="1"/>
  <c r="CJ82" i="1"/>
  <c r="CI82" i="1"/>
  <c r="CH82" i="1"/>
  <c r="CG82" i="1"/>
  <c r="CE82" i="1"/>
  <c r="CD82" i="1"/>
  <c r="DH81" i="1"/>
  <c r="DE81" i="1"/>
  <c r="CZ81" i="1"/>
  <c r="CY81" i="1"/>
  <c r="CX81" i="1"/>
  <c r="CW81" i="1"/>
  <c r="CT81" i="1"/>
  <c r="CR81" i="1"/>
  <c r="CQ81" i="1"/>
  <c r="CP81" i="1"/>
  <c r="CO81" i="1"/>
  <c r="CL81" i="1"/>
  <c r="CJ81" i="1"/>
  <c r="CI81" i="1"/>
  <c r="CH81" i="1"/>
  <c r="CG81" i="1"/>
  <c r="CD81" i="1"/>
  <c r="DH80" i="1"/>
  <c r="DE80" i="1"/>
  <c r="CZ80" i="1"/>
  <c r="CY80" i="1"/>
  <c r="CX80" i="1"/>
  <c r="CW80" i="1"/>
  <c r="CT80" i="1"/>
  <c r="CR80" i="1"/>
  <c r="CQ80" i="1"/>
  <c r="CP80" i="1"/>
  <c r="CO80" i="1"/>
  <c r="CL80" i="1"/>
  <c r="CJ80" i="1"/>
  <c r="CI80" i="1"/>
  <c r="CH80" i="1"/>
  <c r="CG80" i="1"/>
  <c r="CD80" i="1"/>
  <c r="DH79" i="1"/>
  <c r="DE79" i="1"/>
  <c r="CZ79" i="1"/>
  <c r="CY79" i="1"/>
  <c r="CX79" i="1"/>
  <c r="CW79" i="1"/>
  <c r="CT79" i="1"/>
  <c r="CR79" i="1"/>
  <c r="CQ79" i="1"/>
  <c r="CP79" i="1"/>
  <c r="CO79" i="1"/>
  <c r="CL79" i="1"/>
  <c r="CJ79" i="1"/>
  <c r="CI79" i="1"/>
  <c r="CH79" i="1"/>
  <c r="CG79" i="1"/>
  <c r="CD79" i="1"/>
  <c r="DH78" i="1"/>
  <c r="DE78" i="1"/>
  <c r="CZ78" i="1"/>
  <c r="CY78" i="1"/>
  <c r="CX78" i="1"/>
  <c r="CW78" i="1"/>
  <c r="CT78" i="1"/>
  <c r="CR78" i="1"/>
  <c r="CQ78" i="1"/>
  <c r="CP78" i="1"/>
  <c r="CO78" i="1"/>
  <c r="CL78" i="1"/>
  <c r="CJ78" i="1"/>
  <c r="CI78" i="1"/>
  <c r="CH78" i="1"/>
  <c r="CG78" i="1"/>
  <c r="CD78" i="1"/>
  <c r="DH77" i="1"/>
  <c r="DE77" i="1"/>
  <c r="CZ77" i="1"/>
  <c r="CY77" i="1"/>
  <c r="CX77" i="1"/>
  <c r="CW77" i="1"/>
  <c r="CT77" i="1"/>
  <c r="CR77" i="1"/>
  <c r="CQ77" i="1"/>
  <c r="CP77" i="1"/>
  <c r="CO77" i="1"/>
  <c r="CL77" i="1"/>
  <c r="CJ77" i="1"/>
  <c r="CI77" i="1"/>
  <c r="CH77" i="1"/>
  <c r="CG77" i="1"/>
  <c r="CD77" i="1"/>
  <c r="DH76" i="1"/>
  <c r="DE76" i="1"/>
  <c r="CZ76" i="1"/>
  <c r="CY76" i="1"/>
  <c r="CX76" i="1"/>
  <c r="CW76" i="1"/>
  <c r="CT76" i="1"/>
  <c r="CR76" i="1"/>
  <c r="CQ76" i="1"/>
  <c r="CP76" i="1"/>
  <c r="CO76" i="1"/>
  <c r="CL76" i="1"/>
  <c r="CJ76" i="1"/>
  <c r="CI76" i="1"/>
  <c r="CH76" i="1"/>
  <c r="CG76" i="1"/>
  <c r="CD76" i="1"/>
  <c r="DH75" i="1"/>
  <c r="DE75" i="1"/>
  <c r="CZ75" i="1"/>
  <c r="CY75" i="1"/>
  <c r="CX75" i="1"/>
  <c r="CW75" i="1"/>
  <c r="CT75" i="1"/>
  <c r="CR75" i="1"/>
  <c r="CQ75" i="1"/>
  <c r="CP75" i="1"/>
  <c r="CO75" i="1"/>
  <c r="CL75" i="1"/>
  <c r="CJ75" i="1"/>
  <c r="CI75" i="1"/>
  <c r="CH75" i="1"/>
  <c r="CG75" i="1"/>
  <c r="CD75" i="1"/>
  <c r="DH74" i="1"/>
  <c r="DE74" i="1"/>
  <c r="CZ74" i="1"/>
  <c r="CY74" i="1"/>
  <c r="CX74" i="1"/>
  <c r="CW74" i="1"/>
  <c r="CT74" i="1"/>
  <c r="CR74" i="1"/>
  <c r="CQ74" i="1"/>
  <c r="CP74" i="1"/>
  <c r="CO74" i="1"/>
  <c r="CL74" i="1"/>
  <c r="CJ74" i="1"/>
  <c r="CI74" i="1"/>
  <c r="CH74" i="1"/>
  <c r="CG74" i="1"/>
  <c r="CD74" i="1"/>
  <c r="DH73" i="1"/>
  <c r="DE73" i="1"/>
  <c r="CZ73" i="1"/>
  <c r="CY73" i="1"/>
  <c r="CX73" i="1"/>
  <c r="CW73" i="1"/>
  <c r="CT73" i="1"/>
  <c r="CR73" i="1"/>
  <c r="CQ73" i="1"/>
  <c r="CP73" i="1"/>
  <c r="CO73" i="1"/>
  <c r="CL73" i="1"/>
  <c r="CJ73" i="1"/>
  <c r="CI73" i="1"/>
  <c r="CH73" i="1"/>
  <c r="CG73" i="1"/>
  <c r="CD73" i="1"/>
  <c r="DH72" i="1"/>
  <c r="DE72" i="1"/>
  <c r="CZ72" i="1"/>
  <c r="CY72" i="1"/>
  <c r="CX72" i="1"/>
  <c r="CW72" i="1"/>
  <c r="CT72" i="1"/>
  <c r="CR72" i="1"/>
  <c r="CQ72" i="1"/>
  <c r="CP72" i="1"/>
  <c r="CO72" i="1"/>
  <c r="CL72" i="1"/>
  <c r="CJ72" i="1"/>
  <c r="CI72" i="1"/>
  <c r="CH72" i="1"/>
  <c r="CG72" i="1"/>
  <c r="CD72" i="1"/>
  <c r="DH71" i="1"/>
  <c r="DE71" i="1"/>
  <c r="CZ71" i="1"/>
  <c r="CY71" i="1"/>
  <c r="CX71" i="1"/>
  <c r="CW71" i="1"/>
  <c r="CT71" i="1"/>
  <c r="CR71" i="1"/>
  <c r="CQ71" i="1"/>
  <c r="CP71" i="1"/>
  <c r="CO71" i="1"/>
  <c r="CL71" i="1"/>
  <c r="CJ71" i="1"/>
  <c r="CI71" i="1"/>
  <c r="CH71" i="1"/>
  <c r="CG71" i="1"/>
  <c r="CD71" i="1"/>
  <c r="DH70" i="1"/>
  <c r="DE70" i="1"/>
  <c r="CZ70" i="1"/>
  <c r="CY70" i="1"/>
  <c r="CX70" i="1"/>
  <c r="CW70" i="1"/>
  <c r="CT70" i="1"/>
  <c r="CR70" i="1"/>
  <c r="CQ70" i="1"/>
  <c r="CP70" i="1"/>
  <c r="CO70" i="1"/>
  <c r="CL70" i="1"/>
  <c r="CJ70" i="1"/>
  <c r="CI70" i="1"/>
  <c r="CH70" i="1"/>
  <c r="CG70" i="1"/>
  <c r="CD70" i="1"/>
  <c r="DH69" i="1"/>
  <c r="DE69" i="1"/>
  <c r="CZ69" i="1"/>
  <c r="CY69" i="1"/>
  <c r="CX69" i="1"/>
  <c r="CW69" i="1"/>
  <c r="CT69" i="1"/>
  <c r="CR69" i="1"/>
  <c r="CQ69" i="1"/>
  <c r="CP69" i="1"/>
  <c r="CO69" i="1"/>
  <c r="CL69" i="1"/>
  <c r="CJ69" i="1"/>
  <c r="CI69" i="1"/>
  <c r="CH69" i="1"/>
  <c r="CG69" i="1"/>
  <c r="CD69" i="1"/>
  <c r="DE68" i="1"/>
  <c r="DB68" i="1"/>
  <c r="CZ68" i="1"/>
  <c r="CY68" i="1"/>
  <c r="CX68" i="1"/>
  <c r="CW68" i="1"/>
  <c r="CT68" i="1"/>
  <c r="CR68" i="1"/>
  <c r="CQ68" i="1"/>
  <c r="CP68" i="1"/>
  <c r="CO68" i="1"/>
  <c r="CL68" i="1"/>
  <c r="CJ68" i="1"/>
  <c r="CI68" i="1"/>
  <c r="CH68" i="1"/>
  <c r="CG68" i="1"/>
  <c r="CD68" i="1"/>
  <c r="A2" i="23"/>
  <c r="E372" i="26" l="1"/>
  <c r="D372" i="26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A372" i="26" s="1"/>
  <c r="N18" i="26"/>
  <c r="M18" i="26"/>
  <c r="L18" i="26"/>
  <c r="N17" i="26"/>
  <c r="M17" i="26"/>
  <c r="L17" i="26"/>
  <c r="N16" i="26"/>
  <c r="M16" i="26"/>
  <c r="L16" i="26"/>
  <c r="N15" i="26"/>
  <c r="M15" i="26"/>
  <c r="L15" i="26"/>
  <c r="N14" i="26"/>
  <c r="M14" i="26"/>
  <c r="L14" i="26"/>
  <c r="N13" i="26"/>
  <c r="M13" i="26"/>
  <c r="L13" i="26"/>
  <c r="N12" i="26"/>
  <c r="M12" i="26"/>
  <c r="L12" i="26"/>
  <c r="N11" i="26"/>
  <c r="M11" i="26"/>
  <c r="L11" i="26"/>
  <c r="N10" i="26"/>
  <c r="M10" i="26"/>
  <c r="L10" i="26"/>
  <c r="N9" i="26"/>
  <c r="M9" i="26"/>
  <c r="L9" i="26"/>
  <c r="N8" i="26"/>
  <c r="M8" i="26"/>
  <c r="L8" i="26"/>
  <c r="N7" i="26"/>
  <c r="P7" i="26" s="1"/>
  <c r="M7" i="26"/>
  <c r="O7" i="26" s="1"/>
  <c r="L7" i="26"/>
  <c r="P8" i="26" l="1"/>
  <c r="P9" i="26" s="1"/>
  <c r="P10" i="26" s="1"/>
  <c r="P11" i="26" s="1"/>
  <c r="P12" i="26" s="1"/>
  <c r="P13" i="26" s="1"/>
  <c r="P14" i="26" s="1"/>
  <c r="P15" i="26" s="1"/>
  <c r="P16" i="26" s="1"/>
  <c r="P17" i="26" s="1"/>
  <c r="P18" i="26" s="1"/>
  <c r="O8" i="26"/>
  <c r="O9" i="26" s="1"/>
  <c r="O10" i="26" s="1"/>
  <c r="O11" i="26" s="1"/>
  <c r="O12" i="26" s="1"/>
  <c r="O13" i="26" s="1"/>
  <c r="O14" i="26" s="1"/>
  <c r="O15" i="26" s="1"/>
  <c r="O16" i="26" s="1"/>
  <c r="O17" i="26" s="1"/>
  <c r="O18" i="26" s="1"/>
  <c r="R219" i="1" l="1"/>
  <c r="E219" i="1"/>
  <c r="CD219" i="1" s="1"/>
  <c r="R218" i="1"/>
  <c r="E218" i="1"/>
  <c r="CD218" i="1" s="1"/>
  <c r="AF268" i="1"/>
  <c r="CT268" i="1" s="1"/>
  <c r="R268" i="1"/>
  <c r="CL268" i="1" s="1"/>
  <c r="E268" i="1"/>
  <c r="CD268" i="1" s="1"/>
  <c r="AF267" i="1"/>
  <c r="CT267" i="1" s="1"/>
  <c r="R267" i="1"/>
  <c r="CL267" i="1" s="1"/>
  <c r="E267" i="1"/>
  <c r="CD267" i="1" s="1"/>
  <c r="AF266" i="1"/>
  <c r="CT266" i="1" s="1"/>
  <c r="R266" i="1"/>
  <c r="CL266" i="1" s="1"/>
  <c r="E266" i="1"/>
  <c r="CD266" i="1" s="1"/>
  <c r="AF265" i="1"/>
  <c r="CT265" i="1" s="1"/>
  <c r="R265" i="1"/>
  <c r="CL265" i="1" s="1"/>
  <c r="E265" i="1"/>
  <c r="CD265" i="1" s="1"/>
  <c r="AF264" i="1"/>
  <c r="CT264" i="1" s="1"/>
  <c r="R264" i="1"/>
  <c r="CL264" i="1" s="1"/>
  <c r="E264" i="1"/>
  <c r="CD264" i="1" s="1"/>
  <c r="AF263" i="1"/>
  <c r="CT263" i="1" s="1"/>
  <c r="R263" i="1"/>
  <c r="CL263" i="1" s="1"/>
  <c r="E263" i="1"/>
  <c r="CD263" i="1" s="1"/>
  <c r="AF262" i="1"/>
  <c r="CT262" i="1" s="1"/>
  <c r="R262" i="1"/>
  <c r="CL262" i="1" s="1"/>
  <c r="E262" i="1"/>
  <c r="CD262" i="1" s="1"/>
  <c r="AF261" i="1"/>
  <c r="CT261" i="1" s="1"/>
  <c r="R261" i="1"/>
  <c r="CL261" i="1" s="1"/>
  <c r="E261" i="1"/>
  <c r="CD261" i="1" s="1"/>
  <c r="AF260" i="1"/>
  <c r="CT260" i="1" s="1"/>
  <c r="R260" i="1"/>
  <c r="CL260" i="1" s="1"/>
  <c r="E260" i="1"/>
  <c r="CD260" i="1" s="1"/>
  <c r="AF259" i="1"/>
  <c r="CT259" i="1" s="1"/>
  <c r="R259" i="1"/>
  <c r="CL259" i="1" s="1"/>
  <c r="E259" i="1"/>
  <c r="CD259" i="1" s="1"/>
  <c r="AF258" i="1"/>
  <c r="CT258" i="1" s="1"/>
  <c r="R258" i="1"/>
  <c r="CL258" i="1" s="1"/>
  <c r="E258" i="1"/>
  <c r="CD258" i="1" s="1"/>
  <c r="AF257" i="1"/>
  <c r="CT257" i="1" s="1"/>
  <c r="R257" i="1"/>
  <c r="CL257" i="1" s="1"/>
  <c r="E257" i="1"/>
  <c r="CD257" i="1" s="1"/>
  <c r="AF256" i="1"/>
  <c r="CT256" i="1" s="1"/>
  <c r="R256" i="1"/>
  <c r="CL256" i="1" s="1"/>
  <c r="E256" i="1"/>
  <c r="CD256" i="1" s="1"/>
  <c r="AF255" i="1"/>
  <c r="CT255" i="1" s="1"/>
  <c r="R255" i="1"/>
  <c r="CL255" i="1" s="1"/>
  <c r="E255" i="1"/>
  <c r="CD255" i="1" s="1"/>
  <c r="AF254" i="1"/>
  <c r="CT254" i="1" s="1"/>
  <c r="R254" i="1"/>
  <c r="CL254" i="1" s="1"/>
  <c r="E254" i="1"/>
  <c r="CD254" i="1" s="1"/>
  <c r="AF253" i="1"/>
  <c r="CT253" i="1" s="1"/>
  <c r="R253" i="1"/>
  <c r="CL253" i="1" s="1"/>
  <c r="E253" i="1"/>
  <c r="CD253" i="1" s="1"/>
  <c r="AF252" i="1"/>
  <c r="CT252" i="1" s="1"/>
  <c r="R252" i="1"/>
  <c r="CL252" i="1" s="1"/>
  <c r="E252" i="1"/>
  <c r="CD252" i="1" s="1"/>
  <c r="AF251" i="1"/>
  <c r="CT251" i="1" s="1"/>
  <c r="R251" i="1"/>
  <c r="CL251" i="1" s="1"/>
  <c r="E251" i="1"/>
  <c r="CD251" i="1" s="1"/>
  <c r="AF250" i="1"/>
  <c r="CT250" i="1" s="1"/>
  <c r="R250" i="1"/>
  <c r="CL250" i="1" s="1"/>
  <c r="E250" i="1"/>
  <c r="CD250" i="1" s="1"/>
  <c r="AF249" i="1"/>
  <c r="CT249" i="1" s="1"/>
  <c r="R249" i="1"/>
  <c r="CL249" i="1" s="1"/>
  <c r="E249" i="1"/>
  <c r="CD249" i="1" s="1"/>
  <c r="AF248" i="1"/>
  <c r="CT248" i="1" s="1"/>
  <c r="R248" i="1"/>
  <c r="CL248" i="1" s="1"/>
  <c r="E248" i="1"/>
  <c r="CD248" i="1" s="1"/>
  <c r="AF247" i="1"/>
  <c r="CT247" i="1" s="1"/>
  <c r="R247" i="1"/>
  <c r="CL247" i="1" s="1"/>
  <c r="E247" i="1"/>
  <c r="CD247" i="1" s="1"/>
  <c r="AF246" i="1"/>
  <c r="CT246" i="1" s="1"/>
  <c r="R246" i="1"/>
  <c r="CL246" i="1" s="1"/>
  <c r="E246" i="1"/>
  <c r="CD246" i="1" s="1"/>
  <c r="AF245" i="1"/>
  <c r="CT245" i="1" s="1"/>
  <c r="R245" i="1"/>
  <c r="CL245" i="1" s="1"/>
  <c r="E245" i="1"/>
  <c r="CD245" i="1" s="1"/>
  <c r="AF244" i="1"/>
  <c r="CT244" i="1" s="1"/>
  <c r="R244" i="1"/>
  <c r="CL244" i="1" s="1"/>
  <c r="E244" i="1"/>
  <c r="CD244" i="1" s="1"/>
  <c r="AF243" i="1"/>
  <c r="CT243" i="1" s="1"/>
  <c r="R243" i="1"/>
  <c r="CL243" i="1" s="1"/>
  <c r="E243" i="1"/>
  <c r="CD243" i="1" s="1"/>
  <c r="AF242" i="1"/>
  <c r="CT242" i="1" s="1"/>
  <c r="R242" i="1"/>
  <c r="CL242" i="1" s="1"/>
  <c r="E242" i="1"/>
  <c r="CD242" i="1" s="1"/>
  <c r="AF241" i="1"/>
  <c r="CT241" i="1" s="1"/>
  <c r="R241" i="1"/>
  <c r="CL241" i="1" s="1"/>
  <c r="E241" i="1"/>
  <c r="CD241" i="1" s="1"/>
  <c r="AF240" i="1"/>
  <c r="CT240" i="1" s="1"/>
  <c r="R240" i="1"/>
  <c r="CL240" i="1" s="1"/>
  <c r="E240" i="1"/>
  <c r="CD240" i="1" s="1"/>
  <c r="AF239" i="1"/>
  <c r="CT239" i="1" s="1"/>
  <c r="R239" i="1"/>
  <c r="CL239" i="1" s="1"/>
  <c r="E239" i="1"/>
  <c r="CD239" i="1" s="1"/>
  <c r="AF238" i="1"/>
  <c r="CT238" i="1" s="1"/>
  <c r="R238" i="1"/>
  <c r="CL238" i="1" s="1"/>
  <c r="E238" i="1"/>
  <c r="CD238" i="1" s="1"/>
  <c r="AF237" i="1"/>
  <c r="CT237" i="1" s="1"/>
  <c r="R237" i="1"/>
  <c r="CL237" i="1" s="1"/>
  <c r="E237" i="1"/>
  <c r="CD237" i="1" s="1"/>
  <c r="AF236" i="1"/>
  <c r="CT236" i="1" s="1"/>
  <c r="R236" i="1"/>
  <c r="CL236" i="1" s="1"/>
  <c r="E236" i="1"/>
  <c r="CD236" i="1" s="1"/>
  <c r="AF235" i="1"/>
  <c r="CT235" i="1" s="1"/>
  <c r="R235" i="1"/>
  <c r="CL235" i="1" s="1"/>
  <c r="E235" i="1"/>
  <c r="CD235" i="1" s="1"/>
  <c r="AF234" i="1"/>
  <c r="CT234" i="1" s="1"/>
  <c r="R234" i="1"/>
  <c r="CL234" i="1" s="1"/>
  <c r="E234" i="1"/>
  <c r="CD234" i="1" s="1"/>
  <c r="AF233" i="1"/>
  <c r="CT233" i="1" s="1"/>
  <c r="R233" i="1"/>
  <c r="CL233" i="1" s="1"/>
  <c r="E233" i="1"/>
  <c r="CD233" i="1" s="1"/>
  <c r="AF232" i="1"/>
  <c r="CT232" i="1" s="1"/>
  <c r="R232" i="1"/>
  <c r="CL232" i="1" s="1"/>
  <c r="E232" i="1"/>
  <c r="CD232" i="1" s="1"/>
  <c r="AF231" i="1"/>
  <c r="CT231" i="1" s="1"/>
  <c r="R231" i="1"/>
  <c r="CL231" i="1" s="1"/>
  <c r="E231" i="1"/>
  <c r="CD231" i="1" s="1"/>
  <c r="AF230" i="1"/>
  <c r="CT230" i="1" s="1"/>
  <c r="R230" i="1"/>
  <c r="CL230" i="1" s="1"/>
  <c r="E230" i="1"/>
  <c r="CD230" i="1" s="1"/>
  <c r="AF229" i="1"/>
  <c r="CT229" i="1" s="1"/>
  <c r="R229" i="1"/>
  <c r="CL229" i="1" s="1"/>
  <c r="E229" i="1"/>
  <c r="CD229" i="1" s="1"/>
  <c r="AF228" i="1"/>
  <c r="CT228" i="1" s="1"/>
  <c r="R228" i="1"/>
  <c r="CL228" i="1" s="1"/>
  <c r="E228" i="1"/>
  <c r="CD228" i="1" s="1"/>
  <c r="AF227" i="1"/>
  <c r="CT227" i="1" s="1"/>
  <c r="R227" i="1"/>
  <c r="CL227" i="1" s="1"/>
  <c r="E227" i="1"/>
  <c r="CD227" i="1" s="1"/>
  <c r="AF226" i="1"/>
  <c r="CT226" i="1" s="1"/>
  <c r="R226" i="1"/>
  <c r="CL226" i="1" s="1"/>
  <c r="E226" i="1"/>
  <c r="CD226" i="1" s="1"/>
  <c r="AF225" i="1"/>
  <c r="CT225" i="1" s="1"/>
  <c r="R225" i="1"/>
  <c r="CL225" i="1" s="1"/>
  <c r="E225" i="1"/>
  <c r="CD225" i="1" s="1"/>
  <c r="AF224" i="1"/>
  <c r="CT224" i="1" s="1"/>
  <c r="R224" i="1"/>
  <c r="CL224" i="1" s="1"/>
  <c r="E224" i="1"/>
  <c r="CD224" i="1" s="1"/>
  <c r="AF223" i="1"/>
  <c r="CT223" i="1" s="1"/>
  <c r="R223" i="1"/>
  <c r="CL223" i="1" s="1"/>
  <c r="E223" i="1"/>
  <c r="CD223" i="1" s="1"/>
  <c r="AF222" i="1"/>
  <c r="CT222" i="1" s="1"/>
  <c r="R222" i="1"/>
  <c r="CL222" i="1" s="1"/>
  <c r="E222" i="1"/>
  <c r="CD222" i="1" s="1"/>
  <c r="AF221" i="1"/>
  <c r="CT221" i="1" s="1"/>
  <c r="R221" i="1"/>
  <c r="CL221" i="1" s="1"/>
  <c r="E221" i="1"/>
  <c r="CD221" i="1" s="1"/>
  <c r="AF220" i="1"/>
  <c r="CT220" i="1" s="1"/>
  <c r="R220" i="1"/>
  <c r="CL220" i="1" s="1"/>
  <c r="E220" i="1"/>
  <c r="CD220" i="1" s="1"/>
  <c r="AF217" i="1"/>
  <c r="CT217" i="1" s="1"/>
  <c r="R217" i="1"/>
  <c r="CL217" i="1" s="1"/>
  <c r="E217" i="1"/>
  <c r="CD217" i="1" s="1"/>
  <c r="AF216" i="1"/>
  <c r="CT216" i="1" s="1"/>
  <c r="R216" i="1"/>
  <c r="CL216" i="1" s="1"/>
  <c r="E216" i="1"/>
  <c r="CD216" i="1" s="1"/>
  <c r="AF215" i="1"/>
  <c r="CT215" i="1" s="1"/>
  <c r="R215" i="1"/>
  <c r="CL215" i="1" s="1"/>
  <c r="E215" i="1"/>
  <c r="CD215" i="1" s="1"/>
  <c r="AF214" i="1"/>
  <c r="CT214" i="1" s="1"/>
  <c r="R214" i="1"/>
  <c r="CL214" i="1" s="1"/>
  <c r="E214" i="1"/>
  <c r="CD214" i="1" s="1"/>
  <c r="AF213" i="1"/>
  <c r="CT213" i="1" s="1"/>
  <c r="R213" i="1"/>
  <c r="CL213" i="1" s="1"/>
  <c r="E213" i="1"/>
  <c r="CD213" i="1" s="1"/>
  <c r="AF212" i="1"/>
  <c r="CT212" i="1" s="1"/>
  <c r="R212" i="1"/>
  <c r="CL212" i="1" s="1"/>
  <c r="E212" i="1"/>
  <c r="CD212" i="1" s="1"/>
  <c r="AF211" i="1"/>
  <c r="CT211" i="1" s="1"/>
  <c r="R211" i="1"/>
  <c r="CL211" i="1" s="1"/>
  <c r="E211" i="1"/>
  <c r="CD211" i="1" s="1"/>
  <c r="AF210" i="1"/>
  <c r="CT210" i="1" s="1"/>
  <c r="R210" i="1"/>
  <c r="CL210" i="1" s="1"/>
  <c r="E210" i="1"/>
  <c r="CD210" i="1" s="1"/>
  <c r="AF209" i="1"/>
  <c r="CT209" i="1" s="1"/>
  <c r="R209" i="1"/>
  <c r="CL209" i="1" s="1"/>
  <c r="E209" i="1"/>
  <c r="CD209" i="1" s="1"/>
  <c r="AF208" i="1"/>
  <c r="CT208" i="1" s="1"/>
  <c r="R208" i="1"/>
  <c r="CL208" i="1" s="1"/>
  <c r="E208" i="1"/>
  <c r="CD208" i="1" s="1"/>
  <c r="AF207" i="1"/>
  <c r="CT207" i="1" s="1"/>
  <c r="R207" i="1"/>
  <c r="CL207" i="1" s="1"/>
  <c r="E207" i="1"/>
  <c r="CD207" i="1" s="1"/>
  <c r="AF206" i="1"/>
  <c r="CT206" i="1" s="1"/>
  <c r="R206" i="1"/>
  <c r="CL206" i="1" s="1"/>
  <c r="E206" i="1"/>
  <c r="CD206" i="1" s="1"/>
  <c r="AF205" i="1"/>
  <c r="CT205" i="1" s="1"/>
  <c r="R205" i="1"/>
  <c r="CL205" i="1" s="1"/>
  <c r="E205" i="1"/>
  <c r="CD205" i="1" s="1"/>
  <c r="AF204" i="1"/>
  <c r="CT204" i="1" s="1"/>
  <c r="R204" i="1"/>
  <c r="CL204" i="1" s="1"/>
  <c r="E204" i="1"/>
  <c r="CD204" i="1" s="1"/>
  <c r="AF203" i="1"/>
  <c r="CT203" i="1" s="1"/>
  <c r="R203" i="1"/>
  <c r="CL203" i="1" s="1"/>
  <c r="E203" i="1"/>
  <c r="CD203" i="1" s="1"/>
  <c r="AF202" i="1"/>
  <c r="CT202" i="1" s="1"/>
  <c r="R202" i="1"/>
  <c r="CL202" i="1" s="1"/>
  <c r="E202" i="1"/>
  <c r="CD202" i="1" s="1"/>
  <c r="AF201" i="1"/>
  <c r="CT201" i="1" s="1"/>
  <c r="R201" i="1"/>
  <c r="CL201" i="1" s="1"/>
  <c r="E201" i="1"/>
  <c r="CD201" i="1" s="1"/>
  <c r="AF200" i="1"/>
  <c r="CT200" i="1" s="1"/>
  <c r="R200" i="1"/>
  <c r="CL200" i="1" s="1"/>
  <c r="E200" i="1"/>
  <c r="CD200" i="1" s="1"/>
  <c r="AF199" i="1"/>
  <c r="CT199" i="1" s="1"/>
  <c r="R199" i="1"/>
  <c r="CL199" i="1" s="1"/>
  <c r="E199" i="1"/>
  <c r="CD199" i="1" s="1"/>
  <c r="AF198" i="1"/>
  <c r="CT198" i="1" s="1"/>
  <c r="R198" i="1"/>
  <c r="CL198" i="1" s="1"/>
  <c r="E198" i="1"/>
  <c r="CD198" i="1" s="1"/>
  <c r="AF197" i="1"/>
  <c r="CT197" i="1" s="1"/>
  <c r="R197" i="1"/>
  <c r="CL197" i="1" s="1"/>
  <c r="E197" i="1"/>
  <c r="CD197" i="1" s="1"/>
  <c r="AF196" i="1"/>
  <c r="CT196" i="1" s="1"/>
  <c r="R196" i="1"/>
  <c r="CL196" i="1" s="1"/>
  <c r="E196" i="1"/>
  <c r="CD196" i="1" s="1"/>
  <c r="AF195" i="1"/>
  <c r="CT195" i="1" s="1"/>
  <c r="R195" i="1"/>
  <c r="CL195" i="1" s="1"/>
  <c r="E195" i="1"/>
  <c r="CD195" i="1" s="1"/>
  <c r="AF194" i="1"/>
  <c r="CT194" i="1" s="1"/>
  <c r="R194" i="1"/>
  <c r="CL194" i="1" s="1"/>
  <c r="E194" i="1"/>
  <c r="CD194" i="1" s="1"/>
  <c r="AF193" i="1"/>
  <c r="CT193" i="1" s="1"/>
  <c r="R193" i="1"/>
  <c r="CL193" i="1" s="1"/>
  <c r="E193" i="1"/>
  <c r="CD193" i="1" s="1"/>
  <c r="AF192" i="1"/>
  <c r="CT192" i="1" s="1"/>
  <c r="R192" i="1"/>
  <c r="CL192" i="1" s="1"/>
  <c r="E192" i="1"/>
  <c r="CD192" i="1" s="1"/>
  <c r="AF191" i="1"/>
  <c r="CT191" i="1" s="1"/>
  <c r="R191" i="1"/>
  <c r="CL191" i="1" s="1"/>
  <c r="E191" i="1"/>
  <c r="CD191" i="1" s="1"/>
  <c r="AF190" i="1"/>
  <c r="CT190" i="1" s="1"/>
  <c r="R190" i="1"/>
  <c r="CL190" i="1" s="1"/>
  <c r="E190" i="1"/>
  <c r="CD190" i="1" s="1"/>
  <c r="AF189" i="1"/>
  <c r="CT189" i="1" s="1"/>
  <c r="R189" i="1"/>
  <c r="CL189" i="1" s="1"/>
  <c r="E189" i="1"/>
  <c r="CD189" i="1" s="1"/>
  <c r="AF188" i="1"/>
  <c r="CT188" i="1" s="1"/>
  <c r="R188" i="1"/>
  <c r="CL188" i="1" s="1"/>
  <c r="E188" i="1"/>
  <c r="CD188" i="1" s="1"/>
  <c r="AF187" i="1"/>
  <c r="CT187" i="1" s="1"/>
  <c r="R187" i="1"/>
  <c r="CL187" i="1" s="1"/>
  <c r="E187" i="1"/>
  <c r="CD187" i="1" s="1"/>
  <c r="AF186" i="1"/>
  <c r="CT186" i="1" s="1"/>
  <c r="R186" i="1"/>
  <c r="CL186" i="1" s="1"/>
  <c r="E186" i="1"/>
  <c r="CD186" i="1" s="1"/>
  <c r="AF185" i="1"/>
  <c r="CT185" i="1" s="1"/>
  <c r="R185" i="1"/>
  <c r="CL185" i="1" s="1"/>
  <c r="E185" i="1"/>
  <c r="CD185" i="1" s="1"/>
  <c r="AF184" i="1"/>
  <c r="CT184" i="1" s="1"/>
  <c r="R184" i="1"/>
  <c r="CL184" i="1" s="1"/>
  <c r="E184" i="1"/>
  <c r="CD184" i="1" s="1"/>
  <c r="AF183" i="1"/>
  <c r="CT183" i="1" s="1"/>
  <c r="R183" i="1"/>
  <c r="CL183" i="1" s="1"/>
  <c r="E183" i="1"/>
  <c r="CD183" i="1" s="1"/>
  <c r="AF182" i="1"/>
  <c r="CT182" i="1" s="1"/>
  <c r="R182" i="1"/>
  <c r="CL182" i="1" s="1"/>
  <c r="E182" i="1"/>
  <c r="CD182" i="1" s="1"/>
  <c r="AF181" i="1"/>
  <c r="CT181" i="1" s="1"/>
  <c r="R181" i="1"/>
  <c r="CL181" i="1" s="1"/>
  <c r="E181" i="1"/>
  <c r="CD181" i="1" s="1"/>
  <c r="AF180" i="1"/>
  <c r="CT180" i="1" s="1"/>
  <c r="R180" i="1"/>
  <c r="CL180" i="1" s="1"/>
  <c r="E180" i="1"/>
  <c r="CD180" i="1" s="1"/>
  <c r="AF179" i="1"/>
  <c r="CT179" i="1" s="1"/>
  <c r="R179" i="1"/>
  <c r="CL179" i="1" s="1"/>
  <c r="E179" i="1"/>
  <c r="CD179" i="1" s="1"/>
  <c r="AF178" i="1"/>
  <c r="CT178" i="1" s="1"/>
  <c r="R178" i="1"/>
  <c r="CL178" i="1" s="1"/>
  <c r="E178" i="1"/>
  <c r="CD178" i="1" s="1"/>
  <c r="AF177" i="1"/>
  <c r="CT177" i="1" s="1"/>
  <c r="R177" i="1"/>
  <c r="CL177" i="1" s="1"/>
  <c r="E177" i="1"/>
  <c r="CD177" i="1" s="1"/>
  <c r="AF176" i="1"/>
  <c r="CT176" i="1" s="1"/>
  <c r="R176" i="1"/>
  <c r="CL176" i="1" s="1"/>
  <c r="E176" i="1"/>
  <c r="CD176" i="1" s="1"/>
  <c r="AF175" i="1"/>
  <c r="CT175" i="1" s="1"/>
  <c r="R175" i="1"/>
  <c r="CL175" i="1" s="1"/>
  <c r="E175" i="1"/>
  <c r="CD175" i="1" s="1"/>
  <c r="AF174" i="1"/>
  <c r="CT174" i="1" s="1"/>
  <c r="R174" i="1"/>
  <c r="CL174" i="1" s="1"/>
  <c r="E174" i="1"/>
  <c r="CD174" i="1" s="1"/>
  <c r="AF173" i="1"/>
  <c r="CT173" i="1" s="1"/>
  <c r="R173" i="1"/>
  <c r="CL173" i="1" s="1"/>
  <c r="E173" i="1"/>
  <c r="CD173" i="1" s="1"/>
  <c r="AF172" i="1"/>
  <c r="CT172" i="1" s="1"/>
  <c r="R172" i="1"/>
  <c r="CL172" i="1" s="1"/>
  <c r="E172" i="1"/>
  <c r="CD172" i="1" s="1"/>
  <c r="AF171" i="1"/>
  <c r="CT171" i="1" s="1"/>
  <c r="R171" i="1"/>
  <c r="CL171" i="1" s="1"/>
  <c r="E171" i="1"/>
  <c r="CD171" i="1" s="1"/>
  <c r="AF170" i="1"/>
  <c r="CT170" i="1" s="1"/>
  <c r="R170" i="1"/>
  <c r="CL170" i="1" s="1"/>
  <c r="E170" i="1"/>
  <c r="CD170" i="1" s="1"/>
  <c r="AF169" i="1"/>
  <c r="CT169" i="1" s="1"/>
  <c r="R169" i="1"/>
  <c r="CL169" i="1" s="1"/>
  <c r="E169" i="1"/>
  <c r="CD169" i="1" s="1"/>
  <c r="AF168" i="1"/>
  <c r="CT168" i="1" s="1"/>
  <c r="R168" i="1"/>
  <c r="CL168" i="1" s="1"/>
  <c r="E168" i="1"/>
  <c r="CD168" i="1" s="1"/>
  <c r="AF167" i="1"/>
  <c r="CT167" i="1" s="1"/>
  <c r="R167" i="1"/>
  <c r="CL167" i="1" s="1"/>
  <c r="E167" i="1"/>
  <c r="CD167" i="1" s="1"/>
  <c r="AF166" i="1"/>
  <c r="CT166" i="1" s="1"/>
  <c r="R166" i="1"/>
  <c r="CL166" i="1" s="1"/>
  <c r="E166" i="1"/>
  <c r="CD166" i="1" s="1"/>
  <c r="BT268" i="1"/>
  <c r="DA268" i="1" s="1"/>
  <c r="BT267" i="1"/>
  <c r="DA267" i="1" s="1"/>
  <c r="BT266" i="1"/>
  <c r="DA266" i="1" s="1"/>
  <c r="BT265" i="1"/>
  <c r="DA265" i="1" s="1"/>
  <c r="BT264" i="1"/>
  <c r="DA264" i="1" s="1"/>
  <c r="BT263" i="1"/>
  <c r="DA263" i="1" s="1"/>
  <c r="BT262" i="1"/>
  <c r="DA262" i="1" s="1"/>
  <c r="BT261" i="1"/>
  <c r="DA261" i="1" s="1"/>
  <c r="BT260" i="1"/>
  <c r="DA260" i="1" s="1"/>
  <c r="BT259" i="1"/>
  <c r="DA259" i="1" s="1"/>
  <c r="BT258" i="1"/>
  <c r="DA258" i="1" s="1"/>
  <c r="BT257" i="1"/>
  <c r="DA257" i="1" s="1"/>
  <c r="BT256" i="1"/>
  <c r="DA256" i="1" s="1"/>
  <c r="BT255" i="1"/>
  <c r="DA255" i="1" s="1"/>
  <c r="BT254" i="1"/>
  <c r="DA254" i="1" s="1"/>
  <c r="BT253" i="1"/>
  <c r="DA253" i="1" s="1"/>
  <c r="BT252" i="1"/>
  <c r="DA252" i="1" s="1"/>
  <c r="BT251" i="1"/>
  <c r="DA251" i="1" s="1"/>
  <c r="BT250" i="1"/>
  <c r="DA250" i="1" s="1"/>
  <c r="BT249" i="1"/>
  <c r="DA249" i="1" s="1"/>
  <c r="BT248" i="1"/>
  <c r="DA248" i="1" s="1"/>
  <c r="BT247" i="1"/>
  <c r="DA247" i="1" s="1"/>
  <c r="BT246" i="1"/>
  <c r="DA246" i="1" s="1"/>
  <c r="BT245" i="1"/>
  <c r="DA245" i="1" s="1"/>
  <c r="BT244" i="1"/>
  <c r="DA244" i="1" s="1"/>
  <c r="BT243" i="1"/>
  <c r="DA243" i="1" s="1"/>
  <c r="BT242" i="1"/>
  <c r="DA242" i="1" s="1"/>
  <c r="BT241" i="1"/>
  <c r="DA241" i="1" s="1"/>
  <c r="BT240" i="1"/>
  <c r="DA240" i="1" s="1"/>
  <c r="BT239" i="1"/>
  <c r="DA239" i="1" s="1"/>
  <c r="BT238" i="1"/>
  <c r="DA238" i="1" s="1"/>
  <c r="BT237" i="1"/>
  <c r="DA237" i="1" s="1"/>
  <c r="BT236" i="1"/>
  <c r="DA236" i="1" s="1"/>
  <c r="BT235" i="1"/>
  <c r="DA235" i="1" s="1"/>
  <c r="BT234" i="1"/>
  <c r="DA234" i="1" s="1"/>
  <c r="BT233" i="1"/>
  <c r="DA233" i="1" s="1"/>
  <c r="BT232" i="1"/>
  <c r="DA232" i="1" s="1"/>
  <c r="BT231" i="1"/>
  <c r="DA231" i="1" s="1"/>
  <c r="BT230" i="1"/>
  <c r="DA230" i="1" s="1"/>
  <c r="BT229" i="1"/>
  <c r="DA229" i="1" s="1"/>
  <c r="BT228" i="1"/>
  <c r="DA228" i="1" s="1"/>
  <c r="BT227" i="1"/>
  <c r="DA227" i="1" s="1"/>
  <c r="BT226" i="1"/>
  <c r="DA226" i="1" s="1"/>
  <c r="BT225" i="1"/>
  <c r="DA225" i="1" s="1"/>
  <c r="BT224" i="1"/>
  <c r="DA224" i="1" s="1"/>
  <c r="BT223" i="1"/>
  <c r="DA223" i="1" s="1"/>
  <c r="BT222" i="1"/>
  <c r="DA222" i="1" s="1"/>
  <c r="BT221" i="1"/>
  <c r="DA221" i="1" s="1"/>
  <c r="BT220" i="1"/>
  <c r="DA220" i="1" s="1"/>
  <c r="BT217" i="1"/>
  <c r="DA217" i="1" s="1"/>
  <c r="BT216" i="1"/>
  <c r="DA216" i="1" s="1"/>
  <c r="BT215" i="1"/>
  <c r="DA215" i="1" s="1"/>
  <c r="BT214" i="1"/>
  <c r="DA214" i="1" s="1"/>
  <c r="BT213" i="1"/>
  <c r="DA213" i="1" s="1"/>
  <c r="BT212" i="1"/>
  <c r="DA212" i="1" s="1"/>
  <c r="BT211" i="1"/>
  <c r="DA211" i="1" s="1"/>
  <c r="BT210" i="1"/>
  <c r="DA210" i="1" s="1"/>
  <c r="BT209" i="1"/>
  <c r="DA209" i="1" s="1"/>
  <c r="BT208" i="1"/>
  <c r="DA208" i="1" s="1"/>
  <c r="BT207" i="1"/>
  <c r="DA207" i="1" s="1"/>
  <c r="BT206" i="1"/>
  <c r="DA206" i="1" s="1"/>
  <c r="BT205" i="1"/>
  <c r="DA205" i="1" s="1"/>
  <c r="BT204" i="1"/>
  <c r="DA204" i="1" s="1"/>
  <c r="BT203" i="1"/>
  <c r="DA203" i="1" s="1"/>
  <c r="BT202" i="1"/>
  <c r="DA202" i="1" s="1"/>
  <c r="BT201" i="1"/>
  <c r="DA201" i="1" s="1"/>
  <c r="BT200" i="1"/>
  <c r="DA200" i="1" s="1"/>
  <c r="BT199" i="1"/>
  <c r="DA199" i="1" s="1"/>
  <c r="BT198" i="1"/>
  <c r="DA198" i="1" s="1"/>
  <c r="BT197" i="1"/>
  <c r="DA197" i="1" s="1"/>
  <c r="BT196" i="1"/>
  <c r="DA196" i="1" s="1"/>
  <c r="BT195" i="1"/>
  <c r="DA195" i="1" s="1"/>
  <c r="BT194" i="1"/>
  <c r="DA194" i="1" s="1"/>
  <c r="BT193" i="1"/>
  <c r="DA193" i="1" s="1"/>
  <c r="BT192" i="1"/>
  <c r="DA192" i="1" s="1"/>
  <c r="BT191" i="1"/>
  <c r="DA191" i="1" s="1"/>
  <c r="BT190" i="1"/>
  <c r="DA190" i="1" s="1"/>
  <c r="BT189" i="1"/>
  <c r="DA189" i="1" s="1"/>
  <c r="BT188" i="1"/>
  <c r="DA188" i="1" s="1"/>
  <c r="BT187" i="1"/>
  <c r="DA187" i="1" s="1"/>
  <c r="BT186" i="1"/>
  <c r="DA186" i="1" s="1"/>
  <c r="BT185" i="1"/>
  <c r="DA185" i="1" s="1"/>
  <c r="BT184" i="1"/>
  <c r="DA184" i="1" s="1"/>
  <c r="BT183" i="1"/>
  <c r="DA183" i="1" s="1"/>
  <c r="BT182" i="1"/>
  <c r="DA182" i="1" s="1"/>
  <c r="BT181" i="1"/>
  <c r="DA181" i="1" s="1"/>
  <c r="BT180" i="1"/>
  <c r="DA180" i="1" s="1"/>
  <c r="BT179" i="1"/>
  <c r="DA179" i="1" s="1"/>
  <c r="BT178" i="1"/>
  <c r="DA178" i="1" s="1"/>
  <c r="BT177" i="1"/>
  <c r="DA177" i="1" s="1"/>
  <c r="BT176" i="1"/>
  <c r="DA176" i="1" s="1"/>
  <c r="BT175" i="1"/>
  <c r="DA175" i="1" s="1"/>
  <c r="BT174" i="1"/>
  <c r="DA174" i="1" s="1"/>
  <c r="BT173" i="1"/>
  <c r="DA173" i="1" s="1"/>
  <c r="BT172" i="1"/>
  <c r="DA172" i="1" s="1"/>
  <c r="BT171" i="1"/>
  <c r="DA171" i="1" s="1"/>
  <c r="BT170" i="1"/>
  <c r="DA170" i="1" s="1"/>
  <c r="BT169" i="1"/>
  <c r="DA169" i="1" s="1"/>
  <c r="BT168" i="1"/>
  <c r="DA168" i="1" s="1"/>
  <c r="BT167" i="1"/>
  <c r="DA167" i="1" s="1"/>
  <c r="BT166" i="1"/>
  <c r="DA166" i="1" s="1"/>
  <c r="BT165" i="1"/>
  <c r="DA165" i="1" s="1"/>
  <c r="AF165" i="1"/>
  <c r="CT165" i="1" s="1"/>
  <c r="R165" i="1"/>
  <c r="R164" i="1"/>
  <c r="E164" i="1"/>
  <c r="CD164" i="1" s="1"/>
  <c r="R163" i="1"/>
  <c r="E163" i="1"/>
  <c r="CD163" i="1" s="1"/>
  <c r="R162" i="1"/>
  <c r="E162" i="1"/>
  <c r="CD162" i="1" s="1"/>
  <c r="R161" i="1"/>
  <c r="E161" i="1"/>
  <c r="CD161" i="1" s="1"/>
  <c r="R160" i="1"/>
  <c r="E160" i="1"/>
  <c r="CD160" i="1" s="1"/>
  <c r="R159" i="1"/>
  <c r="E159" i="1"/>
  <c r="CD159" i="1" s="1"/>
  <c r="E165" i="1"/>
  <c r="CD165" i="1" s="1"/>
  <c r="E67" i="1"/>
  <c r="CD67" i="1" s="1"/>
  <c r="E66" i="1"/>
  <c r="CD66" i="1" s="1"/>
  <c r="E65" i="1"/>
  <c r="CD65" i="1" s="1"/>
  <c r="E64" i="1"/>
  <c r="CD64" i="1" s="1"/>
  <c r="E63" i="1"/>
  <c r="CD63" i="1" s="1"/>
  <c r="E62" i="1"/>
  <c r="CD62" i="1" s="1"/>
  <c r="E61" i="1"/>
  <c r="CD61" i="1" s="1"/>
  <c r="E60" i="1"/>
  <c r="CD60" i="1" s="1"/>
  <c r="E59" i="1"/>
  <c r="CD59" i="1" s="1"/>
  <c r="E58" i="1"/>
  <c r="CD58" i="1" s="1"/>
  <c r="E57" i="1"/>
  <c r="CD57" i="1" s="1"/>
  <c r="E56" i="1"/>
  <c r="CD56" i="1" s="1"/>
  <c r="E55" i="1"/>
  <c r="CD55" i="1" s="1"/>
  <c r="E54" i="1"/>
  <c r="CD54" i="1" s="1"/>
  <c r="E53" i="1"/>
  <c r="CD53" i="1" s="1"/>
  <c r="E52" i="1"/>
  <c r="CD52" i="1" s="1"/>
  <c r="E51" i="1"/>
  <c r="CD51" i="1" s="1"/>
  <c r="E50" i="1"/>
  <c r="CD50" i="1" s="1"/>
  <c r="E49" i="1"/>
  <c r="CD49" i="1" s="1"/>
  <c r="E48" i="1"/>
  <c r="CD48" i="1" s="1"/>
  <c r="E47" i="1"/>
  <c r="CD47" i="1" s="1"/>
  <c r="E46" i="1"/>
  <c r="CD46" i="1" s="1"/>
  <c r="E45" i="1"/>
  <c r="CD45" i="1" s="1"/>
  <c r="E44" i="1"/>
  <c r="CD44" i="1" s="1"/>
  <c r="E43" i="1"/>
  <c r="CD43" i="1" s="1"/>
  <c r="E42" i="1"/>
  <c r="CD42" i="1" s="1"/>
  <c r="E41" i="1"/>
  <c r="CD41" i="1" s="1"/>
  <c r="E40" i="1"/>
  <c r="CD40" i="1" s="1"/>
  <c r="E39" i="1"/>
  <c r="CD39" i="1" s="1"/>
  <c r="E38" i="1"/>
  <c r="CD38" i="1" s="1"/>
  <c r="E37" i="1"/>
  <c r="CD37" i="1" s="1"/>
  <c r="E36" i="1"/>
  <c r="CD36" i="1" s="1"/>
  <c r="E35" i="1"/>
  <c r="CD35" i="1" s="1"/>
  <c r="E34" i="1"/>
  <c r="CD34" i="1" s="1"/>
  <c r="E33" i="1"/>
  <c r="CD33" i="1" s="1"/>
  <c r="E32" i="1"/>
  <c r="CD32" i="1" s="1"/>
  <c r="E31" i="1"/>
  <c r="CD31" i="1" s="1"/>
  <c r="E30" i="1"/>
  <c r="CD30" i="1" s="1"/>
  <c r="E29" i="1"/>
  <c r="CD29" i="1" s="1"/>
  <c r="E28" i="1"/>
  <c r="CD28" i="1" s="1"/>
  <c r="E27" i="1"/>
  <c r="CD27" i="1" s="1"/>
  <c r="E26" i="1"/>
  <c r="CD26" i="1" s="1"/>
  <c r="E25" i="1"/>
  <c r="CD25" i="1" s="1"/>
  <c r="E24" i="1"/>
  <c r="CD24" i="1" s="1"/>
  <c r="E23" i="1"/>
  <c r="CD23" i="1" s="1"/>
  <c r="E22" i="1"/>
  <c r="CD22" i="1" s="1"/>
  <c r="E21" i="1"/>
  <c r="CD21" i="1" s="1"/>
  <c r="E20" i="1"/>
  <c r="CD20" i="1" s="1"/>
  <c r="E19" i="1"/>
  <c r="CD19" i="1" s="1"/>
  <c r="E18" i="1"/>
  <c r="CD18" i="1" s="1"/>
  <c r="E17" i="1"/>
  <c r="CD17" i="1" s="1"/>
  <c r="E16" i="1"/>
  <c r="CD16" i="1" s="1"/>
  <c r="E15" i="1"/>
  <c r="CD15" i="1" s="1"/>
  <c r="E14" i="1"/>
  <c r="CD14" i="1" s="1"/>
  <c r="E13" i="1"/>
  <c r="CD13" i="1" s="1"/>
  <c r="E12" i="1"/>
  <c r="CD12" i="1" s="1"/>
  <c r="E11" i="1"/>
  <c r="CD11" i="1" s="1"/>
  <c r="E10" i="1"/>
  <c r="CD10" i="1" s="1"/>
  <c r="E9" i="1"/>
  <c r="CD9" i="1" s="1"/>
  <c r="E8" i="1"/>
  <c r="CD8" i="1" s="1"/>
  <c r="E7" i="1"/>
  <c r="CD7" i="1" s="1"/>
  <c r="R67" i="1"/>
  <c r="CL67" i="1" s="1"/>
  <c r="R66" i="1"/>
  <c r="CL66" i="1" s="1"/>
  <c r="R65" i="1"/>
  <c r="CL65" i="1" s="1"/>
  <c r="R64" i="1"/>
  <c r="CL64" i="1" s="1"/>
  <c r="R63" i="1"/>
  <c r="CL63" i="1" s="1"/>
  <c r="R62" i="1"/>
  <c r="CL62" i="1" s="1"/>
  <c r="R61" i="1"/>
  <c r="CL61" i="1" s="1"/>
  <c r="R60" i="1"/>
  <c r="CL60" i="1" s="1"/>
  <c r="R59" i="1"/>
  <c r="CL59" i="1" s="1"/>
  <c r="R58" i="1"/>
  <c r="CL58" i="1" s="1"/>
  <c r="R57" i="1"/>
  <c r="CL57" i="1" s="1"/>
  <c r="R56" i="1"/>
  <c r="CL56" i="1" s="1"/>
  <c r="R55" i="1"/>
  <c r="CL55" i="1" s="1"/>
  <c r="R54" i="1"/>
  <c r="CL54" i="1" s="1"/>
  <c r="R53" i="1"/>
  <c r="CL53" i="1" s="1"/>
  <c r="R52" i="1"/>
  <c r="CL52" i="1" s="1"/>
  <c r="R51" i="1"/>
  <c r="CL51" i="1" s="1"/>
  <c r="R50" i="1"/>
  <c r="CL50" i="1" s="1"/>
  <c r="R49" i="1"/>
  <c r="CL49" i="1" s="1"/>
  <c r="R48" i="1"/>
  <c r="CL48" i="1" s="1"/>
  <c r="R47" i="1"/>
  <c r="CL47" i="1" s="1"/>
  <c r="R46" i="1"/>
  <c r="CL46" i="1" s="1"/>
  <c r="R45" i="1"/>
  <c r="CL45" i="1" s="1"/>
  <c r="R44" i="1"/>
  <c r="CL44" i="1" s="1"/>
  <c r="R43" i="1"/>
  <c r="CL43" i="1" s="1"/>
  <c r="R42" i="1"/>
  <c r="CL42" i="1" s="1"/>
  <c r="R41" i="1"/>
  <c r="CL41" i="1" s="1"/>
  <c r="R40" i="1"/>
  <c r="CL40" i="1" s="1"/>
  <c r="R39" i="1"/>
  <c r="CL39" i="1" s="1"/>
  <c r="R38" i="1"/>
  <c r="CL38" i="1" s="1"/>
  <c r="R37" i="1"/>
  <c r="CL37" i="1" s="1"/>
  <c r="R36" i="1"/>
  <c r="CL36" i="1" s="1"/>
  <c r="R35" i="1"/>
  <c r="CL35" i="1" s="1"/>
  <c r="R34" i="1"/>
  <c r="CL34" i="1" s="1"/>
  <c r="R33" i="1"/>
  <c r="CL33" i="1" s="1"/>
  <c r="R32" i="1"/>
  <c r="CL32" i="1" s="1"/>
  <c r="R31" i="1"/>
  <c r="CL31" i="1" s="1"/>
  <c r="R30" i="1"/>
  <c r="CL30" i="1" s="1"/>
  <c r="R29" i="1"/>
  <c r="CL29" i="1" s="1"/>
  <c r="R28" i="1"/>
  <c r="CL28" i="1" s="1"/>
  <c r="R27" i="1"/>
  <c r="CL27" i="1" s="1"/>
  <c r="R26" i="1"/>
  <c r="CL26" i="1" s="1"/>
  <c r="R25" i="1"/>
  <c r="CL25" i="1" s="1"/>
  <c r="R24" i="1"/>
  <c r="CL24" i="1" s="1"/>
  <c r="R23" i="1"/>
  <c r="CL23" i="1" s="1"/>
  <c r="R22" i="1"/>
  <c r="CL22" i="1" s="1"/>
  <c r="R21" i="1"/>
  <c r="CL21" i="1" s="1"/>
  <c r="R20" i="1"/>
  <c r="CL20" i="1" s="1"/>
  <c r="R19" i="1"/>
  <c r="CL19" i="1" s="1"/>
  <c r="R18" i="1"/>
  <c r="CL18" i="1" s="1"/>
  <c r="R17" i="1"/>
  <c r="CL17" i="1" s="1"/>
  <c r="R16" i="1"/>
  <c r="CL16" i="1" s="1"/>
  <c r="R15" i="1"/>
  <c r="CL15" i="1" s="1"/>
  <c r="R14" i="1"/>
  <c r="CL14" i="1" s="1"/>
  <c r="R13" i="1"/>
  <c r="CL13" i="1" s="1"/>
  <c r="R12" i="1"/>
  <c r="CL12" i="1" s="1"/>
  <c r="R11" i="1"/>
  <c r="CL11" i="1" s="1"/>
  <c r="R10" i="1"/>
  <c r="CL10" i="1" s="1"/>
  <c r="R9" i="1"/>
  <c r="CL9" i="1" s="1"/>
  <c r="R8" i="1"/>
  <c r="CL8" i="1" s="1"/>
  <c r="R7" i="1"/>
  <c r="CL7" i="1" s="1"/>
  <c r="DF159" i="1" l="1"/>
  <c r="CL159" i="1"/>
  <c r="CL160" i="1"/>
  <c r="CL161" i="1"/>
  <c r="CL162" i="1"/>
  <c r="CL163" i="1"/>
  <c r="CL164" i="1"/>
  <c r="BU165" i="1"/>
  <c r="DF165" i="1" s="1"/>
  <c r="CL165" i="1"/>
  <c r="BU218" i="1"/>
  <c r="CL218" i="1"/>
  <c r="BU219" i="1"/>
  <c r="CL219" i="1"/>
  <c r="DG159" i="1"/>
  <c r="BU166" i="1"/>
  <c r="DF166" i="1" s="1"/>
  <c r="BU168" i="1"/>
  <c r="BU170" i="1"/>
  <c r="BU172" i="1"/>
  <c r="BU174" i="1"/>
  <c r="BU176" i="1"/>
  <c r="BU178" i="1"/>
  <c r="BU180" i="1"/>
  <c r="BU182" i="1"/>
  <c r="BU184" i="1"/>
  <c r="BU186" i="1"/>
  <c r="BU188" i="1"/>
  <c r="BU190" i="1"/>
  <c r="BU192" i="1"/>
  <c r="BU194" i="1"/>
  <c r="BU196" i="1"/>
  <c r="BU198" i="1"/>
  <c r="BU200" i="1"/>
  <c r="BU202" i="1"/>
  <c r="BU204" i="1"/>
  <c r="BU206" i="1"/>
  <c r="BU208" i="1"/>
  <c r="BU210" i="1"/>
  <c r="BU212" i="1"/>
  <c r="BU214" i="1"/>
  <c r="BU216" i="1"/>
  <c r="BU220" i="1"/>
  <c r="BU222" i="1"/>
  <c r="BU224" i="1"/>
  <c r="BU226" i="1"/>
  <c r="BU228" i="1"/>
  <c r="BU230" i="1"/>
  <c r="BU232" i="1"/>
  <c r="BU234" i="1"/>
  <c r="BU236" i="1"/>
  <c r="BU238" i="1"/>
  <c r="BU240" i="1"/>
  <c r="BU242" i="1"/>
  <c r="BU244" i="1"/>
  <c r="BU246" i="1"/>
  <c r="BU248" i="1"/>
  <c r="BU250" i="1"/>
  <c r="BU252" i="1"/>
  <c r="BU254" i="1"/>
  <c r="BU256" i="1"/>
  <c r="BU258" i="1"/>
  <c r="BU260" i="1"/>
  <c r="BU262" i="1"/>
  <c r="BU264" i="1"/>
  <c r="BU266" i="1"/>
  <c r="BU268" i="1"/>
  <c r="DG165" i="1"/>
  <c r="BU167" i="1"/>
  <c r="BU169" i="1"/>
  <c r="BU171" i="1"/>
  <c r="BU173" i="1"/>
  <c r="BU175" i="1"/>
  <c r="BU177" i="1"/>
  <c r="BU179" i="1"/>
  <c r="BU181" i="1"/>
  <c r="BU183" i="1"/>
  <c r="BU185" i="1"/>
  <c r="BU187" i="1"/>
  <c r="BU189" i="1"/>
  <c r="DF189" i="1" s="1"/>
  <c r="BU191" i="1"/>
  <c r="BU193" i="1"/>
  <c r="BU195" i="1"/>
  <c r="BU197" i="1"/>
  <c r="BU199" i="1"/>
  <c r="BU201" i="1"/>
  <c r="BU203" i="1"/>
  <c r="BU205" i="1"/>
  <c r="BU207" i="1"/>
  <c r="BU209" i="1"/>
  <c r="BU211" i="1"/>
  <c r="BU213" i="1"/>
  <c r="BU215" i="1"/>
  <c r="BU217" i="1"/>
  <c r="BU221" i="1"/>
  <c r="BU223" i="1"/>
  <c r="BU225" i="1"/>
  <c r="BU227" i="1"/>
  <c r="BU229" i="1"/>
  <c r="BU231" i="1"/>
  <c r="BU233" i="1"/>
  <c r="BU235" i="1"/>
  <c r="BU237" i="1"/>
  <c r="BU239" i="1"/>
  <c r="BU241" i="1"/>
  <c r="BU243" i="1"/>
  <c r="BU245" i="1"/>
  <c r="BU247" i="1"/>
  <c r="BU249" i="1"/>
  <c r="BU251" i="1"/>
  <c r="DF251" i="1" s="1"/>
  <c r="BU253" i="1"/>
  <c r="BU255" i="1"/>
  <c r="BU257" i="1"/>
  <c r="BU259" i="1"/>
  <c r="BU261" i="1"/>
  <c r="BU263" i="1"/>
  <c r="BU265" i="1"/>
  <c r="BU267" i="1"/>
  <c r="AF8" i="1"/>
  <c r="AF12" i="1"/>
  <c r="AF16" i="1"/>
  <c r="AF20" i="1"/>
  <c r="AF24" i="1"/>
  <c r="AF28" i="1"/>
  <c r="AF32" i="1"/>
  <c r="AF36" i="1"/>
  <c r="AF40" i="1"/>
  <c r="AF52" i="1"/>
  <c r="AF56" i="1"/>
  <c r="AF60" i="1"/>
  <c r="AF64" i="1"/>
  <c r="AF7" i="1"/>
  <c r="D7" i="26"/>
  <c r="E7" i="26"/>
  <c r="D9" i="26"/>
  <c r="E9" i="26"/>
  <c r="AF11" i="1"/>
  <c r="D11" i="26"/>
  <c r="E11" i="26"/>
  <c r="D13" i="26"/>
  <c r="E13" i="26"/>
  <c r="AF15" i="1"/>
  <c r="D15" i="26"/>
  <c r="E15" i="26"/>
  <c r="D17" i="26"/>
  <c r="E17" i="26"/>
  <c r="AF19" i="1"/>
  <c r="D19" i="26"/>
  <c r="E19" i="26"/>
  <c r="D21" i="26"/>
  <c r="E21" i="26"/>
  <c r="AF23" i="1"/>
  <c r="D23" i="26"/>
  <c r="E23" i="26"/>
  <c r="D25" i="26"/>
  <c r="E25" i="26"/>
  <c r="AF27" i="1"/>
  <c r="D27" i="26"/>
  <c r="E27" i="26"/>
  <c r="D29" i="26"/>
  <c r="E29" i="26"/>
  <c r="AF31" i="1"/>
  <c r="D31" i="26"/>
  <c r="E31" i="26"/>
  <c r="D33" i="26"/>
  <c r="E33" i="26"/>
  <c r="AF35" i="1"/>
  <c r="D35" i="26"/>
  <c r="E35" i="26"/>
  <c r="D37" i="26"/>
  <c r="E37" i="26"/>
  <c r="AF39" i="1"/>
  <c r="D39" i="26"/>
  <c r="E39" i="26"/>
  <c r="D41" i="26"/>
  <c r="E41" i="26"/>
  <c r="AF43" i="1"/>
  <c r="D43" i="26"/>
  <c r="E43" i="26"/>
  <c r="D45" i="26"/>
  <c r="E45" i="26"/>
  <c r="AF47" i="1"/>
  <c r="D47" i="26"/>
  <c r="E47" i="26"/>
  <c r="D49" i="26"/>
  <c r="E49" i="26"/>
  <c r="AF51" i="1"/>
  <c r="D51" i="26"/>
  <c r="E51" i="26"/>
  <c r="D53" i="26"/>
  <c r="E53" i="26"/>
  <c r="AF55" i="1"/>
  <c r="D55" i="26"/>
  <c r="E55" i="26"/>
  <c r="D57" i="26"/>
  <c r="E57" i="26"/>
  <c r="AF59" i="1"/>
  <c r="D59" i="26"/>
  <c r="E59" i="26"/>
  <c r="D61" i="26"/>
  <c r="E61" i="26"/>
  <c r="AF63" i="1"/>
  <c r="D63" i="26"/>
  <c r="E63" i="26"/>
  <c r="D65" i="26"/>
  <c r="E65" i="26"/>
  <c r="AF67" i="1"/>
  <c r="D67" i="26"/>
  <c r="E67" i="26"/>
  <c r="D159" i="26"/>
  <c r="E159" i="26"/>
  <c r="D160" i="26"/>
  <c r="E160" i="26"/>
  <c r="D161" i="26"/>
  <c r="E161" i="26"/>
  <c r="D162" i="26"/>
  <c r="E162" i="26"/>
  <c r="D163" i="26"/>
  <c r="E163" i="26"/>
  <c r="D164" i="26"/>
  <c r="E164" i="26"/>
  <c r="D166" i="26"/>
  <c r="E166" i="26"/>
  <c r="D168" i="26"/>
  <c r="E168" i="26"/>
  <c r="D170" i="26"/>
  <c r="E170" i="26"/>
  <c r="D172" i="26"/>
  <c r="E172" i="26"/>
  <c r="D174" i="26"/>
  <c r="E174" i="26"/>
  <c r="D176" i="26"/>
  <c r="E176" i="26"/>
  <c r="D178" i="26"/>
  <c r="E178" i="26"/>
  <c r="D180" i="26"/>
  <c r="E180" i="26"/>
  <c r="D182" i="26"/>
  <c r="E182" i="26"/>
  <c r="E184" i="26"/>
  <c r="D184" i="26"/>
  <c r="E186" i="26"/>
  <c r="D186" i="26"/>
  <c r="E188" i="26"/>
  <c r="D188" i="26"/>
  <c r="E190" i="26"/>
  <c r="D190" i="26"/>
  <c r="E192" i="26"/>
  <c r="D192" i="26"/>
  <c r="E194" i="26"/>
  <c r="D194" i="26"/>
  <c r="E196" i="26"/>
  <c r="D196" i="26"/>
  <c r="E198" i="26"/>
  <c r="D198" i="26"/>
  <c r="E200" i="26"/>
  <c r="D200" i="26"/>
  <c r="E202" i="26"/>
  <c r="D202" i="26"/>
  <c r="E204" i="26"/>
  <c r="D204" i="26"/>
  <c r="E206" i="26"/>
  <c r="D206" i="26"/>
  <c r="E208" i="26"/>
  <c r="D208" i="26"/>
  <c r="E210" i="26"/>
  <c r="D210" i="26"/>
  <c r="E212" i="26"/>
  <c r="D212" i="26"/>
  <c r="E214" i="26"/>
  <c r="D214" i="26"/>
  <c r="E216" i="26"/>
  <c r="D216" i="26"/>
  <c r="E220" i="26"/>
  <c r="D220" i="26"/>
  <c r="E222" i="26"/>
  <c r="D222" i="26"/>
  <c r="E224" i="26"/>
  <c r="D224" i="26"/>
  <c r="E226" i="26"/>
  <c r="D226" i="26"/>
  <c r="E228" i="26"/>
  <c r="D228" i="26"/>
  <c r="E230" i="26"/>
  <c r="D230" i="26"/>
  <c r="E232" i="26"/>
  <c r="D232" i="26"/>
  <c r="E234" i="26"/>
  <c r="D234" i="26"/>
  <c r="E236" i="26"/>
  <c r="D236" i="26"/>
  <c r="E238" i="26"/>
  <c r="D238" i="26"/>
  <c r="E240" i="26"/>
  <c r="D240" i="26"/>
  <c r="E242" i="26"/>
  <c r="D242" i="26"/>
  <c r="E244" i="26"/>
  <c r="D244" i="26"/>
  <c r="E246" i="26"/>
  <c r="D246" i="26"/>
  <c r="E248" i="26"/>
  <c r="D248" i="26"/>
  <c r="E250" i="26"/>
  <c r="D250" i="26"/>
  <c r="E252" i="26"/>
  <c r="D252" i="26"/>
  <c r="E254" i="26"/>
  <c r="D254" i="26"/>
  <c r="E256" i="26"/>
  <c r="D256" i="26"/>
  <c r="E258" i="26"/>
  <c r="D258" i="26"/>
  <c r="E260" i="26"/>
  <c r="D260" i="26"/>
  <c r="E262" i="26"/>
  <c r="D262" i="26"/>
  <c r="E264" i="26"/>
  <c r="D264" i="26"/>
  <c r="E266" i="26"/>
  <c r="D266" i="26"/>
  <c r="E268" i="26"/>
  <c r="D268" i="26"/>
  <c r="D8" i="26"/>
  <c r="E8" i="26"/>
  <c r="D10" i="26"/>
  <c r="E10" i="26"/>
  <c r="D12" i="26"/>
  <c r="E12" i="26"/>
  <c r="D14" i="26"/>
  <c r="E14" i="26"/>
  <c r="D16" i="26"/>
  <c r="E16" i="26"/>
  <c r="D18" i="26"/>
  <c r="E18" i="26"/>
  <c r="D20" i="26"/>
  <c r="E20" i="26"/>
  <c r="D22" i="26"/>
  <c r="E22" i="26"/>
  <c r="D24" i="26"/>
  <c r="E24" i="26"/>
  <c r="D26" i="26"/>
  <c r="E26" i="26"/>
  <c r="D28" i="26"/>
  <c r="E28" i="26"/>
  <c r="D30" i="26"/>
  <c r="E30" i="26"/>
  <c r="D32" i="26"/>
  <c r="E32" i="26"/>
  <c r="D34" i="26"/>
  <c r="E34" i="26"/>
  <c r="D36" i="26"/>
  <c r="E36" i="26"/>
  <c r="D38" i="26"/>
  <c r="E38" i="26"/>
  <c r="D40" i="26"/>
  <c r="E40" i="26"/>
  <c r="D42" i="26"/>
  <c r="E42" i="26"/>
  <c r="D44" i="26"/>
  <c r="E44" i="26"/>
  <c r="D46" i="26"/>
  <c r="E46" i="26"/>
  <c r="D48" i="26"/>
  <c r="E48" i="26"/>
  <c r="D50" i="26"/>
  <c r="E50" i="26"/>
  <c r="D52" i="26"/>
  <c r="E52" i="26"/>
  <c r="D54" i="26"/>
  <c r="E54" i="26"/>
  <c r="D56" i="26"/>
  <c r="E56" i="26"/>
  <c r="D58" i="26"/>
  <c r="E58" i="26"/>
  <c r="D60" i="26"/>
  <c r="E60" i="26"/>
  <c r="D62" i="26"/>
  <c r="E62" i="26"/>
  <c r="D64" i="26"/>
  <c r="E64" i="26"/>
  <c r="D66" i="26"/>
  <c r="E66" i="26"/>
  <c r="D165" i="26"/>
  <c r="E165" i="26"/>
  <c r="D167" i="26"/>
  <c r="E167" i="26"/>
  <c r="D169" i="26"/>
  <c r="E169" i="26"/>
  <c r="D171" i="26"/>
  <c r="E171" i="26"/>
  <c r="D173" i="26"/>
  <c r="E173" i="26"/>
  <c r="D175" i="26"/>
  <c r="E175" i="26"/>
  <c r="D177" i="26"/>
  <c r="E177" i="26"/>
  <c r="D179" i="26"/>
  <c r="E179" i="26"/>
  <c r="D181" i="26"/>
  <c r="E181" i="26"/>
  <c r="D183" i="26"/>
  <c r="E183" i="26"/>
  <c r="E185" i="26"/>
  <c r="D185" i="26"/>
  <c r="E187" i="26"/>
  <c r="D187" i="26"/>
  <c r="E189" i="26"/>
  <c r="D189" i="26"/>
  <c r="E191" i="26"/>
  <c r="D191" i="26"/>
  <c r="E193" i="26"/>
  <c r="D193" i="26"/>
  <c r="E195" i="26"/>
  <c r="D195" i="26"/>
  <c r="E197" i="26"/>
  <c r="D197" i="26"/>
  <c r="E199" i="26"/>
  <c r="D199" i="26"/>
  <c r="E201" i="26"/>
  <c r="D201" i="26"/>
  <c r="E203" i="26"/>
  <c r="D203" i="26"/>
  <c r="E205" i="26"/>
  <c r="D205" i="26"/>
  <c r="E207" i="26"/>
  <c r="D207" i="26"/>
  <c r="E209" i="26"/>
  <c r="D209" i="26"/>
  <c r="E211" i="26"/>
  <c r="D211" i="26"/>
  <c r="E213" i="26"/>
  <c r="D213" i="26"/>
  <c r="E215" i="26"/>
  <c r="D215" i="26"/>
  <c r="E217" i="26"/>
  <c r="D217" i="26"/>
  <c r="E221" i="26"/>
  <c r="D221" i="26"/>
  <c r="E223" i="26"/>
  <c r="D223" i="26"/>
  <c r="E225" i="26"/>
  <c r="D225" i="26"/>
  <c r="E227" i="26"/>
  <c r="D227" i="26"/>
  <c r="E229" i="26"/>
  <c r="D229" i="26"/>
  <c r="E231" i="26"/>
  <c r="D231" i="26"/>
  <c r="E233" i="26"/>
  <c r="D233" i="26"/>
  <c r="E235" i="26"/>
  <c r="D235" i="26"/>
  <c r="E237" i="26"/>
  <c r="D237" i="26"/>
  <c r="E239" i="26"/>
  <c r="D239" i="26"/>
  <c r="E241" i="26"/>
  <c r="D241" i="26"/>
  <c r="E243" i="26"/>
  <c r="D243" i="26"/>
  <c r="E245" i="26"/>
  <c r="D245" i="26"/>
  <c r="E247" i="26"/>
  <c r="D247" i="26"/>
  <c r="E249" i="26"/>
  <c r="D249" i="26"/>
  <c r="E251" i="26"/>
  <c r="D251" i="26"/>
  <c r="E253" i="26"/>
  <c r="D253" i="26"/>
  <c r="E255" i="26"/>
  <c r="D255" i="26"/>
  <c r="E257" i="26"/>
  <c r="D257" i="26"/>
  <c r="E259" i="26"/>
  <c r="D259" i="26"/>
  <c r="E261" i="26"/>
  <c r="D261" i="26"/>
  <c r="E263" i="26"/>
  <c r="D263" i="26"/>
  <c r="E265" i="26"/>
  <c r="D265" i="26"/>
  <c r="E267" i="26"/>
  <c r="D267" i="26"/>
  <c r="AF218" i="1"/>
  <c r="CT218" i="1" s="1"/>
  <c r="E218" i="26"/>
  <c r="D218" i="26"/>
  <c r="E219" i="26"/>
  <c r="D219" i="26"/>
  <c r="AF9" i="1"/>
  <c r="AF17" i="1"/>
  <c r="AF25" i="1"/>
  <c r="AF29" i="1"/>
  <c r="AF41" i="1"/>
  <c r="AF163" i="1"/>
  <c r="CT163" i="1" s="1"/>
  <c r="AF219" i="1"/>
  <c r="CT219" i="1" s="1"/>
  <c r="AF160" i="1"/>
  <c r="CT160" i="1" s="1"/>
  <c r="AF164" i="1"/>
  <c r="CT164" i="1" s="1"/>
  <c r="AF13" i="1"/>
  <c r="AF21" i="1"/>
  <c r="AF33" i="1"/>
  <c r="AF37" i="1"/>
  <c r="AF45" i="1"/>
  <c r="AF49" i="1"/>
  <c r="AF53" i="1"/>
  <c r="AF57" i="1"/>
  <c r="AF61" i="1"/>
  <c r="AF65" i="1"/>
  <c r="AF54" i="1"/>
  <c r="AF10" i="1"/>
  <c r="AF18" i="1"/>
  <c r="AF34" i="1"/>
  <c r="AF58" i="1"/>
  <c r="AF66" i="1"/>
  <c r="AF38" i="1"/>
  <c r="AF42" i="1"/>
  <c r="AF50" i="1"/>
  <c r="AF62" i="1"/>
  <c r="AF22" i="1"/>
  <c r="AF26" i="1"/>
  <c r="AF14" i="1"/>
  <c r="AF30" i="1"/>
  <c r="AF46" i="1"/>
  <c r="AF162" i="1"/>
  <c r="CT162" i="1" s="1"/>
  <c r="AF159" i="1"/>
  <c r="CT159" i="1" s="1"/>
  <c r="AF161" i="1"/>
  <c r="CT161" i="1" s="1"/>
  <c r="AF44" i="1"/>
  <c r="AF48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U48" i="1" l="1"/>
  <c r="CT48" i="1"/>
  <c r="BU30" i="1"/>
  <c r="CT30" i="1"/>
  <c r="BU26" i="1"/>
  <c r="CT26" i="1"/>
  <c r="BU62" i="1"/>
  <c r="CT62" i="1"/>
  <c r="BU42" i="1"/>
  <c r="CT42" i="1"/>
  <c r="BU66" i="1"/>
  <c r="CT66" i="1"/>
  <c r="BU34" i="1"/>
  <c r="CT34" i="1"/>
  <c r="BU10" i="1"/>
  <c r="CT10" i="1"/>
  <c r="BU65" i="1"/>
  <c r="CT65" i="1"/>
  <c r="BU57" i="1"/>
  <c r="CT57" i="1"/>
  <c r="BU49" i="1"/>
  <c r="CT49" i="1"/>
  <c r="BU37" i="1"/>
  <c r="CT37" i="1"/>
  <c r="BU21" i="1"/>
  <c r="CT21" i="1"/>
  <c r="BU41" i="1"/>
  <c r="CT41" i="1"/>
  <c r="BU25" i="1"/>
  <c r="CT25" i="1"/>
  <c r="BU9" i="1"/>
  <c r="CT9" i="1"/>
  <c r="BU67" i="1"/>
  <c r="CT67" i="1"/>
  <c r="BU59" i="1"/>
  <c r="CT59" i="1"/>
  <c r="BU51" i="1"/>
  <c r="CT51" i="1"/>
  <c r="BU43" i="1"/>
  <c r="CT43" i="1"/>
  <c r="BU35" i="1"/>
  <c r="CT35" i="1"/>
  <c r="BU27" i="1"/>
  <c r="CT27" i="1"/>
  <c r="BU19" i="1"/>
  <c r="CT19" i="1"/>
  <c r="BU11" i="1"/>
  <c r="CT11" i="1"/>
  <c r="BU64" i="1"/>
  <c r="CT64" i="1"/>
  <c r="BU56" i="1"/>
  <c r="CT56" i="1"/>
  <c r="BU40" i="1"/>
  <c r="CT40" i="1"/>
  <c r="BU32" i="1"/>
  <c r="CT32" i="1"/>
  <c r="BU24" i="1"/>
  <c r="CT24" i="1"/>
  <c r="BU16" i="1"/>
  <c r="CT16" i="1"/>
  <c r="BU8" i="1"/>
  <c r="CT8" i="1"/>
  <c r="E8" i="23"/>
  <c r="DG265" i="1"/>
  <c r="DF265" i="1"/>
  <c r="DG261" i="1"/>
  <c r="DF261" i="1"/>
  <c r="DG257" i="1"/>
  <c r="DF257" i="1"/>
  <c r="DG253" i="1"/>
  <c r="DF253" i="1"/>
  <c r="DG249" i="1"/>
  <c r="DF249" i="1"/>
  <c r="DG245" i="1"/>
  <c r="DF245" i="1"/>
  <c r="DG241" i="1"/>
  <c r="DF241" i="1"/>
  <c r="DG237" i="1"/>
  <c r="DF237" i="1"/>
  <c r="DG233" i="1"/>
  <c r="DF233" i="1"/>
  <c r="DG229" i="1"/>
  <c r="DF229" i="1"/>
  <c r="DG225" i="1"/>
  <c r="DF225" i="1"/>
  <c r="DG221" i="1"/>
  <c r="DF221" i="1"/>
  <c r="DG215" i="1"/>
  <c r="DF215" i="1"/>
  <c r="DG211" i="1"/>
  <c r="DF211" i="1"/>
  <c r="DG207" i="1"/>
  <c r="DF207" i="1"/>
  <c r="DG203" i="1"/>
  <c r="DF203" i="1"/>
  <c r="DG199" i="1"/>
  <c r="DF199" i="1"/>
  <c r="DG195" i="1"/>
  <c r="DF195" i="1"/>
  <c r="DG191" i="1"/>
  <c r="DF191" i="1"/>
  <c r="DG187" i="1"/>
  <c r="DF187" i="1"/>
  <c r="DG183" i="1"/>
  <c r="DF183" i="1"/>
  <c r="DG179" i="1"/>
  <c r="DF179" i="1"/>
  <c r="DG175" i="1"/>
  <c r="DF175" i="1"/>
  <c r="DG171" i="1"/>
  <c r="DF171" i="1"/>
  <c r="DG167" i="1"/>
  <c r="DF167" i="1"/>
  <c r="DG268" i="1"/>
  <c r="DF268" i="1"/>
  <c r="DG264" i="1"/>
  <c r="DF264" i="1"/>
  <c r="DG260" i="1"/>
  <c r="DF260" i="1"/>
  <c r="DG256" i="1"/>
  <c r="DF256" i="1"/>
  <c r="DG252" i="1"/>
  <c r="DF252" i="1"/>
  <c r="DG248" i="1"/>
  <c r="DF248" i="1"/>
  <c r="DG244" i="1"/>
  <c r="DF244" i="1"/>
  <c r="DG240" i="1"/>
  <c r="DF240" i="1"/>
  <c r="DG236" i="1"/>
  <c r="DF236" i="1"/>
  <c r="DG232" i="1"/>
  <c r="DF232" i="1"/>
  <c r="DG228" i="1"/>
  <c r="DF228" i="1"/>
  <c r="DG224" i="1"/>
  <c r="DF224" i="1"/>
  <c r="DG220" i="1"/>
  <c r="DF220" i="1"/>
  <c r="DG214" i="1"/>
  <c r="DF214" i="1"/>
  <c r="DG210" i="1"/>
  <c r="DF210" i="1"/>
  <c r="DG206" i="1"/>
  <c r="DF206" i="1"/>
  <c r="DG202" i="1"/>
  <c r="DF202" i="1"/>
  <c r="DG198" i="1"/>
  <c r="DF198" i="1"/>
  <c r="DG194" i="1"/>
  <c r="DF194" i="1"/>
  <c r="DG190" i="1"/>
  <c r="DF190" i="1"/>
  <c r="DG186" i="1"/>
  <c r="DF186" i="1"/>
  <c r="DG182" i="1"/>
  <c r="DF182" i="1"/>
  <c r="DG178" i="1"/>
  <c r="DF178" i="1"/>
  <c r="DG174" i="1"/>
  <c r="DF174" i="1"/>
  <c r="DG170" i="1"/>
  <c r="DF170" i="1"/>
  <c r="BU44" i="1"/>
  <c r="CT44" i="1"/>
  <c r="BU46" i="1"/>
  <c r="CT46" i="1"/>
  <c r="BU14" i="1"/>
  <c r="CT14" i="1"/>
  <c r="BU22" i="1"/>
  <c r="CT22" i="1"/>
  <c r="BU50" i="1"/>
  <c r="CT50" i="1"/>
  <c r="BU38" i="1"/>
  <c r="DF38" i="1" s="1"/>
  <c r="CT38" i="1"/>
  <c r="BU58" i="1"/>
  <c r="CT58" i="1"/>
  <c r="BU18" i="1"/>
  <c r="CT18" i="1"/>
  <c r="BU54" i="1"/>
  <c r="CT54" i="1"/>
  <c r="BU61" i="1"/>
  <c r="CT61" i="1"/>
  <c r="BU53" i="1"/>
  <c r="CT53" i="1"/>
  <c r="BU45" i="1"/>
  <c r="CT45" i="1"/>
  <c r="BU33" i="1"/>
  <c r="CT33" i="1"/>
  <c r="BU13" i="1"/>
  <c r="CT13" i="1"/>
  <c r="BU29" i="1"/>
  <c r="CT29" i="1"/>
  <c r="BU17" i="1"/>
  <c r="CT17" i="1"/>
  <c r="BU63" i="1"/>
  <c r="CT63" i="1"/>
  <c r="BU55" i="1"/>
  <c r="CT55" i="1"/>
  <c r="BU47" i="1"/>
  <c r="CT47" i="1"/>
  <c r="BU39" i="1"/>
  <c r="CT39" i="1"/>
  <c r="BU31" i="1"/>
  <c r="CT31" i="1"/>
  <c r="BU23" i="1"/>
  <c r="CT23" i="1"/>
  <c r="BU15" i="1"/>
  <c r="CT15" i="1"/>
  <c r="BU7" i="1"/>
  <c r="DF7" i="1" s="1"/>
  <c r="CT7" i="1"/>
  <c r="E7" i="23"/>
  <c r="BU60" i="1"/>
  <c r="CT60" i="1"/>
  <c r="BU52" i="1"/>
  <c r="CT52" i="1"/>
  <c r="BU36" i="1"/>
  <c r="CT36" i="1"/>
  <c r="BU28" i="1"/>
  <c r="CT28" i="1"/>
  <c r="BU20" i="1"/>
  <c r="CT20" i="1"/>
  <c r="BU12" i="1"/>
  <c r="CT12" i="1"/>
  <c r="DG267" i="1"/>
  <c r="DF267" i="1"/>
  <c r="DG263" i="1"/>
  <c r="DF263" i="1"/>
  <c r="DG259" i="1"/>
  <c r="DF259" i="1"/>
  <c r="DG255" i="1"/>
  <c r="DF255" i="1"/>
  <c r="DG247" i="1"/>
  <c r="DF247" i="1"/>
  <c r="DG243" i="1"/>
  <c r="DF243" i="1"/>
  <c r="DG239" i="1"/>
  <c r="DF239" i="1"/>
  <c r="DG235" i="1"/>
  <c r="DF235" i="1"/>
  <c r="DG231" i="1"/>
  <c r="DF231" i="1"/>
  <c r="DG227" i="1"/>
  <c r="DF227" i="1"/>
  <c r="DG223" i="1"/>
  <c r="DF223" i="1"/>
  <c r="DG217" i="1"/>
  <c r="DF217" i="1"/>
  <c r="DG213" i="1"/>
  <c r="DF213" i="1"/>
  <c r="DG209" i="1"/>
  <c r="DF209" i="1"/>
  <c r="DG205" i="1"/>
  <c r="DF205" i="1"/>
  <c r="DG201" i="1"/>
  <c r="DF201" i="1"/>
  <c r="DG197" i="1"/>
  <c r="DF197" i="1"/>
  <c r="DG193" i="1"/>
  <c r="DF193" i="1"/>
  <c r="DG185" i="1"/>
  <c r="DF185" i="1"/>
  <c r="DG181" i="1"/>
  <c r="DF181" i="1"/>
  <c r="DG177" i="1"/>
  <c r="DF177" i="1"/>
  <c r="DG173" i="1"/>
  <c r="DF173" i="1"/>
  <c r="DG169" i="1"/>
  <c r="DF169" i="1"/>
  <c r="DG266" i="1"/>
  <c r="DF266" i="1"/>
  <c r="DG262" i="1"/>
  <c r="DF262" i="1"/>
  <c r="DG258" i="1"/>
  <c r="DF258" i="1"/>
  <c r="DG254" i="1"/>
  <c r="DF254" i="1"/>
  <c r="DG250" i="1"/>
  <c r="DF250" i="1"/>
  <c r="DG246" i="1"/>
  <c r="DF246" i="1"/>
  <c r="DG242" i="1"/>
  <c r="DF242" i="1"/>
  <c r="DG238" i="1"/>
  <c r="DF238" i="1"/>
  <c r="DG234" i="1"/>
  <c r="DF234" i="1"/>
  <c r="DG230" i="1"/>
  <c r="DF230" i="1"/>
  <c r="DG226" i="1"/>
  <c r="DF226" i="1"/>
  <c r="DG222" i="1"/>
  <c r="DF222" i="1"/>
  <c r="DG216" i="1"/>
  <c r="DF216" i="1"/>
  <c r="DG212" i="1"/>
  <c r="DF212" i="1"/>
  <c r="DG208" i="1"/>
  <c r="DF208" i="1"/>
  <c r="DG204" i="1"/>
  <c r="DF204" i="1"/>
  <c r="DG200" i="1"/>
  <c r="DF200" i="1"/>
  <c r="DG196" i="1"/>
  <c r="DF196" i="1"/>
  <c r="DG192" i="1"/>
  <c r="DF192" i="1"/>
  <c r="DG188" i="1"/>
  <c r="DF188" i="1"/>
  <c r="DG184" i="1"/>
  <c r="DF184" i="1"/>
  <c r="DG180" i="1"/>
  <c r="DF180" i="1"/>
  <c r="DG176" i="1"/>
  <c r="DF176" i="1"/>
  <c r="DG172" i="1"/>
  <c r="DF172" i="1"/>
  <c r="DG168" i="1"/>
  <c r="DF168" i="1"/>
  <c r="DG219" i="1"/>
  <c r="DF219" i="1"/>
  <c r="DG218" i="1"/>
  <c r="DF218" i="1"/>
  <c r="DG164" i="1"/>
  <c r="DF164" i="1"/>
  <c r="DG163" i="1"/>
  <c r="DF163" i="1"/>
  <c r="DG162" i="1"/>
  <c r="DF162" i="1"/>
  <c r="DG161" i="1"/>
  <c r="DF161" i="1"/>
  <c r="DG160" i="1"/>
  <c r="DF160" i="1"/>
  <c r="BU381" i="1"/>
  <c r="DG166" i="1"/>
  <c r="BU376" i="1"/>
  <c r="BU382" i="1"/>
  <c r="DG251" i="1"/>
  <c r="DG189" i="1"/>
  <c r="BV38" i="1"/>
  <c r="DG38" i="1" s="1"/>
  <c r="BU383" i="1"/>
  <c r="BV7" i="1"/>
  <c r="DG7" i="1" s="1"/>
  <c r="E371" i="23"/>
  <c r="D371" i="23"/>
  <c r="E370" i="23"/>
  <c r="D370" i="23"/>
  <c r="E369" i="23"/>
  <c r="D369" i="23"/>
  <c r="E368" i="23"/>
  <c r="D368" i="23"/>
  <c r="E367" i="23"/>
  <c r="D367" i="23"/>
  <c r="E366" i="23"/>
  <c r="D366" i="23"/>
  <c r="E365" i="23"/>
  <c r="D365" i="23"/>
  <c r="E364" i="23"/>
  <c r="D364" i="23"/>
  <c r="E363" i="23"/>
  <c r="D363" i="23"/>
  <c r="E362" i="23"/>
  <c r="D362" i="23"/>
  <c r="E361" i="23"/>
  <c r="D361" i="23"/>
  <c r="E360" i="23"/>
  <c r="D360" i="23"/>
  <c r="E359" i="23"/>
  <c r="D359" i="23"/>
  <c r="E358" i="23"/>
  <c r="D358" i="23"/>
  <c r="E357" i="23"/>
  <c r="D357" i="23"/>
  <c r="E356" i="23"/>
  <c r="D356" i="23"/>
  <c r="E355" i="23"/>
  <c r="D355" i="23"/>
  <c r="E354" i="23"/>
  <c r="D354" i="23"/>
  <c r="E353" i="23"/>
  <c r="D353" i="23"/>
  <c r="E352" i="23"/>
  <c r="D352" i="23"/>
  <c r="E351" i="23"/>
  <c r="D351" i="23"/>
  <c r="E350" i="23"/>
  <c r="D350" i="23"/>
  <c r="E349" i="23"/>
  <c r="D349" i="23"/>
  <c r="E348" i="23"/>
  <c r="D348" i="23"/>
  <c r="E347" i="23"/>
  <c r="D347" i="23"/>
  <c r="E346" i="23"/>
  <c r="D346" i="23"/>
  <c r="E345" i="23"/>
  <c r="D345" i="23"/>
  <c r="E344" i="23"/>
  <c r="D344" i="23"/>
  <c r="E343" i="23"/>
  <c r="D343" i="23"/>
  <c r="E342" i="23"/>
  <c r="D342" i="23"/>
  <c r="E341" i="23"/>
  <c r="D341" i="23"/>
  <c r="E340" i="23"/>
  <c r="D340" i="23"/>
  <c r="E339" i="23"/>
  <c r="D339" i="23"/>
  <c r="E338" i="23"/>
  <c r="D338" i="23"/>
  <c r="E337" i="23"/>
  <c r="D337" i="23"/>
  <c r="E336" i="23"/>
  <c r="D336" i="23"/>
  <c r="E335" i="23"/>
  <c r="D335" i="23"/>
  <c r="E334" i="23"/>
  <c r="D334" i="23"/>
  <c r="E333" i="23"/>
  <c r="D333" i="23"/>
  <c r="E332" i="23"/>
  <c r="D332" i="23"/>
  <c r="E331" i="23"/>
  <c r="D331" i="23"/>
  <c r="E330" i="23"/>
  <c r="D330" i="23"/>
  <c r="E329" i="23"/>
  <c r="D329" i="23"/>
  <c r="E328" i="23"/>
  <c r="D328" i="23"/>
  <c r="E327" i="23"/>
  <c r="D327" i="23"/>
  <c r="E326" i="23"/>
  <c r="D326" i="23"/>
  <c r="E325" i="23"/>
  <c r="D325" i="23"/>
  <c r="E324" i="23"/>
  <c r="D324" i="23"/>
  <c r="E323" i="23"/>
  <c r="D323" i="23"/>
  <c r="E322" i="23"/>
  <c r="D322" i="23"/>
  <c r="E321" i="23"/>
  <c r="D321" i="23"/>
  <c r="E320" i="23"/>
  <c r="D320" i="23"/>
  <c r="E319" i="23"/>
  <c r="D319" i="23"/>
  <c r="E318" i="23"/>
  <c r="D318" i="23"/>
  <c r="E317" i="23"/>
  <c r="D317" i="23"/>
  <c r="E316" i="23"/>
  <c r="D316" i="23"/>
  <c r="E315" i="23"/>
  <c r="D315" i="23"/>
  <c r="E314" i="23"/>
  <c r="D314" i="23"/>
  <c r="E313" i="23"/>
  <c r="D313" i="23"/>
  <c r="E312" i="23"/>
  <c r="D312" i="23"/>
  <c r="E311" i="23"/>
  <c r="D311" i="23"/>
  <c r="E310" i="23"/>
  <c r="D310" i="23"/>
  <c r="E309" i="23"/>
  <c r="D309" i="23"/>
  <c r="E308" i="23"/>
  <c r="D308" i="23"/>
  <c r="E307" i="23"/>
  <c r="D307" i="23"/>
  <c r="E306" i="23"/>
  <c r="D306" i="23"/>
  <c r="E305" i="23"/>
  <c r="D305" i="23"/>
  <c r="E304" i="23"/>
  <c r="D304" i="23"/>
  <c r="E303" i="23"/>
  <c r="D303" i="23"/>
  <c r="E302" i="23"/>
  <c r="D302" i="23"/>
  <c r="E301" i="23"/>
  <c r="D301" i="23"/>
  <c r="E300" i="23"/>
  <c r="D300" i="23"/>
  <c r="E299" i="23"/>
  <c r="D299" i="23"/>
  <c r="E298" i="23"/>
  <c r="D298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E276" i="23"/>
  <c r="D276" i="23"/>
  <c r="E275" i="23"/>
  <c r="D275" i="23"/>
  <c r="E274" i="23"/>
  <c r="D274" i="23"/>
  <c r="E273" i="23"/>
  <c r="D273" i="23"/>
  <c r="E272" i="23"/>
  <c r="D272" i="23"/>
  <c r="E271" i="23"/>
  <c r="D271" i="23"/>
  <c r="E270" i="23"/>
  <c r="D270" i="23"/>
  <c r="E269" i="23"/>
  <c r="D269" i="23"/>
  <c r="F268" i="23"/>
  <c r="E268" i="23"/>
  <c r="D268" i="23"/>
  <c r="F267" i="23"/>
  <c r="E267" i="23"/>
  <c r="D267" i="23"/>
  <c r="F266" i="23"/>
  <c r="E266" i="23"/>
  <c r="D266" i="23"/>
  <c r="F265" i="23"/>
  <c r="E265" i="23"/>
  <c r="D265" i="23"/>
  <c r="F264" i="23"/>
  <c r="E264" i="23"/>
  <c r="D264" i="23"/>
  <c r="F263" i="23"/>
  <c r="E263" i="23"/>
  <c r="D263" i="23"/>
  <c r="F262" i="23"/>
  <c r="E262" i="23"/>
  <c r="D262" i="23"/>
  <c r="F261" i="23"/>
  <c r="E261" i="23"/>
  <c r="D261" i="23"/>
  <c r="F260" i="23"/>
  <c r="E260" i="23"/>
  <c r="D260" i="23"/>
  <c r="F259" i="23"/>
  <c r="E259" i="23"/>
  <c r="D259" i="23"/>
  <c r="F258" i="23"/>
  <c r="E258" i="23"/>
  <c r="D258" i="23"/>
  <c r="F257" i="23"/>
  <c r="E257" i="23"/>
  <c r="D257" i="23"/>
  <c r="F256" i="23"/>
  <c r="E256" i="23"/>
  <c r="D256" i="23"/>
  <c r="F255" i="23"/>
  <c r="E255" i="23"/>
  <c r="D255" i="23"/>
  <c r="F254" i="23"/>
  <c r="E254" i="23"/>
  <c r="D254" i="23"/>
  <c r="F253" i="23"/>
  <c r="E253" i="23"/>
  <c r="D253" i="23"/>
  <c r="F252" i="23"/>
  <c r="E252" i="23"/>
  <c r="D252" i="23"/>
  <c r="F251" i="23"/>
  <c r="E251" i="23"/>
  <c r="D251" i="23"/>
  <c r="F250" i="23"/>
  <c r="E250" i="23"/>
  <c r="D250" i="23"/>
  <c r="F249" i="23"/>
  <c r="E249" i="23"/>
  <c r="D249" i="23"/>
  <c r="F248" i="23"/>
  <c r="E248" i="23"/>
  <c r="D248" i="23"/>
  <c r="F247" i="23"/>
  <c r="E247" i="23"/>
  <c r="D247" i="23"/>
  <c r="F246" i="23"/>
  <c r="E246" i="23"/>
  <c r="D246" i="23"/>
  <c r="F245" i="23"/>
  <c r="E245" i="23"/>
  <c r="D245" i="23"/>
  <c r="F244" i="23"/>
  <c r="E244" i="23"/>
  <c r="D244" i="23"/>
  <c r="F243" i="23"/>
  <c r="E243" i="23"/>
  <c r="D243" i="23"/>
  <c r="F242" i="23"/>
  <c r="E242" i="23"/>
  <c r="D242" i="23"/>
  <c r="F241" i="23"/>
  <c r="E241" i="23"/>
  <c r="D241" i="23"/>
  <c r="F240" i="23"/>
  <c r="E240" i="23"/>
  <c r="D240" i="23"/>
  <c r="F239" i="23"/>
  <c r="E239" i="23"/>
  <c r="D239" i="23"/>
  <c r="F238" i="23"/>
  <c r="E238" i="23"/>
  <c r="D238" i="23"/>
  <c r="F237" i="23"/>
  <c r="E237" i="23"/>
  <c r="D237" i="23"/>
  <c r="F236" i="23"/>
  <c r="E236" i="23"/>
  <c r="D236" i="23"/>
  <c r="F235" i="23"/>
  <c r="E235" i="23"/>
  <c r="D235" i="23"/>
  <c r="F234" i="23"/>
  <c r="E234" i="23"/>
  <c r="D234" i="23"/>
  <c r="F233" i="23"/>
  <c r="E233" i="23"/>
  <c r="D233" i="23"/>
  <c r="F232" i="23"/>
  <c r="E232" i="23"/>
  <c r="D232" i="23"/>
  <c r="F231" i="23"/>
  <c r="E231" i="23"/>
  <c r="D231" i="23"/>
  <c r="F230" i="23"/>
  <c r="E230" i="23"/>
  <c r="D230" i="23"/>
  <c r="F229" i="23"/>
  <c r="E229" i="23"/>
  <c r="D229" i="23"/>
  <c r="F228" i="23"/>
  <c r="E228" i="23"/>
  <c r="D228" i="23"/>
  <c r="F227" i="23"/>
  <c r="E227" i="23"/>
  <c r="D227" i="23"/>
  <c r="F226" i="23"/>
  <c r="E226" i="23"/>
  <c r="D226" i="23"/>
  <c r="F225" i="23"/>
  <c r="E225" i="23"/>
  <c r="D225" i="23"/>
  <c r="F224" i="23"/>
  <c r="E224" i="23"/>
  <c r="D224" i="23"/>
  <c r="F223" i="23"/>
  <c r="E223" i="23"/>
  <c r="D223" i="23"/>
  <c r="F222" i="23"/>
  <c r="E222" i="23"/>
  <c r="D222" i="23"/>
  <c r="F221" i="23"/>
  <c r="E221" i="23"/>
  <c r="D221" i="23"/>
  <c r="F220" i="23"/>
  <c r="E220" i="23"/>
  <c r="D220" i="23"/>
  <c r="F219" i="23"/>
  <c r="E219" i="23"/>
  <c r="D219" i="23"/>
  <c r="F218" i="23"/>
  <c r="E218" i="23"/>
  <c r="D218" i="23"/>
  <c r="F217" i="23"/>
  <c r="E217" i="23"/>
  <c r="D217" i="23"/>
  <c r="F216" i="23"/>
  <c r="E216" i="23"/>
  <c r="D216" i="23"/>
  <c r="F215" i="23"/>
  <c r="E215" i="23"/>
  <c r="D215" i="23"/>
  <c r="F214" i="23"/>
  <c r="E214" i="23"/>
  <c r="D214" i="23"/>
  <c r="F213" i="23"/>
  <c r="E213" i="23"/>
  <c r="D213" i="23"/>
  <c r="F212" i="23"/>
  <c r="E212" i="23"/>
  <c r="D212" i="23"/>
  <c r="F211" i="23"/>
  <c r="E211" i="23"/>
  <c r="D211" i="23"/>
  <c r="F210" i="23"/>
  <c r="E210" i="23"/>
  <c r="D210" i="23"/>
  <c r="F209" i="23"/>
  <c r="E209" i="23"/>
  <c r="D209" i="23"/>
  <c r="F208" i="23"/>
  <c r="E208" i="23"/>
  <c r="D208" i="23"/>
  <c r="F207" i="23"/>
  <c r="E207" i="23"/>
  <c r="D207" i="23"/>
  <c r="F206" i="23"/>
  <c r="E206" i="23"/>
  <c r="D206" i="23"/>
  <c r="F205" i="23"/>
  <c r="E205" i="23"/>
  <c r="D205" i="23"/>
  <c r="F204" i="23"/>
  <c r="E204" i="23"/>
  <c r="D204" i="23"/>
  <c r="F203" i="23"/>
  <c r="E203" i="23"/>
  <c r="D203" i="23"/>
  <c r="F202" i="23"/>
  <c r="E202" i="23"/>
  <c r="D202" i="23"/>
  <c r="F201" i="23"/>
  <c r="E201" i="23"/>
  <c r="D201" i="23"/>
  <c r="F200" i="23"/>
  <c r="E200" i="23"/>
  <c r="D200" i="23"/>
  <c r="F199" i="23"/>
  <c r="E199" i="23"/>
  <c r="D199" i="23"/>
  <c r="F198" i="23"/>
  <c r="E198" i="23"/>
  <c r="D198" i="23"/>
  <c r="F197" i="23"/>
  <c r="E197" i="23"/>
  <c r="D197" i="23"/>
  <c r="F196" i="23"/>
  <c r="E196" i="23"/>
  <c r="D196" i="23"/>
  <c r="F195" i="23"/>
  <c r="E195" i="23"/>
  <c r="D195" i="23"/>
  <c r="F194" i="23"/>
  <c r="E194" i="23"/>
  <c r="D194" i="23"/>
  <c r="F193" i="23"/>
  <c r="E193" i="23"/>
  <c r="D193" i="23"/>
  <c r="F192" i="23"/>
  <c r="E192" i="23"/>
  <c r="D192" i="23"/>
  <c r="F191" i="23"/>
  <c r="E191" i="23"/>
  <c r="D191" i="23"/>
  <c r="F190" i="23"/>
  <c r="E190" i="23"/>
  <c r="D190" i="23"/>
  <c r="F189" i="23"/>
  <c r="E189" i="23"/>
  <c r="D189" i="23"/>
  <c r="F188" i="23"/>
  <c r="E188" i="23"/>
  <c r="D188" i="23"/>
  <c r="F187" i="23"/>
  <c r="E187" i="23"/>
  <c r="D187" i="23"/>
  <c r="F186" i="23"/>
  <c r="E186" i="23"/>
  <c r="D186" i="23"/>
  <c r="F185" i="23"/>
  <c r="E185" i="23"/>
  <c r="D185" i="23"/>
  <c r="F184" i="23"/>
  <c r="E184" i="23"/>
  <c r="D184" i="23"/>
  <c r="F183" i="23"/>
  <c r="E183" i="23"/>
  <c r="D183" i="23"/>
  <c r="F182" i="23"/>
  <c r="E182" i="23"/>
  <c r="D182" i="23"/>
  <c r="F181" i="23"/>
  <c r="E181" i="23"/>
  <c r="D181" i="23"/>
  <c r="F180" i="23"/>
  <c r="E180" i="23"/>
  <c r="D180" i="23"/>
  <c r="F179" i="23"/>
  <c r="E179" i="23"/>
  <c r="D179" i="23"/>
  <c r="F178" i="23"/>
  <c r="E178" i="23"/>
  <c r="D178" i="23"/>
  <c r="F177" i="23"/>
  <c r="E177" i="23"/>
  <c r="D177" i="23"/>
  <c r="F176" i="23"/>
  <c r="E176" i="23"/>
  <c r="D176" i="23"/>
  <c r="F175" i="23"/>
  <c r="E175" i="23"/>
  <c r="D175" i="23"/>
  <c r="F174" i="23"/>
  <c r="E174" i="23"/>
  <c r="D174" i="23"/>
  <c r="F173" i="23"/>
  <c r="E173" i="23"/>
  <c r="D173" i="23"/>
  <c r="F172" i="23"/>
  <c r="E172" i="23"/>
  <c r="D172" i="23"/>
  <c r="F171" i="23"/>
  <c r="E171" i="23"/>
  <c r="D171" i="23"/>
  <c r="F170" i="23"/>
  <c r="E170" i="23"/>
  <c r="D170" i="23"/>
  <c r="F169" i="23"/>
  <c r="E169" i="23"/>
  <c r="D169" i="23"/>
  <c r="F168" i="23"/>
  <c r="E168" i="23"/>
  <c r="D168" i="23"/>
  <c r="F167" i="23"/>
  <c r="E167" i="23"/>
  <c r="D167" i="23"/>
  <c r="F166" i="23"/>
  <c r="E166" i="23"/>
  <c r="D166" i="23"/>
  <c r="F165" i="23"/>
  <c r="E165" i="23"/>
  <c r="D165" i="23"/>
  <c r="F164" i="23"/>
  <c r="E164" i="23"/>
  <c r="D164" i="23"/>
  <c r="F163" i="23"/>
  <c r="E163" i="23"/>
  <c r="D163" i="23"/>
  <c r="F162" i="23"/>
  <c r="E162" i="23"/>
  <c r="D162" i="23"/>
  <c r="F161" i="23"/>
  <c r="E161" i="23"/>
  <c r="D161" i="23"/>
  <c r="F160" i="23"/>
  <c r="E160" i="23"/>
  <c r="D160" i="23"/>
  <c r="F159" i="23"/>
  <c r="E159" i="23"/>
  <c r="D159" i="23"/>
  <c r="E158" i="23"/>
  <c r="D158" i="23"/>
  <c r="E157" i="23"/>
  <c r="D157" i="23"/>
  <c r="E156" i="23"/>
  <c r="D156" i="23"/>
  <c r="E155" i="23"/>
  <c r="D155" i="23"/>
  <c r="E154" i="23"/>
  <c r="D154" i="23"/>
  <c r="E153" i="23"/>
  <c r="D153" i="23"/>
  <c r="E152" i="23"/>
  <c r="D152" i="23"/>
  <c r="E151" i="23"/>
  <c r="D151" i="23"/>
  <c r="E150" i="23"/>
  <c r="D150" i="23"/>
  <c r="E149" i="23"/>
  <c r="D149" i="23"/>
  <c r="E148" i="23"/>
  <c r="D148" i="23"/>
  <c r="E147" i="23"/>
  <c r="D147" i="23"/>
  <c r="E146" i="23"/>
  <c r="D146" i="23"/>
  <c r="E145" i="23"/>
  <c r="D145" i="23"/>
  <c r="E144" i="23"/>
  <c r="D144" i="23"/>
  <c r="E143" i="23"/>
  <c r="D143" i="23"/>
  <c r="E142" i="23"/>
  <c r="D142" i="23"/>
  <c r="E141" i="23"/>
  <c r="D141" i="23"/>
  <c r="E140" i="23"/>
  <c r="D140" i="23"/>
  <c r="E139" i="23"/>
  <c r="D139" i="23"/>
  <c r="E138" i="23"/>
  <c r="D138" i="23"/>
  <c r="E137" i="23"/>
  <c r="D137" i="23"/>
  <c r="E136" i="23"/>
  <c r="D136" i="23"/>
  <c r="E135" i="23"/>
  <c r="D135" i="23"/>
  <c r="E134" i="23"/>
  <c r="D134" i="23"/>
  <c r="E133" i="23"/>
  <c r="D133" i="23"/>
  <c r="E132" i="23"/>
  <c r="D132" i="23"/>
  <c r="E131" i="23"/>
  <c r="D131" i="23"/>
  <c r="E130" i="23"/>
  <c r="D130" i="23"/>
  <c r="E129" i="23"/>
  <c r="D129" i="23"/>
  <c r="E128" i="23"/>
  <c r="D128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E119" i="23"/>
  <c r="D119" i="23"/>
  <c r="E118" i="23"/>
  <c r="D118" i="23"/>
  <c r="E117" i="23"/>
  <c r="D117" i="23"/>
  <c r="E116" i="23"/>
  <c r="D116" i="23"/>
  <c r="E115" i="23"/>
  <c r="D115" i="23"/>
  <c r="E114" i="23"/>
  <c r="D114" i="23"/>
  <c r="E113" i="23"/>
  <c r="D113" i="23"/>
  <c r="E112" i="23"/>
  <c r="D112" i="23"/>
  <c r="E111" i="23"/>
  <c r="D111" i="23"/>
  <c r="E110" i="23"/>
  <c r="D110" i="23"/>
  <c r="E109" i="23"/>
  <c r="D109" i="23"/>
  <c r="E108" i="23"/>
  <c r="D108" i="23"/>
  <c r="E107" i="23"/>
  <c r="D107" i="23"/>
  <c r="E106" i="23"/>
  <c r="D106" i="23"/>
  <c r="E105" i="23"/>
  <c r="D105" i="23"/>
  <c r="E104" i="23"/>
  <c r="D104" i="23"/>
  <c r="E103" i="23"/>
  <c r="D103" i="23"/>
  <c r="E102" i="23"/>
  <c r="D102" i="23"/>
  <c r="E101" i="23"/>
  <c r="D101" i="23"/>
  <c r="E100" i="23"/>
  <c r="D100" i="23"/>
  <c r="E99" i="23"/>
  <c r="D99" i="23"/>
  <c r="E98" i="23"/>
  <c r="D98" i="23"/>
  <c r="E97" i="23"/>
  <c r="D97" i="23"/>
  <c r="E96" i="23"/>
  <c r="D96" i="23"/>
  <c r="E95" i="23"/>
  <c r="D95" i="23"/>
  <c r="E94" i="23"/>
  <c r="D94" i="23"/>
  <c r="E93" i="23"/>
  <c r="D93" i="23"/>
  <c r="E92" i="23"/>
  <c r="D92" i="23"/>
  <c r="E91" i="23"/>
  <c r="D91" i="23"/>
  <c r="E90" i="23"/>
  <c r="D90" i="23"/>
  <c r="E89" i="23"/>
  <c r="D89" i="23"/>
  <c r="E88" i="23"/>
  <c r="D88" i="23"/>
  <c r="E87" i="23"/>
  <c r="D87" i="23"/>
  <c r="E86" i="23"/>
  <c r="D86" i="23"/>
  <c r="E85" i="23"/>
  <c r="D85" i="23"/>
  <c r="E84" i="23"/>
  <c r="D84" i="23"/>
  <c r="E83" i="23"/>
  <c r="D83" i="23"/>
  <c r="E82" i="23"/>
  <c r="D82" i="23"/>
  <c r="E81" i="23"/>
  <c r="D81" i="23"/>
  <c r="E80" i="23"/>
  <c r="D80" i="23"/>
  <c r="E79" i="23"/>
  <c r="D79" i="23"/>
  <c r="E78" i="23"/>
  <c r="D78" i="23"/>
  <c r="E77" i="23"/>
  <c r="D77" i="23"/>
  <c r="E76" i="23"/>
  <c r="D76" i="23"/>
  <c r="E75" i="23"/>
  <c r="D75" i="23"/>
  <c r="E74" i="23"/>
  <c r="D74" i="23"/>
  <c r="E73" i="23"/>
  <c r="D73" i="23"/>
  <c r="E72" i="23"/>
  <c r="D72" i="23"/>
  <c r="E71" i="23"/>
  <c r="D71" i="23"/>
  <c r="E70" i="23"/>
  <c r="D70" i="23"/>
  <c r="E69" i="23"/>
  <c r="D69" i="23"/>
  <c r="E68" i="23"/>
  <c r="D68" i="23"/>
  <c r="F67" i="23"/>
  <c r="E67" i="23"/>
  <c r="D67" i="23"/>
  <c r="F66" i="23"/>
  <c r="E66" i="23"/>
  <c r="D66" i="23"/>
  <c r="F65" i="23"/>
  <c r="E65" i="23"/>
  <c r="D65" i="23"/>
  <c r="F64" i="23"/>
  <c r="E64" i="23"/>
  <c r="D64" i="23"/>
  <c r="F63" i="23"/>
  <c r="E63" i="23"/>
  <c r="D63" i="23"/>
  <c r="F62" i="23"/>
  <c r="E62" i="23"/>
  <c r="D62" i="23"/>
  <c r="F61" i="23"/>
  <c r="E61" i="23"/>
  <c r="D61" i="23"/>
  <c r="F60" i="23"/>
  <c r="E60" i="23"/>
  <c r="D60" i="23"/>
  <c r="F59" i="23"/>
  <c r="E59" i="23"/>
  <c r="D59" i="23"/>
  <c r="F58" i="23"/>
  <c r="E58" i="23"/>
  <c r="D58" i="23"/>
  <c r="F57" i="23"/>
  <c r="E57" i="23"/>
  <c r="D57" i="23"/>
  <c r="F56" i="23"/>
  <c r="E56" i="23"/>
  <c r="D56" i="23"/>
  <c r="F55" i="23"/>
  <c r="E55" i="23"/>
  <c r="D55" i="23"/>
  <c r="F54" i="23"/>
  <c r="E54" i="23"/>
  <c r="D54" i="23"/>
  <c r="F53" i="23"/>
  <c r="E53" i="23"/>
  <c r="D53" i="23"/>
  <c r="F52" i="23"/>
  <c r="E52" i="23"/>
  <c r="D52" i="23"/>
  <c r="F51" i="23"/>
  <c r="E51" i="23"/>
  <c r="D51" i="23"/>
  <c r="F50" i="23"/>
  <c r="E50" i="23"/>
  <c r="D50" i="23"/>
  <c r="F49" i="23"/>
  <c r="E49" i="23"/>
  <c r="D49" i="23"/>
  <c r="F48" i="23"/>
  <c r="E48" i="23"/>
  <c r="D48" i="23"/>
  <c r="F47" i="23"/>
  <c r="E47" i="23"/>
  <c r="D47" i="23"/>
  <c r="F46" i="23"/>
  <c r="E46" i="23"/>
  <c r="D46" i="23"/>
  <c r="F45" i="23"/>
  <c r="E45" i="23"/>
  <c r="D45" i="23"/>
  <c r="F44" i="23"/>
  <c r="E44" i="23"/>
  <c r="D44" i="23"/>
  <c r="F43" i="23"/>
  <c r="E43" i="23"/>
  <c r="D43" i="23"/>
  <c r="F42" i="23"/>
  <c r="E42" i="23"/>
  <c r="D42" i="23"/>
  <c r="F41" i="23"/>
  <c r="E41" i="23"/>
  <c r="D41" i="23"/>
  <c r="F40" i="23"/>
  <c r="E40" i="23"/>
  <c r="D40" i="23"/>
  <c r="F39" i="23"/>
  <c r="E39" i="23"/>
  <c r="D39" i="23"/>
  <c r="F38" i="23"/>
  <c r="E38" i="23"/>
  <c r="D38" i="23"/>
  <c r="F37" i="23"/>
  <c r="E37" i="23"/>
  <c r="D37" i="23"/>
  <c r="F36" i="23"/>
  <c r="E36" i="23"/>
  <c r="D36" i="23"/>
  <c r="F35" i="23"/>
  <c r="E35" i="23"/>
  <c r="D35" i="23"/>
  <c r="F34" i="23"/>
  <c r="E34" i="23"/>
  <c r="D34" i="23"/>
  <c r="F33" i="23"/>
  <c r="E33" i="23"/>
  <c r="D33" i="23"/>
  <c r="F32" i="23"/>
  <c r="E32" i="23"/>
  <c r="D32" i="23"/>
  <c r="F31" i="23"/>
  <c r="E31" i="23"/>
  <c r="D31" i="23"/>
  <c r="F30" i="23"/>
  <c r="E30" i="23"/>
  <c r="D30" i="23"/>
  <c r="F29" i="23"/>
  <c r="E29" i="23"/>
  <c r="D29" i="23"/>
  <c r="F28" i="23"/>
  <c r="E28" i="23"/>
  <c r="D28" i="23"/>
  <c r="F27" i="23"/>
  <c r="E27" i="23"/>
  <c r="D27" i="23"/>
  <c r="F26" i="23"/>
  <c r="E26" i="23"/>
  <c r="D26" i="23"/>
  <c r="F25" i="23"/>
  <c r="E25" i="23"/>
  <c r="D25" i="23"/>
  <c r="F24" i="23"/>
  <c r="E24" i="23"/>
  <c r="D24" i="23"/>
  <c r="F23" i="23"/>
  <c r="E23" i="23"/>
  <c r="D23" i="23"/>
  <c r="F22" i="23"/>
  <c r="E22" i="23"/>
  <c r="D22" i="23"/>
  <c r="F21" i="23"/>
  <c r="E21" i="23"/>
  <c r="D21" i="23"/>
  <c r="F20" i="23"/>
  <c r="E20" i="23"/>
  <c r="D20" i="23"/>
  <c r="F19" i="23"/>
  <c r="E19" i="23"/>
  <c r="D19" i="23"/>
  <c r="F18" i="23"/>
  <c r="E18" i="23"/>
  <c r="D18" i="23"/>
  <c r="F17" i="23"/>
  <c r="E17" i="23"/>
  <c r="D17" i="23"/>
  <c r="F16" i="23"/>
  <c r="E16" i="23"/>
  <c r="D16" i="23"/>
  <c r="F15" i="23"/>
  <c r="E15" i="23"/>
  <c r="D15" i="23"/>
  <c r="F14" i="23"/>
  <c r="E14" i="23"/>
  <c r="D14" i="23"/>
  <c r="F13" i="23"/>
  <c r="E13" i="23"/>
  <c r="D13" i="23"/>
  <c r="F12" i="23"/>
  <c r="E12" i="23"/>
  <c r="D12" i="23"/>
  <c r="F11" i="23"/>
  <c r="E11" i="23"/>
  <c r="D11" i="23"/>
  <c r="F10" i="23"/>
  <c r="E10" i="23"/>
  <c r="D10" i="23"/>
  <c r="F9" i="23"/>
  <c r="E9" i="23"/>
  <c r="D9" i="23"/>
  <c r="F8" i="23"/>
  <c r="D8" i="23"/>
  <c r="F7" i="23"/>
  <c r="D7" i="23"/>
  <c r="E372" i="23"/>
  <c r="D372" i="23"/>
  <c r="BV15" i="1" l="1"/>
  <c r="DG15" i="1" s="1"/>
  <c r="DF15" i="1"/>
  <c r="BV23" i="1"/>
  <c r="DG23" i="1" s="1"/>
  <c r="DF23" i="1"/>
  <c r="BV31" i="1"/>
  <c r="DG31" i="1" s="1"/>
  <c r="DF31" i="1"/>
  <c r="BV39" i="1"/>
  <c r="DG39" i="1" s="1"/>
  <c r="DF39" i="1"/>
  <c r="BV47" i="1"/>
  <c r="DG47" i="1" s="1"/>
  <c r="DF47" i="1"/>
  <c r="BV55" i="1"/>
  <c r="DG55" i="1" s="1"/>
  <c r="DF55" i="1"/>
  <c r="BV63" i="1"/>
  <c r="DG63" i="1" s="1"/>
  <c r="DF63" i="1"/>
  <c r="BV17" i="1"/>
  <c r="DG17" i="1" s="1"/>
  <c r="DF17" i="1"/>
  <c r="BV29" i="1"/>
  <c r="DG29" i="1" s="1"/>
  <c r="DF29" i="1"/>
  <c r="BV13" i="1"/>
  <c r="DG13" i="1" s="1"/>
  <c r="DF13" i="1"/>
  <c r="BV33" i="1"/>
  <c r="DG33" i="1" s="1"/>
  <c r="DF33" i="1"/>
  <c r="BV45" i="1"/>
  <c r="DG45" i="1" s="1"/>
  <c r="DF45" i="1"/>
  <c r="BV53" i="1"/>
  <c r="DG53" i="1" s="1"/>
  <c r="DF53" i="1"/>
  <c r="BV61" i="1"/>
  <c r="DG61" i="1" s="1"/>
  <c r="DF61" i="1"/>
  <c r="BV54" i="1"/>
  <c r="DG54" i="1" s="1"/>
  <c r="DF54" i="1"/>
  <c r="BV18" i="1"/>
  <c r="DG18" i="1" s="1"/>
  <c r="DF18" i="1"/>
  <c r="BV58" i="1"/>
  <c r="DG58" i="1" s="1"/>
  <c r="DF58" i="1"/>
  <c r="BV50" i="1"/>
  <c r="DG50" i="1" s="1"/>
  <c r="DF50" i="1"/>
  <c r="BV22" i="1"/>
  <c r="DG22" i="1" s="1"/>
  <c r="DF22" i="1"/>
  <c r="BV14" i="1"/>
  <c r="DG14" i="1" s="1"/>
  <c r="DF14" i="1"/>
  <c r="BV46" i="1"/>
  <c r="DG46" i="1" s="1"/>
  <c r="DF46" i="1"/>
  <c r="BV44" i="1"/>
  <c r="DG44" i="1" s="1"/>
  <c r="DF44" i="1"/>
  <c r="BU377" i="1"/>
  <c r="BV12" i="1"/>
  <c r="DG12" i="1" s="1"/>
  <c r="DF12" i="1"/>
  <c r="BV20" i="1"/>
  <c r="DG20" i="1" s="1"/>
  <c r="DF20" i="1"/>
  <c r="BV28" i="1"/>
  <c r="DG28" i="1" s="1"/>
  <c r="DF28" i="1"/>
  <c r="BV36" i="1"/>
  <c r="DG36" i="1" s="1"/>
  <c r="DF36" i="1"/>
  <c r="BV52" i="1"/>
  <c r="DG52" i="1" s="1"/>
  <c r="DF52" i="1"/>
  <c r="BV60" i="1"/>
  <c r="DG60" i="1" s="1"/>
  <c r="DF60" i="1"/>
  <c r="BV8" i="1"/>
  <c r="DG8" i="1" s="1"/>
  <c r="DF8" i="1"/>
  <c r="BV16" i="1"/>
  <c r="DG16" i="1" s="1"/>
  <c r="DF16" i="1"/>
  <c r="BV24" i="1"/>
  <c r="DG24" i="1" s="1"/>
  <c r="DF24" i="1"/>
  <c r="BV32" i="1"/>
  <c r="DG32" i="1" s="1"/>
  <c r="DF32" i="1"/>
  <c r="BV40" i="1"/>
  <c r="DG40" i="1" s="1"/>
  <c r="DF40" i="1"/>
  <c r="BV56" i="1"/>
  <c r="DG56" i="1" s="1"/>
  <c r="DF56" i="1"/>
  <c r="BV64" i="1"/>
  <c r="DG64" i="1" s="1"/>
  <c r="DF64" i="1"/>
  <c r="BV11" i="1"/>
  <c r="DG11" i="1" s="1"/>
  <c r="DF11" i="1"/>
  <c r="BV19" i="1"/>
  <c r="DG19" i="1" s="1"/>
  <c r="DF19" i="1"/>
  <c r="BV27" i="1"/>
  <c r="DG27" i="1" s="1"/>
  <c r="DF27" i="1"/>
  <c r="BV35" i="1"/>
  <c r="DG35" i="1" s="1"/>
  <c r="DF35" i="1"/>
  <c r="BV43" i="1"/>
  <c r="DG43" i="1" s="1"/>
  <c r="DF43" i="1"/>
  <c r="BV51" i="1"/>
  <c r="DG51" i="1" s="1"/>
  <c r="DF51" i="1"/>
  <c r="BV59" i="1"/>
  <c r="DG59" i="1" s="1"/>
  <c r="DF59" i="1"/>
  <c r="BV67" i="1"/>
  <c r="DG67" i="1" s="1"/>
  <c r="DF67" i="1"/>
  <c r="BV9" i="1"/>
  <c r="DG9" i="1" s="1"/>
  <c r="DF9" i="1"/>
  <c r="BV25" i="1"/>
  <c r="DG25" i="1" s="1"/>
  <c r="DF25" i="1"/>
  <c r="BV41" i="1"/>
  <c r="DG41" i="1" s="1"/>
  <c r="DF41" i="1"/>
  <c r="BV21" i="1"/>
  <c r="DG21" i="1" s="1"/>
  <c r="DF21" i="1"/>
  <c r="BV37" i="1"/>
  <c r="DG37" i="1" s="1"/>
  <c r="DF37" i="1"/>
  <c r="BV49" i="1"/>
  <c r="DG49" i="1" s="1"/>
  <c r="DF49" i="1"/>
  <c r="BV57" i="1"/>
  <c r="DG57" i="1" s="1"/>
  <c r="DF57" i="1"/>
  <c r="BV65" i="1"/>
  <c r="DG65" i="1" s="1"/>
  <c r="DF65" i="1"/>
  <c r="BV10" i="1"/>
  <c r="DG10" i="1" s="1"/>
  <c r="DF10" i="1"/>
  <c r="BV34" i="1"/>
  <c r="DG34" i="1" s="1"/>
  <c r="DF34" i="1"/>
  <c r="BV66" i="1"/>
  <c r="DG66" i="1" s="1"/>
  <c r="DF66" i="1"/>
  <c r="BV42" i="1"/>
  <c r="DG42" i="1" s="1"/>
  <c r="DF42" i="1"/>
  <c r="BV62" i="1"/>
  <c r="DG62" i="1" s="1"/>
  <c r="DF62" i="1"/>
  <c r="BV26" i="1"/>
  <c r="DG26" i="1" s="1"/>
  <c r="DF26" i="1"/>
  <c r="BV30" i="1"/>
  <c r="DG30" i="1" s="1"/>
  <c r="DF30" i="1"/>
  <c r="BV48" i="1"/>
  <c r="DG48" i="1" s="1"/>
  <c r="DF48" i="1"/>
  <c r="BY379" i="1"/>
  <c r="BY378" i="1"/>
  <c r="BY377" i="1"/>
  <c r="BY376" i="1"/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Q158" i="23" l="1"/>
  <c r="J372" i="23"/>
  <c r="J371" i="23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J341" i="23"/>
  <c r="J340" i="23"/>
  <c r="J339" i="23"/>
  <c r="J338" i="23"/>
  <c r="J337" i="23"/>
  <c r="J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J321" i="23"/>
  <c r="J320" i="23"/>
  <c r="J319" i="23"/>
  <c r="J318" i="23"/>
  <c r="J317" i="23"/>
  <c r="J316" i="23"/>
  <c r="J315" i="23"/>
  <c r="J314" i="23"/>
  <c r="J313" i="23"/>
  <c r="J312" i="23"/>
  <c r="J311" i="23"/>
  <c r="K311" i="23" s="1"/>
  <c r="J310" i="23"/>
  <c r="K310" i="23" s="1"/>
  <c r="J309" i="23"/>
  <c r="K309" i="23" s="1"/>
  <c r="J308" i="23"/>
  <c r="K308" i="23" s="1"/>
  <c r="J307" i="23"/>
  <c r="K307" i="23" s="1"/>
  <c r="J306" i="23"/>
  <c r="K306" i="23" s="1"/>
  <c r="J305" i="23"/>
  <c r="K305" i="23" s="1"/>
  <c r="J304" i="23"/>
  <c r="K304" i="23" s="1"/>
  <c r="J303" i="23"/>
  <c r="K303" i="23" s="1"/>
  <c r="J302" i="23"/>
  <c r="K302" i="23" s="1"/>
  <c r="J301" i="23"/>
  <c r="K301" i="23" s="1"/>
  <c r="J300" i="23"/>
  <c r="K300" i="23" s="1"/>
  <c r="J299" i="23"/>
  <c r="K299" i="23" s="1"/>
  <c r="J298" i="23"/>
  <c r="K298" i="23" s="1"/>
  <c r="J297" i="23"/>
  <c r="K297" i="23" s="1"/>
  <c r="J296" i="23"/>
  <c r="K296" i="23" s="1"/>
  <c r="J295" i="23"/>
  <c r="K295" i="23" s="1"/>
  <c r="J294" i="23"/>
  <c r="K294" i="23" s="1"/>
  <c r="J293" i="23"/>
  <c r="K293" i="23" s="1"/>
  <c r="J292" i="23"/>
  <c r="K292" i="23" s="1"/>
  <c r="J291" i="23"/>
  <c r="K291" i="23" s="1"/>
  <c r="J290" i="23"/>
  <c r="K290" i="23" s="1"/>
  <c r="J289" i="23"/>
  <c r="K289" i="23" s="1"/>
  <c r="J288" i="23"/>
  <c r="K288" i="23" s="1"/>
  <c r="J287" i="23"/>
  <c r="K287" i="23" s="1"/>
  <c r="J286" i="23"/>
  <c r="K286" i="23" s="1"/>
  <c r="J285" i="23"/>
  <c r="K285" i="23" s="1"/>
  <c r="J284" i="23"/>
  <c r="K284" i="23" s="1"/>
  <c r="J283" i="23"/>
  <c r="K283" i="23" s="1"/>
  <c r="J282" i="23"/>
  <c r="K282" i="23" s="1"/>
  <c r="J281" i="23"/>
  <c r="K281" i="23" s="1"/>
  <c r="J280" i="23"/>
  <c r="K280" i="23" s="1"/>
  <c r="J279" i="23"/>
  <c r="K279" i="23" s="1"/>
  <c r="J278" i="23"/>
  <c r="K278" i="23" s="1"/>
  <c r="J277" i="23"/>
  <c r="K277" i="23" s="1"/>
  <c r="J276" i="23"/>
  <c r="K276" i="23" s="1"/>
  <c r="J275" i="23"/>
  <c r="K275" i="23" s="1"/>
  <c r="J274" i="23"/>
  <c r="K274" i="23" s="1"/>
  <c r="J273" i="23"/>
  <c r="K273" i="23" s="1"/>
  <c r="J272" i="23"/>
  <c r="K272" i="23" s="1"/>
  <c r="J271" i="23"/>
  <c r="K271" i="23" s="1"/>
  <c r="J270" i="23"/>
  <c r="K270" i="23" s="1"/>
  <c r="J269" i="23"/>
  <c r="K269" i="23" s="1"/>
  <c r="J268" i="23"/>
  <c r="K268" i="23" s="1"/>
  <c r="J267" i="23"/>
  <c r="K267" i="23" s="1"/>
  <c r="J266" i="23"/>
  <c r="K266" i="23" s="1"/>
  <c r="J265" i="23"/>
  <c r="K265" i="23" s="1"/>
  <c r="J264" i="23"/>
  <c r="K264" i="23" s="1"/>
  <c r="J263" i="23"/>
  <c r="K263" i="23" s="1"/>
  <c r="J262" i="23"/>
  <c r="K262" i="23" s="1"/>
  <c r="J261" i="23"/>
  <c r="K261" i="23" s="1"/>
  <c r="J260" i="23"/>
  <c r="K260" i="23" s="1"/>
  <c r="J259" i="23"/>
  <c r="K259" i="23" s="1"/>
  <c r="J258" i="23"/>
  <c r="K258" i="23" s="1"/>
  <c r="J257" i="23"/>
  <c r="K257" i="23" s="1"/>
  <c r="J256" i="23"/>
  <c r="K256" i="23" s="1"/>
  <c r="J255" i="23"/>
  <c r="K255" i="23" s="1"/>
  <c r="J254" i="23"/>
  <c r="K254" i="23" s="1"/>
  <c r="J253" i="23"/>
  <c r="K253" i="23" s="1"/>
  <c r="J252" i="23"/>
  <c r="K252" i="23" s="1"/>
  <c r="J251" i="23"/>
  <c r="K251" i="23" s="1"/>
  <c r="J250" i="23"/>
  <c r="K250" i="23" s="1"/>
  <c r="J249" i="23"/>
  <c r="K249" i="23" s="1"/>
  <c r="J248" i="23"/>
  <c r="K248" i="23" s="1"/>
  <c r="J247" i="23"/>
  <c r="K247" i="23" s="1"/>
  <c r="J246" i="23"/>
  <c r="K246" i="23" s="1"/>
  <c r="J245" i="23"/>
  <c r="K245" i="23" s="1"/>
  <c r="J244" i="23"/>
  <c r="K244" i="23" s="1"/>
  <c r="J243" i="23"/>
  <c r="K243" i="23" s="1"/>
  <c r="J242" i="23"/>
  <c r="K242" i="23" s="1"/>
  <c r="J241" i="23"/>
  <c r="K241" i="23" s="1"/>
  <c r="J240" i="23"/>
  <c r="K240" i="23" s="1"/>
  <c r="J239" i="23"/>
  <c r="K239" i="23" s="1"/>
  <c r="J238" i="23"/>
  <c r="K238" i="23" s="1"/>
  <c r="J237" i="23"/>
  <c r="K237" i="23" s="1"/>
  <c r="J236" i="23"/>
  <c r="K236" i="23" s="1"/>
  <c r="J235" i="23"/>
  <c r="K235" i="23" s="1"/>
  <c r="J234" i="23"/>
  <c r="K234" i="23" s="1"/>
  <c r="J233" i="23"/>
  <c r="K233" i="23" s="1"/>
  <c r="J232" i="23"/>
  <c r="K232" i="23" s="1"/>
  <c r="J231" i="23"/>
  <c r="K231" i="23" s="1"/>
  <c r="J230" i="23"/>
  <c r="K230" i="23" s="1"/>
  <c r="J229" i="23"/>
  <c r="K229" i="23" s="1"/>
  <c r="J228" i="23"/>
  <c r="K228" i="23" s="1"/>
  <c r="J227" i="23"/>
  <c r="K227" i="23" s="1"/>
  <c r="J226" i="23"/>
  <c r="K226" i="23" s="1"/>
  <c r="J225" i="23"/>
  <c r="K225" i="23" s="1"/>
  <c r="J224" i="23"/>
  <c r="K224" i="23" s="1"/>
  <c r="J223" i="23"/>
  <c r="K223" i="23" s="1"/>
  <c r="J222" i="23"/>
  <c r="K222" i="23" s="1"/>
  <c r="J221" i="23"/>
  <c r="K221" i="23" s="1"/>
  <c r="J220" i="23"/>
  <c r="K220" i="23" s="1"/>
  <c r="J219" i="23"/>
  <c r="K219" i="23" s="1"/>
  <c r="J218" i="23"/>
  <c r="K218" i="23" s="1"/>
  <c r="J217" i="23"/>
  <c r="K217" i="23" s="1"/>
  <c r="J216" i="23"/>
  <c r="K216" i="23" s="1"/>
  <c r="J215" i="23"/>
  <c r="K215" i="23" s="1"/>
  <c r="J214" i="23"/>
  <c r="K214" i="23" s="1"/>
  <c r="J213" i="23"/>
  <c r="K213" i="23" s="1"/>
  <c r="J212" i="23"/>
  <c r="K212" i="23" s="1"/>
  <c r="J211" i="23"/>
  <c r="K211" i="23" s="1"/>
  <c r="J210" i="23"/>
  <c r="K210" i="23" s="1"/>
  <c r="J209" i="23"/>
  <c r="K209" i="23" s="1"/>
  <c r="J208" i="23"/>
  <c r="K208" i="23" s="1"/>
  <c r="J207" i="23"/>
  <c r="K207" i="23" s="1"/>
  <c r="J206" i="23"/>
  <c r="K206" i="23" s="1"/>
  <c r="J205" i="23"/>
  <c r="K205" i="23" s="1"/>
  <c r="J204" i="23"/>
  <c r="K204" i="23" s="1"/>
  <c r="J203" i="23"/>
  <c r="K203" i="23" s="1"/>
  <c r="J202" i="23"/>
  <c r="K202" i="23" s="1"/>
  <c r="J201" i="23"/>
  <c r="K201" i="23" s="1"/>
  <c r="J200" i="23"/>
  <c r="K200" i="23" s="1"/>
  <c r="J199" i="23"/>
  <c r="K199" i="23" s="1"/>
  <c r="J198" i="23"/>
  <c r="K198" i="23" s="1"/>
  <c r="J197" i="23"/>
  <c r="K197" i="23" s="1"/>
  <c r="J196" i="23"/>
  <c r="K196" i="23" s="1"/>
  <c r="J195" i="23"/>
  <c r="K195" i="23" s="1"/>
  <c r="J194" i="23"/>
  <c r="K194" i="23" s="1"/>
  <c r="J193" i="23"/>
  <c r="K193" i="23" s="1"/>
  <c r="J192" i="23"/>
  <c r="K192" i="23" s="1"/>
  <c r="J191" i="23"/>
  <c r="K191" i="23" s="1"/>
  <c r="J190" i="23"/>
  <c r="K190" i="23" s="1"/>
  <c r="J189" i="23"/>
  <c r="K189" i="23" s="1"/>
  <c r="J188" i="23"/>
  <c r="K188" i="23" s="1"/>
  <c r="J187" i="23"/>
  <c r="K187" i="23" s="1"/>
  <c r="J186" i="23"/>
  <c r="K186" i="23" s="1"/>
  <c r="J185" i="23"/>
  <c r="K185" i="23" s="1"/>
  <c r="J184" i="23"/>
  <c r="K184" i="23" s="1"/>
  <c r="J183" i="23"/>
  <c r="K183" i="23" s="1"/>
  <c r="J182" i="23"/>
  <c r="K182" i="23" s="1"/>
  <c r="J181" i="23"/>
  <c r="K181" i="23" s="1"/>
  <c r="J180" i="23"/>
  <c r="K180" i="23" s="1"/>
  <c r="J179" i="23"/>
  <c r="K179" i="23" s="1"/>
  <c r="J178" i="23"/>
  <c r="K178" i="23" s="1"/>
  <c r="J177" i="23"/>
  <c r="K177" i="23" s="1"/>
  <c r="J176" i="23"/>
  <c r="K176" i="23" s="1"/>
  <c r="J175" i="23"/>
  <c r="K175" i="23" s="1"/>
  <c r="J174" i="23"/>
  <c r="K174" i="23" s="1"/>
  <c r="J173" i="23"/>
  <c r="K173" i="23" s="1"/>
  <c r="J172" i="23"/>
  <c r="K172" i="23" s="1"/>
  <c r="J171" i="23"/>
  <c r="K171" i="23" s="1"/>
  <c r="J170" i="23"/>
  <c r="K170" i="23" s="1"/>
  <c r="J169" i="23"/>
  <c r="K169" i="23" s="1"/>
  <c r="J168" i="23"/>
  <c r="K168" i="23" s="1"/>
  <c r="J167" i="23"/>
  <c r="K167" i="23" s="1"/>
  <c r="J166" i="23"/>
  <c r="K166" i="23" s="1"/>
  <c r="J165" i="23"/>
  <c r="K165" i="23" s="1"/>
  <c r="J164" i="23"/>
  <c r="K164" i="23" s="1"/>
  <c r="J163" i="23"/>
  <c r="K163" i="23" s="1"/>
  <c r="J162" i="23"/>
  <c r="K162" i="23" s="1"/>
  <c r="J161" i="23"/>
  <c r="K161" i="23" s="1"/>
  <c r="J160" i="23"/>
  <c r="K160" i="23" s="1"/>
  <c r="J159" i="23"/>
  <c r="K159" i="23" s="1"/>
  <c r="J158" i="23"/>
  <c r="K158" i="23" s="1"/>
  <c r="J157" i="23"/>
  <c r="K157" i="23" s="1"/>
  <c r="J156" i="23"/>
  <c r="K156" i="23" s="1"/>
  <c r="J155" i="23"/>
  <c r="K155" i="23" s="1"/>
  <c r="J154" i="23"/>
  <c r="K154" i="23" s="1"/>
  <c r="J153" i="23"/>
  <c r="K153" i="23" s="1"/>
  <c r="J152" i="23"/>
  <c r="K152" i="23" s="1"/>
  <c r="J151" i="23"/>
  <c r="K151" i="23" s="1"/>
  <c r="J150" i="23"/>
  <c r="K150" i="23" s="1"/>
  <c r="J149" i="23"/>
  <c r="K149" i="23" s="1"/>
  <c r="J148" i="23"/>
  <c r="K148" i="23" s="1"/>
  <c r="J147" i="23"/>
  <c r="K147" i="23" s="1"/>
  <c r="J146" i="23"/>
  <c r="K146" i="23" s="1"/>
  <c r="J145" i="23"/>
  <c r="K145" i="23" s="1"/>
  <c r="J144" i="23"/>
  <c r="K144" i="23" s="1"/>
  <c r="J143" i="23"/>
  <c r="K143" i="23" s="1"/>
  <c r="J142" i="23"/>
  <c r="K142" i="23" s="1"/>
  <c r="J141" i="23"/>
  <c r="K141" i="23" s="1"/>
  <c r="J140" i="23"/>
  <c r="K140" i="23" s="1"/>
  <c r="J139" i="23"/>
  <c r="K139" i="23" s="1"/>
  <c r="J138" i="23"/>
  <c r="J137" i="23"/>
  <c r="K137" i="23" s="1"/>
  <c r="J136" i="23"/>
  <c r="J135" i="23"/>
  <c r="J134" i="23"/>
  <c r="J133" i="23"/>
  <c r="J132" i="23"/>
  <c r="J131" i="23"/>
  <c r="J130" i="23"/>
  <c r="J129" i="23"/>
  <c r="J128" i="23"/>
  <c r="J127" i="23"/>
  <c r="J126" i="23"/>
  <c r="J125" i="23"/>
  <c r="J124" i="23"/>
  <c r="J123" i="23"/>
  <c r="J122" i="23"/>
  <c r="J121" i="23"/>
  <c r="J120" i="23"/>
  <c r="J119" i="23"/>
  <c r="J118" i="23"/>
  <c r="J117" i="23"/>
  <c r="J116" i="23"/>
  <c r="J115" i="23"/>
  <c r="J114" i="23"/>
  <c r="J113" i="23"/>
  <c r="J112" i="23"/>
  <c r="K112" i="23" s="1"/>
  <c r="J111" i="23"/>
  <c r="K111" i="23" s="1"/>
  <c r="J110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J97" i="23"/>
  <c r="J96" i="23"/>
  <c r="J95" i="23"/>
  <c r="J94" i="23"/>
  <c r="J93" i="23"/>
  <c r="J92" i="23"/>
  <c r="J91" i="23"/>
  <c r="J90" i="23"/>
  <c r="J89" i="23"/>
  <c r="J88" i="23"/>
  <c r="J87" i="23"/>
  <c r="J86" i="23"/>
  <c r="J85" i="23"/>
  <c r="J84" i="23"/>
  <c r="J83" i="23"/>
  <c r="J82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K68" i="23" s="1"/>
  <c r="J67" i="23"/>
  <c r="K67" i="23" s="1"/>
  <c r="J66" i="23"/>
  <c r="K66" i="23" s="1"/>
  <c r="J65" i="23"/>
  <c r="K65" i="23" s="1"/>
  <c r="J64" i="23"/>
  <c r="K64" i="23" s="1"/>
  <c r="J63" i="23"/>
  <c r="K63" i="23" s="1"/>
  <c r="J62" i="23"/>
  <c r="K62" i="23" s="1"/>
  <c r="J61" i="23"/>
  <c r="K61" i="23" s="1"/>
  <c r="J60" i="23"/>
  <c r="K60" i="23" s="1"/>
  <c r="J59" i="23"/>
  <c r="K59" i="23" s="1"/>
  <c r="J58" i="23"/>
  <c r="K58" i="23" s="1"/>
  <c r="J57" i="23"/>
  <c r="K57" i="23" s="1"/>
  <c r="J56" i="23"/>
  <c r="K56" i="23" s="1"/>
  <c r="J55" i="23"/>
  <c r="K55" i="23" s="1"/>
  <c r="J54" i="23"/>
  <c r="K54" i="23" s="1"/>
  <c r="J53" i="23"/>
  <c r="K53" i="23" s="1"/>
  <c r="J52" i="23"/>
  <c r="K52" i="23" s="1"/>
  <c r="J51" i="23"/>
  <c r="K51" i="23" s="1"/>
  <c r="J50" i="23"/>
  <c r="K50" i="23" s="1"/>
  <c r="J49" i="23"/>
  <c r="K49" i="23" s="1"/>
  <c r="J48" i="23"/>
  <c r="K48" i="23" s="1"/>
  <c r="J47" i="23"/>
  <c r="K47" i="23" s="1"/>
  <c r="J46" i="23"/>
  <c r="K46" i="23" s="1"/>
  <c r="J45" i="23"/>
  <c r="K45" i="23" s="1"/>
  <c r="J44" i="23"/>
  <c r="K44" i="23" s="1"/>
  <c r="J43" i="23"/>
  <c r="K43" i="23" s="1"/>
  <c r="J42" i="23"/>
  <c r="K42" i="23" s="1"/>
  <c r="J41" i="23"/>
  <c r="K41" i="23" s="1"/>
  <c r="J40" i="23"/>
  <c r="K40" i="23" s="1"/>
  <c r="J39" i="23"/>
  <c r="K39" i="23" s="1"/>
  <c r="J38" i="23"/>
  <c r="K38" i="23" s="1"/>
  <c r="J37" i="23"/>
  <c r="K37" i="23" s="1"/>
  <c r="J36" i="23"/>
  <c r="K36" i="23" s="1"/>
  <c r="J35" i="23"/>
  <c r="K35" i="23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J9" i="23"/>
  <c r="K9" i="23" s="1"/>
  <c r="J8" i="23"/>
  <c r="K8" i="23" s="1"/>
  <c r="J7" i="23"/>
  <c r="K7" i="23" s="1"/>
  <c r="G372" i="23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H359" i="23"/>
  <c r="G359" i="23"/>
  <c r="G358" i="23"/>
  <c r="G357" i="23"/>
  <c r="G356" i="23"/>
  <c r="H355" i="23"/>
  <c r="G355" i="23"/>
  <c r="G354" i="23"/>
  <c r="G353" i="23"/>
  <c r="G352" i="23"/>
  <c r="G351" i="23"/>
  <c r="H350" i="23"/>
  <c r="G350" i="23"/>
  <c r="G349" i="23"/>
  <c r="G348" i="23"/>
  <c r="H347" i="23"/>
  <c r="G347" i="23"/>
  <c r="G346" i="23"/>
  <c r="G345" i="23"/>
  <c r="G344" i="23"/>
  <c r="G343" i="23"/>
  <c r="G342" i="23"/>
  <c r="G341" i="23"/>
  <c r="G340" i="23"/>
  <c r="G339" i="23"/>
  <c r="G338" i="23"/>
  <c r="G337" i="23"/>
  <c r="G336" i="23"/>
  <c r="H335" i="23"/>
  <c r="G335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H308" i="23"/>
  <c r="G308" i="23"/>
  <c r="H307" i="23"/>
  <c r="G307" i="23"/>
  <c r="H306" i="23"/>
  <c r="G306" i="23"/>
  <c r="H305" i="23"/>
  <c r="G305" i="23"/>
  <c r="H304" i="23"/>
  <c r="G304" i="23"/>
  <c r="H303" i="23"/>
  <c r="G303" i="23"/>
  <c r="H302" i="23"/>
  <c r="G302" i="23"/>
  <c r="H301" i="23"/>
  <c r="G301" i="23"/>
  <c r="H300" i="23"/>
  <c r="G300" i="23"/>
  <c r="H299" i="23"/>
  <c r="G299" i="23"/>
  <c r="H298" i="23"/>
  <c r="G298" i="23"/>
  <c r="H297" i="23"/>
  <c r="G297" i="23"/>
  <c r="H296" i="23"/>
  <c r="G296" i="23"/>
  <c r="H295" i="23"/>
  <c r="G295" i="23"/>
  <c r="H294" i="23"/>
  <c r="G294" i="23"/>
  <c r="H293" i="23"/>
  <c r="G293" i="23"/>
  <c r="H292" i="23"/>
  <c r="G292" i="23"/>
  <c r="H291" i="23"/>
  <c r="G291" i="23"/>
  <c r="H290" i="23"/>
  <c r="G290" i="23"/>
  <c r="H289" i="23"/>
  <c r="G289" i="23"/>
  <c r="H288" i="23"/>
  <c r="G288" i="23"/>
  <c r="H287" i="23"/>
  <c r="G287" i="23"/>
  <c r="H286" i="23"/>
  <c r="G286" i="23"/>
  <c r="H285" i="23"/>
  <c r="G285" i="23"/>
  <c r="H284" i="23"/>
  <c r="G284" i="23"/>
  <c r="H283" i="23"/>
  <c r="G283" i="23"/>
  <c r="H282" i="23"/>
  <c r="G282" i="23"/>
  <c r="H281" i="23"/>
  <c r="G281" i="23"/>
  <c r="H280" i="23"/>
  <c r="G280" i="23"/>
  <c r="H279" i="23"/>
  <c r="G279" i="23"/>
  <c r="H278" i="23"/>
  <c r="G278" i="23"/>
  <c r="H277" i="23"/>
  <c r="G277" i="23"/>
  <c r="H276" i="23"/>
  <c r="G276" i="23"/>
  <c r="H275" i="23"/>
  <c r="G275" i="23"/>
  <c r="H274" i="23"/>
  <c r="G274" i="23"/>
  <c r="H273" i="23"/>
  <c r="G273" i="23"/>
  <c r="H272" i="23"/>
  <c r="G272" i="23"/>
  <c r="H271" i="23"/>
  <c r="G271" i="23"/>
  <c r="H270" i="23"/>
  <c r="G270" i="23"/>
  <c r="H269" i="23"/>
  <c r="G269" i="23"/>
  <c r="H268" i="23"/>
  <c r="G268" i="23"/>
  <c r="C268" i="23"/>
  <c r="H267" i="23"/>
  <c r="G267" i="23"/>
  <c r="C267" i="23"/>
  <c r="H266" i="23"/>
  <c r="G266" i="23"/>
  <c r="C266" i="23"/>
  <c r="H265" i="23"/>
  <c r="G265" i="23"/>
  <c r="C265" i="23"/>
  <c r="H264" i="23"/>
  <c r="G264" i="23"/>
  <c r="C264" i="23"/>
  <c r="H263" i="23"/>
  <c r="G263" i="23"/>
  <c r="C263" i="23"/>
  <c r="H262" i="23"/>
  <c r="G262" i="23"/>
  <c r="C262" i="23"/>
  <c r="H261" i="23"/>
  <c r="G261" i="23"/>
  <c r="C261" i="23"/>
  <c r="H260" i="23"/>
  <c r="G260" i="23"/>
  <c r="C260" i="23"/>
  <c r="H259" i="23"/>
  <c r="G259" i="23"/>
  <c r="C259" i="23"/>
  <c r="H258" i="23"/>
  <c r="G258" i="23"/>
  <c r="C258" i="23"/>
  <c r="H257" i="23"/>
  <c r="G257" i="23"/>
  <c r="C257" i="23"/>
  <c r="H256" i="23"/>
  <c r="G256" i="23"/>
  <c r="C256" i="23"/>
  <c r="H255" i="23"/>
  <c r="G255" i="23"/>
  <c r="C255" i="23"/>
  <c r="H254" i="23"/>
  <c r="G254" i="23"/>
  <c r="C254" i="23"/>
  <c r="H253" i="23"/>
  <c r="G253" i="23"/>
  <c r="C253" i="23"/>
  <c r="H252" i="23"/>
  <c r="G252" i="23"/>
  <c r="C252" i="23"/>
  <c r="H251" i="23"/>
  <c r="G251" i="23"/>
  <c r="C251" i="23"/>
  <c r="H250" i="23"/>
  <c r="G250" i="23"/>
  <c r="C250" i="23"/>
  <c r="H249" i="23"/>
  <c r="G249" i="23"/>
  <c r="C249" i="23"/>
  <c r="H248" i="23"/>
  <c r="G248" i="23"/>
  <c r="C248" i="23"/>
  <c r="H247" i="23"/>
  <c r="G247" i="23"/>
  <c r="C247" i="23"/>
  <c r="H246" i="23"/>
  <c r="G246" i="23"/>
  <c r="C246" i="23"/>
  <c r="H245" i="23"/>
  <c r="G245" i="23"/>
  <c r="C245" i="23"/>
  <c r="H244" i="23"/>
  <c r="G244" i="23"/>
  <c r="C244" i="23"/>
  <c r="H243" i="23"/>
  <c r="G243" i="23"/>
  <c r="C243" i="23"/>
  <c r="H242" i="23"/>
  <c r="G242" i="23"/>
  <c r="C242" i="23"/>
  <c r="H241" i="23"/>
  <c r="G241" i="23"/>
  <c r="C241" i="23"/>
  <c r="H240" i="23"/>
  <c r="G240" i="23"/>
  <c r="C240" i="23"/>
  <c r="H239" i="23"/>
  <c r="G239" i="23"/>
  <c r="C239" i="23"/>
  <c r="H238" i="23"/>
  <c r="G238" i="23"/>
  <c r="C238" i="23"/>
  <c r="H237" i="23"/>
  <c r="G237" i="23"/>
  <c r="C237" i="23"/>
  <c r="H236" i="23"/>
  <c r="G236" i="23"/>
  <c r="C236" i="23"/>
  <c r="H235" i="23"/>
  <c r="G235" i="23"/>
  <c r="C235" i="23"/>
  <c r="H234" i="23"/>
  <c r="G234" i="23"/>
  <c r="C234" i="23"/>
  <c r="H233" i="23"/>
  <c r="G233" i="23"/>
  <c r="C233" i="23"/>
  <c r="H232" i="23"/>
  <c r="G232" i="23"/>
  <c r="C232" i="23"/>
  <c r="H231" i="23"/>
  <c r="G231" i="23"/>
  <c r="C231" i="23"/>
  <c r="H230" i="23"/>
  <c r="G230" i="23"/>
  <c r="C230" i="23"/>
  <c r="H229" i="23"/>
  <c r="G229" i="23"/>
  <c r="C229" i="23"/>
  <c r="H228" i="23"/>
  <c r="G228" i="23"/>
  <c r="C228" i="23"/>
  <c r="H227" i="23"/>
  <c r="G227" i="23"/>
  <c r="C227" i="23"/>
  <c r="H226" i="23"/>
  <c r="G226" i="23"/>
  <c r="C226" i="23"/>
  <c r="H225" i="23"/>
  <c r="G225" i="23"/>
  <c r="C225" i="23"/>
  <c r="H224" i="23"/>
  <c r="G224" i="23"/>
  <c r="C224" i="23"/>
  <c r="H223" i="23"/>
  <c r="G223" i="23"/>
  <c r="C223" i="23"/>
  <c r="H222" i="23"/>
  <c r="G222" i="23"/>
  <c r="C222" i="23"/>
  <c r="H221" i="23"/>
  <c r="G221" i="23"/>
  <c r="C221" i="23"/>
  <c r="H220" i="23"/>
  <c r="G220" i="23"/>
  <c r="C220" i="23"/>
  <c r="H219" i="23"/>
  <c r="G219" i="23"/>
  <c r="C219" i="23"/>
  <c r="H218" i="23"/>
  <c r="G218" i="23"/>
  <c r="C218" i="23"/>
  <c r="H217" i="23"/>
  <c r="G217" i="23"/>
  <c r="C217" i="23"/>
  <c r="H216" i="23"/>
  <c r="G216" i="23"/>
  <c r="C216" i="23"/>
  <c r="H215" i="23"/>
  <c r="G215" i="23"/>
  <c r="C215" i="23"/>
  <c r="H214" i="23"/>
  <c r="G214" i="23"/>
  <c r="C214" i="23"/>
  <c r="H213" i="23"/>
  <c r="G213" i="23"/>
  <c r="C213" i="23"/>
  <c r="H212" i="23"/>
  <c r="G212" i="23"/>
  <c r="C212" i="23"/>
  <c r="H211" i="23"/>
  <c r="G211" i="23"/>
  <c r="C211" i="23"/>
  <c r="H210" i="23"/>
  <c r="G210" i="23"/>
  <c r="C210" i="23"/>
  <c r="H209" i="23"/>
  <c r="G209" i="23"/>
  <c r="C209" i="23"/>
  <c r="H208" i="23"/>
  <c r="G208" i="23"/>
  <c r="C208" i="23"/>
  <c r="H207" i="23"/>
  <c r="G207" i="23"/>
  <c r="C207" i="23"/>
  <c r="H206" i="23"/>
  <c r="G206" i="23"/>
  <c r="C206" i="23"/>
  <c r="H205" i="23"/>
  <c r="G205" i="23"/>
  <c r="C205" i="23"/>
  <c r="H204" i="23"/>
  <c r="G204" i="23"/>
  <c r="C204" i="23"/>
  <c r="H203" i="23"/>
  <c r="G203" i="23"/>
  <c r="C203" i="23"/>
  <c r="H202" i="23"/>
  <c r="G202" i="23"/>
  <c r="C202" i="23"/>
  <c r="H201" i="23"/>
  <c r="G201" i="23"/>
  <c r="C201" i="23"/>
  <c r="H200" i="23"/>
  <c r="G200" i="23"/>
  <c r="C200" i="23"/>
  <c r="H199" i="23"/>
  <c r="G199" i="23"/>
  <c r="C199" i="23"/>
  <c r="H198" i="23"/>
  <c r="G198" i="23"/>
  <c r="C198" i="23"/>
  <c r="H197" i="23"/>
  <c r="G197" i="23"/>
  <c r="C197" i="23"/>
  <c r="H196" i="23"/>
  <c r="G196" i="23"/>
  <c r="C196" i="23"/>
  <c r="H195" i="23"/>
  <c r="G195" i="23"/>
  <c r="C195" i="23"/>
  <c r="H194" i="23"/>
  <c r="G194" i="23"/>
  <c r="C194" i="23"/>
  <c r="H193" i="23"/>
  <c r="G193" i="23"/>
  <c r="C193" i="23"/>
  <c r="H192" i="23"/>
  <c r="G192" i="23"/>
  <c r="C192" i="23"/>
  <c r="H191" i="23"/>
  <c r="G191" i="23"/>
  <c r="C191" i="23"/>
  <c r="H190" i="23"/>
  <c r="G190" i="23"/>
  <c r="C190" i="23"/>
  <c r="H189" i="23"/>
  <c r="G189" i="23"/>
  <c r="C189" i="23"/>
  <c r="H188" i="23"/>
  <c r="G188" i="23"/>
  <c r="C188" i="23"/>
  <c r="H187" i="23"/>
  <c r="G187" i="23"/>
  <c r="C187" i="23"/>
  <c r="H186" i="23"/>
  <c r="G186" i="23"/>
  <c r="C186" i="23"/>
  <c r="H185" i="23"/>
  <c r="G185" i="23"/>
  <c r="C185" i="23"/>
  <c r="H184" i="23"/>
  <c r="G184" i="23"/>
  <c r="C184" i="23"/>
  <c r="H183" i="23"/>
  <c r="G183" i="23"/>
  <c r="C183" i="23"/>
  <c r="H182" i="23"/>
  <c r="G182" i="23"/>
  <c r="C182" i="23"/>
  <c r="H181" i="23"/>
  <c r="G181" i="23"/>
  <c r="C181" i="23"/>
  <c r="H180" i="23"/>
  <c r="G180" i="23"/>
  <c r="C180" i="23"/>
  <c r="H179" i="23"/>
  <c r="G179" i="23"/>
  <c r="C179" i="23"/>
  <c r="H178" i="23"/>
  <c r="G178" i="23"/>
  <c r="C178" i="23"/>
  <c r="H177" i="23"/>
  <c r="G177" i="23"/>
  <c r="C177" i="23"/>
  <c r="H176" i="23"/>
  <c r="G176" i="23"/>
  <c r="C176" i="23"/>
  <c r="H175" i="23"/>
  <c r="G175" i="23"/>
  <c r="C175" i="23"/>
  <c r="H174" i="23"/>
  <c r="G174" i="23"/>
  <c r="C174" i="23"/>
  <c r="H173" i="23"/>
  <c r="G173" i="23"/>
  <c r="C173" i="23"/>
  <c r="H172" i="23"/>
  <c r="G172" i="23"/>
  <c r="C172" i="23"/>
  <c r="H171" i="23"/>
  <c r="G171" i="23"/>
  <c r="C171" i="23"/>
  <c r="H170" i="23"/>
  <c r="G170" i="23"/>
  <c r="C170" i="23"/>
  <c r="H169" i="23"/>
  <c r="G169" i="23"/>
  <c r="C169" i="23"/>
  <c r="H168" i="23"/>
  <c r="G168" i="23"/>
  <c r="C168" i="23"/>
  <c r="H167" i="23"/>
  <c r="G167" i="23"/>
  <c r="C167" i="23"/>
  <c r="H166" i="23"/>
  <c r="G166" i="23"/>
  <c r="C166" i="23"/>
  <c r="H165" i="23"/>
  <c r="G165" i="23"/>
  <c r="C165" i="23"/>
  <c r="H164" i="23"/>
  <c r="G164" i="23"/>
  <c r="C164" i="23"/>
  <c r="H163" i="23"/>
  <c r="G163" i="23"/>
  <c r="C163" i="23"/>
  <c r="H162" i="23"/>
  <c r="G162" i="23"/>
  <c r="C162" i="23"/>
  <c r="H161" i="23"/>
  <c r="G161" i="23"/>
  <c r="C161" i="23"/>
  <c r="H160" i="23"/>
  <c r="G160" i="23"/>
  <c r="C160" i="23"/>
  <c r="H159" i="23"/>
  <c r="G159" i="23"/>
  <c r="C159" i="23"/>
  <c r="G158" i="23"/>
  <c r="G157" i="23"/>
  <c r="G156" i="23"/>
  <c r="G155" i="23"/>
  <c r="G154" i="23"/>
  <c r="C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H111" i="23"/>
  <c r="G111" i="23"/>
  <c r="G110" i="23"/>
  <c r="G109" i="23"/>
  <c r="G108" i="23"/>
  <c r="G107" i="23"/>
  <c r="G106" i="23"/>
  <c r="G105" i="23"/>
  <c r="G104" i="23"/>
  <c r="H103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H67" i="23"/>
  <c r="G67" i="23"/>
  <c r="C67" i="23"/>
  <c r="H66" i="23"/>
  <c r="G66" i="23"/>
  <c r="C66" i="23"/>
  <c r="H65" i="23"/>
  <c r="G65" i="23"/>
  <c r="C65" i="23"/>
  <c r="H64" i="23"/>
  <c r="G64" i="23"/>
  <c r="C64" i="23"/>
  <c r="H63" i="23"/>
  <c r="G63" i="23"/>
  <c r="C63" i="23"/>
  <c r="H62" i="23"/>
  <c r="G62" i="23"/>
  <c r="C62" i="23"/>
  <c r="H61" i="23"/>
  <c r="G61" i="23"/>
  <c r="C61" i="23"/>
  <c r="H60" i="23"/>
  <c r="G60" i="23"/>
  <c r="C60" i="23"/>
  <c r="H59" i="23"/>
  <c r="G59" i="23"/>
  <c r="C59" i="23"/>
  <c r="H58" i="23"/>
  <c r="G58" i="23"/>
  <c r="C58" i="23"/>
  <c r="H57" i="23"/>
  <c r="G57" i="23"/>
  <c r="C57" i="23"/>
  <c r="H56" i="23"/>
  <c r="G56" i="23"/>
  <c r="C56" i="23"/>
  <c r="H55" i="23"/>
  <c r="G55" i="23"/>
  <c r="C55" i="23"/>
  <c r="H54" i="23"/>
  <c r="G54" i="23"/>
  <c r="C54" i="23"/>
  <c r="H53" i="23"/>
  <c r="G53" i="23"/>
  <c r="C53" i="23"/>
  <c r="H52" i="23"/>
  <c r="G52" i="23"/>
  <c r="C52" i="23"/>
  <c r="H51" i="23"/>
  <c r="G51" i="23"/>
  <c r="C51" i="23"/>
  <c r="H50" i="23"/>
  <c r="G50" i="23"/>
  <c r="C50" i="23"/>
  <c r="H49" i="23"/>
  <c r="G49" i="23"/>
  <c r="C49" i="23"/>
  <c r="H48" i="23"/>
  <c r="G48" i="23"/>
  <c r="C48" i="23"/>
  <c r="H47" i="23"/>
  <c r="G47" i="23"/>
  <c r="C47" i="23"/>
  <c r="H46" i="23"/>
  <c r="G46" i="23"/>
  <c r="C46" i="23"/>
  <c r="H45" i="23"/>
  <c r="G45" i="23"/>
  <c r="C45" i="23"/>
  <c r="H44" i="23"/>
  <c r="G44" i="23"/>
  <c r="C44" i="23"/>
  <c r="H43" i="23"/>
  <c r="G43" i="23"/>
  <c r="C43" i="23"/>
  <c r="H42" i="23"/>
  <c r="G42" i="23"/>
  <c r="C42" i="23"/>
  <c r="H41" i="23"/>
  <c r="G41" i="23"/>
  <c r="C41" i="23"/>
  <c r="H40" i="23"/>
  <c r="G40" i="23"/>
  <c r="C40" i="23"/>
  <c r="H39" i="23"/>
  <c r="G39" i="23"/>
  <c r="C39" i="23"/>
  <c r="H38" i="23"/>
  <c r="G38" i="23"/>
  <c r="C38" i="23"/>
  <c r="H37" i="23"/>
  <c r="G37" i="23"/>
  <c r="C37" i="23"/>
  <c r="H36" i="23"/>
  <c r="G36" i="23"/>
  <c r="C36" i="23"/>
  <c r="H35" i="23"/>
  <c r="G35" i="23"/>
  <c r="C35" i="23"/>
  <c r="H34" i="23"/>
  <c r="G34" i="23"/>
  <c r="C34" i="23"/>
  <c r="H33" i="23"/>
  <c r="G33" i="23"/>
  <c r="C33" i="23"/>
  <c r="H32" i="23"/>
  <c r="G32" i="23"/>
  <c r="C32" i="23"/>
  <c r="H31" i="23"/>
  <c r="G31" i="23"/>
  <c r="C31" i="23"/>
  <c r="H30" i="23"/>
  <c r="G30" i="23"/>
  <c r="C30" i="23"/>
  <c r="H29" i="23"/>
  <c r="G29" i="23"/>
  <c r="C29" i="23"/>
  <c r="H28" i="23"/>
  <c r="G28" i="23"/>
  <c r="C28" i="23"/>
  <c r="H27" i="23"/>
  <c r="G27" i="23"/>
  <c r="C27" i="23"/>
  <c r="H26" i="23"/>
  <c r="G26" i="23"/>
  <c r="C26" i="23"/>
  <c r="H25" i="23"/>
  <c r="G25" i="23"/>
  <c r="C25" i="23"/>
  <c r="H24" i="23"/>
  <c r="G24" i="23"/>
  <c r="C24" i="23"/>
  <c r="H23" i="23"/>
  <c r="G23" i="23"/>
  <c r="C23" i="23"/>
  <c r="H22" i="23"/>
  <c r="G22" i="23"/>
  <c r="C22" i="23"/>
  <c r="H21" i="23"/>
  <c r="G21" i="23"/>
  <c r="C21" i="23"/>
  <c r="H20" i="23"/>
  <c r="G20" i="23"/>
  <c r="C20" i="23"/>
  <c r="H19" i="23"/>
  <c r="G19" i="23"/>
  <c r="C19" i="23"/>
  <c r="H18" i="23"/>
  <c r="G18" i="23"/>
  <c r="C18" i="23"/>
  <c r="H17" i="23"/>
  <c r="G17" i="23"/>
  <c r="C17" i="23"/>
  <c r="H16" i="23"/>
  <c r="G16" i="23"/>
  <c r="C16" i="23"/>
  <c r="H15" i="23"/>
  <c r="G15" i="23"/>
  <c r="C15" i="23"/>
  <c r="H14" i="23"/>
  <c r="G14" i="23"/>
  <c r="C14" i="23"/>
  <c r="H13" i="23"/>
  <c r="G13" i="23"/>
  <c r="C13" i="23"/>
  <c r="H12" i="23"/>
  <c r="G12" i="23"/>
  <c r="C12" i="23"/>
  <c r="H11" i="23"/>
  <c r="G11" i="23"/>
  <c r="C11" i="23"/>
  <c r="H10" i="23"/>
  <c r="G10" i="23"/>
  <c r="C10" i="23"/>
  <c r="H9" i="23"/>
  <c r="G9" i="23"/>
  <c r="C9" i="23"/>
  <c r="H8" i="23"/>
  <c r="G8" i="23"/>
  <c r="C8" i="23"/>
  <c r="G7" i="23"/>
  <c r="H7" i="23"/>
  <c r="I8" i="23" s="1"/>
  <c r="C7" i="23"/>
  <c r="Q6" i="23"/>
  <c r="R6" i="23"/>
  <c r="BX400" i="1"/>
  <c r="BX399" i="1"/>
  <c r="BX398" i="1"/>
  <c r="BX397" i="1"/>
  <c r="BX396" i="1"/>
  <c r="BX395" i="1"/>
  <c r="BX394" i="1"/>
  <c r="BX393" i="1"/>
  <c r="BX392" i="1"/>
  <c r="BX391" i="1"/>
  <c r="BX390" i="1"/>
  <c r="BX389" i="1"/>
  <c r="BT396" i="1"/>
  <c r="BT395" i="1"/>
  <c r="BT394" i="1"/>
  <c r="BT390" i="1"/>
  <c r="BT389" i="1"/>
  <c r="BV396" i="1"/>
  <c r="BV395" i="1"/>
  <c r="BV394" i="1"/>
  <c r="BV390" i="1"/>
  <c r="BV389" i="1"/>
  <c r="BO396" i="1"/>
  <c r="BO395" i="1"/>
  <c r="BO394" i="1"/>
  <c r="BO390" i="1"/>
  <c r="BO389" i="1"/>
  <c r="BF397" i="1"/>
  <c r="BF396" i="1"/>
  <c r="BF395" i="1"/>
  <c r="BF394" i="1"/>
  <c r="BF390" i="1"/>
  <c r="BF389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V387" i="1"/>
  <c r="W387" i="1"/>
  <c r="X387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P387" i="1"/>
  <c r="Q387" i="1"/>
  <c r="R387" i="1"/>
  <c r="S387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L387" i="1"/>
  <c r="M387" i="1"/>
  <c r="N387" i="1"/>
  <c r="BX387" i="1"/>
  <c r="BX386" i="1"/>
  <c r="BX385" i="1"/>
  <c r="BX384" i="1"/>
  <c r="BX383" i="1"/>
  <c r="BX382" i="1"/>
  <c r="BX381" i="1"/>
  <c r="BX380" i="1"/>
  <c r="BX379" i="1"/>
  <c r="BX378" i="1"/>
  <c r="BX377" i="1"/>
  <c r="BX376" i="1"/>
  <c r="BF384" i="1"/>
  <c r="BF377" i="1"/>
  <c r="BF376" i="1"/>
  <c r="BW383" i="1"/>
  <c r="BT383" i="1"/>
  <c r="BW382" i="1"/>
  <c r="BT382" i="1"/>
  <c r="BW381" i="1"/>
  <c r="BT381" i="1"/>
  <c r="BW377" i="1"/>
  <c r="BT377" i="1"/>
  <c r="BW376" i="1"/>
  <c r="BT376" i="1"/>
  <c r="AD376" i="1"/>
  <c r="AE376" i="1"/>
  <c r="AF376" i="1"/>
  <c r="AG376" i="1"/>
  <c r="AH376" i="1"/>
  <c r="AI376" i="1"/>
  <c r="AJ376" i="1"/>
  <c r="AK376" i="1"/>
  <c r="AL376" i="1"/>
  <c r="AD377" i="1"/>
  <c r="AE377" i="1"/>
  <c r="AF377" i="1"/>
  <c r="AG377" i="1"/>
  <c r="AH377" i="1"/>
  <c r="AI377" i="1"/>
  <c r="AJ377" i="1"/>
  <c r="AK377" i="1"/>
  <c r="AL377" i="1"/>
  <c r="AD378" i="1"/>
  <c r="AE378" i="1"/>
  <c r="AF378" i="1"/>
  <c r="AG378" i="1"/>
  <c r="AH378" i="1"/>
  <c r="AI378" i="1"/>
  <c r="AJ378" i="1"/>
  <c r="AK378" i="1"/>
  <c r="AL378" i="1"/>
  <c r="AD379" i="1"/>
  <c r="AE379" i="1"/>
  <c r="AF379" i="1"/>
  <c r="AG379" i="1"/>
  <c r="AH379" i="1"/>
  <c r="AI379" i="1"/>
  <c r="AJ379" i="1"/>
  <c r="AK379" i="1"/>
  <c r="AL379" i="1"/>
  <c r="AD380" i="1"/>
  <c r="AE380" i="1"/>
  <c r="AF380" i="1"/>
  <c r="AG380" i="1"/>
  <c r="AH380" i="1"/>
  <c r="AI380" i="1"/>
  <c r="AJ380" i="1"/>
  <c r="AK380" i="1"/>
  <c r="AL380" i="1"/>
  <c r="AD381" i="1"/>
  <c r="AE381" i="1"/>
  <c r="AF381" i="1"/>
  <c r="AG381" i="1"/>
  <c r="AH381" i="1"/>
  <c r="AI381" i="1"/>
  <c r="AJ381" i="1"/>
  <c r="AK381" i="1"/>
  <c r="AL381" i="1"/>
  <c r="AD382" i="1"/>
  <c r="AE382" i="1"/>
  <c r="AF382" i="1"/>
  <c r="AG382" i="1"/>
  <c r="AH382" i="1"/>
  <c r="AI382" i="1"/>
  <c r="AJ382" i="1"/>
  <c r="AK382" i="1"/>
  <c r="AL382" i="1"/>
  <c r="AD383" i="1"/>
  <c r="AE383" i="1"/>
  <c r="AF383" i="1"/>
  <c r="AG383" i="1"/>
  <c r="AH383" i="1"/>
  <c r="AI383" i="1"/>
  <c r="AJ383" i="1"/>
  <c r="AK383" i="1"/>
  <c r="AL383" i="1"/>
  <c r="AD384" i="1"/>
  <c r="AE384" i="1"/>
  <c r="AF384" i="1"/>
  <c r="AG384" i="1"/>
  <c r="AH384" i="1"/>
  <c r="AI384" i="1"/>
  <c r="AJ384" i="1"/>
  <c r="AK384" i="1"/>
  <c r="AL384" i="1"/>
  <c r="AD385" i="1"/>
  <c r="AE385" i="1"/>
  <c r="AF385" i="1"/>
  <c r="AG385" i="1"/>
  <c r="AH385" i="1"/>
  <c r="AI385" i="1"/>
  <c r="AJ385" i="1"/>
  <c r="AK385" i="1"/>
  <c r="AL385" i="1"/>
  <c r="AD386" i="1"/>
  <c r="AE386" i="1"/>
  <c r="AF386" i="1"/>
  <c r="AG386" i="1"/>
  <c r="AH386" i="1"/>
  <c r="AI386" i="1"/>
  <c r="AJ386" i="1"/>
  <c r="AK386" i="1"/>
  <c r="AL386" i="1"/>
  <c r="AD387" i="1"/>
  <c r="AE387" i="1"/>
  <c r="AF387" i="1"/>
  <c r="AG387" i="1"/>
  <c r="AH387" i="1"/>
  <c r="AI387" i="1"/>
  <c r="AJ387" i="1"/>
  <c r="AK387" i="1"/>
  <c r="AL387" i="1"/>
  <c r="BP396" i="1"/>
  <c r="BP395" i="1"/>
  <c r="BP394" i="1"/>
  <c r="BP390" i="1"/>
  <c r="BP389" i="1"/>
  <c r="BP383" i="1"/>
  <c r="BO383" i="1"/>
  <c r="BL383" i="1"/>
  <c r="BV383" i="1"/>
  <c r="BP382" i="1"/>
  <c r="BO382" i="1"/>
  <c r="BL382" i="1"/>
  <c r="BV382" i="1"/>
  <c r="BP381" i="1"/>
  <c r="BO381" i="1"/>
  <c r="BL381" i="1"/>
  <c r="BV381" i="1"/>
  <c r="BP377" i="1"/>
  <c r="BO377" i="1"/>
  <c r="BL377" i="1"/>
  <c r="BV377" i="1"/>
  <c r="BP376" i="1"/>
  <c r="BO376" i="1"/>
  <c r="BL376" i="1"/>
  <c r="BV376" i="1"/>
  <c r="AQ400" i="1"/>
  <c r="AP400" i="1"/>
  <c r="AO400" i="1"/>
  <c r="AL400" i="1"/>
  <c r="AK400" i="1"/>
  <c r="AJ400" i="1"/>
  <c r="AI400" i="1"/>
  <c r="AH400" i="1"/>
  <c r="AG400" i="1"/>
  <c r="AF400" i="1"/>
  <c r="AE400" i="1"/>
  <c r="AD400" i="1"/>
  <c r="AA400" i="1"/>
  <c r="X400" i="1"/>
  <c r="W400" i="1"/>
  <c r="V400" i="1"/>
  <c r="U400" i="1"/>
  <c r="T400" i="1"/>
  <c r="S400" i="1"/>
  <c r="R400" i="1"/>
  <c r="Q400" i="1"/>
  <c r="N400" i="1"/>
  <c r="M400" i="1"/>
  <c r="L400" i="1"/>
  <c r="I400" i="1"/>
  <c r="H400" i="1"/>
  <c r="G400" i="1"/>
  <c r="F400" i="1"/>
  <c r="E400" i="1"/>
  <c r="D400" i="1"/>
  <c r="C400" i="1"/>
  <c r="AQ399" i="1"/>
  <c r="AP399" i="1"/>
  <c r="AO399" i="1"/>
  <c r="AL399" i="1"/>
  <c r="AK399" i="1"/>
  <c r="AJ399" i="1"/>
  <c r="AI399" i="1"/>
  <c r="AH399" i="1"/>
  <c r="AG399" i="1"/>
  <c r="AF399" i="1"/>
  <c r="AE399" i="1"/>
  <c r="AD399" i="1"/>
  <c r="AA399" i="1"/>
  <c r="X399" i="1"/>
  <c r="W399" i="1"/>
  <c r="V399" i="1"/>
  <c r="U399" i="1"/>
  <c r="T399" i="1"/>
  <c r="S399" i="1"/>
  <c r="R399" i="1"/>
  <c r="Q399" i="1"/>
  <c r="N399" i="1"/>
  <c r="M399" i="1"/>
  <c r="L399" i="1"/>
  <c r="I399" i="1"/>
  <c r="H399" i="1"/>
  <c r="G399" i="1"/>
  <c r="F399" i="1"/>
  <c r="E399" i="1"/>
  <c r="D399" i="1"/>
  <c r="C399" i="1"/>
  <c r="AQ398" i="1"/>
  <c r="AP398" i="1"/>
  <c r="AO398" i="1"/>
  <c r="AL398" i="1"/>
  <c r="AK398" i="1"/>
  <c r="AJ398" i="1"/>
  <c r="AI398" i="1"/>
  <c r="AH398" i="1"/>
  <c r="AG398" i="1"/>
  <c r="AF398" i="1"/>
  <c r="AE398" i="1"/>
  <c r="AD398" i="1"/>
  <c r="AA398" i="1"/>
  <c r="X398" i="1"/>
  <c r="W398" i="1"/>
  <c r="V398" i="1"/>
  <c r="U398" i="1"/>
  <c r="T398" i="1"/>
  <c r="S398" i="1"/>
  <c r="R398" i="1"/>
  <c r="Q398" i="1"/>
  <c r="N398" i="1"/>
  <c r="M398" i="1"/>
  <c r="L398" i="1"/>
  <c r="I398" i="1"/>
  <c r="H398" i="1"/>
  <c r="G398" i="1"/>
  <c r="F398" i="1"/>
  <c r="E398" i="1"/>
  <c r="D398" i="1"/>
  <c r="C398" i="1"/>
  <c r="AQ397" i="1"/>
  <c r="AP397" i="1"/>
  <c r="AO397" i="1"/>
  <c r="AL397" i="1"/>
  <c r="AK397" i="1"/>
  <c r="AJ397" i="1"/>
  <c r="AI397" i="1"/>
  <c r="AH397" i="1"/>
  <c r="AG397" i="1"/>
  <c r="AF397" i="1"/>
  <c r="AE397" i="1"/>
  <c r="AD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I397" i="1"/>
  <c r="H397" i="1"/>
  <c r="G397" i="1"/>
  <c r="F397" i="1"/>
  <c r="E397" i="1"/>
  <c r="D397" i="1"/>
  <c r="C397" i="1"/>
  <c r="AQ396" i="1"/>
  <c r="AP396" i="1"/>
  <c r="AO396" i="1"/>
  <c r="AL396" i="1"/>
  <c r="AK396" i="1"/>
  <c r="AJ396" i="1"/>
  <c r="AI396" i="1"/>
  <c r="AH396" i="1"/>
  <c r="AG396" i="1"/>
  <c r="AF396" i="1"/>
  <c r="AE396" i="1"/>
  <c r="AD396" i="1"/>
  <c r="AA396" i="1"/>
  <c r="X396" i="1"/>
  <c r="W396" i="1"/>
  <c r="V396" i="1"/>
  <c r="U396" i="1"/>
  <c r="T396" i="1"/>
  <c r="S396" i="1"/>
  <c r="R396" i="1"/>
  <c r="Q396" i="1"/>
  <c r="N396" i="1"/>
  <c r="M396" i="1"/>
  <c r="L396" i="1"/>
  <c r="I396" i="1"/>
  <c r="H396" i="1"/>
  <c r="G396" i="1"/>
  <c r="F396" i="1"/>
  <c r="E396" i="1"/>
  <c r="D396" i="1"/>
  <c r="C396" i="1"/>
  <c r="AQ395" i="1"/>
  <c r="AP395" i="1"/>
  <c r="AO395" i="1"/>
  <c r="AL395" i="1"/>
  <c r="AK395" i="1"/>
  <c r="AJ395" i="1"/>
  <c r="AI395" i="1"/>
  <c r="AH395" i="1"/>
  <c r="AG395" i="1"/>
  <c r="AF395" i="1"/>
  <c r="AE395" i="1"/>
  <c r="AD395" i="1"/>
  <c r="AA395" i="1"/>
  <c r="X395" i="1"/>
  <c r="W395" i="1"/>
  <c r="V395" i="1"/>
  <c r="U395" i="1"/>
  <c r="T395" i="1"/>
  <c r="S395" i="1"/>
  <c r="R395" i="1"/>
  <c r="Q395" i="1"/>
  <c r="N395" i="1"/>
  <c r="M395" i="1"/>
  <c r="L395" i="1"/>
  <c r="I395" i="1"/>
  <c r="H395" i="1"/>
  <c r="G395" i="1"/>
  <c r="F395" i="1"/>
  <c r="E395" i="1"/>
  <c r="D395" i="1"/>
  <c r="C395" i="1"/>
  <c r="AQ394" i="1"/>
  <c r="AP394" i="1"/>
  <c r="AO394" i="1"/>
  <c r="AL394" i="1"/>
  <c r="AK394" i="1"/>
  <c r="AJ394" i="1"/>
  <c r="AI394" i="1"/>
  <c r="AH394" i="1"/>
  <c r="AG394" i="1"/>
  <c r="AF394" i="1"/>
  <c r="AE394" i="1"/>
  <c r="AD394" i="1"/>
  <c r="AA394" i="1"/>
  <c r="X394" i="1"/>
  <c r="W394" i="1"/>
  <c r="V394" i="1"/>
  <c r="U394" i="1"/>
  <c r="T394" i="1"/>
  <c r="S394" i="1"/>
  <c r="R394" i="1"/>
  <c r="Q394" i="1"/>
  <c r="N394" i="1"/>
  <c r="M394" i="1"/>
  <c r="L394" i="1"/>
  <c r="I394" i="1"/>
  <c r="H394" i="1"/>
  <c r="G394" i="1"/>
  <c r="F394" i="1"/>
  <c r="E394" i="1"/>
  <c r="D394" i="1"/>
  <c r="C394" i="1"/>
  <c r="AQ393" i="1"/>
  <c r="AP393" i="1"/>
  <c r="AO393" i="1"/>
  <c r="AL393" i="1"/>
  <c r="AK393" i="1"/>
  <c r="AJ393" i="1"/>
  <c r="AI393" i="1"/>
  <c r="AH393" i="1"/>
  <c r="AG393" i="1"/>
  <c r="AF393" i="1"/>
  <c r="AE393" i="1"/>
  <c r="AD393" i="1"/>
  <c r="AA393" i="1"/>
  <c r="X393" i="1"/>
  <c r="W393" i="1"/>
  <c r="V393" i="1"/>
  <c r="U393" i="1"/>
  <c r="T393" i="1"/>
  <c r="S393" i="1"/>
  <c r="R393" i="1"/>
  <c r="Q393" i="1"/>
  <c r="N393" i="1"/>
  <c r="M393" i="1"/>
  <c r="L393" i="1"/>
  <c r="I393" i="1"/>
  <c r="H393" i="1"/>
  <c r="G393" i="1"/>
  <c r="F393" i="1"/>
  <c r="E393" i="1"/>
  <c r="D393" i="1"/>
  <c r="C393" i="1"/>
  <c r="AQ392" i="1"/>
  <c r="AP392" i="1"/>
  <c r="AO392" i="1"/>
  <c r="AL392" i="1"/>
  <c r="AK392" i="1"/>
  <c r="AJ392" i="1"/>
  <c r="AI392" i="1"/>
  <c r="AH392" i="1"/>
  <c r="AG392" i="1"/>
  <c r="AF392" i="1"/>
  <c r="AE392" i="1"/>
  <c r="AD392" i="1"/>
  <c r="AA392" i="1"/>
  <c r="X392" i="1"/>
  <c r="W392" i="1"/>
  <c r="V392" i="1"/>
  <c r="U392" i="1"/>
  <c r="T392" i="1"/>
  <c r="S392" i="1"/>
  <c r="R392" i="1"/>
  <c r="Q392" i="1"/>
  <c r="N392" i="1"/>
  <c r="M392" i="1"/>
  <c r="L392" i="1"/>
  <c r="I392" i="1"/>
  <c r="H392" i="1"/>
  <c r="G392" i="1"/>
  <c r="F392" i="1"/>
  <c r="E392" i="1"/>
  <c r="D392" i="1"/>
  <c r="C392" i="1"/>
  <c r="AQ391" i="1"/>
  <c r="AP391" i="1"/>
  <c r="AO391" i="1"/>
  <c r="AL391" i="1"/>
  <c r="AK391" i="1"/>
  <c r="AJ391" i="1"/>
  <c r="AI391" i="1"/>
  <c r="AH391" i="1"/>
  <c r="AG391" i="1"/>
  <c r="AF391" i="1"/>
  <c r="AE391" i="1"/>
  <c r="AD391" i="1"/>
  <c r="AA391" i="1"/>
  <c r="X391" i="1"/>
  <c r="W391" i="1"/>
  <c r="V391" i="1"/>
  <c r="U391" i="1"/>
  <c r="T391" i="1"/>
  <c r="S391" i="1"/>
  <c r="R391" i="1"/>
  <c r="Q391" i="1"/>
  <c r="N391" i="1"/>
  <c r="M391" i="1"/>
  <c r="L391" i="1"/>
  <c r="I391" i="1"/>
  <c r="H391" i="1"/>
  <c r="G391" i="1"/>
  <c r="F391" i="1"/>
  <c r="E391" i="1"/>
  <c r="D391" i="1"/>
  <c r="C391" i="1"/>
  <c r="AQ390" i="1"/>
  <c r="AP390" i="1"/>
  <c r="AO390" i="1"/>
  <c r="AL390" i="1"/>
  <c r="AK390" i="1"/>
  <c r="AJ390" i="1"/>
  <c r="AI390" i="1"/>
  <c r="AH390" i="1"/>
  <c r="AG390" i="1"/>
  <c r="AF390" i="1"/>
  <c r="AE390" i="1"/>
  <c r="AD390" i="1"/>
  <c r="AA390" i="1"/>
  <c r="X390" i="1"/>
  <c r="W390" i="1"/>
  <c r="V390" i="1"/>
  <c r="U390" i="1"/>
  <c r="T390" i="1"/>
  <c r="S390" i="1"/>
  <c r="R390" i="1"/>
  <c r="Q390" i="1"/>
  <c r="N390" i="1"/>
  <c r="M390" i="1"/>
  <c r="L390" i="1"/>
  <c r="I390" i="1"/>
  <c r="H390" i="1"/>
  <c r="G390" i="1"/>
  <c r="F390" i="1"/>
  <c r="E390" i="1"/>
  <c r="D390" i="1"/>
  <c r="C390" i="1"/>
  <c r="AQ389" i="1"/>
  <c r="AP389" i="1"/>
  <c r="AO389" i="1"/>
  <c r="AL389" i="1"/>
  <c r="AK389" i="1"/>
  <c r="AJ389" i="1"/>
  <c r="AI389" i="1"/>
  <c r="AH389" i="1"/>
  <c r="AG389" i="1"/>
  <c r="AF389" i="1"/>
  <c r="AE389" i="1"/>
  <c r="AD389" i="1"/>
  <c r="AA389" i="1"/>
  <c r="X389" i="1"/>
  <c r="W389" i="1"/>
  <c r="V389" i="1"/>
  <c r="U389" i="1"/>
  <c r="T389" i="1"/>
  <c r="S389" i="1"/>
  <c r="R389" i="1"/>
  <c r="Q389" i="1"/>
  <c r="N389" i="1"/>
  <c r="M389" i="1"/>
  <c r="L389" i="1"/>
  <c r="I389" i="1"/>
  <c r="H389" i="1"/>
  <c r="G389" i="1"/>
  <c r="F389" i="1"/>
  <c r="E389" i="1"/>
  <c r="D389" i="1"/>
  <c r="C389" i="1"/>
  <c r="I387" i="1"/>
  <c r="H387" i="1"/>
  <c r="G387" i="1"/>
  <c r="F387" i="1"/>
  <c r="E387" i="1"/>
  <c r="D387" i="1"/>
  <c r="C387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9" i="23" l="1"/>
  <c r="I13" i="23"/>
  <c r="I17" i="23"/>
  <c r="I21" i="23"/>
  <c r="I25" i="23"/>
  <c r="I29" i="23"/>
  <c r="I33" i="23"/>
  <c r="I37" i="23"/>
  <c r="I41" i="23"/>
  <c r="I45" i="23"/>
  <c r="I49" i="23"/>
  <c r="I53" i="23"/>
  <c r="I57" i="23"/>
  <c r="I61" i="23"/>
  <c r="I65" i="23"/>
  <c r="I162" i="23"/>
  <c r="I166" i="23"/>
  <c r="I170" i="23"/>
  <c r="I174" i="23"/>
  <c r="I178" i="23"/>
  <c r="I182" i="23"/>
  <c r="I186" i="23"/>
  <c r="I190" i="23"/>
  <c r="I194" i="23"/>
  <c r="I198" i="23"/>
  <c r="I202" i="23"/>
  <c r="I206" i="23"/>
  <c r="I210" i="23"/>
  <c r="I214" i="23"/>
  <c r="I218" i="23"/>
  <c r="I222" i="23"/>
  <c r="I226" i="23"/>
  <c r="I230" i="23"/>
  <c r="I234" i="23"/>
  <c r="I238" i="23"/>
  <c r="I242" i="23"/>
  <c r="I246" i="23"/>
  <c r="I250" i="23"/>
  <c r="I254" i="23"/>
  <c r="I258" i="23"/>
  <c r="I262" i="23"/>
  <c r="I266" i="23"/>
  <c r="I10" i="23"/>
  <c r="I14" i="23"/>
  <c r="I18" i="23"/>
  <c r="I22" i="23"/>
  <c r="I26" i="23"/>
  <c r="I42" i="23"/>
  <c r="I46" i="23"/>
  <c r="I30" i="23"/>
  <c r="I34" i="23"/>
  <c r="I38" i="23"/>
  <c r="I50" i="23"/>
  <c r="I54" i="23"/>
  <c r="I58" i="23"/>
  <c r="I62" i="23"/>
  <c r="I66" i="23"/>
  <c r="I163" i="23"/>
  <c r="I167" i="23"/>
  <c r="I171" i="23"/>
  <c r="R7" i="23"/>
  <c r="I11" i="23"/>
  <c r="I15" i="23"/>
  <c r="I19" i="23"/>
  <c r="I23" i="23"/>
  <c r="I27" i="23"/>
  <c r="I31" i="23"/>
  <c r="I35" i="23"/>
  <c r="I39" i="23"/>
  <c r="I43" i="23"/>
  <c r="I47" i="23"/>
  <c r="I51" i="23"/>
  <c r="I55" i="23"/>
  <c r="I59" i="23"/>
  <c r="I63" i="23"/>
  <c r="I67" i="23"/>
  <c r="I160" i="23"/>
  <c r="I164" i="23"/>
  <c r="I168" i="23"/>
  <c r="I172" i="23"/>
  <c r="I176" i="23"/>
  <c r="I180" i="23"/>
  <c r="I184" i="23"/>
  <c r="I188" i="23"/>
  <c r="I192" i="23"/>
  <c r="I196" i="23"/>
  <c r="I200" i="23"/>
  <c r="I204" i="23"/>
  <c r="I208" i="23"/>
  <c r="I212" i="23"/>
  <c r="I216" i="23"/>
  <c r="I220" i="23"/>
  <c r="I224" i="23"/>
  <c r="I228" i="23"/>
  <c r="I232" i="23"/>
  <c r="I236" i="23"/>
  <c r="I240" i="23"/>
  <c r="I244" i="23"/>
  <c r="I248" i="23"/>
  <c r="I252" i="23"/>
  <c r="I256" i="23"/>
  <c r="I260" i="23"/>
  <c r="I264" i="23"/>
  <c r="I268" i="23"/>
  <c r="I270" i="23"/>
  <c r="I272" i="23"/>
  <c r="I274" i="23"/>
  <c r="I276" i="23"/>
  <c r="I278" i="23"/>
  <c r="I280" i="23"/>
  <c r="I282" i="23"/>
  <c r="I284" i="23"/>
  <c r="I286" i="23"/>
  <c r="I288" i="23"/>
  <c r="I290" i="23"/>
  <c r="I292" i="23"/>
  <c r="I294" i="23"/>
  <c r="I296" i="23"/>
  <c r="I298" i="23"/>
  <c r="I300" i="23"/>
  <c r="I302" i="23"/>
  <c r="I304" i="23"/>
  <c r="I306" i="23"/>
  <c r="K385" i="23"/>
  <c r="I12" i="23"/>
  <c r="I16" i="23"/>
  <c r="I20" i="23"/>
  <c r="I24" i="23"/>
  <c r="I28" i="23"/>
  <c r="I32" i="23"/>
  <c r="I36" i="23"/>
  <c r="I40" i="23"/>
  <c r="I44" i="23"/>
  <c r="I48" i="23"/>
  <c r="I52" i="23"/>
  <c r="I56" i="23"/>
  <c r="I60" i="23"/>
  <c r="I64" i="23"/>
  <c r="I161" i="23"/>
  <c r="I165" i="23"/>
  <c r="I169" i="23"/>
  <c r="I173" i="23"/>
  <c r="K383" i="23"/>
  <c r="K382" i="23"/>
  <c r="K377" i="23"/>
  <c r="K381" i="23"/>
  <c r="K384" i="23"/>
  <c r="K376" i="23"/>
  <c r="R8" i="23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R23" i="23" s="1"/>
  <c r="R24" i="23" s="1"/>
  <c r="R25" i="23" s="1"/>
  <c r="R26" i="23" s="1"/>
  <c r="R27" i="23" s="1"/>
  <c r="R28" i="23" s="1"/>
  <c r="R29" i="23" s="1"/>
  <c r="R30" i="23" s="1"/>
  <c r="R31" i="23" s="1"/>
  <c r="R32" i="23" s="1"/>
  <c r="R33" i="23" s="1"/>
  <c r="R34" i="23" s="1"/>
  <c r="R35" i="23" s="1"/>
  <c r="R36" i="23" s="1"/>
  <c r="R37" i="23" s="1"/>
  <c r="R38" i="23" s="1"/>
  <c r="R39" i="23" s="1"/>
  <c r="R40" i="23" s="1"/>
  <c r="R41" i="23" s="1"/>
  <c r="R42" i="23" s="1"/>
  <c r="R43" i="23" s="1"/>
  <c r="R44" i="23" s="1"/>
  <c r="R45" i="23" s="1"/>
  <c r="R46" i="23" s="1"/>
  <c r="R47" i="23" s="1"/>
  <c r="R48" i="23" s="1"/>
  <c r="R49" i="23" s="1"/>
  <c r="R50" i="23" s="1"/>
  <c r="R51" i="23" s="1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S67" i="23" s="1"/>
  <c r="T67" i="23" s="1"/>
  <c r="M7" i="23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M372" i="23" s="1"/>
  <c r="I7" i="23"/>
  <c r="R308" i="23"/>
  <c r="I308" i="23"/>
  <c r="I175" i="23"/>
  <c r="I177" i="23"/>
  <c r="I179" i="23"/>
  <c r="I181" i="23"/>
  <c r="I183" i="23"/>
  <c r="I185" i="23"/>
  <c r="I187" i="23"/>
  <c r="I189" i="23"/>
  <c r="I191" i="23"/>
  <c r="I193" i="23"/>
  <c r="I195" i="23"/>
  <c r="I197" i="23"/>
  <c r="I199" i="23"/>
  <c r="I201" i="23"/>
  <c r="I203" i="23"/>
  <c r="I205" i="23"/>
  <c r="I207" i="23"/>
  <c r="I209" i="23"/>
  <c r="I211" i="23"/>
  <c r="I213" i="23"/>
  <c r="I215" i="23"/>
  <c r="I217" i="23"/>
  <c r="I219" i="23"/>
  <c r="I221" i="23"/>
  <c r="I223" i="23"/>
  <c r="I225" i="23"/>
  <c r="I227" i="23"/>
  <c r="I229" i="23"/>
  <c r="I231" i="23"/>
  <c r="I233" i="23"/>
  <c r="I235" i="23"/>
  <c r="I237" i="23"/>
  <c r="I239" i="23"/>
  <c r="I241" i="23"/>
  <c r="I243" i="23"/>
  <c r="I245" i="23"/>
  <c r="I247" i="23"/>
  <c r="I249" i="23"/>
  <c r="I251" i="23"/>
  <c r="I253" i="23"/>
  <c r="I255" i="23"/>
  <c r="I257" i="23"/>
  <c r="I259" i="23"/>
  <c r="I261" i="23"/>
  <c r="I263" i="23"/>
  <c r="I265" i="23"/>
  <c r="I267" i="23"/>
  <c r="I269" i="23"/>
  <c r="I271" i="23"/>
  <c r="I273" i="23"/>
  <c r="I275" i="23"/>
  <c r="I277" i="23"/>
  <c r="I279" i="23"/>
  <c r="I281" i="23"/>
  <c r="I283" i="23"/>
  <c r="I285" i="23"/>
  <c r="I287" i="23"/>
  <c r="I289" i="23"/>
  <c r="I291" i="23"/>
  <c r="I293" i="23"/>
  <c r="I295" i="23"/>
  <c r="I297" i="23"/>
  <c r="I299" i="23"/>
  <c r="I301" i="23"/>
  <c r="I303" i="23"/>
  <c r="I305" i="23"/>
  <c r="I307" i="23"/>
  <c r="N7" i="23"/>
  <c r="N8" i="23" l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N67" i="23" s="1"/>
  <c r="N68" i="23" s="1"/>
  <c r="S7" i="23"/>
  <c r="T7" i="23" s="1"/>
  <c r="S8" i="23" l="1"/>
  <c r="T8" i="23" s="1"/>
  <c r="S9" i="23" l="1"/>
  <c r="T9" i="23" s="1"/>
  <c r="S10" i="23" l="1"/>
  <c r="T10" i="23" s="1"/>
  <c r="S11" i="23" l="1"/>
  <c r="T11" i="23" s="1"/>
  <c r="S12" i="23" l="1"/>
  <c r="T12" i="23" s="1"/>
  <c r="S13" i="23" l="1"/>
  <c r="T13" i="23" s="1"/>
  <c r="S14" i="23" l="1"/>
  <c r="T14" i="23" s="1"/>
  <c r="S15" i="23" l="1"/>
  <c r="T15" i="23" s="1"/>
  <c r="S16" i="23" l="1"/>
  <c r="T16" i="23" s="1"/>
  <c r="S17" i="23" l="1"/>
  <c r="T17" i="23" s="1"/>
  <c r="S18" i="23" l="1"/>
  <c r="T18" i="23" s="1"/>
  <c r="S19" i="23" l="1"/>
  <c r="T19" i="23" s="1"/>
  <c r="S20" i="23" l="1"/>
  <c r="T20" i="23" s="1"/>
  <c r="S21" i="23" l="1"/>
  <c r="T21" i="23" s="1"/>
  <c r="S22" i="23" l="1"/>
  <c r="T22" i="23" s="1"/>
  <c r="S23" i="23" l="1"/>
  <c r="T23" i="23" s="1"/>
  <c r="S24" i="23" l="1"/>
  <c r="T24" i="23" s="1"/>
  <c r="S25" i="23" l="1"/>
  <c r="T25" i="23" s="1"/>
  <c r="S26" i="23" l="1"/>
  <c r="T26" i="23" s="1"/>
  <c r="S27" i="23" l="1"/>
  <c r="T27" i="23" s="1"/>
  <c r="S28" i="23" l="1"/>
  <c r="T28" i="23" s="1"/>
  <c r="S29" i="23" l="1"/>
  <c r="T29" i="23" s="1"/>
  <c r="S30" i="23" l="1"/>
  <c r="T30" i="23" s="1"/>
  <c r="S31" i="23" l="1"/>
  <c r="T31" i="23" s="1"/>
  <c r="S32" i="23" l="1"/>
  <c r="T32" i="23" s="1"/>
  <c r="S33" i="23" l="1"/>
  <c r="T33" i="23" s="1"/>
  <c r="S34" i="23" l="1"/>
  <c r="T34" i="23" s="1"/>
  <c r="S35" i="23" l="1"/>
  <c r="T35" i="23" s="1"/>
  <c r="S36" i="23" l="1"/>
  <c r="T36" i="23" s="1"/>
  <c r="S37" i="23" l="1"/>
  <c r="T37" i="23" s="1"/>
  <c r="S38" i="23" l="1"/>
  <c r="T38" i="23" s="1"/>
  <c r="S39" i="23" l="1"/>
  <c r="T39" i="23" s="1"/>
  <c r="S40" i="23" l="1"/>
  <c r="T40" i="23" s="1"/>
  <c r="S41" i="23" l="1"/>
  <c r="T41" i="23" s="1"/>
  <c r="S42" i="23" l="1"/>
  <c r="T42" i="23" s="1"/>
  <c r="S43" i="23" l="1"/>
  <c r="T43" i="23" s="1"/>
  <c r="S44" i="23" l="1"/>
  <c r="T44" i="23" s="1"/>
  <c r="S45" i="23" l="1"/>
  <c r="T45" i="23" s="1"/>
  <c r="S46" i="23" l="1"/>
  <c r="T46" i="23" s="1"/>
  <c r="S47" i="23" l="1"/>
  <c r="T47" i="23" s="1"/>
  <c r="S48" i="23" l="1"/>
  <c r="T48" i="23" s="1"/>
  <c r="S49" i="23" l="1"/>
  <c r="T49" i="23" s="1"/>
  <c r="S50" i="23" l="1"/>
  <c r="T50" i="23" s="1"/>
  <c r="S51" i="23" l="1"/>
  <c r="T51" i="23" s="1"/>
  <c r="S52" i="23" l="1"/>
  <c r="T52" i="23" s="1"/>
  <c r="S53" i="23" l="1"/>
  <c r="T53" i="23" s="1"/>
  <c r="S54" i="23" l="1"/>
  <c r="T54" i="23" s="1"/>
  <c r="S55" i="23" l="1"/>
  <c r="T55" i="23" s="1"/>
  <c r="S56" i="23" l="1"/>
  <c r="T56" i="23" s="1"/>
  <c r="S57" i="23" l="1"/>
  <c r="T57" i="23" s="1"/>
  <c r="S58" i="23" l="1"/>
  <c r="T58" i="23" s="1"/>
  <c r="S59" i="23" l="1"/>
  <c r="T59" i="23" s="1"/>
  <c r="S60" i="23" l="1"/>
  <c r="T60" i="23" s="1"/>
  <c r="S61" i="23" l="1"/>
  <c r="T61" i="23" s="1"/>
  <c r="S62" i="23" l="1"/>
  <c r="T62" i="23" s="1"/>
  <c r="S63" i="23" l="1"/>
  <c r="T63" i="23" s="1"/>
  <c r="S64" i="23" l="1"/>
  <c r="T64" i="23" s="1"/>
  <c r="S65" i="23" l="1"/>
  <c r="T65" i="23" s="1"/>
  <c r="S66" i="23" l="1"/>
  <c r="T66" i="23" s="1"/>
  <c r="BT372" i="1" l="1"/>
  <c r="BR372" i="1"/>
  <c r="BS372" i="1"/>
  <c r="BS157" i="1"/>
  <c r="CK157" i="1" s="1"/>
  <c r="BT371" i="1"/>
  <c r="DA371" i="1" s="1"/>
  <c r="BR371" i="1"/>
  <c r="CS371" i="1" s="1"/>
  <c r="BT370" i="1"/>
  <c r="DA370" i="1" s="1"/>
  <c r="BR370" i="1"/>
  <c r="CS370" i="1" s="1"/>
  <c r="BT369" i="1"/>
  <c r="DA369" i="1" s="1"/>
  <c r="BR369" i="1"/>
  <c r="CS369" i="1" s="1"/>
  <c r="BT368" i="1"/>
  <c r="DA368" i="1" s="1"/>
  <c r="BR368" i="1"/>
  <c r="CS368" i="1" s="1"/>
  <c r="BT367" i="1"/>
  <c r="DA367" i="1" s="1"/>
  <c r="BR367" i="1"/>
  <c r="CS367" i="1" s="1"/>
  <c r="BT366" i="1"/>
  <c r="DA366" i="1" s="1"/>
  <c r="BR366" i="1"/>
  <c r="CS366" i="1" s="1"/>
  <c r="BT365" i="1"/>
  <c r="DA365" i="1" s="1"/>
  <c r="BR365" i="1"/>
  <c r="CS365" i="1" s="1"/>
  <c r="BT364" i="1"/>
  <c r="DA364" i="1" s="1"/>
  <c r="BR364" i="1"/>
  <c r="CS364" i="1" s="1"/>
  <c r="BT363" i="1"/>
  <c r="DA363" i="1" s="1"/>
  <c r="BR363" i="1"/>
  <c r="CS363" i="1" s="1"/>
  <c r="BT362" i="1"/>
  <c r="DA362" i="1" s="1"/>
  <c r="BR362" i="1"/>
  <c r="CS362" i="1" s="1"/>
  <c r="BT361" i="1"/>
  <c r="DA361" i="1" s="1"/>
  <c r="BR361" i="1"/>
  <c r="CS361" i="1" s="1"/>
  <c r="BT360" i="1"/>
  <c r="DA360" i="1" s="1"/>
  <c r="BR360" i="1"/>
  <c r="CS360" i="1" s="1"/>
  <c r="BT359" i="1"/>
  <c r="DA359" i="1" s="1"/>
  <c r="BR359" i="1"/>
  <c r="CS359" i="1" s="1"/>
  <c r="BT358" i="1"/>
  <c r="DA358" i="1" s="1"/>
  <c r="BR358" i="1"/>
  <c r="CS358" i="1" s="1"/>
  <c r="BT357" i="1"/>
  <c r="DA357" i="1" s="1"/>
  <c r="BR357" i="1"/>
  <c r="CS357" i="1" s="1"/>
  <c r="BT356" i="1"/>
  <c r="DA356" i="1" s="1"/>
  <c r="BR356" i="1"/>
  <c r="CS356" i="1" s="1"/>
  <c r="BT355" i="1"/>
  <c r="DA355" i="1" s="1"/>
  <c r="BR355" i="1"/>
  <c r="CS355" i="1" s="1"/>
  <c r="BT354" i="1"/>
  <c r="DA354" i="1" s="1"/>
  <c r="BR354" i="1"/>
  <c r="CS354" i="1" s="1"/>
  <c r="BT353" i="1"/>
  <c r="DA353" i="1" s="1"/>
  <c r="BR353" i="1"/>
  <c r="CS353" i="1" s="1"/>
  <c r="BT352" i="1"/>
  <c r="DA352" i="1" s="1"/>
  <c r="BR352" i="1"/>
  <c r="CS352" i="1" s="1"/>
  <c r="BT351" i="1"/>
  <c r="DA351" i="1" s="1"/>
  <c r="BR351" i="1"/>
  <c r="CS351" i="1" s="1"/>
  <c r="BT350" i="1"/>
  <c r="DA350" i="1" s="1"/>
  <c r="BR350" i="1"/>
  <c r="CS350" i="1" s="1"/>
  <c r="BT349" i="1"/>
  <c r="DA349" i="1" s="1"/>
  <c r="BR349" i="1"/>
  <c r="CS349" i="1" s="1"/>
  <c r="BT348" i="1"/>
  <c r="DA348" i="1" s="1"/>
  <c r="BR348" i="1"/>
  <c r="CS348" i="1" s="1"/>
  <c r="BT347" i="1"/>
  <c r="DA347" i="1" s="1"/>
  <c r="BR347" i="1"/>
  <c r="CS347" i="1" s="1"/>
  <c r="BT346" i="1"/>
  <c r="DA346" i="1" s="1"/>
  <c r="BR346" i="1"/>
  <c r="CS346" i="1" s="1"/>
  <c r="BT345" i="1"/>
  <c r="DA345" i="1" s="1"/>
  <c r="BR345" i="1"/>
  <c r="CS345" i="1" s="1"/>
  <c r="BT344" i="1"/>
  <c r="DA344" i="1" s="1"/>
  <c r="BR344" i="1"/>
  <c r="CS344" i="1" s="1"/>
  <c r="BT343" i="1"/>
  <c r="DA343" i="1" s="1"/>
  <c r="BR343" i="1"/>
  <c r="CS343" i="1" s="1"/>
  <c r="BT342" i="1"/>
  <c r="DA342" i="1" s="1"/>
  <c r="BR342" i="1"/>
  <c r="CS342" i="1" s="1"/>
  <c r="BT341" i="1"/>
  <c r="DA341" i="1" s="1"/>
  <c r="BR341" i="1"/>
  <c r="CS341" i="1" s="1"/>
  <c r="BT340" i="1"/>
  <c r="DA340" i="1" s="1"/>
  <c r="BR340" i="1"/>
  <c r="CS340" i="1" s="1"/>
  <c r="BT339" i="1"/>
  <c r="DA339" i="1" s="1"/>
  <c r="BR339" i="1"/>
  <c r="CS339" i="1" s="1"/>
  <c r="BT338" i="1"/>
  <c r="DA338" i="1" s="1"/>
  <c r="BR338" i="1"/>
  <c r="CS338" i="1" s="1"/>
  <c r="BT337" i="1"/>
  <c r="DA337" i="1" s="1"/>
  <c r="BR337" i="1"/>
  <c r="CS337" i="1" s="1"/>
  <c r="BT336" i="1"/>
  <c r="DA336" i="1" s="1"/>
  <c r="BR336" i="1"/>
  <c r="CS336" i="1" s="1"/>
  <c r="BT335" i="1"/>
  <c r="DA335" i="1" s="1"/>
  <c r="BR335" i="1"/>
  <c r="CS335" i="1" s="1"/>
  <c r="BT334" i="1"/>
  <c r="DA334" i="1" s="1"/>
  <c r="BR334" i="1"/>
  <c r="CS334" i="1" s="1"/>
  <c r="BT333" i="1"/>
  <c r="DA333" i="1" s="1"/>
  <c r="BR333" i="1"/>
  <c r="CS333" i="1" s="1"/>
  <c r="BT332" i="1"/>
  <c r="DA332" i="1" s="1"/>
  <c r="BR332" i="1"/>
  <c r="CS332" i="1" s="1"/>
  <c r="BT331" i="1"/>
  <c r="DA331" i="1" s="1"/>
  <c r="BR331" i="1"/>
  <c r="CS331" i="1" s="1"/>
  <c r="BT330" i="1"/>
  <c r="DA330" i="1" s="1"/>
  <c r="BR330" i="1"/>
  <c r="CS330" i="1" s="1"/>
  <c r="BT329" i="1"/>
  <c r="DA329" i="1" s="1"/>
  <c r="BR329" i="1"/>
  <c r="CS329" i="1" s="1"/>
  <c r="BT328" i="1"/>
  <c r="DA328" i="1" s="1"/>
  <c r="BR328" i="1"/>
  <c r="CS328" i="1" s="1"/>
  <c r="BT327" i="1"/>
  <c r="DA327" i="1" s="1"/>
  <c r="BR327" i="1"/>
  <c r="CS327" i="1" s="1"/>
  <c r="BT326" i="1"/>
  <c r="DA326" i="1" s="1"/>
  <c r="BR326" i="1"/>
  <c r="CS326" i="1" s="1"/>
  <c r="BT325" i="1"/>
  <c r="DA325" i="1" s="1"/>
  <c r="BR325" i="1"/>
  <c r="CS325" i="1" s="1"/>
  <c r="BT324" i="1"/>
  <c r="DA324" i="1" s="1"/>
  <c r="BR324" i="1"/>
  <c r="CS324" i="1" s="1"/>
  <c r="BT323" i="1"/>
  <c r="DA323" i="1" s="1"/>
  <c r="BR323" i="1"/>
  <c r="CS323" i="1" s="1"/>
  <c r="BT322" i="1"/>
  <c r="DA322" i="1" s="1"/>
  <c r="BR322" i="1"/>
  <c r="CS322" i="1" s="1"/>
  <c r="BT321" i="1"/>
  <c r="DA321" i="1" s="1"/>
  <c r="BR321" i="1"/>
  <c r="CS321" i="1" s="1"/>
  <c r="BT320" i="1"/>
  <c r="DA320" i="1" s="1"/>
  <c r="BR320" i="1"/>
  <c r="CS320" i="1" s="1"/>
  <c r="BT319" i="1"/>
  <c r="DA319" i="1" s="1"/>
  <c r="BR319" i="1"/>
  <c r="CS319" i="1" s="1"/>
  <c r="BT318" i="1"/>
  <c r="DA318" i="1" s="1"/>
  <c r="BR318" i="1"/>
  <c r="CS318" i="1" s="1"/>
  <c r="BT317" i="1"/>
  <c r="DA317" i="1" s="1"/>
  <c r="BR317" i="1"/>
  <c r="CS317" i="1" s="1"/>
  <c r="BT316" i="1"/>
  <c r="DA316" i="1" s="1"/>
  <c r="BR316" i="1"/>
  <c r="CS316" i="1" s="1"/>
  <c r="BT315" i="1"/>
  <c r="DA315" i="1" s="1"/>
  <c r="BR315" i="1"/>
  <c r="CS315" i="1" s="1"/>
  <c r="BT314" i="1"/>
  <c r="DA314" i="1" s="1"/>
  <c r="BR314" i="1"/>
  <c r="CS314" i="1" s="1"/>
  <c r="BT313" i="1"/>
  <c r="DA313" i="1" s="1"/>
  <c r="BR313" i="1"/>
  <c r="CS313" i="1" s="1"/>
  <c r="BT312" i="1"/>
  <c r="DA312" i="1" s="1"/>
  <c r="BR312" i="1"/>
  <c r="CS312" i="1" s="1"/>
  <c r="BT311" i="1"/>
  <c r="DA311" i="1" s="1"/>
  <c r="BR311" i="1"/>
  <c r="CS311" i="1" s="1"/>
  <c r="BT310" i="1"/>
  <c r="DA310" i="1" s="1"/>
  <c r="BR310" i="1"/>
  <c r="CS310" i="1" s="1"/>
  <c r="BT309" i="1"/>
  <c r="DA309" i="1" s="1"/>
  <c r="BR309" i="1"/>
  <c r="CS309" i="1" s="1"/>
  <c r="BT308" i="1"/>
  <c r="DA308" i="1" s="1"/>
  <c r="BR308" i="1"/>
  <c r="CS308" i="1" s="1"/>
  <c r="BT307" i="1"/>
  <c r="DA307" i="1" s="1"/>
  <c r="BR307" i="1"/>
  <c r="CS307" i="1" s="1"/>
  <c r="BT306" i="1"/>
  <c r="DA306" i="1" s="1"/>
  <c r="BR306" i="1"/>
  <c r="CS306" i="1" s="1"/>
  <c r="BT305" i="1"/>
  <c r="DA305" i="1" s="1"/>
  <c r="BR305" i="1"/>
  <c r="CS305" i="1" s="1"/>
  <c r="BT304" i="1"/>
  <c r="DA304" i="1" s="1"/>
  <c r="BR304" i="1"/>
  <c r="CS304" i="1" s="1"/>
  <c r="BT303" i="1"/>
  <c r="DA303" i="1" s="1"/>
  <c r="BR303" i="1"/>
  <c r="CS303" i="1" s="1"/>
  <c r="BT302" i="1"/>
  <c r="DA302" i="1" s="1"/>
  <c r="BR302" i="1"/>
  <c r="CS302" i="1" s="1"/>
  <c r="BT301" i="1"/>
  <c r="DA301" i="1" s="1"/>
  <c r="BR301" i="1"/>
  <c r="CS301" i="1" s="1"/>
  <c r="BT300" i="1"/>
  <c r="DA300" i="1" s="1"/>
  <c r="BR300" i="1"/>
  <c r="CS300" i="1" s="1"/>
  <c r="BT299" i="1"/>
  <c r="DA299" i="1" s="1"/>
  <c r="BR299" i="1"/>
  <c r="CS299" i="1" s="1"/>
  <c r="BT298" i="1"/>
  <c r="DA298" i="1" s="1"/>
  <c r="BR298" i="1"/>
  <c r="CS298" i="1" s="1"/>
  <c r="BT297" i="1"/>
  <c r="DA297" i="1" s="1"/>
  <c r="BR297" i="1"/>
  <c r="CS297" i="1" s="1"/>
  <c r="BT296" i="1"/>
  <c r="DA296" i="1" s="1"/>
  <c r="BR296" i="1"/>
  <c r="CS296" i="1" s="1"/>
  <c r="BT295" i="1"/>
  <c r="DA295" i="1" s="1"/>
  <c r="BR295" i="1"/>
  <c r="CS295" i="1" s="1"/>
  <c r="BT294" i="1"/>
  <c r="DA294" i="1" s="1"/>
  <c r="BR294" i="1"/>
  <c r="CS294" i="1" s="1"/>
  <c r="BT293" i="1"/>
  <c r="DA293" i="1" s="1"/>
  <c r="BR293" i="1"/>
  <c r="CS293" i="1" s="1"/>
  <c r="BT292" i="1"/>
  <c r="DA292" i="1" s="1"/>
  <c r="BR292" i="1"/>
  <c r="CS292" i="1" s="1"/>
  <c r="BT291" i="1"/>
  <c r="DA291" i="1" s="1"/>
  <c r="BR291" i="1"/>
  <c r="CS291" i="1" s="1"/>
  <c r="BT290" i="1"/>
  <c r="DA290" i="1" s="1"/>
  <c r="BR290" i="1"/>
  <c r="CS290" i="1" s="1"/>
  <c r="BT289" i="1"/>
  <c r="DA289" i="1" s="1"/>
  <c r="BR289" i="1"/>
  <c r="CS289" i="1" s="1"/>
  <c r="BT288" i="1"/>
  <c r="DA288" i="1" s="1"/>
  <c r="BR288" i="1"/>
  <c r="CS288" i="1" s="1"/>
  <c r="DA287" i="1"/>
  <c r="BR287" i="1"/>
  <c r="CS287" i="1" s="1"/>
  <c r="DA286" i="1"/>
  <c r="BR286" i="1"/>
  <c r="CS286" i="1" s="1"/>
  <c r="BT285" i="1"/>
  <c r="DA285" i="1" s="1"/>
  <c r="BR285" i="1"/>
  <c r="CS285" i="1" s="1"/>
  <c r="BT284" i="1"/>
  <c r="DA284" i="1" s="1"/>
  <c r="BR284" i="1"/>
  <c r="CS284" i="1" s="1"/>
  <c r="BT283" i="1"/>
  <c r="DA283" i="1" s="1"/>
  <c r="BR283" i="1"/>
  <c r="CS283" i="1" s="1"/>
  <c r="BT282" i="1"/>
  <c r="DA282" i="1" s="1"/>
  <c r="BR282" i="1"/>
  <c r="CS282" i="1" s="1"/>
  <c r="BT281" i="1"/>
  <c r="DA281" i="1" s="1"/>
  <c r="BR281" i="1"/>
  <c r="CS281" i="1" s="1"/>
  <c r="BT280" i="1"/>
  <c r="DA280" i="1" s="1"/>
  <c r="BR280" i="1"/>
  <c r="CS280" i="1" s="1"/>
  <c r="BT279" i="1"/>
  <c r="DA279" i="1" s="1"/>
  <c r="BR279" i="1"/>
  <c r="CS279" i="1" s="1"/>
  <c r="BT278" i="1"/>
  <c r="DA278" i="1" s="1"/>
  <c r="BR278" i="1"/>
  <c r="CS278" i="1" s="1"/>
  <c r="BT277" i="1"/>
  <c r="DA277" i="1" s="1"/>
  <c r="BR277" i="1"/>
  <c r="CS277" i="1" s="1"/>
  <c r="BT276" i="1"/>
  <c r="DA276" i="1" s="1"/>
  <c r="BR276" i="1"/>
  <c r="CS276" i="1" s="1"/>
  <c r="BT275" i="1"/>
  <c r="DA275" i="1" s="1"/>
  <c r="BR275" i="1"/>
  <c r="CS275" i="1" s="1"/>
  <c r="BT274" i="1"/>
  <c r="DA274" i="1" s="1"/>
  <c r="BR274" i="1"/>
  <c r="CS274" i="1" s="1"/>
  <c r="BT273" i="1"/>
  <c r="DA273" i="1" s="1"/>
  <c r="BR273" i="1"/>
  <c r="CS273" i="1" s="1"/>
  <c r="BT272" i="1"/>
  <c r="DA272" i="1" s="1"/>
  <c r="BR272" i="1"/>
  <c r="CS272" i="1" s="1"/>
  <c r="BT271" i="1"/>
  <c r="DA271" i="1" s="1"/>
  <c r="BR271" i="1"/>
  <c r="CS271" i="1" s="1"/>
  <c r="BT270" i="1"/>
  <c r="DA270" i="1" s="1"/>
  <c r="BR270" i="1"/>
  <c r="CS270" i="1" s="1"/>
  <c r="BT269" i="1"/>
  <c r="DA269" i="1" s="1"/>
  <c r="BR269" i="1"/>
  <c r="CS269" i="1" s="1"/>
  <c r="BT158" i="1"/>
  <c r="DA158" i="1" s="1"/>
  <c r="BR158" i="1"/>
  <c r="CS158" i="1" s="1"/>
  <c r="BT157" i="1"/>
  <c r="DA157" i="1" s="1"/>
  <c r="BR157" i="1"/>
  <c r="CS157" i="1" s="1"/>
  <c r="BT156" i="1"/>
  <c r="DA156" i="1" s="1"/>
  <c r="BR156" i="1"/>
  <c r="CS156" i="1" s="1"/>
  <c r="BT155" i="1"/>
  <c r="DA155" i="1" s="1"/>
  <c r="BR155" i="1"/>
  <c r="CS155" i="1" s="1"/>
  <c r="BT154" i="1"/>
  <c r="DA154" i="1" s="1"/>
  <c r="BR154" i="1"/>
  <c r="CS154" i="1" s="1"/>
  <c r="BT153" i="1"/>
  <c r="DA153" i="1" s="1"/>
  <c r="BR153" i="1"/>
  <c r="CS153" i="1" s="1"/>
  <c r="BT152" i="1"/>
  <c r="DA152" i="1" s="1"/>
  <c r="BR152" i="1"/>
  <c r="CS152" i="1" s="1"/>
  <c r="BT151" i="1"/>
  <c r="DA151" i="1" s="1"/>
  <c r="BR151" i="1"/>
  <c r="CS151" i="1" s="1"/>
  <c r="BT150" i="1"/>
  <c r="DA150" i="1" s="1"/>
  <c r="BR150" i="1"/>
  <c r="CS150" i="1" s="1"/>
  <c r="BT149" i="1"/>
  <c r="DA149" i="1" s="1"/>
  <c r="BR149" i="1"/>
  <c r="CS149" i="1" s="1"/>
  <c r="BT148" i="1"/>
  <c r="DA148" i="1" s="1"/>
  <c r="BR148" i="1"/>
  <c r="CS148" i="1" s="1"/>
  <c r="BT147" i="1"/>
  <c r="DA147" i="1" s="1"/>
  <c r="BR147" i="1"/>
  <c r="CS147" i="1" s="1"/>
  <c r="BT146" i="1"/>
  <c r="DA146" i="1" s="1"/>
  <c r="BR146" i="1"/>
  <c r="CS146" i="1" s="1"/>
  <c r="BT145" i="1"/>
  <c r="DA145" i="1" s="1"/>
  <c r="BR145" i="1"/>
  <c r="CS145" i="1" s="1"/>
  <c r="BT144" i="1"/>
  <c r="DA144" i="1" s="1"/>
  <c r="BR144" i="1"/>
  <c r="CS144" i="1" s="1"/>
  <c r="BT143" i="1"/>
  <c r="DA143" i="1" s="1"/>
  <c r="BR143" i="1"/>
  <c r="CS143" i="1" s="1"/>
  <c r="BT142" i="1"/>
  <c r="DA142" i="1" s="1"/>
  <c r="BR142" i="1"/>
  <c r="CS142" i="1" s="1"/>
  <c r="BT141" i="1"/>
  <c r="DA141" i="1" s="1"/>
  <c r="BR141" i="1"/>
  <c r="CS141" i="1" s="1"/>
  <c r="BT140" i="1"/>
  <c r="DA140" i="1" s="1"/>
  <c r="BR140" i="1"/>
  <c r="CS140" i="1" s="1"/>
  <c r="BT139" i="1"/>
  <c r="DA139" i="1" s="1"/>
  <c r="BR139" i="1"/>
  <c r="CS139" i="1" s="1"/>
  <c r="BT138" i="1"/>
  <c r="DA138" i="1" s="1"/>
  <c r="BR138" i="1"/>
  <c r="CS138" i="1" s="1"/>
  <c r="BT137" i="1"/>
  <c r="DA137" i="1" s="1"/>
  <c r="BR137" i="1"/>
  <c r="CS137" i="1" s="1"/>
  <c r="BT136" i="1"/>
  <c r="DA136" i="1" s="1"/>
  <c r="BR136" i="1"/>
  <c r="CS136" i="1" s="1"/>
  <c r="BT135" i="1"/>
  <c r="DA135" i="1" s="1"/>
  <c r="BR135" i="1"/>
  <c r="CS135" i="1" s="1"/>
  <c r="BT134" i="1"/>
  <c r="DA134" i="1" s="1"/>
  <c r="BR134" i="1"/>
  <c r="CS134" i="1" s="1"/>
  <c r="BT133" i="1"/>
  <c r="DA133" i="1" s="1"/>
  <c r="BR133" i="1"/>
  <c r="CS133" i="1" s="1"/>
  <c r="BT132" i="1"/>
  <c r="DA132" i="1" s="1"/>
  <c r="BR132" i="1"/>
  <c r="CS132" i="1" s="1"/>
  <c r="BT131" i="1"/>
  <c r="DA131" i="1" s="1"/>
  <c r="BR131" i="1"/>
  <c r="CS131" i="1" s="1"/>
  <c r="BT130" i="1"/>
  <c r="DA130" i="1" s="1"/>
  <c r="BR130" i="1"/>
  <c r="CS130" i="1" s="1"/>
  <c r="BT129" i="1"/>
  <c r="DA129" i="1" s="1"/>
  <c r="BR129" i="1"/>
  <c r="CS129" i="1" s="1"/>
  <c r="BT128" i="1"/>
  <c r="DA128" i="1" s="1"/>
  <c r="BR128" i="1"/>
  <c r="CS128" i="1" s="1"/>
  <c r="BT127" i="1"/>
  <c r="DA127" i="1" s="1"/>
  <c r="BR127" i="1"/>
  <c r="CS127" i="1" s="1"/>
  <c r="BT126" i="1"/>
  <c r="DA126" i="1" s="1"/>
  <c r="BR126" i="1"/>
  <c r="CS126" i="1" s="1"/>
  <c r="BT125" i="1"/>
  <c r="DA125" i="1" s="1"/>
  <c r="BR125" i="1"/>
  <c r="CS125" i="1" s="1"/>
  <c r="BT124" i="1"/>
  <c r="DA124" i="1" s="1"/>
  <c r="BR124" i="1"/>
  <c r="CS124" i="1" s="1"/>
  <c r="BT123" i="1"/>
  <c r="DA123" i="1" s="1"/>
  <c r="BR123" i="1"/>
  <c r="CS123" i="1" s="1"/>
  <c r="BT122" i="1"/>
  <c r="DA122" i="1" s="1"/>
  <c r="BR122" i="1"/>
  <c r="CS122" i="1" s="1"/>
  <c r="BT121" i="1"/>
  <c r="DA121" i="1" s="1"/>
  <c r="BR121" i="1"/>
  <c r="CS121" i="1" s="1"/>
  <c r="BT120" i="1"/>
  <c r="DA120" i="1" s="1"/>
  <c r="BR120" i="1"/>
  <c r="CS120" i="1" s="1"/>
  <c r="BT119" i="1"/>
  <c r="DA119" i="1" s="1"/>
  <c r="BR119" i="1"/>
  <c r="CS119" i="1" s="1"/>
  <c r="BT118" i="1"/>
  <c r="DA118" i="1" s="1"/>
  <c r="BR118" i="1"/>
  <c r="CS118" i="1" s="1"/>
  <c r="BT117" i="1"/>
  <c r="DA117" i="1" s="1"/>
  <c r="BR117" i="1"/>
  <c r="CS117" i="1" s="1"/>
  <c r="BT116" i="1"/>
  <c r="DA116" i="1" s="1"/>
  <c r="BR116" i="1"/>
  <c r="CS116" i="1" s="1"/>
  <c r="BT115" i="1"/>
  <c r="DA115" i="1" s="1"/>
  <c r="BR115" i="1"/>
  <c r="CS115" i="1" s="1"/>
  <c r="BT114" i="1"/>
  <c r="DA114" i="1" s="1"/>
  <c r="BR114" i="1"/>
  <c r="CS114" i="1" s="1"/>
  <c r="BT113" i="1"/>
  <c r="DA113" i="1" s="1"/>
  <c r="BR113" i="1"/>
  <c r="CS113" i="1" s="1"/>
  <c r="BT112" i="1"/>
  <c r="DA112" i="1" s="1"/>
  <c r="BR112" i="1"/>
  <c r="CS112" i="1" s="1"/>
  <c r="BT111" i="1"/>
  <c r="DA111" i="1" s="1"/>
  <c r="BR111" i="1"/>
  <c r="CS111" i="1" s="1"/>
  <c r="BT110" i="1"/>
  <c r="DA110" i="1" s="1"/>
  <c r="BR110" i="1"/>
  <c r="CS110" i="1" s="1"/>
  <c r="BT109" i="1"/>
  <c r="DA109" i="1" s="1"/>
  <c r="BR109" i="1"/>
  <c r="CS109" i="1" s="1"/>
  <c r="BT108" i="1"/>
  <c r="DA108" i="1" s="1"/>
  <c r="BR108" i="1"/>
  <c r="CS108" i="1" s="1"/>
  <c r="BT107" i="1"/>
  <c r="DA107" i="1" s="1"/>
  <c r="BR107" i="1"/>
  <c r="CS107" i="1" s="1"/>
  <c r="BT106" i="1"/>
  <c r="DA106" i="1" s="1"/>
  <c r="BR106" i="1"/>
  <c r="CS106" i="1" s="1"/>
  <c r="BT105" i="1"/>
  <c r="DA105" i="1" s="1"/>
  <c r="BR105" i="1"/>
  <c r="CS105" i="1" s="1"/>
  <c r="BT104" i="1"/>
  <c r="DA104" i="1" s="1"/>
  <c r="BR104" i="1"/>
  <c r="CS104" i="1" s="1"/>
  <c r="BT103" i="1"/>
  <c r="DA103" i="1" s="1"/>
  <c r="BR103" i="1"/>
  <c r="CS103" i="1" s="1"/>
  <c r="BT102" i="1"/>
  <c r="DA102" i="1" s="1"/>
  <c r="BR102" i="1"/>
  <c r="CS102" i="1" s="1"/>
  <c r="BT101" i="1"/>
  <c r="DA101" i="1" s="1"/>
  <c r="BR101" i="1"/>
  <c r="CS101" i="1" s="1"/>
  <c r="BT100" i="1"/>
  <c r="DA100" i="1" s="1"/>
  <c r="BR100" i="1"/>
  <c r="CS100" i="1" s="1"/>
  <c r="BT99" i="1"/>
  <c r="DA99" i="1" s="1"/>
  <c r="BR99" i="1"/>
  <c r="CS99" i="1" s="1"/>
  <c r="BT98" i="1"/>
  <c r="DA98" i="1" s="1"/>
  <c r="BR98" i="1"/>
  <c r="CS98" i="1" s="1"/>
  <c r="BT97" i="1"/>
  <c r="DA97" i="1" s="1"/>
  <c r="BR97" i="1"/>
  <c r="CS97" i="1" s="1"/>
  <c r="BT96" i="1"/>
  <c r="DA96" i="1" s="1"/>
  <c r="BR96" i="1"/>
  <c r="CS96" i="1" s="1"/>
  <c r="BT95" i="1"/>
  <c r="DA95" i="1" s="1"/>
  <c r="BR95" i="1"/>
  <c r="CS95" i="1" s="1"/>
  <c r="BT94" i="1"/>
  <c r="DA94" i="1" s="1"/>
  <c r="BR94" i="1"/>
  <c r="CS94" i="1" s="1"/>
  <c r="BT93" i="1"/>
  <c r="DA93" i="1" s="1"/>
  <c r="BR93" i="1"/>
  <c r="CS93" i="1" s="1"/>
  <c r="BT92" i="1"/>
  <c r="DA92" i="1" s="1"/>
  <c r="BR92" i="1"/>
  <c r="CS92" i="1" s="1"/>
  <c r="BT91" i="1"/>
  <c r="DA91" i="1" s="1"/>
  <c r="BR91" i="1"/>
  <c r="CS91" i="1" s="1"/>
  <c r="BT90" i="1"/>
  <c r="DA90" i="1" s="1"/>
  <c r="BR90" i="1"/>
  <c r="CS90" i="1" s="1"/>
  <c r="BT89" i="1"/>
  <c r="DA89" i="1" s="1"/>
  <c r="BR89" i="1"/>
  <c r="CS89" i="1" s="1"/>
  <c r="BT88" i="1"/>
  <c r="DA88" i="1" s="1"/>
  <c r="BR88" i="1"/>
  <c r="CS88" i="1" s="1"/>
  <c r="BT87" i="1"/>
  <c r="DA87" i="1" s="1"/>
  <c r="BR87" i="1"/>
  <c r="CS87" i="1" s="1"/>
  <c r="BT86" i="1"/>
  <c r="DA86" i="1" s="1"/>
  <c r="BR86" i="1"/>
  <c r="CS86" i="1" s="1"/>
  <c r="BT85" i="1"/>
  <c r="DA85" i="1" s="1"/>
  <c r="BR85" i="1"/>
  <c r="CS85" i="1" s="1"/>
  <c r="BT84" i="1"/>
  <c r="DA84" i="1" s="1"/>
  <c r="BR84" i="1"/>
  <c r="CS84" i="1" s="1"/>
  <c r="BT83" i="1"/>
  <c r="DA83" i="1" s="1"/>
  <c r="BR83" i="1"/>
  <c r="CS83" i="1" s="1"/>
  <c r="BT82" i="1"/>
  <c r="DA82" i="1" s="1"/>
  <c r="BR82" i="1"/>
  <c r="CS82" i="1" s="1"/>
  <c r="BT81" i="1"/>
  <c r="DA81" i="1" s="1"/>
  <c r="BR81" i="1"/>
  <c r="CS81" i="1" s="1"/>
  <c r="BT80" i="1"/>
  <c r="DA80" i="1" s="1"/>
  <c r="BR80" i="1"/>
  <c r="CS80" i="1" s="1"/>
  <c r="BT79" i="1"/>
  <c r="DA79" i="1" s="1"/>
  <c r="BR79" i="1"/>
  <c r="CS79" i="1" s="1"/>
  <c r="BT78" i="1"/>
  <c r="DA78" i="1" s="1"/>
  <c r="BR78" i="1"/>
  <c r="CS78" i="1" s="1"/>
  <c r="BT77" i="1"/>
  <c r="DA77" i="1" s="1"/>
  <c r="BR77" i="1"/>
  <c r="CS77" i="1" s="1"/>
  <c r="BT76" i="1"/>
  <c r="DA76" i="1" s="1"/>
  <c r="BR76" i="1"/>
  <c r="CS76" i="1" s="1"/>
  <c r="BT75" i="1"/>
  <c r="DA75" i="1" s="1"/>
  <c r="BR75" i="1"/>
  <c r="CS75" i="1" s="1"/>
  <c r="BT74" i="1"/>
  <c r="DA74" i="1" s="1"/>
  <c r="BR74" i="1"/>
  <c r="CS74" i="1" s="1"/>
  <c r="BT73" i="1"/>
  <c r="DA73" i="1" s="1"/>
  <c r="BR73" i="1"/>
  <c r="CS73" i="1" s="1"/>
  <c r="BT72" i="1"/>
  <c r="DA72" i="1" s="1"/>
  <c r="BR72" i="1"/>
  <c r="CS72" i="1" s="1"/>
  <c r="BT71" i="1"/>
  <c r="DA71" i="1" s="1"/>
  <c r="BR71" i="1"/>
  <c r="CS71" i="1" s="1"/>
  <c r="BT70" i="1"/>
  <c r="DA70" i="1" s="1"/>
  <c r="BR70" i="1"/>
  <c r="CS70" i="1" s="1"/>
  <c r="BT69" i="1"/>
  <c r="DA69" i="1" s="1"/>
  <c r="BR69" i="1"/>
  <c r="CS69" i="1" s="1"/>
  <c r="BT68" i="1"/>
  <c r="DA68" i="1" s="1"/>
  <c r="BR68" i="1"/>
  <c r="CS68" i="1" s="1"/>
  <c r="BS371" i="1"/>
  <c r="CK371" i="1" s="1"/>
  <c r="BP371" i="1"/>
  <c r="CC371" i="1" s="1"/>
  <c r="BO372" i="1"/>
  <c r="C372" i="23" s="1"/>
  <c r="BO371" i="1"/>
  <c r="BN1" i="1"/>
  <c r="BS370" i="1"/>
  <c r="CK370" i="1" s="1"/>
  <c r="BP370" i="1"/>
  <c r="CC370" i="1" s="1"/>
  <c r="BO370" i="1"/>
  <c r="BS369" i="1"/>
  <c r="CK369" i="1" s="1"/>
  <c r="BP369" i="1"/>
  <c r="CC369" i="1" s="1"/>
  <c r="BO369" i="1"/>
  <c r="BS368" i="1"/>
  <c r="CK368" i="1" s="1"/>
  <c r="BP368" i="1"/>
  <c r="CC368" i="1" s="1"/>
  <c r="BO368" i="1"/>
  <c r="BS367" i="1"/>
  <c r="CK367" i="1" s="1"/>
  <c r="BP367" i="1"/>
  <c r="CC367" i="1" s="1"/>
  <c r="BO367" i="1"/>
  <c r="BS366" i="1"/>
  <c r="CK366" i="1" s="1"/>
  <c r="BP366" i="1"/>
  <c r="CC366" i="1" s="1"/>
  <c r="BO366" i="1"/>
  <c r="BS365" i="1"/>
  <c r="CK365" i="1" s="1"/>
  <c r="BP365" i="1"/>
  <c r="CC365" i="1" s="1"/>
  <c r="BO365" i="1"/>
  <c r="BS364" i="1"/>
  <c r="CK364" i="1" s="1"/>
  <c r="BP364" i="1"/>
  <c r="CC364" i="1" s="1"/>
  <c r="BO364" i="1"/>
  <c r="BS363" i="1"/>
  <c r="CK363" i="1" s="1"/>
  <c r="BP363" i="1"/>
  <c r="CC363" i="1" s="1"/>
  <c r="BO363" i="1"/>
  <c r="BS362" i="1"/>
  <c r="CK362" i="1" s="1"/>
  <c r="BP362" i="1"/>
  <c r="CC362" i="1" s="1"/>
  <c r="BO362" i="1"/>
  <c r="BS361" i="1"/>
  <c r="CK361" i="1" s="1"/>
  <c r="BP361" i="1"/>
  <c r="CC361" i="1" s="1"/>
  <c r="BO361" i="1"/>
  <c r="BS360" i="1"/>
  <c r="CK360" i="1" s="1"/>
  <c r="BP360" i="1"/>
  <c r="CC360" i="1" s="1"/>
  <c r="BO360" i="1"/>
  <c r="BS359" i="1"/>
  <c r="CK359" i="1" s="1"/>
  <c r="BP359" i="1"/>
  <c r="CC359" i="1" s="1"/>
  <c r="BO359" i="1"/>
  <c r="BS358" i="1"/>
  <c r="CK358" i="1" s="1"/>
  <c r="BP358" i="1"/>
  <c r="CC358" i="1" s="1"/>
  <c r="BO358" i="1"/>
  <c r="BS357" i="1"/>
  <c r="CK357" i="1" s="1"/>
  <c r="BP357" i="1"/>
  <c r="CC357" i="1" s="1"/>
  <c r="BO357" i="1"/>
  <c r="BS356" i="1"/>
  <c r="CK356" i="1" s="1"/>
  <c r="BP356" i="1"/>
  <c r="CC356" i="1" s="1"/>
  <c r="BO356" i="1"/>
  <c r="BS355" i="1"/>
  <c r="CK355" i="1" s="1"/>
  <c r="BP355" i="1"/>
  <c r="CC355" i="1" s="1"/>
  <c r="BO355" i="1"/>
  <c r="BS354" i="1"/>
  <c r="CK354" i="1" s="1"/>
  <c r="BP354" i="1"/>
  <c r="CC354" i="1" s="1"/>
  <c r="BO354" i="1"/>
  <c r="BS353" i="1"/>
  <c r="CK353" i="1" s="1"/>
  <c r="BP353" i="1"/>
  <c r="CC353" i="1" s="1"/>
  <c r="BO353" i="1"/>
  <c r="BS352" i="1"/>
  <c r="CK352" i="1" s="1"/>
  <c r="BP352" i="1"/>
  <c r="CC352" i="1" s="1"/>
  <c r="BO352" i="1"/>
  <c r="BS351" i="1"/>
  <c r="CK351" i="1" s="1"/>
  <c r="BP351" i="1"/>
  <c r="CC351" i="1" s="1"/>
  <c r="BO351" i="1"/>
  <c r="BS350" i="1"/>
  <c r="CK350" i="1" s="1"/>
  <c r="BP350" i="1"/>
  <c r="CC350" i="1" s="1"/>
  <c r="BO350" i="1"/>
  <c r="BS349" i="1"/>
  <c r="CK349" i="1" s="1"/>
  <c r="BP349" i="1"/>
  <c r="CC349" i="1" s="1"/>
  <c r="BO349" i="1"/>
  <c r="BS348" i="1"/>
  <c r="CK348" i="1" s="1"/>
  <c r="BP348" i="1"/>
  <c r="CC348" i="1" s="1"/>
  <c r="BO348" i="1"/>
  <c r="BS347" i="1"/>
  <c r="CK347" i="1" s="1"/>
  <c r="CC347" i="1"/>
  <c r="BS346" i="1"/>
  <c r="CK346" i="1" s="1"/>
  <c r="BP346" i="1"/>
  <c r="CC346" i="1" s="1"/>
  <c r="BO346" i="1"/>
  <c r="BS345" i="1"/>
  <c r="CK345" i="1" s="1"/>
  <c r="BP345" i="1"/>
  <c r="CC345" i="1" s="1"/>
  <c r="BO345" i="1"/>
  <c r="BS344" i="1"/>
  <c r="CK344" i="1" s="1"/>
  <c r="BP344" i="1"/>
  <c r="CC344" i="1" s="1"/>
  <c r="BO344" i="1"/>
  <c r="BS343" i="1"/>
  <c r="CK343" i="1" s="1"/>
  <c r="BP343" i="1"/>
  <c r="CC343" i="1" s="1"/>
  <c r="BO343" i="1"/>
  <c r="BS342" i="1"/>
  <c r="CK342" i="1" s="1"/>
  <c r="BP342" i="1"/>
  <c r="CC342" i="1" s="1"/>
  <c r="BO342" i="1"/>
  <c r="CB342" i="1" s="1"/>
  <c r="BS341" i="1"/>
  <c r="CK341" i="1" s="1"/>
  <c r="BP341" i="1"/>
  <c r="CC341" i="1" s="1"/>
  <c r="BO341" i="1"/>
  <c r="BS340" i="1"/>
  <c r="CK340" i="1" s="1"/>
  <c r="BP340" i="1"/>
  <c r="CC340" i="1" s="1"/>
  <c r="BO340" i="1"/>
  <c r="BS339" i="1"/>
  <c r="CK339" i="1" s="1"/>
  <c r="BP339" i="1"/>
  <c r="CC339" i="1" s="1"/>
  <c r="BO339" i="1"/>
  <c r="BS338" i="1"/>
  <c r="CK338" i="1" s="1"/>
  <c r="BP338" i="1"/>
  <c r="CC338" i="1" s="1"/>
  <c r="BO338" i="1"/>
  <c r="BS337" i="1"/>
  <c r="CK337" i="1" s="1"/>
  <c r="BP337" i="1"/>
  <c r="CC337" i="1" s="1"/>
  <c r="BO337" i="1"/>
  <c r="BS336" i="1"/>
  <c r="CK336" i="1" s="1"/>
  <c r="BP336" i="1"/>
  <c r="CC336" i="1" s="1"/>
  <c r="BO336" i="1"/>
  <c r="BS335" i="1"/>
  <c r="CK335" i="1" s="1"/>
  <c r="BP335" i="1"/>
  <c r="CC335" i="1" s="1"/>
  <c r="BO335" i="1"/>
  <c r="BS334" i="1"/>
  <c r="CK334" i="1" s="1"/>
  <c r="BP334" i="1"/>
  <c r="CC334" i="1" s="1"/>
  <c r="BO334" i="1"/>
  <c r="BS333" i="1"/>
  <c r="CK333" i="1" s="1"/>
  <c r="BP333" i="1"/>
  <c r="CC333" i="1" s="1"/>
  <c r="BO333" i="1"/>
  <c r="BS332" i="1"/>
  <c r="CK332" i="1" s="1"/>
  <c r="BP332" i="1"/>
  <c r="CC332" i="1" s="1"/>
  <c r="BO332" i="1"/>
  <c r="BS331" i="1"/>
  <c r="CK331" i="1" s="1"/>
  <c r="BP331" i="1"/>
  <c r="CC331" i="1" s="1"/>
  <c r="BO331" i="1"/>
  <c r="BS330" i="1"/>
  <c r="CK330" i="1" s="1"/>
  <c r="BP330" i="1"/>
  <c r="CC330" i="1" s="1"/>
  <c r="BO330" i="1"/>
  <c r="BS329" i="1"/>
  <c r="CK329" i="1" s="1"/>
  <c r="BP329" i="1"/>
  <c r="CC329" i="1" s="1"/>
  <c r="BO329" i="1"/>
  <c r="BS328" i="1"/>
  <c r="CK328" i="1" s="1"/>
  <c r="BP328" i="1"/>
  <c r="CC328" i="1" s="1"/>
  <c r="BO328" i="1"/>
  <c r="BS327" i="1"/>
  <c r="CK327" i="1" s="1"/>
  <c r="BP327" i="1"/>
  <c r="CC327" i="1" s="1"/>
  <c r="BO327" i="1"/>
  <c r="BS326" i="1"/>
  <c r="CK326" i="1" s="1"/>
  <c r="BP326" i="1"/>
  <c r="CC326" i="1" s="1"/>
  <c r="BO326" i="1"/>
  <c r="BS325" i="1"/>
  <c r="CK325" i="1" s="1"/>
  <c r="BP325" i="1"/>
  <c r="CC325" i="1" s="1"/>
  <c r="BO325" i="1"/>
  <c r="BS324" i="1"/>
  <c r="CK324" i="1" s="1"/>
  <c r="BP324" i="1"/>
  <c r="CC324" i="1" s="1"/>
  <c r="BO324" i="1"/>
  <c r="BS323" i="1"/>
  <c r="CK323" i="1" s="1"/>
  <c r="BP323" i="1"/>
  <c r="CC323" i="1" s="1"/>
  <c r="BO323" i="1"/>
  <c r="BS322" i="1"/>
  <c r="CK322" i="1" s="1"/>
  <c r="BP322" i="1"/>
  <c r="CC322" i="1" s="1"/>
  <c r="BO322" i="1"/>
  <c r="BS321" i="1"/>
  <c r="CK321" i="1" s="1"/>
  <c r="BP321" i="1"/>
  <c r="CC321" i="1" s="1"/>
  <c r="BO321" i="1"/>
  <c r="BS320" i="1"/>
  <c r="CK320" i="1" s="1"/>
  <c r="BP320" i="1"/>
  <c r="CC320" i="1" s="1"/>
  <c r="BO320" i="1"/>
  <c r="BS319" i="1"/>
  <c r="CK319" i="1" s="1"/>
  <c r="BP319" i="1"/>
  <c r="CC319" i="1" s="1"/>
  <c r="BO319" i="1"/>
  <c r="BS318" i="1"/>
  <c r="CK318" i="1" s="1"/>
  <c r="BP318" i="1"/>
  <c r="CC318" i="1" s="1"/>
  <c r="BO318" i="1"/>
  <c r="BS317" i="1"/>
  <c r="CK317" i="1" s="1"/>
  <c r="BP317" i="1"/>
  <c r="CC317" i="1" s="1"/>
  <c r="BO317" i="1"/>
  <c r="BS316" i="1"/>
  <c r="CK316" i="1" s="1"/>
  <c r="BP316" i="1"/>
  <c r="CC316" i="1" s="1"/>
  <c r="BO316" i="1"/>
  <c r="BS315" i="1"/>
  <c r="CK315" i="1" s="1"/>
  <c r="BP315" i="1"/>
  <c r="CC315" i="1" s="1"/>
  <c r="BO315" i="1"/>
  <c r="BS314" i="1"/>
  <c r="CK314" i="1" s="1"/>
  <c r="BP314" i="1"/>
  <c r="CC314" i="1" s="1"/>
  <c r="BO314" i="1"/>
  <c r="BS313" i="1"/>
  <c r="CK313" i="1" s="1"/>
  <c r="BP313" i="1"/>
  <c r="CC313" i="1" s="1"/>
  <c r="BO313" i="1"/>
  <c r="BS312" i="1"/>
  <c r="CK312" i="1" s="1"/>
  <c r="BP312" i="1"/>
  <c r="CC312" i="1" s="1"/>
  <c r="BO312" i="1"/>
  <c r="CB312" i="1" s="1"/>
  <c r="BS311" i="1"/>
  <c r="CK311" i="1" s="1"/>
  <c r="BP311" i="1"/>
  <c r="CC311" i="1" s="1"/>
  <c r="BO311" i="1"/>
  <c r="BS310" i="1"/>
  <c r="CK310" i="1" s="1"/>
  <c r="BP310" i="1"/>
  <c r="CC310" i="1" s="1"/>
  <c r="BO310" i="1"/>
  <c r="BS309" i="1"/>
  <c r="CK309" i="1" s="1"/>
  <c r="BP309" i="1"/>
  <c r="CC309" i="1" s="1"/>
  <c r="BO309" i="1"/>
  <c r="BS308" i="1"/>
  <c r="CK308" i="1" s="1"/>
  <c r="BP308" i="1"/>
  <c r="CC308" i="1" s="1"/>
  <c r="BO308" i="1"/>
  <c r="BS307" i="1"/>
  <c r="CK307" i="1" s="1"/>
  <c r="BP307" i="1"/>
  <c r="CC307" i="1" s="1"/>
  <c r="BO307" i="1"/>
  <c r="BS306" i="1"/>
  <c r="CK306" i="1" s="1"/>
  <c r="BP306" i="1"/>
  <c r="CC306" i="1" s="1"/>
  <c r="BO306" i="1"/>
  <c r="BS305" i="1"/>
  <c r="CK305" i="1" s="1"/>
  <c r="BP305" i="1"/>
  <c r="CC305" i="1" s="1"/>
  <c r="BO305" i="1"/>
  <c r="BS304" i="1"/>
  <c r="CK304" i="1" s="1"/>
  <c r="BP304" i="1"/>
  <c r="CC304" i="1" s="1"/>
  <c r="BO304" i="1"/>
  <c r="BS303" i="1"/>
  <c r="CK303" i="1" s="1"/>
  <c r="BP303" i="1"/>
  <c r="CC303" i="1" s="1"/>
  <c r="BO303" i="1"/>
  <c r="BS302" i="1"/>
  <c r="CK302" i="1" s="1"/>
  <c r="BP302" i="1"/>
  <c r="CC302" i="1" s="1"/>
  <c r="BO302" i="1"/>
  <c r="BS301" i="1"/>
  <c r="CK301" i="1" s="1"/>
  <c r="BP301" i="1"/>
  <c r="CC301" i="1" s="1"/>
  <c r="BO301" i="1"/>
  <c r="BS300" i="1"/>
  <c r="CK300" i="1" s="1"/>
  <c r="BP300" i="1"/>
  <c r="CC300" i="1" s="1"/>
  <c r="BO300" i="1"/>
  <c r="BS299" i="1"/>
  <c r="CK299" i="1" s="1"/>
  <c r="BP299" i="1"/>
  <c r="CC299" i="1" s="1"/>
  <c r="BO299" i="1"/>
  <c r="BS298" i="1"/>
  <c r="CK298" i="1" s="1"/>
  <c r="BP298" i="1"/>
  <c r="CC298" i="1" s="1"/>
  <c r="BO298" i="1"/>
  <c r="BS297" i="1"/>
  <c r="CK297" i="1" s="1"/>
  <c r="BP297" i="1"/>
  <c r="CC297" i="1" s="1"/>
  <c r="BO297" i="1"/>
  <c r="BS296" i="1"/>
  <c r="CK296" i="1" s="1"/>
  <c r="BP296" i="1"/>
  <c r="CC296" i="1" s="1"/>
  <c r="BO296" i="1"/>
  <c r="BS295" i="1"/>
  <c r="CK295" i="1" s="1"/>
  <c r="BP295" i="1"/>
  <c r="CC295" i="1" s="1"/>
  <c r="BO295" i="1"/>
  <c r="BS294" i="1"/>
  <c r="CK294" i="1" s="1"/>
  <c r="BP294" i="1"/>
  <c r="CC294" i="1" s="1"/>
  <c r="BO294" i="1"/>
  <c r="BS293" i="1"/>
  <c r="CK293" i="1" s="1"/>
  <c r="BP293" i="1"/>
  <c r="CC293" i="1" s="1"/>
  <c r="BO293" i="1"/>
  <c r="BS292" i="1"/>
  <c r="CK292" i="1" s="1"/>
  <c r="BP292" i="1"/>
  <c r="CC292" i="1" s="1"/>
  <c r="BO292" i="1"/>
  <c r="BS291" i="1"/>
  <c r="CK291" i="1" s="1"/>
  <c r="BP291" i="1"/>
  <c r="CC291" i="1" s="1"/>
  <c r="BO291" i="1"/>
  <c r="BS290" i="1"/>
  <c r="CK290" i="1" s="1"/>
  <c r="BP290" i="1"/>
  <c r="CC290" i="1" s="1"/>
  <c r="BO290" i="1"/>
  <c r="BS289" i="1"/>
  <c r="CK289" i="1" s="1"/>
  <c r="BP289" i="1"/>
  <c r="CC289" i="1" s="1"/>
  <c r="BO289" i="1"/>
  <c r="BS288" i="1"/>
  <c r="CK288" i="1" s="1"/>
  <c r="BP288" i="1"/>
  <c r="CC288" i="1" s="1"/>
  <c r="BO288" i="1"/>
  <c r="BS287" i="1"/>
  <c r="CK287" i="1" s="1"/>
  <c r="BP287" i="1"/>
  <c r="CC287" i="1" s="1"/>
  <c r="BO287" i="1"/>
  <c r="BS286" i="1"/>
  <c r="CK286" i="1" s="1"/>
  <c r="BP286" i="1"/>
  <c r="CC286" i="1" s="1"/>
  <c r="BO286" i="1"/>
  <c r="BS285" i="1"/>
  <c r="CK285" i="1" s="1"/>
  <c r="BP285" i="1"/>
  <c r="CC285" i="1" s="1"/>
  <c r="BO285" i="1"/>
  <c r="BS284" i="1"/>
  <c r="CK284" i="1" s="1"/>
  <c r="BP284" i="1"/>
  <c r="CC284" i="1" s="1"/>
  <c r="BO284" i="1"/>
  <c r="BS283" i="1"/>
  <c r="CK283" i="1" s="1"/>
  <c r="BP283" i="1"/>
  <c r="CC283" i="1" s="1"/>
  <c r="BO283" i="1"/>
  <c r="BS282" i="1"/>
  <c r="CK282" i="1" s="1"/>
  <c r="BP282" i="1"/>
  <c r="CC282" i="1" s="1"/>
  <c r="BO282" i="1"/>
  <c r="BS281" i="1"/>
  <c r="CK281" i="1" s="1"/>
  <c r="BP281" i="1"/>
  <c r="CC281" i="1" s="1"/>
  <c r="BO281" i="1"/>
  <c r="CB281" i="1" s="1"/>
  <c r="BS280" i="1"/>
  <c r="CK280" i="1" s="1"/>
  <c r="BP280" i="1"/>
  <c r="CC280" i="1" s="1"/>
  <c r="BO280" i="1"/>
  <c r="BS279" i="1"/>
  <c r="CK279" i="1" s="1"/>
  <c r="BP279" i="1"/>
  <c r="CC279" i="1" s="1"/>
  <c r="BO279" i="1"/>
  <c r="BS278" i="1"/>
  <c r="CK278" i="1" s="1"/>
  <c r="BP278" i="1"/>
  <c r="CC278" i="1" s="1"/>
  <c r="BO278" i="1"/>
  <c r="BS277" i="1"/>
  <c r="CK277" i="1" s="1"/>
  <c r="BP277" i="1"/>
  <c r="CC277" i="1" s="1"/>
  <c r="BO277" i="1"/>
  <c r="BS276" i="1"/>
  <c r="CK276" i="1" s="1"/>
  <c r="BP276" i="1"/>
  <c r="CC276" i="1" s="1"/>
  <c r="BO276" i="1"/>
  <c r="BS275" i="1"/>
  <c r="CK275" i="1" s="1"/>
  <c r="BP275" i="1"/>
  <c r="CC275" i="1" s="1"/>
  <c r="BO275" i="1"/>
  <c r="BS274" i="1"/>
  <c r="CK274" i="1" s="1"/>
  <c r="BP274" i="1"/>
  <c r="CC274" i="1" s="1"/>
  <c r="BO274" i="1"/>
  <c r="BS273" i="1"/>
  <c r="CK273" i="1" s="1"/>
  <c r="BP273" i="1"/>
  <c r="CC273" i="1" s="1"/>
  <c r="BO273" i="1"/>
  <c r="BS272" i="1"/>
  <c r="CK272" i="1" s="1"/>
  <c r="BP272" i="1"/>
  <c r="CC272" i="1" s="1"/>
  <c r="BO272" i="1"/>
  <c r="BS271" i="1"/>
  <c r="CK271" i="1" s="1"/>
  <c r="BP271" i="1"/>
  <c r="CC271" i="1" s="1"/>
  <c r="BO271" i="1"/>
  <c r="BS270" i="1"/>
  <c r="CK270" i="1" s="1"/>
  <c r="BP270" i="1"/>
  <c r="CC270" i="1" s="1"/>
  <c r="BO270" i="1"/>
  <c r="BS269" i="1"/>
  <c r="CK269" i="1" s="1"/>
  <c r="BP269" i="1"/>
  <c r="CC269" i="1" s="1"/>
  <c r="BO269" i="1"/>
  <c r="CB269" i="1" s="1"/>
  <c r="BS158" i="1"/>
  <c r="CK158" i="1" s="1"/>
  <c r="BP158" i="1"/>
  <c r="CC158" i="1" s="1"/>
  <c r="BO158" i="1"/>
  <c r="BS156" i="1"/>
  <c r="CK156" i="1" s="1"/>
  <c r="BP156" i="1"/>
  <c r="CC156" i="1" s="1"/>
  <c r="BO156" i="1"/>
  <c r="BS155" i="1"/>
  <c r="CK155" i="1" s="1"/>
  <c r="BP155" i="1"/>
  <c r="CC155" i="1" s="1"/>
  <c r="BO155" i="1"/>
  <c r="BS154" i="1"/>
  <c r="CK154" i="1" s="1"/>
  <c r="BP154" i="1"/>
  <c r="CC154" i="1" s="1"/>
  <c r="BS153" i="1"/>
  <c r="CK153" i="1" s="1"/>
  <c r="BP153" i="1"/>
  <c r="CC153" i="1" s="1"/>
  <c r="BO153" i="1"/>
  <c r="BS152" i="1"/>
  <c r="CK152" i="1" s="1"/>
  <c r="BP152" i="1"/>
  <c r="CC152" i="1" s="1"/>
  <c r="BO152" i="1"/>
  <c r="BS151" i="1"/>
  <c r="CK151" i="1" s="1"/>
  <c r="BP151" i="1"/>
  <c r="CC151" i="1" s="1"/>
  <c r="BO151" i="1"/>
  <c r="BS150" i="1"/>
  <c r="CK150" i="1" s="1"/>
  <c r="BP150" i="1"/>
  <c r="CC150" i="1" s="1"/>
  <c r="BO150" i="1"/>
  <c r="BS149" i="1"/>
  <c r="CK149" i="1" s="1"/>
  <c r="BP149" i="1"/>
  <c r="CC149" i="1" s="1"/>
  <c r="BO149" i="1"/>
  <c r="BS148" i="1"/>
  <c r="CK148" i="1" s="1"/>
  <c r="BP148" i="1"/>
  <c r="CC148" i="1" s="1"/>
  <c r="BO148" i="1"/>
  <c r="BS147" i="1"/>
  <c r="CK147" i="1" s="1"/>
  <c r="BP147" i="1"/>
  <c r="CC147" i="1" s="1"/>
  <c r="BO147" i="1"/>
  <c r="BS146" i="1"/>
  <c r="CK146" i="1" s="1"/>
  <c r="BP146" i="1"/>
  <c r="CC146" i="1" s="1"/>
  <c r="BO146" i="1"/>
  <c r="BS145" i="1"/>
  <c r="CK145" i="1" s="1"/>
  <c r="BP145" i="1"/>
  <c r="CC145" i="1" s="1"/>
  <c r="BO145" i="1"/>
  <c r="BS144" i="1"/>
  <c r="CK144" i="1" s="1"/>
  <c r="BP144" i="1"/>
  <c r="CC144" i="1" s="1"/>
  <c r="BO144" i="1"/>
  <c r="BS143" i="1"/>
  <c r="CK143" i="1" s="1"/>
  <c r="BP143" i="1"/>
  <c r="CC143" i="1" s="1"/>
  <c r="BO143" i="1"/>
  <c r="BS142" i="1"/>
  <c r="CK142" i="1" s="1"/>
  <c r="BP142" i="1"/>
  <c r="CC142" i="1" s="1"/>
  <c r="BO142" i="1"/>
  <c r="BS141" i="1"/>
  <c r="CK141" i="1" s="1"/>
  <c r="BP141" i="1"/>
  <c r="CC141" i="1" s="1"/>
  <c r="BO141" i="1"/>
  <c r="BS140" i="1"/>
  <c r="CK140" i="1" s="1"/>
  <c r="BP140" i="1"/>
  <c r="CC140" i="1" s="1"/>
  <c r="BO140" i="1"/>
  <c r="BS139" i="1"/>
  <c r="CK139" i="1" s="1"/>
  <c r="BP139" i="1"/>
  <c r="CC139" i="1" s="1"/>
  <c r="BO139" i="1"/>
  <c r="BS138" i="1"/>
  <c r="CK138" i="1" s="1"/>
  <c r="BP138" i="1"/>
  <c r="CC138" i="1" s="1"/>
  <c r="BO138" i="1"/>
  <c r="BS137" i="1"/>
  <c r="CK137" i="1" s="1"/>
  <c r="BP137" i="1"/>
  <c r="CC137" i="1" s="1"/>
  <c r="BO137" i="1"/>
  <c r="BS136" i="1"/>
  <c r="CK136" i="1" s="1"/>
  <c r="BP136" i="1"/>
  <c r="CC136" i="1" s="1"/>
  <c r="BO136" i="1"/>
  <c r="BS135" i="1"/>
  <c r="CK135" i="1" s="1"/>
  <c r="BP135" i="1"/>
  <c r="CC135" i="1" s="1"/>
  <c r="BO135" i="1"/>
  <c r="BS134" i="1"/>
  <c r="CK134" i="1" s="1"/>
  <c r="BP134" i="1"/>
  <c r="CC134" i="1" s="1"/>
  <c r="BO134" i="1"/>
  <c r="BS133" i="1"/>
  <c r="CK133" i="1" s="1"/>
  <c r="BP133" i="1"/>
  <c r="CC133" i="1" s="1"/>
  <c r="BO133" i="1"/>
  <c r="BS132" i="1"/>
  <c r="CK132" i="1" s="1"/>
  <c r="BP132" i="1"/>
  <c r="CC132" i="1" s="1"/>
  <c r="BO132" i="1"/>
  <c r="BS131" i="1"/>
  <c r="CK131" i="1" s="1"/>
  <c r="BP131" i="1"/>
  <c r="CC131" i="1" s="1"/>
  <c r="BO131" i="1"/>
  <c r="BS130" i="1"/>
  <c r="CK130" i="1" s="1"/>
  <c r="BP130" i="1"/>
  <c r="CC130" i="1" s="1"/>
  <c r="BO130" i="1"/>
  <c r="BS129" i="1"/>
  <c r="CK129" i="1" s="1"/>
  <c r="BP129" i="1"/>
  <c r="CC129" i="1" s="1"/>
  <c r="BO129" i="1"/>
  <c r="BS128" i="1"/>
  <c r="CK128" i="1" s="1"/>
  <c r="BP128" i="1"/>
  <c r="CC128" i="1" s="1"/>
  <c r="BO128" i="1"/>
  <c r="CB128" i="1" s="1"/>
  <c r="BS127" i="1"/>
  <c r="CK127" i="1" s="1"/>
  <c r="BP127" i="1"/>
  <c r="CC127" i="1" s="1"/>
  <c r="BO127" i="1"/>
  <c r="BS126" i="1"/>
  <c r="CK126" i="1" s="1"/>
  <c r="BP126" i="1"/>
  <c r="CC126" i="1" s="1"/>
  <c r="BO126" i="1"/>
  <c r="BS125" i="1"/>
  <c r="CK125" i="1" s="1"/>
  <c r="BP125" i="1"/>
  <c r="CC125" i="1" s="1"/>
  <c r="BO125" i="1"/>
  <c r="BS124" i="1"/>
  <c r="CK124" i="1" s="1"/>
  <c r="BP124" i="1"/>
  <c r="CC124" i="1" s="1"/>
  <c r="BO124" i="1"/>
  <c r="BS123" i="1"/>
  <c r="CK123" i="1" s="1"/>
  <c r="BP123" i="1"/>
  <c r="CC123" i="1" s="1"/>
  <c r="BO123" i="1"/>
  <c r="BS122" i="1"/>
  <c r="CK122" i="1" s="1"/>
  <c r="BP122" i="1"/>
  <c r="CC122" i="1" s="1"/>
  <c r="BO122" i="1"/>
  <c r="BS121" i="1"/>
  <c r="CK121" i="1" s="1"/>
  <c r="BP121" i="1"/>
  <c r="CC121" i="1" s="1"/>
  <c r="BO121" i="1"/>
  <c r="BS120" i="1"/>
  <c r="CK120" i="1" s="1"/>
  <c r="BP120" i="1"/>
  <c r="CC120" i="1" s="1"/>
  <c r="BO120" i="1"/>
  <c r="BS119" i="1"/>
  <c r="CK119" i="1" s="1"/>
  <c r="BP119" i="1"/>
  <c r="CC119" i="1" s="1"/>
  <c r="BO119" i="1"/>
  <c r="BS118" i="1"/>
  <c r="CK118" i="1" s="1"/>
  <c r="BP118" i="1"/>
  <c r="CC118" i="1" s="1"/>
  <c r="BO118" i="1"/>
  <c r="BS117" i="1"/>
  <c r="CK117" i="1" s="1"/>
  <c r="BP117" i="1"/>
  <c r="CC117" i="1" s="1"/>
  <c r="BO117" i="1"/>
  <c r="BS116" i="1"/>
  <c r="CK116" i="1" s="1"/>
  <c r="BP116" i="1"/>
  <c r="CC116" i="1" s="1"/>
  <c r="BO116" i="1"/>
  <c r="BS115" i="1"/>
  <c r="CK115" i="1" s="1"/>
  <c r="BP115" i="1"/>
  <c r="CC115" i="1" s="1"/>
  <c r="BO115" i="1"/>
  <c r="BS114" i="1"/>
  <c r="CK114" i="1" s="1"/>
  <c r="BP114" i="1"/>
  <c r="CC114" i="1" s="1"/>
  <c r="BO114" i="1"/>
  <c r="BS113" i="1"/>
  <c r="CK113" i="1" s="1"/>
  <c r="BP113" i="1"/>
  <c r="CC113" i="1" s="1"/>
  <c r="BO113" i="1"/>
  <c r="BS112" i="1"/>
  <c r="CK112" i="1" s="1"/>
  <c r="BP112" i="1"/>
  <c r="CC112" i="1" s="1"/>
  <c r="BO112" i="1"/>
  <c r="BS111" i="1"/>
  <c r="CK111" i="1" s="1"/>
  <c r="BP111" i="1"/>
  <c r="CC111" i="1" s="1"/>
  <c r="BO111" i="1"/>
  <c r="BS110" i="1"/>
  <c r="CK110" i="1" s="1"/>
  <c r="BP110" i="1"/>
  <c r="CC110" i="1" s="1"/>
  <c r="BO110" i="1"/>
  <c r="BS109" i="1"/>
  <c r="CK109" i="1" s="1"/>
  <c r="BP109" i="1"/>
  <c r="CC109" i="1" s="1"/>
  <c r="BO109" i="1"/>
  <c r="BS108" i="1"/>
  <c r="CK108" i="1" s="1"/>
  <c r="BP108" i="1"/>
  <c r="CC108" i="1" s="1"/>
  <c r="BO108" i="1"/>
  <c r="BS107" i="1"/>
  <c r="CK107" i="1" s="1"/>
  <c r="BP107" i="1"/>
  <c r="CC107" i="1" s="1"/>
  <c r="BO107" i="1"/>
  <c r="BS106" i="1"/>
  <c r="CK106" i="1" s="1"/>
  <c r="BP106" i="1"/>
  <c r="CC106" i="1" s="1"/>
  <c r="BO106" i="1"/>
  <c r="BS105" i="1"/>
  <c r="CK105" i="1" s="1"/>
  <c r="BP105" i="1"/>
  <c r="CC105" i="1" s="1"/>
  <c r="BO105" i="1"/>
  <c r="BS104" i="1"/>
  <c r="CK104" i="1" s="1"/>
  <c r="BP104" i="1"/>
  <c r="CC104" i="1" s="1"/>
  <c r="BO104" i="1"/>
  <c r="BS103" i="1"/>
  <c r="CK103" i="1" s="1"/>
  <c r="BP103" i="1"/>
  <c r="CC103" i="1" s="1"/>
  <c r="BO103" i="1"/>
  <c r="BS102" i="1"/>
  <c r="CK102" i="1" s="1"/>
  <c r="BP102" i="1"/>
  <c r="CC102" i="1" s="1"/>
  <c r="BO102" i="1"/>
  <c r="BS101" i="1"/>
  <c r="CK101" i="1" s="1"/>
  <c r="BP101" i="1"/>
  <c r="CC101" i="1" s="1"/>
  <c r="BO101" i="1"/>
  <c r="BS100" i="1"/>
  <c r="CK100" i="1" s="1"/>
  <c r="BP100" i="1"/>
  <c r="CC100" i="1" s="1"/>
  <c r="BO100" i="1"/>
  <c r="BS99" i="1"/>
  <c r="CK99" i="1" s="1"/>
  <c r="BP99" i="1"/>
  <c r="CC99" i="1" s="1"/>
  <c r="BO99" i="1"/>
  <c r="BS98" i="1"/>
  <c r="CK98" i="1" s="1"/>
  <c r="BP98" i="1"/>
  <c r="CC98" i="1" s="1"/>
  <c r="BO98" i="1"/>
  <c r="CB98" i="1" s="1"/>
  <c r="BS97" i="1"/>
  <c r="CK97" i="1" s="1"/>
  <c r="BP97" i="1"/>
  <c r="CC97" i="1" s="1"/>
  <c r="BO97" i="1"/>
  <c r="BS96" i="1"/>
  <c r="CK96" i="1" s="1"/>
  <c r="BP96" i="1"/>
  <c r="CC96" i="1" s="1"/>
  <c r="BO96" i="1"/>
  <c r="BS95" i="1"/>
  <c r="CK95" i="1" s="1"/>
  <c r="BP95" i="1"/>
  <c r="CC95" i="1" s="1"/>
  <c r="BO95" i="1"/>
  <c r="BS94" i="1"/>
  <c r="CK94" i="1" s="1"/>
  <c r="BP94" i="1"/>
  <c r="CC94" i="1" s="1"/>
  <c r="BO94" i="1"/>
  <c r="BS93" i="1"/>
  <c r="CK93" i="1" s="1"/>
  <c r="BP93" i="1"/>
  <c r="CC93" i="1" s="1"/>
  <c r="BO93" i="1"/>
  <c r="BS92" i="1"/>
  <c r="CK92" i="1" s="1"/>
  <c r="BP92" i="1"/>
  <c r="CC92" i="1" s="1"/>
  <c r="BO92" i="1"/>
  <c r="BS91" i="1"/>
  <c r="CK91" i="1" s="1"/>
  <c r="BP91" i="1"/>
  <c r="CC91" i="1" s="1"/>
  <c r="BO91" i="1"/>
  <c r="BS90" i="1"/>
  <c r="CK90" i="1" s="1"/>
  <c r="BP90" i="1"/>
  <c r="CC90" i="1" s="1"/>
  <c r="BO90" i="1"/>
  <c r="BS89" i="1"/>
  <c r="CK89" i="1" s="1"/>
  <c r="BP89" i="1"/>
  <c r="CC89" i="1" s="1"/>
  <c r="BO89" i="1"/>
  <c r="BS88" i="1"/>
  <c r="CK88" i="1" s="1"/>
  <c r="BP88" i="1"/>
  <c r="CC88" i="1" s="1"/>
  <c r="BO88" i="1"/>
  <c r="BS87" i="1"/>
  <c r="CK87" i="1" s="1"/>
  <c r="BP87" i="1"/>
  <c r="CC87" i="1" s="1"/>
  <c r="BO87" i="1"/>
  <c r="BS86" i="1"/>
  <c r="CK86" i="1" s="1"/>
  <c r="BP86" i="1"/>
  <c r="CC86" i="1" s="1"/>
  <c r="BO86" i="1"/>
  <c r="BS85" i="1"/>
  <c r="CK85" i="1" s="1"/>
  <c r="BP85" i="1"/>
  <c r="CC85" i="1" s="1"/>
  <c r="BO85" i="1"/>
  <c r="BS84" i="1"/>
  <c r="CK84" i="1" s="1"/>
  <c r="BP84" i="1"/>
  <c r="CC84" i="1" s="1"/>
  <c r="BO84" i="1"/>
  <c r="BS83" i="1"/>
  <c r="CK83" i="1" s="1"/>
  <c r="BP83" i="1"/>
  <c r="CC83" i="1" s="1"/>
  <c r="BO83" i="1"/>
  <c r="BS82" i="1"/>
  <c r="CK82" i="1" s="1"/>
  <c r="BP82" i="1"/>
  <c r="CC82" i="1" s="1"/>
  <c r="BO82" i="1"/>
  <c r="BS81" i="1"/>
  <c r="CK81" i="1" s="1"/>
  <c r="BP81" i="1"/>
  <c r="CC81" i="1" s="1"/>
  <c r="BO81" i="1"/>
  <c r="BS80" i="1"/>
  <c r="CK80" i="1" s="1"/>
  <c r="BP80" i="1"/>
  <c r="CC80" i="1" s="1"/>
  <c r="BO80" i="1"/>
  <c r="BS79" i="1"/>
  <c r="CK79" i="1" s="1"/>
  <c r="BP79" i="1"/>
  <c r="CC79" i="1" s="1"/>
  <c r="BO79" i="1"/>
  <c r="BS78" i="1"/>
  <c r="CK78" i="1" s="1"/>
  <c r="BP78" i="1"/>
  <c r="CC78" i="1" s="1"/>
  <c r="BO78" i="1"/>
  <c r="BS77" i="1"/>
  <c r="CK77" i="1" s="1"/>
  <c r="BP77" i="1"/>
  <c r="CC77" i="1" s="1"/>
  <c r="BO77" i="1"/>
  <c r="BS76" i="1"/>
  <c r="CK76" i="1" s="1"/>
  <c r="BP76" i="1"/>
  <c r="CC76" i="1" s="1"/>
  <c r="BO76" i="1"/>
  <c r="BS75" i="1"/>
  <c r="CK75" i="1" s="1"/>
  <c r="BP75" i="1"/>
  <c r="CC75" i="1" s="1"/>
  <c r="BO75" i="1"/>
  <c r="BS74" i="1"/>
  <c r="CK74" i="1" s="1"/>
  <c r="BP74" i="1"/>
  <c r="CC74" i="1" s="1"/>
  <c r="BO74" i="1"/>
  <c r="BS73" i="1"/>
  <c r="CK73" i="1" s="1"/>
  <c r="BP73" i="1"/>
  <c r="CC73" i="1" s="1"/>
  <c r="BO73" i="1"/>
  <c r="BS72" i="1"/>
  <c r="CK72" i="1" s="1"/>
  <c r="BP72" i="1"/>
  <c r="CC72" i="1" s="1"/>
  <c r="BO72" i="1"/>
  <c r="BS71" i="1"/>
  <c r="CK71" i="1" s="1"/>
  <c r="BP71" i="1"/>
  <c r="CC71" i="1" s="1"/>
  <c r="BO71" i="1"/>
  <c r="BS70" i="1"/>
  <c r="CK70" i="1" s="1"/>
  <c r="BP70" i="1"/>
  <c r="CC70" i="1" s="1"/>
  <c r="BO70" i="1"/>
  <c r="BS69" i="1"/>
  <c r="CK69" i="1" s="1"/>
  <c r="BP69" i="1"/>
  <c r="CC69" i="1" s="1"/>
  <c r="BO69" i="1"/>
  <c r="BS68" i="1"/>
  <c r="CK68" i="1" s="1"/>
  <c r="BP68" i="1"/>
  <c r="CC68" i="1" s="1"/>
  <c r="BO68" i="1"/>
  <c r="CB68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BF372" i="1"/>
  <c r="BF371" i="1"/>
  <c r="BF370" i="1"/>
  <c r="BF369" i="1"/>
  <c r="BF368" i="1"/>
  <c r="BF367" i="1"/>
  <c r="BF366" i="1"/>
  <c r="BF365" i="1"/>
  <c r="BF364" i="1"/>
  <c r="BF363" i="1"/>
  <c r="BF362" i="1"/>
  <c r="BF361" i="1"/>
  <c r="BF360" i="1"/>
  <c r="BF358" i="1"/>
  <c r="BF357" i="1"/>
  <c r="BF356" i="1"/>
  <c r="BF354" i="1"/>
  <c r="BF353" i="1"/>
  <c r="BF352" i="1"/>
  <c r="BF351" i="1"/>
  <c r="BF349" i="1"/>
  <c r="BF348" i="1"/>
  <c r="BF346" i="1"/>
  <c r="BF345" i="1"/>
  <c r="BF344" i="1"/>
  <c r="BF343" i="1"/>
  <c r="BF342" i="1"/>
  <c r="BF341" i="1"/>
  <c r="DB341" i="1" s="1"/>
  <c r="BF340" i="1"/>
  <c r="BF339" i="1"/>
  <c r="BF338" i="1"/>
  <c r="BF337" i="1"/>
  <c r="BF336" i="1"/>
  <c r="BF334" i="1"/>
  <c r="BF333" i="1"/>
  <c r="BF332" i="1"/>
  <c r="BF331" i="1"/>
  <c r="BF330" i="1"/>
  <c r="BF329" i="1"/>
  <c r="BF328" i="1"/>
  <c r="BF327" i="1"/>
  <c r="BF326" i="1"/>
  <c r="BF325" i="1"/>
  <c r="BF324" i="1"/>
  <c r="BF323" i="1"/>
  <c r="BF322" i="1"/>
  <c r="BF321" i="1"/>
  <c r="BF320" i="1"/>
  <c r="BF319" i="1"/>
  <c r="BF318" i="1"/>
  <c r="BF317" i="1"/>
  <c r="BF316" i="1"/>
  <c r="BF315" i="1"/>
  <c r="BF314" i="1"/>
  <c r="BF313" i="1"/>
  <c r="BF312" i="1"/>
  <c r="BF311" i="1"/>
  <c r="DB311" i="1" s="1"/>
  <c r="BF310" i="1"/>
  <c r="BF309" i="1"/>
  <c r="BF158" i="1"/>
  <c r="DB158" i="1" s="1"/>
  <c r="BF127" i="1"/>
  <c r="DB127" i="1" s="1"/>
  <c r="BF97" i="1"/>
  <c r="DB97" i="1" s="1"/>
  <c r="BF157" i="1"/>
  <c r="BF156" i="1"/>
  <c r="BF155" i="1"/>
  <c r="BF154" i="1"/>
  <c r="BF153" i="1"/>
  <c r="BF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F137" i="1"/>
  <c r="BF136" i="1"/>
  <c r="BF135" i="1"/>
  <c r="BF134" i="1"/>
  <c r="BF133" i="1"/>
  <c r="BF132" i="1"/>
  <c r="BF131" i="1"/>
  <c r="BF130" i="1"/>
  <c r="BF129" i="1"/>
  <c r="BF128" i="1"/>
  <c r="BF126" i="1"/>
  <c r="BF125" i="1"/>
  <c r="BF124" i="1"/>
  <c r="BF123" i="1"/>
  <c r="BF122" i="1"/>
  <c r="BF121" i="1"/>
  <c r="BF120" i="1"/>
  <c r="BF119" i="1"/>
  <c r="BF118" i="1"/>
  <c r="BF117" i="1"/>
  <c r="BF116" i="1"/>
  <c r="BF115" i="1"/>
  <c r="BF114" i="1"/>
  <c r="BF113" i="1"/>
  <c r="BF112" i="1"/>
  <c r="BF110" i="1"/>
  <c r="BF109" i="1"/>
  <c r="BF108" i="1"/>
  <c r="BF107" i="1"/>
  <c r="BF106" i="1"/>
  <c r="BF105" i="1"/>
  <c r="BF104" i="1"/>
  <c r="BF102" i="1"/>
  <c r="BF101" i="1"/>
  <c r="BF100" i="1"/>
  <c r="BF99" i="1"/>
  <c r="BF98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H68" i="23"/>
  <c r="C124" i="23" l="1"/>
  <c r="CB124" i="1"/>
  <c r="H69" i="23"/>
  <c r="DB69" i="1"/>
  <c r="H71" i="23"/>
  <c r="DB71" i="1"/>
  <c r="H73" i="23"/>
  <c r="DB73" i="1"/>
  <c r="H75" i="23"/>
  <c r="DB75" i="1"/>
  <c r="H77" i="23"/>
  <c r="DB77" i="1"/>
  <c r="H79" i="23"/>
  <c r="DB79" i="1"/>
  <c r="H81" i="23"/>
  <c r="DB81" i="1"/>
  <c r="H83" i="23"/>
  <c r="DB83" i="1"/>
  <c r="H85" i="23"/>
  <c r="DB85" i="1"/>
  <c r="H87" i="23"/>
  <c r="DB87" i="1"/>
  <c r="H89" i="23"/>
  <c r="DB89" i="1"/>
  <c r="H91" i="23"/>
  <c r="DB91" i="1"/>
  <c r="H93" i="23"/>
  <c r="DB93" i="1"/>
  <c r="H95" i="23"/>
  <c r="DB95" i="1"/>
  <c r="H98" i="23"/>
  <c r="DB98" i="1"/>
  <c r="H100" i="23"/>
  <c r="DB100" i="1"/>
  <c r="H102" i="23"/>
  <c r="DB102" i="1"/>
  <c r="H105" i="23"/>
  <c r="DB105" i="1"/>
  <c r="H107" i="23"/>
  <c r="DB107" i="1"/>
  <c r="H109" i="23"/>
  <c r="DB109" i="1"/>
  <c r="H112" i="23"/>
  <c r="I112" i="23" s="1"/>
  <c r="DB112" i="1"/>
  <c r="H114" i="23"/>
  <c r="DB114" i="1"/>
  <c r="H116" i="23"/>
  <c r="DB116" i="1"/>
  <c r="H118" i="23"/>
  <c r="DB118" i="1"/>
  <c r="H120" i="23"/>
  <c r="DB120" i="1"/>
  <c r="H122" i="23"/>
  <c r="DB122" i="1"/>
  <c r="H124" i="23"/>
  <c r="DB124" i="1"/>
  <c r="H126" i="23"/>
  <c r="DB126" i="1"/>
  <c r="H129" i="23"/>
  <c r="DB129" i="1"/>
  <c r="H131" i="23"/>
  <c r="DB131" i="1"/>
  <c r="H133" i="23"/>
  <c r="DB133" i="1"/>
  <c r="H135" i="23"/>
  <c r="DB135" i="1"/>
  <c r="H137" i="23"/>
  <c r="DB137" i="1"/>
  <c r="H139" i="23"/>
  <c r="DB139" i="1"/>
  <c r="H141" i="23"/>
  <c r="DB141" i="1"/>
  <c r="H143" i="23"/>
  <c r="DB143" i="1"/>
  <c r="H145" i="23"/>
  <c r="DB145" i="1"/>
  <c r="H147" i="23"/>
  <c r="DB147" i="1"/>
  <c r="H149" i="23"/>
  <c r="DB149" i="1"/>
  <c r="H151" i="23"/>
  <c r="DB151" i="1"/>
  <c r="H153" i="23"/>
  <c r="DB153" i="1"/>
  <c r="H155" i="23"/>
  <c r="DB155" i="1"/>
  <c r="H157" i="23"/>
  <c r="DB157" i="1"/>
  <c r="H309" i="23"/>
  <c r="I309" i="23" s="1"/>
  <c r="DB309" i="1"/>
  <c r="H313" i="23"/>
  <c r="DB313" i="1"/>
  <c r="H315" i="23"/>
  <c r="DB315" i="1"/>
  <c r="H317" i="23"/>
  <c r="DB317" i="1"/>
  <c r="H319" i="23"/>
  <c r="DB319" i="1"/>
  <c r="H321" i="23"/>
  <c r="DB321" i="1"/>
  <c r="H323" i="23"/>
  <c r="DB323" i="1"/>
  <c r="H325" i="23"/>
  <c r="DB325" i="1"/>
  <c r="H327" i="23"/>
  <c r="DB327" i="1"/>
  <c r="H329" i="23"/>
  <c r="DB329" i="1"/>
  <c r="H331" i="23"/>
  <c r="DB331" i="1"/>
  <c r="H333" i="23"/>
  <c r="DB333" i="1"/>
  <c r="H336" i="23"/>
  <c r="I336" i="23" s="1"/>
  <c r="K336" i="23" s="1"/>
  <c r="DB336" i="1"/>
  <c r="H338" i="23"/>
  <c r="DB338" i="1"/>
  <c r="H340" i="23"/>
  <c r="DB340" i="1"/>
  <c r="H342" i="23"/>
  <c r="DB342" i="1"/>
  <c r="H344" i="23"/>
  <c r="DB344" i="1"/>
  <c r="H346" i="23"/>
  <c r="DB346" i="1"/>
  <c r="H349" i="23"/>
  <c r="DB349" i="1"/>
  <c r="H352" i="23"/>
  <c r="DB352" i="1"/>
  <c r="H354" i="23"/>
  <c r="DB354" i="1"/>
  <c r="H357" i="23"/>
  <c r="DB357" i="1"/>
  <c r="H360" i="23"/>
  <c r="I360" i="23" s="1"/>
  <c r="K360" i="23" s="1"/>
  <c r="DB360" i="1"/>
  <c r="H362" i="23"/>
  <c r="DB362" i="1"/>
  <c r="H364" i="23"/>
  <c r="DB364" i="1"/>
  <c r="H366" i="23"/>
  <c r="DB366" i="1"/>
  <c r="H368" i="23"/>
  <c r="DB368" i="1"/>
  <c r="H370" i="23"/>
  <c r="DB370" i="1"/>
  <c r="C70" i="23"/>
  <c r="CB70" i="1"/>
  <c r="C72" i="23"/>
  <c r="CB72" i="1"/>
  <c r="C74" i="23"/>
  <c r="CB74" i="1"/>
  <c r="C76" i="23"/>
  <c r="CB76" i="1"/>
  <c r="C78" i="23"/>
  <c r="CB78" i="1"/>
  <c r="C80" i="23"/>
  <c r="CB80" i="1"/>
  <c r="C82" i="23"/>
  <c r="CB82" i="1"/>
  <c r="C84" i="23"/>
  <c r="CB84" i="1"/>
  <c r="C86" i="23"/>
  <c r="CB86" i="1"/>
  <c r="C88" i="23"/>
  <c r="CB88" i="1"/>
  <c r="C90" i="23"/>
  <c r="CB90" i="1"/>
  <c r="C92" i="23"/>
  <c r="CB92" i="1"/>
  <c r="C94" i="23"/>
  <c r="CB94" i="1"/>
  <c r="C96" i="23"/>
  <c r="CB96" i="1"/>
  <c r="C100" i="23"/>
  <c r="CB100" i="1"/>
  <c r="C102" i="23"/>
  <c r="CB102" i="1"/>
  <c r="C104" i="23"/>
  <c r="CB104" i="1"/>
  <c r="C106" i="23"/>
  <c r="CB106" i="1"/>
  <c r="C108" i="23"/>
  <c r="CB108" i="1"/>
  <c r="C110" i="23"/>
  <c r="CB110" i="1"/>
  <c r="C112" i="23"/>
  <c r="CB112" i="1"/>
  <c r="C114" i="23"/>
  <c r="CB114" i="1"/>
  <c r="C116" i="23"/>
  <c r="CB116" i="1"/>
  <c r="C118" i="23"/>
  <c r="CB118" i="1"/>
  <c r="C120" i="23"/>
  <c r="CB120" i="1"/>
  <c r="C122" i="23"/>
  <c r="CB122" i="1"/>
  <c r="C126" i="23"/>
  <c r="CB126" i="1"/>
  <c r="C130" i="23"/>
  <c r="CB130" i="1"/>
  <c r="C132" i="23"/>
  <c r="CB132" i="1"/>
  <c r="C134" i="23"/>
  <c r="CB134" i="1"/>
  <c r="C136" i="23"/>
  <c r="CB136" i="1"/>
  <c r="C138" i="23"/>
  <c r="CB138" i="1"/>
  <c r="C140" i="23"/>
  <c r="CB140" i="1"/>
  <c r="C142" i="23"/>
  <c r="CB142" i="1"/>
  <c r="C144" i="23"/>
  <c r="CB144" i="1"/>
  <c r="C146" i="23"/>
  <c r="CB146" i="1"/>
  <c r="C148" i="23"/>
  <c r="CB148" i="1"/>
  <c r="C150" i="23"/>
  <c r="CB150" i="1"/>
  <c r="C152" i="23"/>
  <c r="CB152" i="1"/>
  <c r="C155" i="23"/>
  <c r="CB155" i="1"/>
  <c r="C158" i="23"/>
  <c r="CB158" i="1"/>
  <c r="C270" i="23"/>
  <c r="CB270" i="1"/>
  <c r="C272" i="23"/>
  <c r="CB272" i="1"/>
  <c r="C274" i="23"/>
  <c r="CB274" i="1"/>
  <c r="C276" i="23"/>
  <c r="CB276" i="1"/>
  <c r="C278" i="23"/>
  <c r="CB278" i="1"/>
  <c r="C280" i="23"/>
  <c r="CB280" i="1"/>
  <c r="C282" i="23"/>
  <c r="CB282" i="1"/>
  <c r="C284" i="23"/>
  <c r="CB284" i="1"/>
  <c r="C286" i="23"/>
  <c r="CB286" i="1"/>
  <c r="C288" i="23"/>
  <c r="CB288" i="1"/>
  <c r="C290" i="23"/>
  <c r="CB290" i="1"/>
  <c r="C292" i="23"/>
  <c r="CB292" i="1"/>
  <c r="C294" i="23"/>
  <c r="CB294" i="1"/>
  <c r="C296" i="23"/>
  <c r="CB296" i="1"/>
  <c r="C298" i="23"/>
  <c r="CB298" i="1"/>
  <c r="C300" i="23"/>
  <c r="CB300" i="1"/>
  <c r="C302" i="23"/>
  <c r="CB302" i="1"/>
  <c r="C304" i="23"/>
  <c r="CB304" i="1"/>
  <c r="C306" i="23"/>
  <c r="CB306" i="1"/>
  <c r="C308" i="23"/>
  <c r="CB308" i="1"/>
  <c r="C310" i="23"/>
  <c r="CB310" i="1"/>
  <c r="C314" i="23"/>
  <c r="CB314" i="1"/>
  <c r="C316" i="23"/>
  <c r="CB316" i="1"/>
  <c r="C318" i="23"/>
  <c r="CB318" i="1"/>
  <c r="C320" i="23"/>
  <c r="CB320" i="1"/>
  <c r="C322" i="23"/>
  <c r="CB322" i="1"/>
  <c r="C324" i="23"/>
  <c r="CB324" i="1"/>
  <c r="C326" i="23"/>
  <c r="CB326" i="1"/>
  <c r="C328" i="23"/>
  <c r="CB328" i="1"/>
  <c r="C330" i="23"/>
  <c r="CB330" i="1"/>
  <c r="C332" i="23"/>
  <c r="CB332" i="1"/>
  <c r="C334" i="23"/>
  <c r="CB334" i="1"/>
  <c r="C336" i="23"/>
  <c r="CB336" i="1"/>
  <c r="C338" i="23"/>
  <c r="CB338" i="1"/>
  <c r="C340" i="23"/>
  <c r="CB340" i="1"/>
  <c r="C344" i="23"/>
  <c r="CB344" i="1"/>
  <c r="C346" i="23"/>
  <c r="CB346" i="1"/>
  <c r="C348" i="23"/>
  <c r="CB348" i="1"/>
  <c r="C350" i="23"/>
  <c r="CB350" i="1"/>
  <c r="C352" i="23"/>
  <c r="CB352" i="1"/>
  <c r="C354" i="23"/>
  <c r="CB354" i="1"/>
  <c r="C356" i="23"/>
  <c r="CB356" i="1"/>
  <c r="C358" i="23"/>
  <c r="CB358" i="1"/>
  <c r="C360" i="23"/>
  <c r="CB360" i="1"/>
  <c r="C362" i="23"/>
  <c r="CB362" i="1"/>
  <c r="C364" i="23"/>
  <c r="CB364" i="1"/>
  <c r="C366" i="23"/>
  <c r="CB366" i="1"/>
  <c r="C368" i="23"/>
  <c r="CB368" i="1"/>
  <c r="C370" i="23"/>
  <c r="CB370" i="1"/>
  <c r="C371" i="23"/>
  <c r="CB371" i="1"/>
  <c r="H70" i="23"/>
  <c r="I70" i="23" s="1"/>
  <c r="K70" i="23" s="1"/>
  <c r="DB70" i="1"/>
  <c r="H72" i="23"/>
  <c r="I72" i="23" s="1"/>
  <c r="K72" i="23" s="1"/>
  <c r="DB72" i="1"/>
  <c r="H74" i="23"/>
  <c r="I75" i="23" s="1"/>
  <c r="K75" i="23" s="1"/>
  <c r="DB74" i="1"/>
  <c r="H76" i="23"/>
  <c r="I76" i="23" s="1"/>
  <c r="K76" i="23" s="1"/>
  <c r="DB76" i="1"/>
  <c r="H78" i="23"/>
  <c r="I78" i="23" s="1"/>
  <c r="K78" i="23" s="1"/>
  <c r="DB78" i="1"/>
  <c r="H80" i="23"/>
  <c r="DB80" i="1"/>
  <c r="H82" i="23"/>
  <c r="I83" i="23" s="1"/>
  <c r="K83" i="23" s="1"/>
  <c r="DB82" i="1"/>
  <c r="H84" i="23"/>
  <c r="DB84" i="1"/>
  <c r="H86" i="23"/>
  <c r="I86" i="23" s="1"/>
  <c r="K86" i="23" s="1"/>
  <c r="DB86" i="1"/>
  <c r="H88" i="23"/>
  <c r="I88" i="23" s="1"/>
  <c r="K88" i="23" s="1"/>
  <c r="DB88" i="1"/>
  <c r="H90" i="23"/>
  <c r="I91" i="23" s="1"/>
  <c r="K91" i="23" s="1"/>
  <c r="DB90" i="1"/>
  <c r="H92" i="23"/>
  <c r="I92" i="23" s="1"/>
  <c r="K92" i="23" s="1"/>
  <c r="DB92" i="1"/>
  <c r="H94" i="23"/>
  <c r="I94" i="23" s="1"/>
  <c r="K94" i="23" s="1"/>
  <c r="DB94" i="1"/>
  <c r="H96" i="23"/>
  <c r="DB96" i="1"/>
  <c r="H99" i="23"/>
  <c r="DB99" i="1"/>
  <c r="H101" i="23"/>
  <c r="I102" i="23" s="1"/>
  <c r="K102" i="23" s="1"/>
  <c r="DB101" i="1"/>
  <c r="H104" i="23"/>
  <c r="I104" i="23" s="1"/>
  <c r="K104" i="23" s="1"/>
  <c r="DB104" i="1"/>
  <c r="H106" i="23"/>
  <c r="I106" i="23" s="1"/>
  <c r="K106" i="23" s="1"/>
  <c r="DB106" i="1"/>
  <c r="H108" i="23"/>
  <c r="I108" i="23" s="1"/>
  <c r="K108" i="23" s="1"/>
  <c r="DB108" i="1"/>
  <c r="H110" i="23"/>
  <c r="I110" i="23" s="1"/>
  <c r="K110" i="23" s="1"/>
  <c r="DB110" i="1"/>
  <c r="H113" i="23"/>
  <c r="DB113" i="1"/>
  <c r="H115" i="23"/>
  <c r="I116" i="23" s="1"/>
  <c r="K116" i="23" s="1"/>
  <c r="DB115" i="1"/>
  <c r="H117" i="23"/>
  <c r="I117" i="23" s="1"/>
  <c r="K117" i="23" s="1"/>
  <c r="DB117" i="1"/>
  <c r="H119" i="23"/>
  <c r="I119" i="23" s="1"/>
  <c r="K119" i="23" s="1"/>
  <c r="DB119" i="1"/>
  <c r="H121" i="23"/>
  <c r="DB121" i="1"/>
  <c r="H123" i="23"/>
  <c r="I123" i="23" s="1"/>
  <c r="K123" i="23" s="1"/>
  <c r="DB123" i="1"/>
  <c r="H125" i="23"/>
  <c r="I125" i="23" s="1"/>
  <c r="K125" i="23" s="1"/>
  <c r="DB125" i="1"/>
  <c r="H128" i="23"/>
  <c r="I129" i="23" s="1"/>
  <c r="K129" i="23" s="1"/>
  <c r="DB128" i="1"/>
  <c r="H130" i="23"/>
  <c r="DB130" i="1"/>
  <c r="H132" i="23"/>
  <c r="I133" i="23" s="1"/>
  <c r="K133" i="23" s="1"/>
  <c r="DB132" i="1"/>
  <c r="H134" i="23"/>
  <c r="I134" i="23" s="1"/>
  <c r="K134" i="23" s="1"/>
  <c r="DB134" i="1"/>
  <c r="H136" i="23"/>
  <c r="I137" i="23" s="1"/>
  <c r="DB136" i="1"/>
  <c r="H138" i="23"/>
  <c r="DB138" i="1"/>
  <c r="H140" i="23"/>
  <c r="I141" i="23" s="1"/>
  <c r="DB140" i="1"/>
  <c r="H142" i="23"/>
  <c r="I142" i="23" s="1"/>
  <c r="DB142" i="1"/>
  <c r="H144" i="23"/>
  <c r="I144" i="23" s="1"/>
  <c r="DB144" i="1"/>
  <c r="H146" i="23"/>
  <c r="DB146" i="1"/>
  <c r="H148" i="23"/>
  <c r="I149" i="23" s="1"/>
  <c r="DB148" i="1"/>
  <c r="H150" i="23"/>
  <c r="I150" i="23" s="1"/>
  <c r="DB150" i="1"/>
  <c r="H152" i="23"/>
  <c r="I152" i="23" s="1"/>
  <c r="DB152" i="1"/>
  <c r="H154" i="23"/>
  <c r="DB154" i="1"/>
  <c r="H156" i="23"/>
  <c r="I156" i="23" s="1"/>
  <c r="DB156" i="1"/>
  <c r="H310" i="23"/>
  <c r="DB310" i="1"/>
  <c r="H312" i="23"/>
  <c r="I312" i="23" s="1"/>
  <c r="K312" i="23" s="1"/>
  <c r="DB312" i="1"/>
  <c r="H314" i="23"/>
  <c r="DB314" i="1"/>
  <c r="H316" i="23"/>
  <c r="I316" i="23" s="1"/>
  <c r="K316" i="23" s="1"/>
  <c r="DB316" i="1"/>
  <c r="H318" i="23"/>
  <c r="I319" i="23" s="1"/>
  <c r="K319" i="23" s="1"/>
  <c r="DB318" i="1"/>
  <c r="H320" i="23"/>
  <c r="I321" i="23" s="1"/>
  <c r="K321" i="23" s="1"/>
  <c r="DB320" i="1"/>
  <c r="H322" i="23"/>
  <c r="DB322" i="1"/>
  <c r="H324" i="23"/>
  <c r="I325" i="23" s="1"/>
  <c r="K325" i="23" s="1"/>
  <c r="DB324" i="1"/>
  <c r="H326" i="23"/>
  <c r="I327" i="23" s="1"/>
  <c r="K327" i="23" s="1"/>
  <c r="DB326" i="1"/>
  <c r="H328" i="23"/>
  <c r="I328" i="23" s="1"/>
  <c r="K328" i="23" s="1"/>
  <c r="DB328" i="1"/>
  <c r="H330" i="23"/>
  <c r="DB330" i="1"/>
  <c r="H332" i="23"/>
  <c r="I332" i="23" s="1"/>
  <c r="K332" i="23" s="1"/>
  <c r="DB332" i="1"/>
  <c r="H334" i="23"/>
  <c r="I334" i="23" s="1"/>
  <c r="K334" i="23" s="1"/>
  <c r="DB334" i="1"/>
  <c r="H337" i="23"/>
  <c r="I338" i="23" s="1"/>
  <c r="K338" i="23" s="1"/>
  <c r="DB337" i="1"/>
  <c r="H339" i="23"/>
  <c r="I340" i="23" s="1"/>
  <c r="K340" i="23" s="1"/>
  <c r="DB339" i="1"/>
  <c r="H343" i="23"/>
  <c r="DB343" i="1"/>
  <c r="H345" i="23"/>
  <c r="I346" i="23" s="1"/>
  <c r="K346" i="23" s="1"/>
  <c r="DB345" i="1"/>
  <c r="H348" i="23"/>
  <c r="I348" i="23" s="1"/>
  <c r="K348" i="23" s="1"/>
  <c r="DB348" i="1"/>
  <c r="H351" i="23"/>
  <c r="I351" i="23" s="1"/>
  <c r="K351" i="23" s="1"/>
  <c r="DB351" i="1"/>
  <c r="H353" i="23"/>
  <c r="DB353" i="1"/>
  <c r="H356" i="23"/>
  <c r="I356" i="23" s="1"/>
  <c r="K356" i="23" s="1"/>
  <c r="DB356" i="1"/>
  <c r="H358" i="23"/>
  <c r="I359" i="23" s="1"/>
  <c r="K359" i="23" s="1"/>
  <c r="DB358" i="1"/>
  <c r="H361" i="23"/>
  <c r="I361" i="23" s="1"/>
  <c r="K361" i="23" s="1"/>
  <c r="DB361" i="1"/>
  <c r="H363" i="23"/>
  <c r="I364" i="23" s="1"/>
  <c r="K364" i="23" s="1"/>
  <c r="DB363" i="1"/>
  <c r="H365" i="23"/>
  <c r="I366" i="23" s="1"/>
  <c r="K366" i="23" s="1"/>
  <c r="DB365" i="1"/>
  <c r="H367" i="23"/>
  <c r="DB367" i="1"/>
  <c r="H369" i="23"/>
  <c r="I369" i="23" s="1"/>
  <c r="K369" i="23" s="1"/>
  <c r="DB369" i="1"/>
  <c r="H371" i="23"/>
  <c r="DB371" i="1"/>
  <c r="C69" i="23"/>
  <c r="CB69" i="1"/>
  <c r="C71" i="23"/>
  <c r="CB71" i="1"/>
  <c r="C73" i="23"/>
  <c r="CB73" i="1"/>
  <c r="C75" i="23"/>
  <c r="CB75" i="1"/>
  <c r="C77" i="23"/>
  <c r="CB77" i="1"/>
  <c r="C79" i="23"/>
  <c r="CB79" i="1"/>
  <c r="C81" i="23"/>
  <c r="CB81" i="1"/>
  <c r="C83" i="23"/>
  <c r="CB83" i="1"/>
  <c r="C85" i="23"/>
  <c r="CB85" i="1"/>
  <c r="C87" i="23"/>
  <c r="CB87" i="1"/>
  <c r="C89" i="23"/>
  <c r="CB89" i="1"/>
  <c r="C91" i="23"/>
  <c r="CB91" i="1"/>
  <c r="C93" i="23"/>
  <c r="CB93" i="1"/>
  <c r="C95" i="23"/>
  <c r="CB95" i="1"/>
  <c r="C97" i="23"/>
  <c r="CB97" i="1"/>
  <c r="C99" i="23"/>
  <c r="CB99" i="1"/>
  <c r="C101" i="23"/>
  <c r="CB101" i="1"/>
  <c r="C103" i="23"/>
  <c r="CB103" i="1"/>
  <c r="C105" i="23"/>
  <c r="CB105" i="1"/>
  <c r="C107" i="23"/>
  <c r="CB107" i="1"/>
  <c r="C109" i="23"/>
  <c r="CB109" i="1"/>
  <c r="C111" i="23"/>
  <c r="CB111" i="1"/>
  <c r="C113" i="23"/>
  <c r="CB113" i="1"/>
  <c r="C115" i="23"/>
  <c r="CB115" i="1"/>
  <c r="C117" i="23"/>
  <c r="CB117" i="1"/>
  <c r="C119" i="23"/>
  <c r="CB119" i="1"/>
  <c r="C121" i="23"/>
  <c r="CB121" i="1"/>
  <c r="C123" i="23"/>
  <c r="CB123" i="1"/>
  <c r="C125" i="23"/>
  <c r="CB125" i="1"/>
  <c r="C127" i="23"/>
  <c r="CB127" i="1"/>
  <c r="C129" i="23"/>
  <c r="CB129" i="1"/>
  <c r="C131" i="23"/>
  <c r="CB131" i="1"/>
  <c r="C133" i="23"/>
  <c r="CB133" i="1"/>
  <c r="C135" i="23"/>
  <c r="CB135" i="1"/>
  <c r="C137" i="23"/>
  <c r="CB137" i="1"/>
  <c r="C139" i="23"/>
  <c r="CB139" i="1"/>
  <c r="C141" i="23"/>
  <c r="CB141" i="1"/>
  <c r="C143" i="23"/>
  <c r="CB143" i="1"/>
  <c r="C145" i="23"/>
  <c r="CB145" i="1"/>
  <c r="C147" i="23"/>
  <c r="CB147" i="1"/>
  <c r="C149" i="23"/>
  <c r="CB149" i="1"/>
  <c r="C151" i="23"/>
  <c r="CB151" i="1"/>
  <c r="C153" i="23"/>
  <c r="CB153" i="1"/>
  <c r="C156" i="23"/>
  <c r="CB156" i="1"/>
  <c r="C271" i="23"/>
  <c r="CB271" i="1"/>
  <c r="C273" i="23"/>
  <c r="CB273" i="1"/>
  <c r="C275" i="23"/>
  <c r="CB275" i="1"/>
  <c r="C277" i="23"/>
  <c r="CB277" i="1"/>
  <c r="C279" i="23"/>
  <c r="CB279" i="1"/>
  <c r="C283" i="23"/>
  <c r="CB283" i="1"/>
  <c r="C285" i="23"/>
  <c r="CB285" i="1"/>
  <c r="C287" i="23"/>
  <c r="CB287" i="1"/>
  <c r="C289" i="23"/>
  <c r="CB289" i="1"/>
  <c r="C291" i="23"/>
  <c r="CB291" i="1"/>
  <c r="C293" i="23"/>
  <c r="CB293" i="1"/>
  <c r="C295" i="23"/>
  <c r="CB295" i="1"/>
  <c r="C297" i="23"/>
  <c r="CB297" i="1"/>
  <c r="C299" i="23"/>
  <c r="CB299" i="1"/>
  <c r="C301" i="23"/>
  <c r="CB301" i="1"/>
  <c r="C303" i="23"/>
  <c r="CB303" i="1"/>
  <c r="C305" i="23"/>
  <c r="CB305" i="1"/>
  <c r="C307" i="23"/>
  <c r="CB307" i="1"/>
  <c r="C309" i="23"/>
  <c r="CB309" i="1"/>
  <c r="C311" i="23"/>
  <c r="CB311" i="1"/>
  <c r="C313" i="23"/>
  <c r="CB313" i="1"/>
  <c r="C315" i="23"/>
  <c r="CB315" i="1"/>
  <c r="C317" i="23"/>
  <c r="CB317" i="1"/>
  <c r="C319" i="23"/>
  <c r="CB319" i="1"/>
  <c r="C321" i="23"/>
  <c r="CB321" i="1"/>
  <c r="C323" i="23"/>
  <c r="CB323" i="1"/>
  <c r="C325" i="23"/>
  <c r="CB325" i="1"/>
  <c r="C327" i="23"/>
  <c r="CB327" i="1"/>
  <c r="C329" i="23"/>
  <c r="CB329" i="1"/>
  <c r="C331" i="23"/>
  <c r="CB331" i="1"/>
  <c r="C333" i="23"/>
  <c r="CB333" i="1"/>
  <c r="C335" i="23"/>
  <c r="CB335" i="1"/>
  <c r="C337" i="23"/>
  <c r="CB337" i="1"/>
  <c r="C339" i="23"/>
  <c r="CB339" i="1"/>
  <c r="C341" i="23"/>
  <c r="CB341" i="1"/>
  <c r="C343" i="23"/>
  <c r="CB343" i="1"/>
  <c r="C345" i="23"/>
  <c r="CB345" i="1"/>
  <c r="C347" i="23"/>
  <c r="CB347" i="1"/>
  <c r="C349" i="23"/>
  <c r="CB349" i="1"/>
  <c r="C351" i="23"/>
  <c r="CB351" i="1"/>
  <c r="C353" i="23"/>
  <c r="CB353" i="1"/>
  <c r="C355" i="23"/>
  <c r="CB355" i="1"/>
  <c r="C357" i="23"/>
  <c r="CB357" i="1"/>
  <c r="C359" i="23"/>
  <c r="CB359" i="1"/>
  <c r="C361" i="23"/>
  <c r="CB361" i="1"/>
  <c r="C363" i="23"/>
  <c r="CB363" i="1"/>
  <c r="C365" i="23"/>
  <c r="CB365" i="1"/>
  <c r="C367" i="23"/>
  <c r="CB367" i="1"/>
  <c r="C369" i="23"/>
  <c r="CB369" i="1"/>
  <c r="F68" i="23"/>
  <c r="BU68" i="1"/>
  <c r="F69" i="23"/>
  <c r="DG69" i="1"/>
  <c r="BU69" i="1"/>
  <c r="DF69" i="1" s="1"/>
  <c r="F70" i="23"/>
  <c r="BU70" i="1"/>
  <c r="F71" i="23"/>
  <c r="BU71" i="1"/>
  <c r="F72" i="23"/>
  <c r="BU72" i="1"/>
  <c r="F73" i="23"/>
  <c r="BU73" i="1"/>
  <c r="DF73" i="1" s="1"/>
  <c r="F74" i="23"/>
  <c r="BU74" i="1"/>
  <c r="F75" i="23"/>
  <c r="BU75" i="1"/>
  <c r="F76" i="23"/>
  <c r="BU76" i="1"/>
  <c r="F77" i="23"/>
  <c r="DG77" i="1"/>
  <c r="BU77" i="1"/>
  <c r="DF77" i="1" s="1"/>
  <c r="F78" i="23"/>
  <c r="BU78" i="1"/>
  <c r="F79" i="23"/>
  <c r="BU79" i="1"/>
  <c r="F80" i="23"/>
  <c r="BU80" i="1"/>
  <c r="F81" i="23"/>
  <c r="BU81" i="1"/>
  <c r="DF81" i="1" s="1"/>
  <c r="F82" i="23"/>
  <c r="BU82" i="1"/>
  <c r="F83" i="23"/>
  <c r="BU83" i="1"/>
  <c r="F84" i="23"/>
  <c r="BU84" i="1"/>
  <c r="F85" i="23"/>
  <c r="DG85" i="1"/>
  <c r="BU85" i="1"/>
  <c r="DF85" i="1" s="1"/>
  <c r="F86" i="23"/>
  <c r="BU86" i="1"/>
  <c r="F87" i="23"/>
  <c r="BU87" i="1"/>
  <c r="F88" i="23"/>
  <c r="BU88" i="1"/>
  <c r="F89" i="23"/>
  <c r="BU89" i="1"/>
  <c r="DF89" i="1" s="1"/>
  <c r="F90" i="23"/>
  <c r="BU90" i="1"/>
  <c r="F91" i="23"/>
  <c r="BU91" i="1"/>
  <c r="F92" i="23"/>
  <c r="BU92" i="1"/>
  <c r="F93" i="23"/>
  <c r="DG93" i="1"/>
  <c r="BU93" i="1"/>
  <c r="DF93" i="1" s="1"/>
  <c r="F94" i="23"/>
  <c r="BU94" i="1"/>
  <c r="F95" i="23"/>
  <c r="BU95" i="1"/>
  <c r="F96" i="23"/>
  <c r="BU96" i="1"/>
  <c r="F97" i="23"/>
  <c r="BU97" i="1"/>
  <c r="DF97" i="1" s="1"/>
  <c r="F98" i="23"/>
  <c r="BU98" i="1"/>
  <c r="F99" i="23"/>
  <c r="BU99" i="1"/>
  <c r="F100" i="23"/>
  <c r="BU100" i="1"/>
  <c r="F101" i="23"/>
  <c r="DG101" i="1"/>
  <c r="BU101" i="1"/>
  <c r="DF101" i="1" s="1"/>
  <c r="F102" i="23"/>
  <c r="BU102" i="1"/>
  <c r="F103" i="23"/>
  <c r="BU103" i="1"/>
  <c r="F104" i="23"/>
  <c r="BU104" i="1"/>
  <c r="F105" i="23"/>
  <c r="BU105" i="1"/>
  <c r="DF105" i="1" s="1"/>
  <c r="F106" i="23"/>
  <c r="BU106" i="1"/>
  <c r="F107" i="23"/>
  <c r="BU107" i="1"/>
  <c r="F108" i="23"/>
  <c r="BU108" i="1"/>
  <c r="F109" i="23"/>
  <c r="DG109" i="1"/>
  <c r="BU109" i="1"/>
  <c r="DF109" i="1" s="1"/>
  <c r="F110" i="23"/>
  <c r="BU110" i="1"/>
  <c r="F111" i="23"/>
  <c r="BU111" i="1"/>
  <c r="F112" i="23"/>
  <c r="BU112" i="1"/>
  <c r="F113" i="23"/>
  <c r="BU113" i="1"/>
  <c r="DF113" i="1" s="1"/>
  <c r="F114" i="23"/>
  <c r="BU114" i="1"/>
  <c r="F115" i="23"/>
  <c r="BU115" i="1"/>
  <c r="F116" i="23"/>
  <c r="BU116" i="1"/>
  <c r="F117" i="23"/>
  <c r="DG117" i="1"/>
  <c r="BU117" i="1"/>
  <c r="DF117" i="1" s="1"/>
  <c r="F118" i="23"/>
  <c r="BU118" i="1"/>
  <c r="F119" i="23"/>
  <c r="BU119" i="1"/>
  <c r="F120" i="23"/>
  <c r="BU120" i="1"/>
  <c r="F121" i="23"/>
  <c r="BU121" i="1"/>
  <c r="DF121" i="1" s="1"/>
  <c r="F122" i="23"/>
  <c r="BU122" i="1"/>
  <c r="F123" i="23"/>
  <c r="BU123" i="1"/>
  <c r="F124" i="23"/>
  <c r="BU124" i="1"/>
  <c r="F125" i="23"/>
  <c r="DG125" i="1"/>
  <c r="BU125" i="1"/>
  <c r="DF125" i="1" s="1"/>
  <c r="F126" i="23"/>
  <c r="BU126" i="1"/>
  <c r="F127" i="23"/>
  <c r="BU127" i="1"/>
  <c r="F128" i="23"/>
  <c r="BU128" i="1"/>
  <c r="F129" i="23"/>
  <c r="BU129" i="1"/>
  <c r="DF129" i="1" s="1"/>
  <c r="F130" i="23"/>
  <c r="BU130" i="1"/>
  <c r="F131" i="23"/>
  <c r="BU131" i="1"/>
  <c r="F132" i="23"/>
  <c r="BU132" i="1"/>
  <c r="F133" i="23"/>
  <c r="DG133" i="1"/>
  <c r="BU133" i="1"/>
  <c r="DF133" i="1" s="1"/>
  <c r="F134" i="23"/>
  <c r="BU134" i="1"/>
  <c r="F135" i="23"/>
  <c r="BU135" i="1"/>
  <c r="F136" i="23"/>
  <c r="BU136" i="1"/>
  <c r="F137" i="23"/>
  <c r="BU137" i="1"/>
  <c r="DF137" i="1" s="1"/>
  <c r="F138" i="23"/>
  <c r="BU138" i="1"/>
  <c r="F139" i="23"/>
  <c r="BU139" i="1"/>
  <c r="F140" i="23"/>
  <c r="BU140" i="1"/>
  <c r="F141" i="23"/>
  <c r="DG141" i="1"/>
  <c r="BU141" i="1"/>
  <c r="DF141" i="1" s="1"/>
  <c r="F142" i="23"/>
  <c r="BU142" i="1"/>
  <c r="F143" i="23"/>
  <c r="BU143" i="1"/>
  <c r="F144" i="23"/>
  <c r="BU144" i="1"/>
  <c r="F145" i="23"/>
  <c r="BU145" i="1"/>
  <c r="DF145" i="1" s="1"/>
  <c r="F146" i="23"/>
  <c r="BU146" i="1"/>
  <c r="F147" i="23"/>
  <c r="BU147" i="1"/>
  <c r="F148" i="23"/>
  <c r="BU148" i="1"/>
  <c r="F149" i="23"/>
  <c r="DG149" i="1"/>
  <c r="BU149" i="1"/>
  <c r="DF149" i="1" s="1"/>
  <c r="F150" i="23"/>
  <c r="BU150" i="1"/>
  <c r="F151" i="23"/>
  <c r="BU151" i="1"/>
  <c r="F152" i="23"/>
  <c r="BU152" i="1"/>
  <c r="F153" i="23"/>
  <c r="BU153" i="1"/>
  <c r="DF153" i="1" s="1"/>
  <c r="F154" i="23"/>
  <c r="BU154" i="1"/>
  <c r="F155" i="23"/>
  <c r="BU155" i="1"/>
  <c r="F156" i="23"/>
  <c r="BU156" i="1"/>
  <c r="F157" i="23"/>
  <c r="DG157" i="1"/>
  <c r="BU157" i="1"/>
  <c r="DF157" i="1" s="1"/>
  <c r="F158" i="23"/>
  <c r="BU158" i="1"/>
  <c r="BU269" i="1"/>
  <c r="F270" i="23"/>
  <c r="BU270" i="1"/>
  <c r="F271" i="23"/>
  <c r="BU271" i="1"/>
  <c r="F272" i="23"/>
  <c r="DG272" i="1"/>
  <c r="BU272" i="1"/>
  <c r="DF272" i="1" s="1"/>
  <c r="F273" i="23"/>
  <c r="BU273" i="1"/>
  <c r="F274" i="23"/>
  <c r="BU274" i="1"/>
  <c r="F275" i="23"/>
  <c r="BU275" i="1"/>
  <c r="F276" i="23"/>
  <c r="BU276" i="1"/>
  <c r="DF276" i="1" s="1"/>
  <c r="F277" i="23"/>
  <c r="BU277" i="1"/>
  <c r="DF277" i="1" s="1"/>
  <c r="F278" i="23"/>
  <c r="BU278" i="1"/>
  <c r="DF278" i="1" s="1"/>
  <c r="F279" i="23"/>
  <c r="BU279" i="1"/>
  <c r="F280" i="23"/>
  <c r="BU280" i="1"/>
  <c r="BU281" i="1"/>
  <c r="F282" i="23"/>
  <c r="BU282" i="1"/>
  <c r="F283" i="23"/>
  <c r="BU283" i="1"/>
  <c r="DF283" i="1" s="1"/>
  <c r="F284" i="23"/>
  <c r="BU284" i="1"/>
  <c r="F285" i="23"/>
  <c r="BU285" i="1"/>
  <c r="F286" i="23"/>
  <c r="BU286" i="1"/>
  <c r="BV286" i="1" s="1"/>
  <c r="F287" i="23"/>
  <c r="BU287" i="1"/>
  <c r="BV287" i="1" s="1"/>
  <c r="F288" i="23"/>
  <c r="BU288" i="1"/>
  <c r="F289" i="23"/>
  <c r="DG289" i="1"/>
  <c r="BU289" i="1"/>
  <c r="DF289" i="1" s="1"/>
  <c r="F290" i="23"/>
  <c r="BU290" i="1"/>
  <c r="F291" i="23"/>
  <c r="BU291" i="1"/>
  <c r="F292" i="23"/>
  <c r="BU292" i="1"/>
  <c r="F293" i="23"/>
  <c r="BU293" i="1"/>
  <c r="F294" i="23"/>
  <c r="BU294" i="1"/>
  <c r="F295" i="23"/>
  <c r="BU295" i="1"/>
  <c r="DF295" i="1" s="1"/>
  <c r="F296" i="23"/>
  <c r="BU296" i="1"/>
  <c r="F297" i="23"/>
  <c r="BU297" i="1"/>
  <c r="F298" i="23"/>
  <c r="BU298" i="1"/>
  <c r="F299" i="23"/>
  <c r="DG299" i="1"/>
  <c r="BU299" i="1"/>
  <c r="DF299" i="1" s="1"/>
  <c r="F300" i="23"/>
  <c r="BU300" i="1"/>
  <c r="F301" i="23"/>
  <c r="BU301" i="1"/>
  <c r="F302" i="23"/>
  <c r="BU302" i="1"/>
  <c r="F303" i="23"/>
  <c r="BU303" i="1"/>
  <c r="F304" i="23"/>
  <c r="BU304" i="1"/>
  <c r="F305" i="23"/>
  <c r="BU305" i="1"/>
  <c r="DF305" i="1" s="1"/>
  <c r="F306" i="23"/>
  <c r="BU306" i="1"/>
  <c r="F307" i="23"/>
  <c r="BU307" i="1"/>
  <c r="F308" i="23"/>
  <c r="BU308" i="1"/>
  <c r="F309" i="23"/>
  <c r="BU309" i="1"/>
  <c r="F310" i="23"/>
  <c r="BU310" i="1"/>
  <c r="F311" i="23"/>
  <c r="DG311" i="1"/>
  <c r="BU311" i="1"/>
  <c r="DF311" i="1" s="1"/>
  <c r="F312" i="23"/>
  <c r="BU312" i="1"/>
  <c r="DF312" i="1" s="1"/>
  <c r="F313" i="23"/>
  <c r="BU313" i="1"/>
  <c r="F314" i="23"/>
  <c r="BU314" i="1"/>
  <c r="F315" i="23"/>
  <c r="BU315" i="1"/>
  <c r="DF315" i="1" s="1"/>
  <c r="F316" i="23"/>
  <c r="BU316" i="1"/>
  <c r="F317" i="23"/>
  <c r="BU317" i="1"/>
  <c r="F318" i="23"/>
  <c r="BU318" i="1"/>
  <c r="F319" i="23"/>
  <c r="BU319" i="1"/>
  <c r="F320" i="23"/>
  <c r="BU320" i="1"/>
  <c r="F321" i="23"/>
  <c r="BU321" i="1"/>
  <c r="F322" i="23"/>
  <c r="BU322" i="1"/>
  <c r="F323" i="23"/>
  <c r="DG323" i="1"/>
  <c r="BU323" i="1"/>
  <c r="DF323" i="1" s="1"/>
  <c r="F324" i="23"/>
  <c r="BU324" i="1"/>
  <c r="F325" i="23"/>
  <c r="BU325" i="1"/>
  <c r="F326" i="23"/>
  <c r="BU326" i="1"/>
  <c r="F327" i="23"/>
  <c r="BU327" i="1"/>
  <c r="F328" i="23"/>
  <c r="BU328" i="1"/>
  <c r="F329" i="23"/>
  <c r="BU329" i="1"/>
  <c r="F330" i="23"/>
  <c r="BU330" i="1"/>
  <c r="F331" i="23"/>
  <c r="BU331" i="1"/>
  <c r="DF331" i="1" s="1"/>
  <c r="F332" i="23"/>
  <c r="BU332" i="1"/>
  <c r="F333" i="23"/>
  <c r="BU333" i="1"/>
  <c r="F334" i="23"/>
  <c r="BU334" i="1"/>
  <c r="F335" i="23"/>
  <c r="BU335" i="1"/>
  <c r="F336" i="23"/>
  <c r="BU336" i="1"/>
  <c r="F337" i="23"/>
  <c r="BU337" i="1"/>
  <c r="F338" i="23"/>
  <c r="BU338" i="1"/>
  <c r="F339" i="23"/>
  <c r="DG339" i="1"/>
  <c r="BU339" i="1"/>
  <c r="DF339" i="1" s="1"/>
  <c r="F340" i="23"/>
  <c r="BU340" i="1"/>
  <c r="F341" i="23"/>
  <c r="BU341" i="1"/>
  <c r="F342" i="23"/>
  <c r="BU342" i="1"/>
  <c r="DF342" i="1" s="1"/>
  <c r="F343" i="23"/>
  <c r="BU343" i="1"/>
  <c r="F344" i="23"/>
  <c r="BU344" i="1"/>
  <c r="F345" i="23"/>
  <c r="BU345" i="1"/>
  <c r="F346" i="23"/>
  <c r="BU346" i="1"/>
  <c r="F347" i="23"/>
  <c r="BU347" i="1"/>
  <c r="DF347" i="1" s="1"/>
  <c r="F348" i="23"/>
  <c r="BU348" i="1"/>
  <c r="F349" i="23"/>
  <c r="BU349" i="1"/>
  <c r="F350" i="23"/>
  <c r="BU350" i="1"/>
  <c r="F351" i="23"/>
  <c r="BU351" i="1"/>
  <c r="F352" i="23"/>
  <c r="BU352" i="1"/>
  <c r="F353" i="23"/>
  <c r="BU353" i="1"/>
  <c r="F354" i="23"/>
  <c r="BU354" i="1"/>
  <c r="F355" i="23"/>
  <c r="DG355" i="1"/>
  <c r="BU355" i="1"/>
  <c r="DF355" i="1" s="1"/>
  <c r="F356" i="23"/>
  <c r="BU356" i="1"/>
  <c r="F357" i="23"/>
  <c r="BU357" i="1"/>
  <c r="F358" i="23"/>
  <c r="BU358" i="1"/>
  <c r="F359" i="23"/>
  <c r="BU359" i="1"/>
  <c r="F360" i="23"/>
  <c r="BU360" i="1"/>
  <c r="F361" i="23"/>
  <c r="BU361" i="1"/>
  <c r="F362" i="23"/>
  <c r="BU362" i="1"/>
  <c r="F363" i="23"/>
  <c r="BU363" i="1"/>
  <c r="DF363" i="1" s="1"/>
  <c r="F364" i="23"/>
  <c r="BU364" i="1"/>
  <c r="F365" i="23"/>
  <c r="BU365" i="1"/>
  <c r="F366" i="23"/>
  <c r="BU366" i="1"/>
  <c r="F367" i="23"/>
  <c r="BU367" i="1"/>
  <c r="F368" i="23"/>
  <c r="BU368" i="1"/>
  <c r="F369" i="23"/>
  <c r="BU369" i="1"/>
  <c r="F370" i="23"/>
  <c r="BU370" i="1"/>
  <c r="F371" i="23"/>
  <c r="DG371" i="1"/>
  <c r="BU371" i="1"/>
  <c r="DF371" i="1" s="1"/>
  <c r="F372" i="23"/>
  <c r="BU372" i="1"/>
  <c r="BN245" i="1"/>
  <c r="BN27" i="1"/>
  <c r="BN253" i="1"/>
  <c r="BN221" i="1"/>
  <c r="BN189" i="1"/>
  <c r="BN270" i="1"/>
  <c r="BN278" i="1"/>
  <c r="BN282" i="1"/>
  <c r="BN286" i="1"/>
  <c r="BN290" i="1"/>
  <c r="BN294" i="1"/>
  <c r="BN298" i="1"/>
  <c r="BN48" i="1"/>
  <c r="BN22" i="1"/>
  <c r="BN38" i="1"/>
  <c r="BN54" i="1"/>
  <c r="BN274" i="1"/>
  <c r="BN43" i="1"/>
  <c r="BN64" i="1"/>
  <c r="BN181" i="1"/>
  <c r="BN213" i="1"/>
  <c r="BN301" i="1"/>
  <c r="BN305" i="1"/>
  <c r="BN309" i="1"/>
  <c r="BN313" i="1"/>
  <c r="BN317" i="1"/>
  <c r="BN321" i="1"/>
  <c r="BN325" i="1"/>
  <c r="BN329" i="1"/>
  <c r="BN333" i="1"/>
  <c r="BN337" i="1"/>
  <c r="BN341" i="1"/>
  <c r="BN345" i="1"/>
  <c r="BN349" i="1"/>
  <c r="BN353" i="1"/>
  <c r="BN357" i="1"/>
  <c r="BN361" i="1"/>
  <c r="BN365" i="1"/>
  <c r="BN369" i="1"/>
  <c r="BN97" i="1"/>
  <c r="BN368" i="1"/>
  <c r="BN367" i="1"/>
  <c r="BN364" i="1"/>
  <c r="BN363" i="1"/>
  <c r="BN360" i="1"/>
  <c r="BN359" i="1"/>
  <c r="BN356" i="1"/>
  <c r="BN355" i="1"/>
  <c r="BN352" i="1"/>
  <c r="BN351" i="1"/>
  <c r="BN348" i="1"/>
  <c r="BN347" i="1"/>
  <c r="BN344" i="1"/>
  <c r="BN343" i="1"/>
  <c r="BN340" i="1"/>
  <c r="BN339" i="1"/>
  <c r="BN336" i="1"/>
  <c r="BN335" i="1"/>
  <c r="BN332" i="1"/>
  <c r="BN331" i="1"/>
  <c r="BN328" i="1"/>
  <c r="BN327" i="1"/>
  <c r="BN324" i="1"/>
  <c r="BN323" i="1"/>
  <c r="BN320" i="1"/>
  <c r="BN319" i="1"/>
  <c r="BN316" i="1"/>
  <c r="BN315" i="1"/>
  <c r="BN312" i="1"/>
  <c r="BN311" i="1"/>
  <c r="BN308" i="1"/>
  <c r="BN307" i="1"/>
  <c r="BN304" i="1"/>
  <c r="BN303" i="1"/>
  <c r="BN10" i="1"/>
  <c r="BN18" i="1"/>
  <c r="BN26" i="1"/>
  <c r="BN30" i="1"/>
  <c r="BN46" i="1"/>
  <c r="BN62" i="1"/>
  <c r="BN70" i="1"/>
  <c r="BN78" i="1"/>
  <c r="BN86" i="1"/>
  <c r="BN94" i="1"/>
  <c r="BN166" i="1"/>
  <c r="BN174" i="1"/>
  <c r="BN186" i="1"/>
  <c r="BN194" i="1"/>
  <c r="BN202" i="1"/>
  <c r="BN210" i="1"/>
  <c r="BN218" i="1"/>
  <c r="BN226" i="1"/>
  <c r="BN234" i="1"/>
  <c r="BN242" i="1"/>
  <c r="BN246" i="1"/>
  <c r="BN254" i="1"/>
  <c r="BN262" i="1"/>
  <c r="BN302" i="1"/>
  <c r="BN310" i="1"/>
  <c r="BN318" i="1"/>
  <c r="BN326" i="1"/>
  <c r="BN334" i="1"/>
  <c r="BN342" i="1"/>
  <c r="BN350" i="1"/>
  <c r="BN358" i="1"/>
  <c r="BN366" i="1"/>
  <c r="BN11" i="1"/>
  <c r="BN32" i="1"/>
  <c r="BN165" i="1"/>
  <c r="BN197" i="1"/>
  <c r="BN229" i="1"/>
  <c r="BN261" i="1"/>
  <c r="BN14" i="1"/>
  <c r="BN34" i="1"/>
  <c r="BN42" i="1"/>
  <c r="BN50" i="1"/>
  <c r="BN58" i="1"/>
  <c r="BN66" i="1"/>
  <c r="BN74" i="1"/>
  <c r="BN82" i="1"/>
  <c r="BN90" i="1"/>
  <c r="BN98" i="1"/>
  <c r="BN162" i="1"/>
  <c r="BN170" i="1"/>
  <c r="BN178" i="1"/>
  <c r="BN182" i="1"/>
  <c r="BN190" i="1"/>
  <c r="BN198" i="1"/>
  <c r="BN206" i="1"/>
  <c r="BN214" i="1"/>
  <c r="BN222" i="1"/>
  <c r="BN230" i="1"/>
  <c r="BN238" i="1"/>
  <c r="BN250" i="1"/>
  <c r="BN258" i="1"/>
  <c r="BN266" i="1"/>
  <c r="BN306" i="1"/>
  <c r="BN314" i="1"/>
  <c r="BN322" i="1"/>
  <c r="BN330" i="1"/>
  <c r="BN338" i="1"/>
  <c r="BN346" i="1"/>
  <c r="BN354" i="1"/>
  <c r="BN362" i="1"/>
  <c r="BN16" i="1"/>
  <c r="BN59" i="1"/>
  <c r="BN173" i="1"/>
  <c r="BN205" i="1"/>
  <c r="BN237" i="1"/>
  <c r="BN269" i="1"/>
  <c r="BN271" i="1"/>
  <c r="BN272" i="1"/>
  <c r="BN273" i="1"/>
  <c r="BN275" i="1"/>
  <c r="BN276" i="1"/>
  <c r="BN277" i="1"/>
  <c r="BN279" i="1"/>
  <c r="BN280" i="1"/>
  <c r="BN281" i="1"/>
  <c r="BN283" i="1"/>
  <c r="BN284" i="1"/>
  <c r="BN285" i="1"/>
  <c r="BN287" i="1"/>
  <c r="BN288" i="1"/>
  <c r="BN289" i="1"/>
  <c r="BN291" i="1"/>
  <c r="BN292" i="1"/>
  <c r="BN293" i="1"/>
  <c r="BN295" i="1"/>
  <c r="BN296" i="1"/>
  <c r="BN297" i="1"/>
  <c r="BN299" i="1"/>
  <c r="BN300" i="1"/>
  <c r="BN15" i="1"/>
  <c r="BN19" i="1"/>
  <c r="BN31" i="1"/>
  <c r="BN35" i="1"/>
  <c r="BN47" i="1"/>
  <c r="BN51" i="1"/>
  <c r="BN63" i="1"/>
  <c r="BN67" i="1"/>
  <c r="BN71" i="1"/>
  <c r="BN75" i="1"/>
  <c r="BN79" i="1"/>
  <c r="BN83" i="1"/>
  <c r="BN87" i="1"/>
  <c r="BN91" i="1"/>
  <c r="BN95" i="1"/>
  <c r="BN155" i="1"/>
  <c r="F269" i="23"/>
  <c r="F281" i="23"/>
  <c r="BN106" i="1"/>
  <c r="BN110" i="1"/>
  <c r="BN118" i="1"/>
  <c r="BN122" i="1"/>
  <c r="BN130" i="1"/>
  <c r="BN138" i="1"/>
  <c r="BN142" i="1"/>
  <c r="BN150" i="1"/>
  <c r="BN158" i="1"/>
  <c r="BN7" i="1"/>
  <c r="BN23" i="1"/>
  <c r="BN44" i="1"/>
  <c r="BN55" i="1"/>
  <c r="BN99" i="1"/>
  <c r="BN107" i="1"/>
  <c r="BN111" i="1"/>
  <c r="BN115" i="1"/>
  <c r="BN123" i="1"/>
  <c r="BN131" i="1"/>
  <c r="BN135" i="1"/>
  <c r="BN143" i="1"/>
  <c r="BN147" i="1"/>
  <c r="BN163" i="1"/>
  <c r="BN167" i="1"/>
  <c r="BN175" i="1"/>
  <c r="BN179" i="1"/>
  <c r="BN187" i="1"/>
  <c r="BN195" i="1"/>
  <c r="BN199" i="1"/>
  <c r="BN207" i="1"/>
  <c r="BN215" i="1"/>
  <c r="BN219" i="1"/>
  <c r="BN227" i="1"/>
  <c r="BN231" i="1"/>
  <c r="BN239" i="1"/>
  <c r="BN243" i="1"/>
  <c r="BN251" i="1"/>
  <c r="BN259" i="1"/>
  <c r="BN263" i="1"/>
  <c r="BN8" i="1"/>
  <c r="BN24" i="1"/>
  <c r="BN56" i="1"/>
  <c r="I74" i="23"/>
  <c r="K74" i="23" s="1"/>
  <c r="I82" i="23"/>
  <c r="K82" i="23" s="1"/>
  <c r="I90" i="23"/>
  <c r="K90" i="23" s="1"/>
  <c r="I99" i="23"/>
  <c r="K99" i="23" s="1"/>
  <c r="I113" i="23"/>
  <c r="K113" i="23" s="1"/>
  <c r="I121" i="23"/>
  <c r="K121" i="23" s="1"/>
  <c r="I130" i="23"/>
  <c r="K130" i="23" s="1"/>
  <c r="I138" i="23"/>
  <c r="K138" i="23" s="1"/>
  <c r="I146" i="23"/>
  <c r="I154" i="23"/>
  <c r="BN20" i="1"/>
  <c r="BN36" i="1"/>
  <c r="BN52" i="1"/>
  <c r="BN68" i="1"/>
  <c r="BN69" i="1"/>
  <c r="BN72" i="1"/>
  <c r="BN73" i="1"/>
  <c r="BN76" i="1"/>
  <c r="BN77" i="1"/>
  <c r="BN80" i="1"/>
  <c r="BN81" i="1"/>
  <c r="BN84" i="1"/>
  <c r="BN85" i="1"/>
  <c r="BN88" i="1"/>
  <c r="BN89" i="1"/>
  <c r="BN92" i="1"/>
  <c r="BN93" i="1"/>
  <c r="BN96" i="1"/>
  <c r="BN153" i="1"/>
  <c r="BN152" i="1"/>
  <c r="BN149" i="1"/>
  <c r="BN148" i="1"/>
  <c r="BN145" i="1"/>
  <c r="BN144" i="1"/>
  <c r="BN141" i="1"/>
  <c r="BN140" i="1"/>
  <c r="BN137" i="1"/>
  <c r="BN136" i="1"/>
  <c r="BN133" i="1"/>
  <c r="BN132" i="1"/>
  <c r="BN129" i="1"/>
  <c r="BN128" i="1"/>
  <c r="BN125" i="1"/>
  <c r="BN124" i="1"/>
  <c r="BN121" i="1"/>
  <c r="BN120" i="1"/>
  <c r="BN117" i="1"/>
  <c r="BN116" i="1"/>
  <c r="BN113" i="1"/>
  <c r="BN112" i="1"/>
  <c r="BN109" i="1"/>
  <c r="BN108" i="1"/>
  <c r="BN105" i="1"/>
  <c r="BN104" i="1"/>
  <c r="BN101" i="1"/>
  <c r="BN100" i="1"/>
  <c r="BN268" i="1"/>
  <c r="BN264" i="1"/>
  <c r="BN260" i="1"/>
  <c r="BN256" i="1"/>
  <c r="BN252" i="1"/>
  <c r="BN248" i="1"/>
  <c r="BN244" i="1"/>
  <c r="BN240" i="1"/>
  <c r="BN236" i="1"/>
  <c r="BN232" i="1"/>
  <c r="BN228" i="1"/>
  <c r="BN224" i="1"/>
  <c r="BN220" i="1"/>
  <c r="BN216" i="1"/>
  <c r="BN212" i="1"/>
  <c r="BN208" i="1"/>
  <c r="BN204" i="1"/>
  <c r="BN200" i="1"/>
  <c r="BN196" i="1"/>
  <c r="BN192" i="1"/>
  <c r="BN188" i="1"/>
  <c r="BN184" i="1"/>
  <c r="BN180" i="1"/>
  <c r="BN176" i="1"/>
  <c r="BN172" i="1"/>
  <c r="BN168" i="1"/>
  <c r="BN164" i="1"/>
  <c r="BN160" i="1"/>
  <c r="BN65" i="1"/>
  <c r="BN61" i="1"/>
  <c r="BN57" i="1"/>
  <c r="BN53" i="1"/>
  <c r="BN49" i="1"/>
  <c r="BN45" i="1"/>
  <c r="BN41" i="1"/>
  <c r="BN37" i="1"/>
  <c r="BN33" i="1"/>
  <c r="BN29" i="1"/>
  <c r="BN25" i="1"/>
  <c r="BN21" i="1"/>
  <c r="BN17" i="1"/>
  <c r="BN13" i="1"/>
  <c r="BN9" i="1"/>
  <c r="BN370" i="1"/>
  <c r="BN102" i="1"/>
  <c r="BN114" i="1"/>
  <c r="BN126" i="1"/>
  <c r="BN134" i="1"/>
  <c r="BN146" i="1"/>
  <c r="BN154" i="1"/>
  <c r="BN12" i="1"/>
  <c r="BN28" i="1"/>
  <c r="BN39" i="1"/>
  <c r="BN60" i="1"/>
  <c r="BN103" i="1"/>
  <c r="BN119" i="1"/>
  <c r="BN127" i="1"/>
  <c r="BN139" i="1"/>
  <c r="BN151" i="1"/>
  <c r="BN159" i="1"/>
  <c r="BN171" i="1"/>
  <c r="BN183" i="1"/>
  <c r="BN191" i="1"/>
  <c r="BN203" i="1"/>
  <c r="BN211" i="1"/>
  <c r="BN223" i="1"/>
  <c r="BN235" i="1"/>
  <c r="BN247" i="1"/>
  <c r="BN255" i="1"/>
  <c r="BN267" i="1"/>
  <c r="BN40" i="1"/>
  <c r="BN156" i="1"/>
  <c r="BN157" i="1"/>
  <c r="BN161" i="1"/>
  <c r="BN169" i="1"/>
  <c r="BN177" i="1"/>
  <c r="BN185" i="1"/>
  <c r="BN193" i="1"/>
  <c r="BN201" i="1"/>
  <c r="BN209" i="1"/>
  <c r="BN217" i="1"/>
  <c r="BN225" i="1"/>
  <c r="BN233" i="1"/>
  <c r="BN241" i="1"/>
  <c r="BN249" i="1"/>
  <c r="BN257" i="1"/>
  <c r="BN265" i="1"/>
  <c r="I315" i="23"/>
  <c r="K315" i="23" s="1"/>
  <c r="I323" i="23"/>
  <c r="K323" i="23" s="1"/>
  <c r="I331" i="23"/>
  <c r="K331" i="23" s="1"/>
  <c r="I344" i="23"/>
  <c r="K344" i="23" s="1"/>
  <c r="I368" i="23"/>
  <c r="K368" i="23" s="1"/>
  <c r="I84" i="23"/>
  <c r="K84" i="23" s="1"/>
  <c r="I101" i="23"/>
  <c r="K101" i="23" s="1"/>
  <c r="I136" i="23"/>
  <c r="K136" i="23" s="1"/>
  <c r="I148" i="23"/>
  <c r="I313" i="23"/>
  <c r="K313" i="23" s="1"/>
  <c r="I333" i="23"/>
  <c r="K333" i="23" s="1"/>
  <c r="I80" i="23"/>
  <c r="K80" i="23" s="1"/>
  <c r="I96" i="23"/>
  <c r="K96" i="23" s="1"/>
  <c r="I115" i="23"/>
  <c r="K115" i="23" s="1"/>
  <c r="I132" i="23"/>
  <c r="K132" i="23" s="1"/>
  <c r="I317" i="23"/>
  <c r="K317" i="23" s="1"/>
  <c r="I329" i="23"/>
  <c r="K329" i="23" s="1"/>
  <c r="I352" i="23"/>
  <c r="K352" i="23" s="1"/>
  <c r="I362" i="23"/>
  <c r="K362" i="23" s="1"/>
  <c r="I370" i="23"/>
  <c r="K370" i="23" s="1"/>
  <c r="P68" i="23"/>
  <c r="Q68" i="23" s="1"/>
  <c r="R68" i="23" s="1"/>
  <c r="I111" i="23"/>
  <c r="BF378" i="1"/>
  <c r="H97" i="23"/>
  <c r="BF385" i="1"/>
  <c r="H311" i="23"/>
  <c r="I347" i="23"/>
  <c r="K347" i="23" s="1"/>
  <c r="I350" i="23"/>
  <c r="K350" i="23" s="1"/>
  <c r="BF387" i="1"/>
  <c r="H372" i="23"/>
  <c r="I69" i="23"/>
  <c r="K69" i="23" s="1"/>
  <c r="I73" i="23"/>
  <c r="K73" i="23" s="1"/>
  <c r="I77" i="23"/>
  <c r="K77" i="23" s="1"/>
  <c r="I81" i="23"/>
  <c r="K81" i="23" s="1"/>
  <c r="I85" i="23"/>
  <c r="K85" i="23" s="1"/>
  <c r="I89" i="23"/>
  <c r="K89" i="23" s="1"/>
  <c r="I93" i="23"/>
  <c r="K93" i="23" s="1"/>
  <c r="I100" i="23"/>
  <c r="K100" i="23" s="1"/>
  <c r="I103" i="23"/>
  <c r="K103" i="23" s="1"/>
  <c r="I107" i="23"/>
  <c r="K107" i="23" s="1"/>
  <c r="I114" i="23"/>
  <c r="K114" i="23" s="1"/>
  <c r="I118" i="23"/>
  <c r="K118" i="23" s="1"/>
  <c r="I122" i="23"/>
  <c r="K122" i="23" s="1"/>
  <c r="I126" i="23"/>
  <c r="K126" i="23" s="1"/>
  <c r="I131" i="23"/>
  <c r="K131" i="23" s="1"/>
  <c r="I135" i="23"/>
  <c r="K135" i="23" s="1"/>
  <c r="I139" i="23"/>
  <c r="I143" i="23"/>
  <c r="I147" i="23"/>
  <c r="I151" i="23"/>
  <c r="I155" i="23"/>
  <c r="BF379" i="1"/>
  <c r="H127" i="23"/>
  <c r="I127" i="23" s="1"/>
  <c r="K127" i="23" s="1"/>
  <c r="I310" i="23"/>
  <c r="I314" i="23"/>
  <c r="K314" i="23" s="1"/>
  <c r="I318" i="23"/>
  <c r="K318" i="23" s="1"/>
  <c r="I322" i="23"/>
  <c r="K322" i="23" s="1"/>
  <c r="I326" i="23"/>
  <c r="K326" i="23" s="1"/>
  <c r="I330" i="23"/>
  <c r="K330" i="23" s="1"/>
  <c r="I335" i="23"/>
  <c r="K335" i="23" s="1"/>
  <c r="I337" i="23"/>
  <c r="K337" i="23" s="1"/>
  <c r="BF386" i="1"/>
  <c r="H341" i="23"/>
  <c r="I341" i="23" s="1"/>
  <c r="K341" i="23" s="1"/>
  <c r="I343" i="23"/>
  <c r="K343" i="23" s="1"/>
  <c r="I353" i="23"/>
  <c r="K353" i="23" s="1"/>
  <c r="I358" i="23"/>
  <c r="K358" i="23" s="1"/>
  <c r="I363" i="23"/>
  <c r="K363" i="23" s="1"/>
  <c r="I367" i="23"/>
  <c r="K367" i="23" s="1"/>
  <c r="I371" i="23"/>
  <c r="K371" i="23" s="1"/>
  <c r="BP378" i="1"/>
  <c r="BP391" i="1"/>
  <c r="BP392" i="1"/>
  <c r="BP379" i="1"/>
  <c r="BP397" i="1"/>
  <c r="BP384" i="1"/>
  <c r="BP398" i="1"/>
  <c r="BP385" i="1"/>
  <c r="BP399" i="1"/>
  <c r="BP386" i="1"/>
  <c r="BF380" i="1"/>
  <c r="H158" i="23"/>
  <c r="R158" i="23" s="1"/>
  <c r="P309" i="23"/>
  <c r="Q309" i="23" s="1"/>
  <c r="R309" i="23" s="1"/>
  <c r="I355" i="23"/>
  <c r="K355" i="23" s="1"/>
  <c r="I354" i="23"/>
  <c r="K354" i="23" s="1"/>
  <c r="C68" i="23"/>
  <c r="BO378" i="1"/>
  <c r="BO391" i="1"/>
  <c r="C98" i="23"/>
  <c r="BO392" i="1"/>
  <c r="BO379" i="1"/>
  <c r="C128" i="23"/>
  <c r="C269" i="23"/>
  <c r="BO384" i="1"/>
  <c r="BO397" i="1"/>
  <c r="C281" i="23"/>
  <c r="BO398" i="1"/>
  <c r="BO385" i="1"/>
  <c r="C312" i="23"/>
  <c r="BO386" i="1"/>
  <c r="BO399" i="1"/>
  <c r="C342" i="23"/>
  <c r="BO400" i="1"/>
  <c r="BO387" i="1"/>
  <c r="BT391" i="1"/>
  <c r="BT378" i="1"/>
  <c r="BW378" i="1"/>
  <c r="BW379" i="1"/>
  <c r="BT392" i="1"/>
  <c r="BT379" i="1"/>
  <c r="BW380" i="1"/>
  <c r="BT380" i="1"/>
  <c r="BT393" i="1"/>
  <c r="BT397" i="1"/>
  <c r="BW384" i="1"/>
  <c r="BT384" i="1"/>
  <c r="BT398" i="1"/>
  <c r="BT385" i="1"/>
  <c r="BW385" i="1"/>
  <c r="BT399" i="1"/>
  <c r="BW386" i="1"/>
  <c r="BT386" i="1"/>
  <c r="BT400" i="1"/>
  <c r="BT387" i="1"/>
  <c r="BW387" i="1"/>
  <c r="BF392" i="1"/>
  <c r="BF399" i="1"/>
  <c r="BF391" i="1"/>
  <c r="BF393" i="1"/>
  <c r="BF398" i="1"/>
  <c r="BF400" i="1"/>
  <c r="BN371" i="1"/>
  <c r="BP157" i="1"/>
  <c r="BP372" i="1"/>
  <c r="BP387" i="1" s="1"/>
  <c r="BO157" i="1"/>
  <c r="BN372" i="1"/>
  <c r="I140" i="23" l="1"/>
  <c r="I365" i="23"/>
  <c r="K365" i="23" s="1"/>
  <c r="I345" i="23"/>
  <c r="K345" i="23" s="1"/>
  <c r="I339" i="23"/>
  <c r="K339" i="23" s="1"/>
  <c r="I324" i="23"/>
  <c r="K324" i="23" s="1"/>
  <c r="I320" i="23"/>
  <c r="K320" i="23" s="1"/>
  <c r="I157" i="23"/>
  <c r="I153" i="23"/>
  <c r="I145" i="23"/>
  <c r="I124" i="23"/>
  <c r="K124" i="23" s="1"/>
  <c r="I120" i="23"/>
  <c r="K120" i="23" s="1"/>
  <c r="I109" i="23"/>
  <c r="K109" i="23" s="1"/>
  <c r="I105" i="23"/>
  <c r="K105" i="23" s="1"/>
  <c r="I95" i="23"/>
  <c r="K95" i="23" s="1"/>
  <c r="I87" i="23"/>
  <c r="K87" i="23" s="1"/>
  <c r="I79" i="23"/>
  <c r="K79" i="23" s="1"/>
  <c r="I71" i="23"/>
  <c r="K71" i="23" s="1"/>
  <c r="I372" i="23"/>
  <c r="K372" i="23" s="1"/>
  <c r="I349" i="23"/>
  <c r="K349" i="23" s="1"/>
  <c r="I311" i="23"/>
  <c r="I97" i="23"/>
  <c r="K97" i="23" s="1"/>
  <c r="I357" i="23"/>
  <c r="K357" i="23" s="1"/>
  <c r="C157" i="23"/>
  <c r="CB157" i="1"/>
  <c r="BP380" i="1"/>
  <c r="CC157" i="1"/>
  <c r="DG370" i="1"/>
  <c r="DF370" i="1"/>
  <c r="DG369" i="1"/>
  <c r="DF369" i="1"/>
  <c r="DG368" i="1"/>
  <c r="DF368" i="1"/>
  <c r="DG367" i="1"/>
  <c r="DF367" i="1"/>
  <c r="DG366" i="1"/>
  <c r="DF366" i="1"/>
  <c r="DG365" i="1"/>
  <c r="DF365" i="1"/>
  <c r="DG364" i="1"/>
  <c r="DF364" i="1"/>
  <c r="DG354" i="1"/>
  <c r="DF354" i="1"/>
  <c r="DG353" i="1"/>
  <c r="DF353" i="1"/>
  <c r="DG352" i="1"/>
  <c r="DF352" i="1"/>
  <c r="DG351" i="1"/>
  <c r="DF351" i="1"/>
  <c r="DG350" i="1"/>
  <c r="DF350" i="1"/>
  <c r="DG349" i="1"/>
  <c r="DF349" i="1"/>
  <c r="DG348" i="1"/>
  <c r="DF348" i="1"/>
  <c r="DG338" i="1"/>
  <c r="DF338" i="1"/>
  <c r="DG337" i="1"/>
  <c r="DF337" i="1"/>
  <c r="DG336" i="1"/>
  <c r="DF336" i="1"/>
  <c r="DG335" i="1"/>
  <c r="DF335" i="1"/>
  <c r="DG334" i="1"/>
  <c r="DF334" i="1"/>
  <c r="DG333" i="1"/>
  <c r="DF333" i="1"/>
  <c r="DG332" i="1"/>
  <c r="DF332" i="1"/>
  <c r="DG322" i="1"/>
  <c r="DF322" i="1"/>
  <c r="DG321" i="1"/>
  <c r="DF321" i="1"/>
  <c r="DG320" i="1"/>
  <c r="DF320" i="1"/>
  <c r="DG319" i="1"/>
  <c r="DF319" i="1"/>
  <c r="DG318" i="1"/>
  <c r="DF318" i="1"/>
  <c r="DG317" i="1"/>
  <c r="DF317" i="1"/>
  <c r="DG316" i="1"/>
  <c r="DF316" i="1"/>
  <c r="DG310" i="1"/>
  <c r="DF310" i="1"/>
  <c r="DG309" i="1"/>
  <c r="DF309" i="1"/>
  <c r="DG308" i="1"/>
  <c r="DF308" i="1"/>
  <c r="DG307" i="1"/>
  <c r="DF307" i="1"/>
  <c r="DG306" i="1"/>
  <c r="DF306" i="1"/>
  <c r="DG298" i="1"/>
  <c r="DF298" i="1"/>
  <c r="DG297" i="1"/>
  <c r="DF297" i="1"/>
  <c r="DG296" i="1"/>
  <c r="DF296" i="1"/>
  <c r="DG288" i="1"/>
  <c r="DF288" i="1"/>
  <c r="DG287" i="1"/>
  <c r="DF287" i="1"/>
  <c r="DG286" i="1"/>
  <c r="DF286" i="1"/>
  <c r="DG285" i="1"/>
  <c r="DF285" i="1"/>
  <c r="DG284" i="1"/>
  <c r="DF284" i="1"/>
  <c r="DG280" i="1"/>
  <c r="DF280" i="1"/>
  <c r="DG279" i="1"/>
  <c r="DF279" i="1"/>
  <c r="DG271" i="1"/>
  <c r="DF271" i="1"/>
  <c r="DG270" i="1"/>
  <c r="DF270" i="1"/>
  <c r="DG269" i="1"/>
  <c r="DF269" i="1"/>
  <c r="DG156" i="1"/>
  <c r="DF156" i="1"/>
  <c r="DG155" i="1"/>
  <c r="DF155" i="1"/>
  <c r="DG154" i="1"/>
  <c r="DF154" i="1"/>
  <c r="DG148" i="1"/>
  <c r="DF148" i="1"/>
  <c r="DG147" i="1"/>
  <c r="DF147" i="1"/>
  <c r="DG146" i="1"/>
  <c r="DF146" i="1"/>
  <c r="DG140" i="1"/>
  <c r="DF140" i="1"/>
  <c r="DG139" i="1"/>
  <c r="DF139" i="1"/>
  <c r="DG138" i="1"/>
  <c r="DF138" i="1"/>
  <c r="DG132" i="1"/>
  <c r="DF132" i="1"/>
  <c r="DG131" i="1"/>
  <c r="DF131" i="1"/>
  <c r="DG130" i="1"/>
  <c r="DF130" i="1"/>
  <c r="DG124" i="1"/>
  <c r="DF124" i="1"/>
  <c r="DG123" i="1"/>
  <c r="DF123" i="1"/>
  <c r="DG122" i="1"/>
  <c r="DF122" i="1"/>
  <c r="DG116" i="1"/>
  <c r="DF116" i="1"/>
  <c r="DG115" i="1"/>
  <c r="DF115" i="1"/>
  <c r="DG114" i="1"/>
  <c r="DF114" i="1"/>
  <c r="DG108" i="1"/>
  <c r="DF108" i="1"/>
  <c r="DG107" i="1"/>
  <c r="DF107" i="1"/>
  <c r="DG106" i="1"/>
  <c r="DF106" i="1"/>
  <c r="DG100" i="1"/>
  <c r="DF100" i="1"/>
  <c r="DG99" i="1"/>
  <c r="DF99" i="1"/>
  <c r="DG98" i="1"/>
  <c r="DF98" i="1"/>
  <c r="DG92" i="1"/>
  <c r="DF92" i="1"/>
  <c r="DG91" i="1"/>
  <c r="DF91" i="1"/>
  <c r="DG90" i="1"/>
  <c r="DF90" i="1"/>
  <c r="DG84" i="1"/>
  <c r="DF84" i="1"/>
  <c r="DG83" i="1"/>
  <c r="DF83" i="1"/>
  <c r="DG82" i="1"/>
  <c r="DF82" i="1"/>
  <c r="DG76" i="1"/>
  <c r="DF76" i="1"/>
  <c r="DG75" i="1"/>
  <c r="DF75" i="1"/>
  <c r="DG74" i="1"/>
  <c r="DF74" i="1"/>
  <c r="DG68" i="1"/>
  <c r="DF68" i="1"/>
  <c r="DG363" i="1"/>
  <c r="DG362" i="1"/>
  <c r="DF362" i="1"/>
  <c r="DG361" i="1"/>
  <c r="DF361" i="1"/>
  <c r="DG360" i="1"/>
  <c r="DF360" i="1"/>
  <c r="DG359" i="1"/>
  <c r="DF359" i="1"/>
  <c r="DG358" i="1"/>
  <c r="DF358" i="1"/>
  <c r="DG357" i="1"/>
  <c r="DF357" i="1"/>
  <c r="DG356" i="1"/>
  <c r="DF356" i="1"/>
  <c r="DG347" i="1"/>
  <c r="DG346" i="1"/>
  <c r="DF346" i="1"/>
  <c r="DG345" i="1"/>
  <c r="DF345" i="1"/>
  <c r="DG344" i="1"/>
  <c r="DF344" i="1"/>
  <c r="DG343" i="1"/>
  <c r="DF343" i="1"/>
  <c r="DG341" i="1"/>
  <c r="DF341" i="1"/>
  <c r="DG340" i="1"/>
  <c r="DF340" i="1"/>
  <c r="DG331" i="1"/>
  <c r="DG330" i="1"/>
  <c r="DF330" i="1"/>
  <c r="DG329" i="1"/>
  <c r="DF329" i="1"/>
  <c r="DG328" i="1"/>
  <c r="DF328" i="1"/>
  <c r="DG327" i="1"/>
  <c r="DF327" i="1"/>
  <c r="DG326" i="1"/>
  <c r="DF326" i="1"/>
  <c r="DG325" i="1"/>
  <c r="DF325" i="1"/>
  <c r="DG324" i="1"/>
  <c r="DF324" i="1"/>
  <c r="DG315" i="1"/>
  <c r="DG314" i="1"/>
  <c r="DF314" i="1"/>
  <c r="DG313" i="1"/>
  <c r="DF313" i="1"/>
  <c r="DG305" i="1"/>
  <c r="DG304" i="1"/>
  <c r="DF304" i="1"/>
  <c r="DG303" i="1"/>
  <c r="DF303" i="1"/>
  <c r="DG302" i="1"/>
  <c r="DF302" i="1"/>
  <c r="DG301" i="1"/>
  <c r="DF301" i="1"/>
  <c r="DG300" i="1"/>
  <c r="DF300" i="1"/>
  <c r="DG295" i="1"/>
  <c r="DG294" i="1"/>
  <c r="DF294" i="1"/>
  <c r="DG293" i="1"/>
  <c r="DF293" i="1"/>
  <c r="DG292" i="1"/>
  <c r="DF292" i="1"/>
  <c r="DG291" i="1"/>
  <c r="DF291" i="1"/>
  <c r="DG290" i="1"/>
  <c r="DF290" i="1"/>
  <c r="DG283" i="1"/>
  <c r="DG282" i="1"/>
  <c r="DF282" i="1"/>
  <c r="DG281" i="1"/>
  <c r="DF281" i="1"/>
  <c r="DG278" i="1"/>
  <c r="DG277" i="1"/>
  <c r="DG276" i="1"/>
  <c r="DG275" i="1"/>
  <c r="DF275" i="1"/>
  <c r="DG274" i="1"/>
  <c r="DF274" i="1"/>
  <c r="DG273" i="1"/>
  <c r="DF273" i="1"/>
  <c r="DG158" i="1"/>
  <c r="DF158" i="1"/>
  <c r="DG153" i="1"/>
  <c r="DG152" i="1"/>
  <c r="DF152" i="1"/>
  <c r="DG151" i="1"/>
  <c r="DF151" i="1"/>
  <c r="DG150" i="1"/>
  <c r="DF150" i="1"/>
  <c r="DG145" i="1"/>
  <c r="DG144" i="1"/>
  <c r="DF144" i="1"/>
  <c r="DG143" i="1"/>
  <c r="DF143" i="1"/>
  <c r="DG142" i="1"/>
  <c r="DF142" i="1"/>
  <c r="DG137" i="1"/>
  <c r="DG136" i="1"/>
  <c r="DF136" i="1"/>
  <c r="DG135" i="1"/>
  <c r="DF135" i="1"/>
  <c r="DG134" i="1"/>
  <c r="DF134" i="1"/>
  <c r="DG129" i="1"/>
  <c r="DG128" i="1"/>
  <c r="DF128" i="1"/>
  <c r="DG127" i="1"/>
  <c r="DF127" i="1"/>
  <c r="DG126" i="1"/>
  <c r="DF126" i="1"/>
  <c r="DG121" i="1"/>
  <c r="DG120" i="1"/>
  <c r="DF120" i="1"/>
  <c r="DG119" i="1"/>
  <c r="DF119" i="1"/>
  <c r="DG118" i="1"/>
  <c r="DF118" i="1"/>
  <c r="DG113" i="1"/>
  <c r="DG112" i="1"/>
  <c r="DF112" i="1"/>
  <c r="DG111" i="1"/>
  <c r="DF111" i="1"/>
  <c r="DG110" i="1"/>
  <c r="DF110" i="1"/>
  <c r="DG105" i="1"/>
  <c r="DG104" i="1"/>
  <c r="DF104" i="1"/>
  <c r="DG103" i="1"/>
  <c r="DF103" i="1"/>
  <c r="DG102" i="1"/>
  <c r="DF102" i="1"/>
  <c r="DG97" i="1"/>
  <c r="DG96" i="1"/>
  <c r="DF96" i="1"/>
  <c r="DG95" i="1"/>
  <c r="DF95" i="1"/>
  <c r="DG94" i="1"/>
  <c r="DF94" i="1"/>
  <c r="DG89" i="1"/>
  <c r="DG88" i="1"/>
  <c r="DF88" i="1"/>
  <c r="DG87" i="1"/>
  <c r="DF87" i="1"/>
  <c r="DG86" i="1"/>
  <c r="DF86" i="1"/>
  <c r="DG81" i="1"/>
  <c r="DG80" i="1"/>
  <c r="DF80" i="1"/>
  <c r="DG79" i="1"/>
  <c r="DF79" i="1"/>
  <c r="DG78" i="1"/>
  <c r="DF78" i="1"/>
  <c r="DG73" i="1"/>
  <c r="DG72" i="1"/>
  <c r="DF72" i="1"/>
  <c r="DG71" i="1"/>
  <c r="DF71" i="1"/>
  <c r="DG70" i="1"/>
  <c r="DF70" i="1"/>
  <c r="BU387" i="1"/>
  <c r="BU386" i="1"/>
  <c r="BU385" i="1"/>
  <c r="BU384" i="1"/>
  <c r="BU380" i="1"/>
  <c r="BU379" i="1"/>
  <c r="BU378" i="1"/>
  <c r="BV398" i="1"/>
  <c r="I128" i="23"/>
  <c r="K128" i="23" s="1"/>
  <c r="I98" i="23"/>
  <c r="K98" i="23" s="1"/>
  <c r="K386" i="23"/>
  <c r="K378" i="23"/>
  <c r="BV392" i="1"/>
  <c r="BL379" i="1"/>
  <c r="BO393" i="1"/>
  <c r="BP400" i="1"/>
  <c r="BP393" i="1"/>
  <c r="N69" i="23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BL385" i="1"/>
  <c r="BV400" i="1"/>
  <c r="BV380" i="1"/>
  <c r="BV378" i="1"/>
  <c r="BL378" i="1"/>
  <c r="BO380" i="1"/>
  <c r="S309" i="23"/>
  <c r="T309" i="23" s="1"/>
  <c r="P310" i="23"/>
  <c r="Q310" i="23" s="1"/>
  <c r="R310" i="23" s="1"/>
  <c r="I159" i="23"/>
  <c r="I158" i="23"/>
  <c r="I342" i="23"/>
  <c r="K342" i="23" s="1"/>
  <c r="S68" i="23"/>
  <c r="T68" i="23" s="1"/>
  <c r="P69" i="23"/>
  <c r="Q69" i="23" s="1"/>
  <c r="R69" i="23" s="1"/>
  <c r="K387" i="23" l="1"/>
  <c r="K379" i="23"/>
  <c r="BV384" i="1"/>
  <c r="BV391" i="1"/>
  <c r="BL380" i="1"/>
  <c r="BV393" i="1"/>
  <c r="BL384" i="1"/>
  <c r="BV385" i="1"/>
  <c r="BV379" i="1"/>
  <c r="BV399" i="1"/>
  <c r="K380" i="23"/>
  <c r="BV397" i="1"/>
  <c r="BL386" i="1"/>
  <c r="DG312" i="1"/>
  <c r="BL387" i="1"/>
  <c r="DG342" i="1"/>
  <c r="BV386" i="1"/>
  <c r="BV387" i="1"/>
  <c r="N98" i="23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N127" i="23" s="1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N308" i="23" s="1"/>
  <c r="N309" i="23" s="1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N341" i="23" s="1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N372" i="23" s="1"/>
  <c r="K389" i="23"/>
  <c r="P70" i="23"/>
  <c r="Q70" i="23" s="1"/>
  <c r="R70" i="23" s="1"/>
  <c r="S69" i="23"/>
  <c r="T69" i="23" s="1"/>
  <c r="P311" i="23"/>
  <c r="Q311" i="23" s="1"/>
  <c r="R311" i="23" s="1"/>
  <c r="S310" i="23"/>
  <c r="T310" i="23" s="1"/>
  <c r="S311" i="23" l="1"/>
  <c r="T311" i="23" s="1"/>
  <c r="P312" i="23"/>
  <c r="Q312" i="23" s="1"/>
  <c r="R312" i="23" s="1"/>
  <c r="P71" i="23"/>
  <c r="Q71" i="23" s="1"/>
  <c r="R71" i="23" s="1"/>
  <c r="S70" i="23"/>
  <c r="T70" i="23" s="1"/>
  <c r="P313" i="23" l="1"/>
  <c r="Q313" i="23" s="1"/>
  <c r="R313" i="23" s="1"/>
  <c r="S312" i="23"/>
  <c r="T312" i="23" s="1"/>
  <c r="P72" i="23"/>
  <c r="Q72" i="23" s="1"/>
  <c r="R72" i="23" s="1"/>
  <c r="S71" i="23"/>
  <c r="T71" i="23" s="1"/>
  <c r="P73" i="23" l="1"/>
  <c r="Q73" i="23" s="1"/>
  <c r="R73" i="23" s="1"/>
  <c r="S72" i="23"/>
  <c r="T72" i="23" s="1"/>
  <c r="S313" i="23"/>
  <c r="T313" i="23" s="1"/>
  <c r="P314" i="23"/>
  <c r="Q314" i="23" s="1"/>
  <c r="R314" i="23" s="1"/>
  <c r="P315" i="23" l="1"/>
  <c r="Q315" i="23" s="1"/>
  <c r="R315" i="23" s="1"/>
  <c r="S314" i="23"/>
  <c r="T314" i="23" s="1"/>
  <c r="P74" i="23"/>
  <c r="Q74" i="23" s="1"/>
  <c r="R74" i="23" s="1"/>
  <c r="S73" i="23"/>
  <c r="T73" i="23" s="1"/>
  <c r="P75" i="23" l="1"/>
  <c r="Q75" i="23" s="1"/>
  <c r="R75" i="23" s="1"/>
  <c r="S74" i="23"/>
  <c r="T74" i="23" s="1"/>
  <c r="S315" i="23"/>
  <c r="T315" i="23" s="1"/>
  <c r="P316" i="23"/>
  <c r="Q316" i="23" s="1"/>
  <c r="R316" i="23" s="1"/>
  <c r="P317" i="23" l="1"/>
  <c r="Q317" i="23" s="1"/>
  <c r="R317" i="23" s="1"/>
  <c r="S316" i="23"/>
  <c r="T316" i="23" s="1"/>
  <c r="P76" i="23"/>
  <c r="Q76" i="23" s="1"/>
  <c r="R76" i="23" s="1"/>
  <c r="S75" i="23"/>
  <c r="T75" i="23" s="1"/>
  <c r="P77" i="23" l="1"/>
  <c r="Q77" i="23" s="1"/>
  <c r="R77" i="23" s="1"/>
  <c r="S76" i="23"/>
  <c r="T76" i="23" s="1"/>
  <c r="S317" i="23"/>
  <c r="T317" i="23" s="1"/>
  <c r="P318" i="23"/>
  <c r="Q318" i="23" s="1"/>
  <c r="R318" i="23" s="1"/>
  <c r="P319" i="23" l="1"/>
  <c r="Q319" i="23" s="1"/>
  <c r="R319" i="23" s="1"/>
  <c r="S318" i="23"/>
  <c r="T318" i="23" s="1"/>
  <c r="P78" i="23"/>
  <c r="Q78" i="23" s="1"/>
  <c r="R78" i="23" s="1"/>
  <c r="S77" i="23"/>
  <c r="T77" i="23" s="1"/>
  <c r="P79" i="23" l="1"/>
  <c r="Q79" i="23" s="1"/>
  <c r="R79" i="23" s="1"/>
  <c r="S78" i="23"/>
  <c r="T78" i="23" s="1"/>
  <c r="S319" i="23"/>
  <c r="T319" i="23" s="1"/>
  <c r="P320" i="23"/>
  <c r="Q320" i="23" s="1"/>
  <c r="R320" i="23" s="1"/>
  <c r="P321" i="23" l="1"/>
  <c r="Q321" i="23" s="1"/>
  <c r="R321" i="23" s="1"/>
  <c r="S320" i="23"/>
  <c r="T320" i="23" s="1"/>
  <c r="P80" i="23"/>
  <c r="Q80" i="23" s="1"/>
  <c r="R80" i="23" s="1"/>
  <c r="S79" i="23"/>
  <c r="T79" i="23" s="1"/>
  <c r="P81" i="23" l="1"/>
  <c r="Q81" i="23" s="1"/>
  <c r="R81" i="23" s="1"/>
  <c r="S80" i="23"/>
  <c r="T80" i="23" s="1"/>
  <c r="S321" i="23"/>
  <c r="T321" i="23" s="1"/>
  <c r="P322" i="23"/>
  <c r="Q322" i="23" s="1"/>
  <c r="R322" i="23" s="1"/>
  <c r="P323" i="23" l="1"/>
  <c r="Q323" i="23" s="1"/>
  <c r="R323" i="23" s="1"/>
  <c r="S322" i="23"/>
  <c r="T322" i="23" s="1"/>
  <c r="P82" i="23"/>
  <c r="Q82" i="23" s="1"/>
  <c r="R82" i="23" s="1"/>
  <c r="S81" i="23"/>
  <c r="T81" i="23" s="1"/>
  <c r="P83" i="23" l="1"/>
  <c r="Q83" i="23" s="1"/>
  <c r="R83" i="23" s="1"/>
  <c r="S82" i="23"/>
  <c r="T82" i="23" s="1"/>
  <c r="S323" i="23"/>
  <c r="T323" i="23" s="1"/>
  <c r="P324" i="23"/>
  <c r="Q324" i="23" s="1"/>
  <c r="R324" i="23" s="1"/>
  <c r="P325" i="23" l="1"/>
  <c r="Q325" i="23" s="1"/>
  <c r="R325" i="23" s="1"/>
  <c r="S324" i="23"/>
  <c r="T324" i="23" s="1"/>
  <c r="P84" i="23"/>
  <c r="Q84" i="23" s="1"/>
  <c r="R84" i="23" s="1"/>
  <c r="S83" i="23"/>
  <c r="T83" i="23" s="1"/>
  <c r="P85" i="23" l="1"/>
  <c r="Q85" i="23" s="1"/>
  <c r="R85" i="23" s="1"/>
  <c r="S84" i="23"/>
  <c r="T84" i="23" s="1"/>
  <c r="S325" i="23"/>
  <c r="T325" i="23" s="1"/>
  <c r="P326" i="23"/>
  <c r="Q326" i="23" s="1"/>
  <c r="R326" i="23" s="1"/>
  <c r="P327" i="23" l="1"/>
  <c r="Q327" i="23" s="1"/>
  <c r="R327" i="23" s="1"/>
  <c r="S326" i="23"/>
  <c r="T326" i="23" s="1"/>
  <c r="P86" i="23"/>
  <c r="Q86" i="23" s="1"/>
  <c r="R86" i="23" s="1"/>
  <c r="S85" i="23"/>
  <c r="T85" i="23" s="1"/>
  <c r="P87" i="23" l="1"/>
  <c r="Q87" i="23" s="1"/>
  <c r="R87" i="23" s="1"/>
  <c r="S86" i="23"/>
  <c r="T86" i="23" s="1"/>
  <c r="S327" i="23"/>
  <c r="T327" i="23" s="1"/>
  <c r="P328" i="23"/>
  <c r="Q328" i="23" s="1"/>
  <c r="R328" i="23" s="1"/>
  <c r="P329" i="23" l="1"/>
  <c r="Q329" i="23" s="1"/>
  <c r="R329" i="23" s="1"/>
  <c r="S328" i="23"/>
  <c r="T328" i="23" s="1"/>
  <c r="P88" i="23"/>
  <c r="Q88" i="23" s="1"/>
  <c r="R88" i="23" s="1"/>
  <c r="S87" i="23"/>
  <c r="T87" i="23" s="1"/>
  <c r="P89" i="23" l="1"/>
  <c r="Q89" i="23" s="1"/>
  <c r="R89" i="23" s="1"/>
  <c r="S88" i="23"/>
  <c r="T88" i="23" s="1"/>
  <c r="S329" i="23"/>
  <c r="T329" i="23" s="1"/>
  <c r="P330" i="23"/>
  <c r="Q330" i="23" s="1"/>
  <c r="R330" i="23" s="1"/>
  <c r="P331" i="23" l="1"/>
  <c r="Q331" i="23" s="1"/>
  <c r="R331" i="23" s="1"/>
  <c r="S330" i="23"/>
  <c r="T330" i="23" s="1"/>
  <c r="P90" i="23"/>
  <c r="Q90" i="23" s="1"/>
  <c r="R90" i="23" s="1"/>
  <c r="S89" i="23"/>
  <c r="T89" i="23" s="1"/>
  <c r="P91" i="23" l="1"/>
  <c r="Q91" i="23" s="1"/>
  <c r="R91" i="23" s="1"/>
  <c r="S90" i="23"/>
  <c r="T90" i="23" s="1"/>
  <c r="S331" i="23"/>
  <c r="T331" i="23" s="1"/>
  <c r="P332" i="23"/>
  <c r="Q332" i="23" s="1"/>
  <c r="R332" i="23" s="1"/>
  <c r="P333" i="23" l="1"/>
  <c r="Q333" i="23" s="1"/>
  <c r="R333" i="23" s="1"/>
  <c r="S332" i="23"/>
  <c r="T332" i="23" s="1"/>
  <c r="P92" i="23"/>
  <c r="Q92" i="23" s="1"/>
  <c r="R92" i="23" s="1"/>
  <c r="S91" i="23"/>
  <c r="T91" i="23" s="1"/>
  <c r="P93" i="23" l="1"/>
  <c r="Q93" i="23" s="1"/>
  <c r="R93" i="23" s="1"/>
  <c r="S92" i="23"/>
  <c r="T92" i="23" s="1"/>
  <c r="S333" i="23"/>
  <c r="T333" i="23" s="1"/>
  <c r="P334" i="23"/>
  <c r="Q334" i="23" s="1"/>
  <c r="R334" i="23" s="1"/>
  <c r="P335" i="23" l="1"/>
  <c r="Q335" i="23" s="1"/>
  <c r="R335" i="23" s="1"/>
  <c r="S334" i="23"/>
  <c r="T334" i="23" s="1"/>
  <c r="P94" i="23"/>
  <c r="Q94" i="23" s="1"/>
  <c r="R94" i="23" s="1"/>
  <c r="S93" i="23"/>
  <c r="T93" i="23" s="1"/>
  <c r="P95" i="23" l="1"/>
  <c r="Q95" i="23" s="1"/>
  <c r="R95" i="23" s="1"/>
  <c r="S94" i="23"/>
  <c r="T94" i="23" s="1"/>
  <c r="S335" i="23"/>
  <c r="T335" i="23" s="1"/>
  <c r="P336" i="23"/>
  <c r="Q336" i="23" s="1"/>
  <c r="R336" i="23" s="1"/>
  <c r="P337" i="23" l="1"/>
  <c r="Q337" i="23" s="1"/>
  <c r="R337" i="23" s="1"/>
  <c r="S336" i="23"/>
  <c r="T336" i="23" s="1"/>
  <c r="P96" i="23"/>
  <c r="Q96" i="23" s="1"/>
  <c r="R96" i="23" s="1"/>
  <c r="S95" i="23"/>
  <c r="T95" i="23" s="1"/>
  <c r="P97" i="23" l="1"/>
  <c r="Q97" i="23" s="1"/>
  <c r="R97" i="23" s="1"/>
  <c r="S96" i="23"/>
  <c r="T96" i="23" s="1"/>
  <c r="S337" i="23"/>
  <c r="T337" i="23" s="1"/>
  <c r="P338" i="23"/>
  <c r="Q338" i="23" s="1"/>
  <c r="R338" i="23" s="1"/>
  <c r="P339" i="23" l="1"/>
  <c r="Q339" i="23" s="1"/>
  <c r="R339" i="23" s="1"/>
  <c r="S338" i="23"/>
  <c r="T338" i="23" s="1"/>
  <c r="P98" i="23"/>
  <c r="Q98" i="23" s="1"/>
  <c r="R98" i="23" s="1"/>
  <c r="S97" i="23"/>
  <c r="T97" i="23" s="1"/>
  <c r="P99" i="23" l="1"/>
  <c r="Q99" i="23" s="1"/>
  <c r="R99" i="23" s="1"/>
  <c r="S98" i="23"/>
  <c r="T98" i="23" s="1"/>
  <c r="S339" i="23"/>
  <c r="T339" i="23" s="1"/>
  <c r="P340" i="23"/>
  <c r="Q340" i="23" s="1"/>
  <c r="R340" i="23" s="1"/>
  <c r="P341" i="23" l="1"/>
  <c r="Q341" i="23" s="1"/>
  <c r="R341" i="23" s="1"/>
  <c r="S340" i="23"/>
  <c r="T340" i="23" s="1"/>
  <c r="P100" i="23"/>
  <c r="Q100" i="23" s="1"/>
  <c r="R100" i="23" s="1"/>
  <c r="S99" i="23"/>
  <c r="T99" i="23" s="1"/>
  <c r="P101" i="23" l="1"/>
  <c r="Q101" i="23" s="1"/>
  <c r="R101" i="23" s="1"/>
  <c r="S100" i="23"/>
  <c r="T100" i="23" s="1"/>
  <c r="S341" i="23"/>
  <c r="T341" i="23" s="1"/>
  <c r="P342" i="23"/>
  <c r="Q342" i="23" s="1"/>
  <c r="R342" i="23" s="1"/>
  <c r="P343" i="23" l="1"/>
  <c r="Q343" i="23" s="1"/>
  <c r="R343" i="23" s="1"/>
  <c r="S342" i="23"/>
  <c r="T342" i="23" s="1"/>
  <c r="P102" i="23"/>
  <c r="Q102" i="23" s="1"/>
  <c r="R102" i="23" s="1"/>
  <c r="S101" i="23"/>
  <c r="T101" i="23" s="1"/>
  <c r="P103" i="23" l="1"/>
  <c r="Q103" i="23" s="1"/>
  <c r="R103" i="23" s="1"/>
  <c r="S102" i="23"/>
  <c r="T102" i="23" s="1"/>
  <c r="S343" i="23"/>
  <c r="T343" i="23" s="1"/>
  <c r="P344" i="23"/>
  <c r="Q344" i="23" s="1"/>
  <c r="R344" i="23" s="1"/>
  <c r="P345" i="23" l="1"/>
  <c r="Q345" i="23" s="1"/>
  <c r="R345" i="23" s="1"/>
  <c r="S344" i="23"/>
  <c r="T344" i="23" s="1"/>
  <c r="P104" i="23"/>
  <c r="Q104" i="23" s="1"/>
  <c r="R104" i="23" s="1"/>
  <c r="S103" i="23"/>
  <c r="T103" i="23" s="1"/>
  <c r="P105" i="23" l="1"/>
  <c r="Q105" i="23" s="1"/>
  <c r="R105" i="23" s="1"/>
  <c r="S104" i="23"/>
  <c r="T104" i="23" s="1"/>
  <c r="S345" i="23"/>
  <c r="T345" i="23" s="1"/>
  <c r="P346" i="23"/>
  <c r="Q346" i="23" s="1"/>
  <c r="R346" i="23" s="1"/>
  <c r="P347" i="23" l="1"/>
  <c r="Q347" i="23" s="1"/>
  <c r="R347" i="23" s="1"/>
  <c r="S346" i="23"/>
  <c r="T346" i="23" s="1"/>
  <c r="P106" i="23"/>
  <c r="Q106" i="23" s="1"/>
  <c r="R106" i="23" s="1"/>
  <c r="S105" i="23"/>
  <c r="T105" i="23" s="1"/>
  <c r="P107" i="23" l="1"/>
  <c r="Q107" i="23" s="1"/>
  <c r="R107" i="23" s="1"/>
  <c r="S106" i="23"/>
  <c r="T106" i="23" s="1"/>
  <c r="S347" i="23"/>
  <c r="T347" i="23" s="1"/>
  <c r="P348" i="23"/>
  <c r="Q348" i="23" s="1"/>
  <c r="R348" i="23" s="1"/>
  <c r="P349" i="23" l="1"/>
  <c r="Q349" i="23" s="1"/>
  <c r="R349" i="23" s="1"/>
  <c r="S348" i="23"/>
  <c r="T348" i="23" s="1"/>
  <c r="P108" i="23"/>
  <c r="Q108" i="23" s="1"/>
  <c r="R108" i="23" s="1"/>
  <c r="S107" i="23"/>
  <c r="T107" i="23" s="1"/>
  <c r="P109" i="23" l="1"/>
  <c r="Q109" i="23" s="1"/>
  <c r="R109" i="23" s="1"/>
  <c r="S108" i="23"/>
  <c r="T108" i="23" s="1"/>
  <c r="S349" i="23"/>
  <c r="T349" i="23" s="1"/>
  <c r="P350" i="23"/>
  <c r="Q350" i="23" s="1"/>
  <c r="R350" i="23" s="1"/>
  <c r="P351" i="23" l="1"/>
  <c r="Q351" i="23" s="1"/>
  <c r="R351" i="23" s="1"/>
  <c r="S350" i="23"/>
  <c r="T350" i="23" s="1"/>
  <c r="P110" i="23"/>
  <c r="Q110" i="23" s="1"/>
  <c r="R110" i="23" s="1"/>
  <c r="S109" i="23"/>
  <c r="T109" i="23" s="1"/>
  <c r="P111" i="23" l="1"/>
  <c r="Q111" i="23" s="1"/>
  <c r="R111" i="23" s="1"/>
  <c r="S110" i="23"/>
  <c r="T110" i="23" s="1"/>
  <c r="S351" i="23"/>
  <c r="T351" i="23" s="1"/>
  <c r="P352" i="23"/>
  <c r="Q352" i="23" s="1"/>
  <c r="R352" i="23" s="1"/>
  <c r="P353" i="23" l="1"/>
  <c r="Q353" i="23" s="1"/>
  <c r="R353" i="23" s="1"/>
  <c r="S352" i="23"/>
  <c r="T352" i="23" s="1"/>
  <c r="P112" i="23"/>
  <c r="Q112" i="23" s="1"/>
  <c r="R112" i="23" s="1"/>
  <c r="S111" i="23"/>
  <c r="T111" i="23" s="1"/>
  <c r="P113" i="23" l="1"/>
  <c r="Q113" i="23" s="1"/>
  <c r="R113" i="23" s="1"/>
  <c r="S112" i="23"/>
  <c r="T112" i="23" s="1"/>
  <c r="S353" i="23"/>
  <c r="T353" i="23" s="1"/>
  <c r="P354" i="23"/>
  <c r="Q354" i="23" s="1"/>
  <c r="R354" i="23" s="1"/>
  <c r="P355" i="23" l="1"/>
  <c r="Q355" i="23" s="1"/>
  <c r="R355" i="23" s="1"/>
  <c r="S354" i="23"/>
  <c r="T354" i="23" s="1"/>
  <c r="P114" i="23"/>
  <c r="Q114" i="23" s="1"/>
  <c r="R114" i="23" s="1"/>
  <c r="S113" i="23"/>
  <c r="T113" i="23" s="1"/>
  <c r="P115" i="23" l="1"/>
  <c r="Q115" i="23" s="1"/>
  <c r="R115" i="23" s="1"/>
  <c r="S114" i="23"/>
  <c r="T114" i="23" s="1"/>
  <c r="S355" i="23"/>
  <c r="T355" i="23" s="1"/>
  <c r="P356" i="23"/>
  <c r="Q356" i="23" s="1"/>
  <c r="R356" i="23" s="1"/>
  <c r="P357" i="23" l="1"/>
  <c r="Q357" i="23" s="1"/>
  <c r="R357" i="23" s="1"/>
  <c r="S356" i="23"/>
  <c r="T356" i="23" s="1"/>
  <c r="P116" i="23"/>
  <c r="Q116" i="23" s="1"/>
  <c r="R116" i="23" s="1"/>
  <c r="S115" i="23"/>
  <c r="T115" i="23" s="1"/>
  <c r="P117" i="23" l="1"/>
  <c r="Q117" i="23" s="1"/>
  <c r="R117" i="23" s="1"/>
  <c r="S116" i="23"/>
  <c r="T116" i="23" s="1"/>
  <c r="S357" i="23"/>
  <c r="T357" i="23" s="1"/>
  <c r="P358" i="23"/>
  <c r="Q358" i="23" s="1"/>
  <c r="R358" i="23" s="1"/>
  <c r="P359" i="23" l="1"/>
  <c r="Q359" i="23" s="1"/>
  <c r="R359" i="23" s="1"/>
  <c r="S358" i="23"/>
  <c r="T358" i="23" s="1"/>
  <c r="P118" i="23"/>
  <c r="Q118" i="23" s="1"/>
  <c r="R118" i="23" s="1"/>
  <c r="S117" i="23"/>
  <c r="T117" i="23" s="1"/>
  <c r="P119" i="23" l="1"/>
  <c r="Q119" i="23" s="1"/>
  <c r="R119" i="23" s="1"/>
  <c r="S118" i="23"/>
  <c r="T118" i="23" s="1"/>
  <c r="S359" i="23"/>
  <c r="T359" i="23" s="1"/>
  <c r="P360" i="23"/>
  <c r="Q360" i="23" s="1"/>
  <c r="R360" i="23" s="1"/>
  <c r="P361" i="23" l="1"/>
  <c r="Q361" i="23" s="1"/>
  <c r="R361" i="23" s="1"/>
  <c r="S360" i="23"/>
  <c r="T360" i="23" s="1"/>
  <c r="P120" i="23"/>
  <c r="Q120" i="23" s="1"/>
  <c r="R120" i="23" s="1"/>
  <c r="S119" i="23"/>
  <c r="T119" i="23" s="1"/>
  <c r="P121" i="23" l="1"/>
  <c r="Q121" i="23" s="1"/>
  <c r="R121" i="23" s="1"/>
  <c r="S120" i="23"/>
  <c r="T120" i="23" s="1"/>
  <c r="S361" i="23"/>
  <c r="T361" i="23" s="1"/>
  <c r="P362" i="23"/>
  <c r="Q362" i="23" s="1"/>
  <c r="R362" i="23" s="1"/>
  <c r="P363" i="23" l="1"/>
  <c r="Q363" i="23" s="1"/>
  <c r="R363" i="23" s="1"/>
  <c r="S362" i="23"/>
  <c r="T362" i="23" s="1"/>
  <c r="P122" i="23"/>
  <c r="Q122" i="23" s="1"/>
  <c r="R122" i="23" s="1"/>
  <c r="S121" i="23"/>
  <c r="T121" i="23" s="1"/>
  <c r="P123" i="23" l="1"/>
  <c r="Q123" i="23" s="1"/>
  <c r="R123" i="23" s="1"/>
  <c r="S122" i="23"/>
  <c r="T122" i="23" s="1"/>
  <c r="P364" i="23"/>
  <c r="Q364" i="23" s="1"/>
  <c r="R364" i="23" s="1"/>
  <c r="S363" i="23"/>
  <c r="T363" i="23" s="1"/>
  <c r="P365" i="23" l="1"/>
  <c r="Q365" i="23" s="1"/>
  <c r="R365" i="23" s="1"/>
  <c r="S364" i="23"/>
  <c r="T364" i="23" s="1"/>
  <c r="P124" i="23"/>
  <c r="Q124" i="23" s="1"/>
  <c r="R124" i="23" s="1"/>
  <c r="S123" i="23"/>
  <c r="T123" i="23" s="1"/>
  <c r="P125" i="23" l="1"/>
  <c r="Q125" i="23" s="1"/>
  <c r="R125" i="23" s="1"/>
  <c r="S124" i="23"/>
  <c r="T124" i="23" s="1"/>
  <c r="P366" i="23"/>
  <c r="Q366" i="23" s="1"/>
  <c r="R366" i="23" s="1"/>
  <c r="S365" i="23"/>
  <c r="T365" i="23" s="1"/>
  <c r="P367" i="23" l="1"/>
  <c r="Q367" i="23" s="1"/>
  <c r="R367" i="23" s="1"/>
  <c r="S366" i="23"/>
  <c r="T366" i="23" s="1"/>
  <c r="P126" i="23"/>
  <c r="Q126" i="23" s="1"/>
  <c r="R126" i="23" s="1"/>
  <c r="S125" i="23"/>
  <c r="T125" i="23" s="1"/>
  <c r="P127" i="23" l="1"/>
  <c r="Q127" i="23" s="1"/>
  <c r="R127" i="23" s="1"/>
  <c r="S126" i="23"/>
  <c r="T126" i="23" s="1"/>
  <c r="P368" i="23"/>
  <c r="Q368" i="23" s="1"/>
  <c r="R368" i="23" s="1"/>
  <c r="S367" i="23"/>
  <c r="T367" i="23" s="1"/>
  <c r="P369" i="23" l="1"/>
  <c r="Q369" i="23" s="1"/>
  <c r="R369" i="23" s="1"/>
  <c r="S368" i="23"/>
  <c r="T368" i="23" s="1"/>
  <c r="P128" i="23"/>
  <c r="Q128" i="23" s="1"/>
  <c r="R128" i="23" s="1"/>
  <c r="S127" i="23"/>
  <c r="T127" i="23" s="1"/>
  <c r="P129" i="23" l="1"/>
  <c r="Q129" i="23" s="1"/>
  <c r="R129" i="23" s="1"/>
  <c r="S128" i="23"/>
  <c r="T128" i="23" s="1"/>
  <c r="P370" i="23"/>
  <c r="Q370" i="23" s="1"/>
  <c r="R370" i="23" s="1"/>
  <c r="S369" i="23"/>
  <c r="T369" i="23" s="1"/>
  <c r="P371" i="23" l="1"/>
  <c r="Q371" i="23" s="1"/>
  <c r="R371" i="23" s="1"/>
  <c r="S370" i="23"/>
  <c r="T370" i="23" s="1"/>
  <c r="P130" i="23"/>
  <c r="Q130" i="23" s="1"/>
  <c r="R130" i="23" s="1"/>
  <c r="S129" i="23"/>
  <c r="T129" i="23" s="1"/>
  <c r="P131" i="23" l="1"/>
  <c r="Q131" i="23" s="1"/>
  <c r="R131" i="23" s="1"/>
  <c r="S130" i="23"/>
  <c r="T130" i="23" s="1"/>
  <c r="P372" i="23"/>
  <c r="Q372" i="23" s="1"/>
  <c r="R372" i="23" s="1"/>
  <c r="S372" i="23" s="1"/>
  <c r="T372" i="23" s="1"/>
  <c r="S371" i="23"/>
  <c r="T371" i="23" s="1"/>
  <c r="P132" i="23" l="1"/>
  <c r="Q132" i="23" s="1"/>
  <c r="R132" i="23" s="1"/>
  <c r="S131" i="23"/>
  <c r="T131" i="23" s="1"/>
  <c r="P133" i="23" l="1"/>
  <c r="Q133" i="23" s="1"/>
  <c r="R133" i="23" s="1"/>
  <c r="S132" i="23"/>
  <c r="T132" i="23" s="1"/>
  <c r="P134" i="23" l="1"/>
  <c r="Q134" i="23" s="1"/>
  <c r="R134" i="23" s="1"/>
  <c r="S133" i="23"/>
  <c r="T133" i="23" s="1"/>
  <c r="P135" i="23" l="1"/>
  <c r="Q135" i="23" s="1"/>
  <c r="R135" i="23" s="1"/>
  <c r="S134" i="23"/>
  <c r="T134" i="23" s="1"/>
  <c r="P136" i="23" l="1"/>
  <c r="Q136" i="23" s="1"/>
  <c r="R136" i="23" s="1"/>
  <c r="S135" i="23"/>
  <c r="T135" i="23" s="1"/>
  <c r="P137" i="23" l="1"/>
  <c r="Q137" i="23" s="1"/>
  <c r="R137" i="23" s="1"/>
  <c r="S136" i="23"/>
  <c r="T136" i="23" s="1"/>
  <c r="P138" i="23" l="1"/>
  <c r="Q138" i="23" s="1"/>
  <c r="R138" i="23" s="1"/>
  <c r="S137" i="23"/>
  <c r="T137" i="23" s="1"/>
  <c r="P139" i="23" l="1"/>
  <c r="Q139" i="23" s="1"/>
  <c r="R139" i="23" s="1"/>
  <c r="P140" i="23" s="1"/>
  <c r="Q140" i="23" s="1"/>
  <c r="R140" i="23" s="1"/>
  <c r="S138" i="23"/>
  <c r="T138" i="23" s="1"/>
  <c r="S140" i="23" l="1"/>
  <c r="T140" i="23" s="1"/>
  <c r="P141" i="23"/>
  <c r="Q141" i="23" s="1"/>
  <c r="R141" i="23" s="1"/>
  <c r="S139" i="23"/>
  <c r="T139" i="23" s="1"/>
  <c r="P142" i="23" l="1"/>
  <c r="Q142" i="23" s="1"/>
  <c r="R142" i="23" s="1"/>
  <c r="S141" i="23"/>
  <c r="T141" i="23" s="1"/>
  <c r="P143" i="23" l="1"/>
  <c r="Q143" i="23" s="1"/>
  <c r="R143" i="23" s="1"/>
  <c r="S142" i="23"/>
  <c r="T142" i="23" s="1"/>
  <c r="P144" i="23" l="1"/>
  <c r="Q144" i="23" s="1"/>
  <c r="R144" i="23" s="1"/>
  <c r="S143" i="23"/>
  <c r="T143" i="23" s="1"/>
  <c r="P145" i="23" l="1"/>
  <c r="Q145" i="23" s="1"/>
  <c r="R145" i="23" s="1"/>
  <c r="S144" i="23"/>
  <c r="T144" i="23" s="1"/>
  <c r="P146" i="23" l="1"/>
  <c r="Q146" i="23" s="1"/>
  <c r="R146" i="23" s="1"/>
  <c r="S145" i="23"/>
  <c r="T145" i="23" s="1"/>
  <c r="P147" i="23" l="1"/>
  <c r="Q147" i="23" s="1"/>
  <c r="R147" i="23" s="1"/>
  <c r="S146" i="23"/>
  <c r="T146" i="23" s="1"/>
  <c r="P148" i="23" l="1"/>
  <c r="Q148" i="23" s="1"/>
  <c r="R148" i="23" s="1"/>
  <c r="S147" i="23"/>
  <c r="T147" i="23" s="1"/>
  <c r="P149" i="23" l="1"/>
  <c r="Q149" i="23" s="1"/>
  <c r="R149" i="23" s="1"/>
  <c r="S148" i="23"/>
  <c r="T148" i="23" s="1"/>
  <c r="P150" i="23" l="1"/>
  <c r="Q150" i="23" s="1"/>
  <c r="R150" i="23" s="1"/>
  <c r="S149" i="23"/>
  <c r="T149" i="23" s="1"/>
  <c r="P151" i="23" l="1"/>
  <c r="Q151" i="23" s="1"/>
  <c r="R151" i="23" s="1"/>
  <c r="S150" i="23"/>
  <c r="T150" i="23" s="1"/>
  <c r="P152" i="23" l="1"/>
  <c r="Q152" i="23" s="1"/>
  <c r="R152" i="23" s="1"/>
  <c r="S151" i="23"/>
  <c r="T151" i="23" s="1"/>
  <c r="P153" i="23" l="1"/>
  <c r="Q153" i="23" s="1"/>
  <c r="R153" i="23" s="1"/>
  <c r="S152" i="23"/>
  <c r="T152" i="23" s="1"/>
  <c r="P154" i="23" l="1"/>
  <c r="Q154" i="23" s="1"/>
  <c r="R154" i="23" s="1"/>
  <c r="S153" i="23"/>
  <c r="T153" i="23" s="1"/>
  <c r="P155" i="23" l="1"/>
  <c r="Q155" i="23" s="1"/>
  <c r="R155" i="23" s="1"/>
  <c r="S154" i="23"/>
  <c r="T154" i="23" s="1"/>
  <c r="P156" i="23" l="1"/>
  <c r="Q156" i="23" s="1"/>
  <c r="R156" i="23" s="1"/>
  <c r="S155" i="23"/>
  <c r="T155" i="23" s="1"/>
  <c r="P157" i="23" l="1"/>
  <c r="Q157" i="23" s="1"/>
  <c r="R157" i="23" s="1"/>
  <c r="S156" i="23"/>
  <c r="T156" i="23" s="1"/>
  <c r="S157" i="23" l="1"/>
  <c r="T157" i="23" s="1"/>
  <c r="S158" i="23"/>
  <c r="T158" i="23" s="1"/>
</calcChain>
</file>

<file path=xl/sharedStrings.xml><?xml version="1.0" encoding="utf-8"?>
<sst xmlns="http://schemas.openxmlformats.org/spreadsheetml/2006/main" count="5339" uniqueCount="238">
  <si>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</si>
  <si>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</si>
  <si>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</si>
  <si>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</si>
  <si>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</si>
  <si>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</si>
  <si>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</si>
  <si>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</si>
  <si>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</si>
  <si>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</si>
  <si>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</si>
  <si>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</si>
  <si>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</si>
  <si>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</si>
  <si>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</si>
  <si>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</si>
  <si>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</si>
  <si>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</si>
  <si>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</si>
  <si>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</si>
  <si>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</si>
  <si>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</si>
  <si>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</si>
  <si>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</si>
  <si>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DofY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</si>
  <si>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</si>
  <si>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</si>
  <si>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</si>
  <si>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</si>
  <si>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</si>
  <si>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</si>
  <si>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</si>
  <si>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</si>
  <si>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</si>
  <si>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</si>
  <si>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</si>
  <si>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</si>
  <si>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</si>
  <si>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</si>
  <si>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</si>
  <si>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</si>
  <si>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</si>
  <si>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</si>
  <si>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</si>
  <si>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</si>
  <si>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VPD</t>
  </si>
  <si>
    <t>kPa</t>
  </si>
  <si>
    <t>AVG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</si>
  <si>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</si>
  <si>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</si>
  <si>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</si>
  <si>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</si>
  <si>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</si>
  <si>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</si>
  <si>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</si>
  <si>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Removed -6999 indicating bad data</t>
  </si>
  <si>
    <t>Logger</t>
  </si>
  <si>
    <t>MJ/m2/d</t>
  </si>
  <si>
    <t>mol/m2/d</t>
  </si>
  <si>
    <t>C</t>
  </si>
  <si>
    <t>%</t>
  </si>
  <si>
    <t>Tstem</t>
  </si>
  <si>
    <t xml:space="preserve">No data for day 1 to 61, day 153-161. </t>
  </si>
  <si>
    <t>Windrose data invalid September-December</t>
  </si>
  <si>
    <t xml:space="preserve"> Wind corrected for scan time of 30 sec 2 Mar to 31 May while programmed for a multiplier for 10 secs. Mean windspeed missing day 262 onward</t>
  </si>
  <si>
    <t>Rainfall - no data</t>
  </si>
  <si>
    <t>Sicamous Creek 2000 Daily data</t>
  </si>
  <si>
    <t xml:space="preserve">Rh_adjustment, 2/08/07) 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</si>
  <si>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</si>
  <si>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</si>
  <si>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</si>
  <si>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</si>
  <si>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</si>
  <si>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</si>
  <si>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</si>
  <si>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</si>
  <si>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RH, Solar and PAR new calibrations added col BL onwards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</si>
  <si>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</si>
  <si>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</si>
  <si>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</si>
  <si>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</si>
  <si>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</si>
  <si>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</si>
  <si>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</si>
  <si>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</si>
  <si>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</si>
  <si>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</si>
  <si>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</si>
  <si>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</si>
  <si>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</si>
  <si>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</si>
  <si>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</si>
  <si>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</si>
  <si>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</si>
  <si>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</si>
  <si>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</si>
  <si>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</si>
  <si>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</si>
  <si>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</si>
  <si>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</si>
  <si>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</si>
  <si>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</si>
  <si>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</si>
  <si>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</si>
  <si>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</si>
  <si>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</si>
  <si>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</si>
  <si>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</si>
  <si>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</si>
  <si>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</si>
  <si>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</si>
  <si>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</si>
  <si>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</si>
  <si>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</si>
  <si>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</si>
  <si>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</si>
  <si>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</si>
  <si>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</si>
  <si>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</si>
  <si>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</si>
  <si>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</si>
  <si>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</si>
  <si>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</si>
  <si>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</si>
  <si>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</si>
  <si>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</si>
  <si>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</si>
  <si>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</si>
  <si>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</si>
  <si>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</si>
  <si>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</si>
  <si>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</si>
  <si>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</si>
  <si>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</si>
  <si>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</si>
  <si>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UPC to FWS</t>
  </si>
  <si>
    <t>Malakwa</t>
  </si>
  <si>
    <t xml:space="preserve">Malakwa*1.4*1.05 </t>
  </si>
  <si>
    <t>MoTI Malakwa</t>
  </si>
  <si>
    <t>Tav</t>
  </si>
  <si>
    <t>Rhav</t>
  </si>
  <si>
    <t>June-Aug FWS and MoTI</t>
  </si>
  <si>
    <t>March - May Sicamous and MoTI</t>
  </si>
  <si>
    <t>Meta data for Sicamous base station</t>
  </si>
  <si>
    <t>Solar W/m2</t>
  </si>
  <si>
    <t>Kmax from 10 min simulation</t>
  </si>
  <si>
    <t xml:space="preserve">Tair C </t>
  </si>
  <si>
    <t>RH %</t>
  </si>
  <si>
    <t>Corrected RH based on Rhmax=100. Calculated vpres (kPa)</t>
  </si>
  <si>
    <t>Soil temperature C</t>
  </si>
  <si>
    <t>Snow depth m, mm</t>
  </si>
  <si>
    <t>Wind m/s</t>
  </si>
  <si>
    <t xml:space="preserve">MetOne Wind vane at 6 m </t>
  </si>
  <si>
    <t>PAR mol/m2/d</t>
  </si>
  <si>
    <t>LiCor PAR sensor 6 m above surface. Calibration drift problem</t>
  </si>
  <si>
    <t>HMP35C in RMYoung pie plate sheild at 6 m</t>
  </si>
  <si>
    <t>CSI  UDG01</t>
  </si>
  <si>
    <t xml:space="preserve">MetOne anemometer at 6 m </t>
  </si>
  <si>
    <t>1 Jan to 29 Feb, June 1-6</t>
  </si>
  <si>
    <t>7 Jun to 18 Sept</t>
  </si>
  <si>
    <t>Tave C = MoTI* 0.77 - 6.2</t>
  </si>
  <si>
    <t>Tmax C = MoTI*0.69 - 5.3</t>
  </si>
  <si>
    <t>Tave C  = FWS* 0.82 - 1.1</t>
  </si>
  <si>
    <t>Tmax C = FWS*0.92 - 0.52</t>
  </si>
  <si>
    <t>Tmin C = FWS*0.61 - 1.82</t>
  </si>
  <si>
    <t>Rhmincor % = FWS*0.85 - 2.6</t>
  </si>
  <si>
    <t xml:space="preserve">Tmin C = 2*Tave - Tmax  This is used because the Tmin relationship was weak and gives some minimums that appear too low. </t>
  </si>
  <si>
    <t>esTx-esTn</t>
  </si>
  <si>
    <t>Thermocouples referenced to thermistor on panel at 0.15 m and 0.5 m depths</t>
  </si>
  <si>
    <t>Thermocouples referenced to thermistor on panel at 3 m, 1.5 m and 0.25 m</t>
  </si>
  <si>
    <t>Precipitation mm</t>
  </si>
  <si>
    <t>Gap filling of temperature and humidity using relationships between Sicamous Creek and Sicamous FWS and Malakwa MoTI stations</t>
  </si>
  <si>
    <t>Replaced 21X with CR10 data logger and storage module 1 September 2000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</si>
  <si>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</si>
  <si>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</si>
  <si>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</si>
  <si>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</si>
  <si>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</si>
  <si>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</si>
  <si>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</si>
  <si>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</si>
  <si>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</si>
  <si>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</si>
  <si>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</si>
  <si>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Vpres</t>
  </si>
  <si>
    <t>esTn</t>
  </si>
  <si>
    <t>vpres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</si>
  <si>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</si>
  <si>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</si>
  <si>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</si>
  <si>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</si>
  <si>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</si>
  <si>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</si>
  <si>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</si>
  <si>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</si>
  <si>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</si>
  <si>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</si>
  <si>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</si>
  <si>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</si>
  <si>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</si>
  <si>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</si>
  <si>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</si>
  <si>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</si>
  <si>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</si>
  <si>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</si>
  <si>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</si>
  <si>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</si>
  <si>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</si>
  <si>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</si>
  <si>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</si>
  <si>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</si>
  <si>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</si>
  <si>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</si>
  <si>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</si>
  <si>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</si>
  <si>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</si>
  <si>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</si>
  <si>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</si>
  <si>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</si>
  <si>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Last edit 12/04/25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</si>
  <si>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</si>
  <si>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</si>
  <si>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</si>
  <si>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</si>
  <si>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</si>
  <si>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</si>
  <si>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 xml:space="preserve">Sicamous Fire Weather Station rainfall adjusted by *1.05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</si>
  <si>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</si>
  <si>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</si>
  <si>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</si>
  <si>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</si>
  <si>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1 Jan to 29 Feb, June 1-6: Esat at minimum air temperature</t>
  </si>
  <si>
    <t>1 Jan to 29 Feb, June 1-6: vpd kPa = esat(Tmax)-esat(Tmin)</t>
  </si>
  <si>
    <t>Sierra Misco tipping bucket not working</t>
  </si>
  <si>
    <t>Estimate from Sicamous FWS and MoTi Malakwa</t>
  </si>
  <si>
    <t>MoTI Malakwa adjusted by *1.4*1.05</t>
  </si>
  <si>
    <t>6 m air Temperature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</si>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</sst>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 applyBorder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2" fontId="2" fillId="0" borderId="0" xfId="0" applyNumberFormat="1" applyFont="1" applyProtection="1"/>
    <xf numFmtId="1" fontId="2" fillId="0" borderId="0" xfId="0" applyNumberFormat="1" applyFont="1" applyBorder="1"/>
    <xf numFmtId="1" fontId="2" fillId="0" borderId="0" xfId="0" applyNumberFormat="1" applyFont="1"/>
    <xf numFmtId="0" fontId="2" fillId="2" borderId="0" xfId="0" applyFont="1" applyFill="1" applyBorder="1"/>
    <xf numFmtId="0" fontId="2" fillId="0" borderId="0" xfId="0" applyFont="1" applyBorder="1" applyProtection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6" borderId="0" xfId="0" applyNumberFormat="1" applyFont="1" applyFill="1"/>
    <xf numFmtId="1" fontId="2" fillId="6" borderId="0" xfId="0" applyNumberFormat="1" applyFont="1" applyFill="1"/>
    <xf numFmtId="164" fontId="2" fillId="4" borderId="0" xfId="0" applyNumberFormat="1" applyFont="1" applyFill="1" applyBorder="1"/>
    <xf numFmtId="165" fontId="2" fillId="2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 applyBorder="1"/>
    <xf numFmtId="164" fontId="2" fillId="6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2" fontId="2" fillId="7" borderId="0" xfId="0" applyNumberFormat="1" applyFont="1" applyFill="1" applyBorder="1"/>
    <xf numFmtId="0" fontId="2" fillId="7" borderId="0" xfId="0" applyFont="1" applyFill="1" applyBorder="1"/>
    <xf numFmtId="0" fontId="2" fillId="6" borderId="0" xfId="0" applyFont="1" applyFill="1" applyBorder="1"/>
    <xf numFmtId="164" fontId="2" fillId="7" borderId="0" xfId="0" applyNumberFormat="1" applyFont="1" applyFill="1"/>
    <xf numFmtId="0" fontId="2" fillId="8" borderId="0" xfId="0" applyFont="1" applyFill="1" applyBorder="1"/>
    <xf numFmtId="167" fontId="2" fillId="8" borderId="0" xfId="0" applyNumberFormat="1" applyFont="1" applyFill="1" applyBorder="1"/>
    <xf numFmtId="0" fontId="2" fillId="8" borderId="0" xfId="0" applyFont="1" applyFill="1"/>
    <xf numFmtId="164" fontId="2" fillId="8" borderId="0" xfId="0" applyNumberFormat="1" applyFont="1" applyFill="1" applyBorder="1"/>
    <xf numFmtId="164" fontId="2" fillId="8" borderId="0" xfId="0" applyNumberFormat="1" applyFont="1" applyFill="1"/>
    <xf numFmtId="0" fontId="2" fillId="9" borderId="0" xfId="0" applyFont="1" applyFill="1" applyBorder="1"/>
    <xf numFmtId="0" fontId="2" fillId="10" borderId="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2" fillId="0" borderId="0" xfId="0" applyNumberFormat="1" applyFont="1" applyProtection="1"/>
    <xf numFmtId="0" fontId="2" fillId="10" borderId="0" xfId="0" applyFont="1" applyFill="1" applyBorder="1" applyAlignment="1" applyProtection="1">
      <alignment horizontal="center"/>
    </xf>
    <xf numFmtId="165" fontId="2" fillId="10" borderId="0" xfId="0" applyNumberFormat="1" applyFont="1" applyFill="1" applyProtection="1"/>
    <xf numFmtId="2" fontId="2" fillId="0" borderId="0" xfId="0" applyNumberFormat="1" applyFont="1" applyFill="1" applyProtection="1"/>
    <xf numFmtId="0" fontId="3" fillId="0" borderId="0" xfId="0" applyFont="1"/>
    <xf numFmtId="2" fontId="2" fillId="6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00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215332458442694"/>
                  <c:y val="-2.1709317585301837E-2"/>
                </c:manualLayout>
              </c:layout>
              <c:numFmt formatCode="General" sourceLinked="0"/>
            </c:trendlineLbl>
          </c:trendline>
          <c:xVal>
            <c:numRef>
              <c:f>Data!$DQ$68:$DQ$159</c:f>
              <c:numCache>
                <c:formatCode>General</c:formatCode>
                <c:ptCount val="92"/>
                <c:pt idx="0">
                  <c:v>2.4</c:v>
                </c:pt>
                <c:pt idx="1">
                  <c:v>1.5</c:v>
                </c:pt>
                <c:pt idx="2">
                  <c:v>2</c:v>
                </c:pt>
                <c:pt idx="3">
                  <c:v>3.1</c:v>
                </c:pt>
                <c:pt idx="4">
                  <c:v>0.2</c:v>
                </c:pt>
                <c:pt idx="5">
                  <c:v>1.6</c:v>
                </c:pt>
                <c:pt idx="6">
                  <c:v>3.1</c:v>
                </c:pt>
                <c:pt idx="7">
                  <c:v>3.8</c:v>
                </c:pt>
                <c:pt idx="8">
                  <c:v>5</c:v>
                </c:pt>
                <c:pt idx="9">
                  <c:v>6.2</c:v>
                </c:pt>
                <c:pt idx="10">
                  <c:v>5</c:v>
                </c:pt>
                <c:pt idx="11">
                  <c:v>5.4</c:v>
                </c:pt>
                <c:pt idx="12">
                  <c:v>4.5</c:v>
                </c:pt>
                <c:pt idx="13">
                  <c:v>4.8</c:v>
                </c:pt>
                <c:pt idx="14">
                  <c:v>2.8</c:v>
                </c:pt>
                <c:pt idx="15">
                  <c:v>3.4</c:v>
                </c:pt>
                <c:pt idx="16">
                  <c:v>1.8</c:v>
                </c:pt>
                <c:pt idx="17">
                  <c:v>3</c:v>
                </c:pt>
                <c:pt idx="18">
                  <c:v>2.2000000000000002</c:v>
                </c:pt>
                <c:pt idx="19">
                  <c:v>6.5</c:v>
                </c:pt>
                <c:pt idx="20">
                  <c:v>4.2</c:v>
                </c:pt>
                <c:pt idx="21">
                  <c:v>6.1</c:v>
                </c:pt>
                <c:pt idx="22">
                  <c:v>6.2</c:v>
                </c:pt>
                <c:pt idx="23">
                  <c:v>6</c:v>
                </c:pt>
                <c:pt idx="24">
                  <c:v>7.2</c:v>
                </c:pt>
                <c:pt idx="25">
                  <c:v>6.1</c:v>
                </c:pt>
                <c:pt idx="26">
                  <c:v>8.6</c:v>
                </c:pt>
                <c:pt idx="27">
                  <c:v>5.2</c:v>
                </c:pt>
                <c:pt idx="28">
                  <c:v>6</c:v>
                </c:pt>
                <c:pt idx="29">
                  <c:v>7</c:v>
                </c:pt>
                <c:pt idx="30">
                  <c:v>8.1999999999999993</c:v>
                </c:pt>
                <c:pt idx="31">
                  <c:v>9.5</c:v>
                </c:pt>
                <c:pt idx="32">
                  <c:v>6.2</c:v>
                </c:pt>
                <c:pt idx="33">
                  <c:v>7.4</c:v>
                </c:pt>
                <c:pt idx="34">
                  <c:v>4.9000000000000004</c:v>
                </c:pt>
                <c:pt idx="35">
                  <c:v>5.9</c:v>
                </c:pt>
                <c:pt idx="36">
                  <c:v>6.5</c:v>
                </c:pt>
                <c:pt idx="37">
                  <c:v>10.199999999999999</c:v>
                </c:pt>
                <c:pt idx="38">
                  <c:v>10.8</c:v>
                </c:pt>
                <c:pt idx="39">
                  <c:v>9.6</c:v>
                </c:pt>
                <c:pt idx="40">
                  <c:v>8.6999999999999993</c:v>
                </c:pt>
                <c:pt idx="41">
                  <c:v>9.4</c:v>
                </c:pt>
                <c:pt idx="42">
                  <c:v>8.6</c:v>
                </c:pt>
                <c:pt idx="43">
                  <c:v>2.9</c:v>
                </c:pt>
                <c:pt idx="44">
                  <c:v>5.3</c:v>
                </c:pt>
                <c:pt idx="45">
                  <c:v>8</c:v>
                </c:pt>
                <c:pt idx="46">
                  <c:v>9.8000000000000007</c:v>
                </c:pt>
                <c:pt idx="47">
                  <c:v>11</c:v>
                </c:pt>
                <c:pt idx="48">
                  <c:v>11.7</c:v>
                </c:pt>
                <c:pt idx="49">
                  <c:v>10.5</c:v>
                </c:pt>
                <c:pt idx="50">
                  <c:v>12.1</c:v>
                </c:pt>
                <c:pt idx="51">
                  <c:v>12.7</c:v>
                </c:pt>
                <c:pt idx="52">
                  <c:v>9.3000000000000007</c:v>
                </c:pt>
                <c:pt idx="53">
                  <c:v>7.8</c:v>
                </c:pt>
                <c:pt idx="54">
                  <c:v>4.9000000000000004</c:v>
                </c:pt>
                <c:pt idx="55">
                  <c:v>11.4</c:v>
                </c:pt>
                <c:pt idx="56">
                  <c:v>14.8</c:v>
                </c:pt>
                <c:pt idx="57">
                  <c:v>11.9</c:v>
                </c:pt>
                <c:pt idx="58">
                  <c:v>9</c:v>
                </c:pt>
                <c:pt idx="59">
                  <c:v>10.9</c:v>
                </c:pt>
                <c:pt idx="60">
                  <c:v>12.8</c:v>
                </c:pt>
                <c:pt idx="61">
                  <c:v>14.5</c:v>
                </c:pt>
                <c:pt idx="62">
                  <c:v>11.4</c:v>
                </c:pt>
                <c:pt idx="63">
                  <c:v>10.4</c:v>
                </c:pt>
                <c:pt idx="64">
                  <c:v>8.1999999999999993</c:v>
                </c:pt>
                <c:pt idx="65">
                  <c:v>9.6</c:v>
                </c:pt>
                <c:pt idx="66">
                  <c:v>9.1999999999999993</c:v>
                </c:pt>
                <c:pt idx="67">
                  <c:v>10</c:v>
                </c:pt>
                <c:pt idx="68">
                  <c:v>11.2</c:v>
                </c:pt>
                <c:pt idx="69">
                  <c:v>10.1</c:v>
                </c:pt>
                <c:pt idx="70">
                  <c:v>10.7</c:v>
                </c:pt>
                <c:pt idx="71">
                  <c:v>11.5</c:v>
                </c:pt>
                <c:pt idx="72">
                  <c:v>12.2</c:v>
                </c:pt>
                <c:pt idx="73">
                  <c:v>12</c:v>
                </c:pt>
                <c:pt idx="74">
                  <c:v>15.6</c:v>
                </c:pt>
                <c:pt idx="75">
                  <c:v>17.5</c:v>
                </c:pt>
                <c:pt idx="76">
                  <c:v>15.4</c:v>
                </c:pt>
                <c:pt idx="77">
                  <c:v>15.8</c:v>
                </c:pt>
                <c:pt idx="78">
                  <c:v>14.1</c:v>
                </c:pt>
                <c:pt idx="79">
                  <c:v>13.2</c:v>
                </c:pt>
                <c:pt idx="80">
                  <c:v>12.6</c:v>
                </c:pt>
                <c:pt idx="81">
                  <c:v>13.4</c:v>
                </c:pt>
                <c:pt idx="82">
                  <c:v>12.4</c:v>
                </c:pt>
                <c:pt idx="83">
                  <c:v>10.7</c:v>
                </c:pt>
                <c:pt idx="84">
                  <c:v>14.2</c:v>
                </c:pt>
                <c:pt idx="85">
                  <c:v>10</c:v>
                </c:pt>
                <c:pt idx="86">
                  <c:v>10.7</c:v>
                </c:pt>
                <c:pt idx="87">
                  <c:v>14.7</c:v>
                </c:pt>
                <c:pt idx="88">
                  <c:v>13.8</c:v>
                </c:pt>
                <c:pt idx="89">
                  <c:v>12.9</c:v>
                </c:pt>
                <c:pt idx="90">
                  <c:v>13.5</c:v>
                </c:pt>
                <c:pt idx="91">
                  <c:v>12.6</c:v>
                </c:pt>
              </c:numCache>
            </c:numRef>
          </c:xVal>
          <c:yVal>
            <c:numRef>
              <c:f>Data!$E$68:$E$159</c:f>
              <c:numCache>
                <c:formatCode>General</c:formatCode>
                <c:ptCount val="92"/>
                <c:pt idx="0">
                  <c:v>-1.68</c:v>
                </c:pt>
                <c:pt idx="1">
                  <c:v>-2.0670000000000002</c:v>
                </c:pt>
                <c:pt idx="2">
                  <c:v>-3.0190000000000001</c:v>
                </c:pt>
                <c:pt idx="3">
                  <c:v>-6.585</c:v>
                </c:pt>
                <c:pt idx="4">
                  <c:v>-6.98</c:v>
                </c:pt>
                <c:pt idx="5">
                  <c:v>-8.8800000000000008</c:v>
                </c:pt>
                <c:pt idx="6">
                  <c:v>-3.3530000000000002</c:v>
                </c:pt>
                <c:pt idx="7">
                  <c:v>-1.47</c:v>
                </c:pt>
                <c:pt idx="8">
                  <c:v>-0.80800000000000005</c:v>
                </c:pt>
                <c:pt idx="9">
                  <c:v>-1.6359999999999999</c:v>
                </c:pt>
                <c:pt idx="10">
                  <c:v>-3.7759999999999998</c:v>
                </c:pt>
                <c:pt idx="11">
                  <c:v>-2.2850000000000001</c:v>
                </c:pt>
                <c:pt idx="12">
                  <c:v>-2.7589999999999999</c:v>
                </c:pt>
                <c:pt idx="13">
                  <c:v>-3.4529999999999998</c:v>
                </c:pt>
                <c:pt idx="14">
                  <c:v>-2.3039999999999998</c:v>
                </c:pt>
                <c:pt idx="15">
                  <c:v>-3.9969999999999999</c:v>
                </c:pt>
                <c:pt idx="16">
                  <c:v>-2.6850000000000001</c:v>
                </c:pt>
                <c:pt idx="17">
                  <c:v>-5.1360000000000001</c:v>
                </c:pt>
                <c:pt idx="18">
                  <c:v>-6.8170000000000002</c:v>
                </c:pt>
                <c:pt idx="19">
                  <c:v>-0.57399999999999995</c:v>
                </c:pt>
                <c:pt idx="20">
                  <c:v>0.38100000000000001</c:v>
                </c:pt>
                <c:pt idx="21">
                  <c:v>-2.83</c:v>
                </c:pt>
                <c:pt idx="22">
                  <c:v>-2.2970000000000002</c:v>
                </c:pt>
                <c:pt idx="23">
                  <c:v>-2.9</c:v>
                </c:pt>
                <c:pt idx="24">
                  <c:v>-1.3919999999999999</c:v>
                </c:pt>
                <c:pt idx="25">
                  <c:v>0.53</c:v>
                </c:pt>
                <c:pt idx="26">
                  <c:v>-2.4620000000000002</c:v>
                </c:pt>
                <c:pt idx="27">
                  <c:v>-3.891</c:v>
                </c:pt>
                <c:pt idx="28">
                  <c:v>-4.3330000000000002</c:v>
                </c:pt>
                <c:pt idx="29">
                  <c:v>-0.51</c:v>
                </c:pt>
                <c:pt idx="30">
                  <c:v>2.3530000000000002</c:v>
                </c:pt>
                <c:pt idx="31">
                  <c:v>2.448</c:v>
                </c:pt>
                <c:pt idx="32">
                  <c:v>4.625</c:v>
                </c:pt>
                <c:pt idx="33">
                  <c:v>1.6120000000000001</c:v>
                </c:pt>
                <c:pt idx="34">
                  <c:v>-2.8570000000000002</c:v>
                </c:pt>
                <c:pt idx="35">
                  <c:v>-4.95</c:v>
                </c:pt>
                <c:pt idx="36">
                  <c:v>-3.7639999999999998</c:v>
                </c:pt>
                <c:pt idx="37">
                  <c:v>1.6519999999999999</c:v>
                </c:pt>
                <c:pt idx="38">
                  <c:v>2.9510000000000001</c:v>
                </c:pt>
                <c:pt idx="39">
                  <c:v>1.351</c:v>
                </c:pt>
                <c:pt idx="40">
                  <c:v>2.9169999999999998</c:v>
                </c:pt>
                <c:pt idx="41">
                  <c:v>2.4540000000000002</c:v>
                </c:pt>
                <c:pt idx="42">
                  <c:v>-0.157</c:v>
                </c:pt>
                <c:pt idx="43">
                  <c:v>-2.899</c:v>
                </c:pt>
                <c:pt idx="44">
                  <c:v>-7.2999999999999995E-2</c:v>
                </c:pt>
                <c:pt idx="45">
                  <c:v>-0.10299999999999999</c:v>
                </c:pt>
                <c:pt idx="46">
                  <c:v>0.309</c:v>
                </c:pt>
                <c:pt idx="47">
                  <c:v>2.2370000000000001</c:v>
                </c:pt>
                <c:pt idx="48">
                  <c:v>3.1269999999999998</c:v>
                </c:pt>
                <c:pt idx="49">
                  <c:v>2.1640000000000001</c:v>
                </c:pt>
                <c:pt idx="50">
                  <c:v>6.359</c:v>
                </c:pt>
                <c:pt idx="51">
                  <c:v>3.4140000000000001</c:v>
                </c:pt>
                <c:pt idx="52">
                  <c:v>-0.16</c:v>
                </c:pt>
                <c:pt idx="53">
                  <c:v>-3.1619999999999999</c:v>
                </c:pt>
                <c:pt idx="54">
                  <c:v>-1.198</c:v>
                </c:pt>
                <c:pt idx="55">
                  <c:v>2.2370000000000001</c:v>
                </c:pt>
                <c:pt idx="56">
                  <c:v>9.09</c:v>
                </c:pt>
                <c:pt idx="57">
                  <c:v>0.31900000000000001</c:v>
                </c:pt>
                <c:pt idx="58">
                  <c:v>0.46600000000000003</c:v>
                </c:pt>
                <c:pt idx="59">
                  <c:v>3.8969999999999998</c:v>
                </c:pt>
                <c:pt idx="60">
                  <c:v>3.2330000000000001</c:v>
                </c:pt>
                <c:pt idx="61">
                  <c:v>4.7439999999999998</c:v>
                </c:pt>
                <c:pt idx="62">
                  <c:v>2.4929999999999999</c:v>
                </c:pt>
                <c:pt idx="63">
                  <c:v>-1.31</c:v>
                </c:pt>
                <c:pt idx="64">
                  <c:v>-1.542</c:v>
                </c:pt>
                <c:pt idx="65">
                  <c:v>-1.8</c:v>
                </c:pt>
                <c:pt idx="66">
                  <c:v>-1.206</c:v>
                </c:pt>
                <c:pt idx="67">
                  <c:v>1.4179999999999999</c:v>
                </c:pt>
                <c:pt idx="68">
                  <c:v>1.6659999999999999</c:v>
                </c:pt>
                <c:pt idx="69">
                  <c:v>0.19700000000000001</c:v>
                </c:pt>
                <c:pt idx="70">
                  <c:v>0.3</c:v>
                </c:pt>
                <c:pt idx="71">
                  <c:v>0.65</c:v>
                </c:pt>
                <c:pt idx="72">
                  <c:v>2.806</c:v>
                </c:pt>
                <c:pt idx="73">
                  <c:v>4.4139999999999997</c:v>
                </c:pt>
                <c:pt idx="74">
                  <c:v>6.3490000000000002</c:v>
                </c:pt>
                <c:pt idx="75">
                  <c:v>7.38</c:v>
                </c:pt>
                <c:pt idx="76">
                  <c:v>4.9939999999999998</c:v>
                </c:pt>
                <c:pt idx="77">
                  <c:v>4.4429999999999996</c:v>
                </c:pt>
                <c:pt idx="78">
                  <c:v>5.5670000000000002</c:v>
                </c:pt>
                <c:pt idx="79">
                  <c:v>5.0119999999999996</c:v>
                </c:pt>
                <c:pt idx="80">
                  <c:v>7.48</c:v>
                </c:pt>
                <c:pt idx="81">
                  <c:v>4.7789999999999999</c:v>
                </c:pt>
                <c:pt idx="82">
                  <c:v>2.948</c:v>
                </c:pt>
                <c:pt idx="83">
                  <c:v>2.8450000000000002</c:v>
                </c:pt>
                <c:pt idx="84">
                  <c:v>3.8809999999999998</c:v>
                </c:pt>
                <c:pt idx="85">
                  <c:v>3.04</c:v>
                </c:pt>
                <c:pt idx="86">
                  <c:v>3.8959999999999999</c:v>
                </c:pt>
                <c:pt idx="87">
                  <c:v>3.6480000000000001</c:v>
                </c:pt>
                <c:pt idx="88">
                  <c:v>2.7559999999999998</c:v>
                </c:pt>
                <c:pt idx="89">
                  <c:v>4.524</c:v>
                </c:pt>
                <c:pt idx="90">
                  <c:v>4.383</c:v>
                </c:pt>
                <c:pt idx="91">
                  <c:v>3.5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42176"/>
        <c:axId val="186466688"/>
      </c:scatterChart>
      <c:valAx>
        <c:axId val="15184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66688"/>
        <c:crosses val="autoZero"/>
        <c:crossBetween val="midCat"/>
      </c:valAx>
      <c:valAx>
        <c:axId val="186466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1842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215332458442694"/>
                  <c:y val="-2.1709317585301837E-2"/>
                </c:manualLayout>
              </c:layout>
              <c:numFmt formatCode="General" sourceLinked="0"/>
            </c:trendlineLbl>
          </c:trendline>
          <c:xVal>
            <c:numRef>
              <c:f>Data!$DR$68:$DR$159</c:f>
              <c:numCache>
                <c:formatCode>General</c:formatCode>
                <c:ptCount val="92"/>
                <c:pt idx="0">
                  <c:v>4.4000000000000004</c:v>
                </c:pt>
                <c:pt idx="1">
                  <c:v>3.1</c:v>
                </c:pt>
                <c:pt idx="2">
                  <c:v>4.2</c:v>
                </c:pt>
                <c:pt idx="3">
                  <c:v>7</c:v>
                </c:pt>
                <c:pt idx="4">
                  <c:v>1.9</c:v>
                </c:pt>
                <c:pt idx="5">
                  <c:v>6.3</c:v>
                </c:pt>
                <c:pt idx="6">
                  <c:v>10.5</c:v>
                </c:pt>
                <c:pt idx="7">
                  <c:v>7.7</c:v>
                </c:pt>
                <c:pt idx="8">
                  <c:v>10</c:v>
                </c:pt>
                <c:pt idx="9">
                  <c:v>12.1</c:v>
                </c:pt>
                <c:pt idx="10">
                  <c:v>11.9</c:v>
                </c:pt>
                <c:pt idx="11">
                  <c:v>10.9</c:v>
                </c:pt>
                <c:pt idx="12">
                  <c:v>9.1999999999999993</c:v>
                </c:pt>
                <c:pt idx="13">
                  <c:v>11.2</c:v>
                </c:pt>
                <c:pt idx="14">
                  <c:v>5.8</c:v>
                </c:pt>
                <c:pt idx="15">
                  <c:v>6.9</c:v>
                </c:pt>
                <c:pt idx="16">
                  <c:v>3.5</c:v>
                </c:pt>
                <c:pt idx="17">
                  <c:v>8.6999999999999993</c:v>
                </c:pt>
                <c:pt idx="18">
                  <c:v>9.4</c:v>
                </c:pt>
                <c:pt idx="19">
                  <c:v>13.4</c:v>
                </c:pt>
                <c:pt idx="20">
                  <c:v>8.5</c:v>
                </c:pt>
                <c:pt idx="21">
                  <c:v>11.1</c:v>
                </c:pt>
                <c:pt idx="22">
                  <c:v>11.4</c:v>
                </c:pt>
                <c:pt idx="23">
                  <c:v>13.2</c:v>
                </c:pt>
                <c:pt idx="24">
                  <c:v>15.6</c:v>
                </c:pt>
                <c:pt idx="25">
                  <c:v>12.2</c:v>
                </c:pt>
                <c:pt idx="26">
                  <c:v>15.1</c:v>
                </c:pt>
                <c:pt idx="27">
                  <c:v>13</c:v>
                </c:pt>
                <c:pt idx="28">
                  <c:v>16.2</c:v>
                </c:pt>
                <c:pt idx="29">
                  <c:v>17.399999999999999</c:v>
                </c:pt>
                <c:pt idx="30">
                  <c:v>15.8</c:v>
                </c:pt>
                <c:pt idx="31">
                  <c:v>20</c:v>
                </c:pt>
                <c:pt idx="32">
                  <c:v>13.5</c:v>
                </c:pt>
                <c:pt idx="33">
                  <c:v>15.5</c:v>
                </c:pt>
                <c:pt idx="34">
                  <c:v>10.3</c:v>
                </c:pt>
                <c:pt idx="35">
                  <c:v>12.6</c:v>
                </c:pt>
                <c:pt idx="36">
                  <c:v>14.5</c:v>
                </c:pt>
                <c:pt idx="37">
                  <c:v>20.7</c:v>
                </c:pt>
                <c:pt idx="38">
                  <c:v>22</c:v>
                </c:pt>
                <c:pt idx="39">
                  <c:v>22.2</c:v>
                </c:pt>
                <c:pt idx="40">
                  <c:v>18.7</c:v>
                </c:pt>
                <c:pt idx="41">
                  <c:v>18.8</c:v>
                </c:pt>
                <c:pt idx="42">
                  <c:v>14.8</c:v>
                </c:pt>
                <c:pt idx="43">
                  <c:v>5.8</c:v>
                </c:pt>
                <c:pt idx="44">
                  <c:v>10.7</c:v>
                </c:pt>
                <c:pt idx="45">
                  <c:v>16.3</c:v>
                </c:pt>
                <c:pt idx="46">
                  <c:v>19.2</c:v>
                </c:pt>
                <c:pt idx="47">
                  <c:v>24.4</c:v>
                </c:pt>
                <c:pt idx="48">
                  <c:v>24.3</c:v>
                </c:pt>
                <c:pt idx="49">
                  <c:v>19.100000000000001</c:v>
                </c:pt>
                <c:pt idx="50">
                  <c:v>21.5</c:v>
                </c:pt>
                <c:pt idx="51">
                  <c:v>19.7</c:v>
                </c:pt>
                <c:pt idx="52">
                  <c:v>17.8</c:v>
                </c:pt>
                <c:pt idx="53">
                  <c:v>16.100000000000001</c:v>
                </c:pt>
                <c:pt idx="54">
                  <c:v>12.5</c:v>
                </c:pt>
                <c:pt idx="55">
                  <c:v>19.399999999999999</c:v>
                </c:pt>
                <c:pt idx="56">
                  <c:v>24.8</c:v>
                </c:pt>
                <c:pt idx="57">
                  <c:v>21.3</c:v>
                </c:pt>
                <c:pt idx="58">
                  <c:v>18.600000000000001</c:v>
                </c:pt>
                <c:pt idx="59">
                  <c:v>16.3</c:v>
                </c:pt>
                <c:pt idx="60">
                  <c:v>18.399999999999999</c:v>
                </c:pt>
                <c:pt idx="61">
                  <c:v>23.2</c:v>
                </c:pt>
                <c:pt idx="62">
                  <c:v>18</c:v>
                </c:pt>
                <c:pt idx="63">
                  <c:v>16.899999999999999</c:v>
                </c:pt>
                <c:pt idx="64">
                  <c:v>14.3</c:v>
                </c:pt>
                <c:pt idx="65">
                  <c:v>17.5</c:v>
                </c:pt>
                <c:pt idx="66">
                  <c:v>19.399999999999999</c:v>
                </c:pt>
                <c:pt idx="67">
                  <c:v>21.6</c:v>
                </c:pt>
                <c:pt idx="68">
                  <c:v>17.2</c:v>
                </c:pt>
                <c:pt idx="69">
                  <c:v>15.4</c:v>
                </c:pt>
                <c:pt idx="70">
                  <c:v>16.600000000000001</c:v>
                </c:pt>
                <c:pt idx="71">
                  <c:v>18.7</c:v>
                </c:pt>
                <c:pt idx="72">
                  <c:v>20</c:v>
                </c:pt>
                <c:pt idx="73">
                  <c:v>23</c:v>
                </c:pt>
                <c:pt idx="74">
                  <c:v>27.1</c:v>
                </c:pt>
                <c:pt idx="75">
                  <c:v>27.9</c:v>
                </c:pt>
                <c:pt idx="76">
                  <c:v>25</c:v>
                </c:pt>
                <c:pt idx="77">
                  <c:v>24.5</c:v>
                </c:pt>
                <c:pt idx="78">
                  <c:v>20.7</c:v>
                </c:pt>
                <c:pt idx="79">
                  <c:v>18.399999999999999</c:v>
                </c:pt>
                <c:pt idx="80">
                  <c:v>15.3</c:v>
                </c:pt>
                <c:pt idx="81">
                  <c:v>18.899999999999999</c:v>
                </c:pt>
                <c:pt idx="82">
                  <c:v>21.7</c:v>
                </c:pt>
                <c:pt idx="83">
                  <c:v>22</c:v>
                </c:pt>
                <c:pt idx="84">
                  <c:v>24</c:v>
                </c:pt>
                <c:pt idx="85">
                  <c:v>17.8</c:v>
                </c:pt>
                <c:pt idx="86">
                  <c:v>15.1</c:v>
                </c:pt>
                <c:pt idx="87">
                  <c:v>22.1</c:v>
                </c:pt>
                <c:pt idx="88">
                  <c:v>21.8</c:v>
                </c:pt>
                <c:pt idx="89">
                  <c:v>23.9</c:v>
                </c:pt>
                <c:pt idx="90">
                  <c:v>24.8</c:v>
                </c:pt>
                <c:pt idx="91">
                  <c:v>23.1</c:v>
                </c:pt>
              </c:numCache>
            </c:numRef>
          </c:xVal>
          <c:yVal>
            <c:numRef>
              <c:f>Data!$R$68:$R$159</c:f>
              <c:numCache>
                <c:formatCode>General</c:formatCode>
                <c:ptCount val="92"/>
                <c:pt idx="0">
                  <c:v>-0.373</c:v>
                </c:pt>
                <c:pt idx="1">
                  <c:v>-0.29599999999999999</c:v>
                </c:pt>
                <c:pt idx="2">
                  <c:v>-1.2370000000000001</c:v>
                </c:pt>
                <c:pt idx="3">
                  <c:v>-1.617</c:v>
                </c:pt>
                <c:pt idx="4">
                  <c:v>-4.3099999999999996</c:v>
                </c:pt>
                <c:pt idx="5">
                  <c:v>9.4E-2</c:v>
                </c:pt>
                <c:pt idx="6">
                  <c:v>3.3860000000000001</c:v>
                </c:pt>
                <c:pt idx="7">
                  <c:v>0.88200000000000001</c:v>
                </c:pt>
                <c:pt idx="8">
                  <c:v>3.206</c:v>
                </c:pt>
                <c:pt idx="9">
                  <c:v>0.83099999999999996</c:v>
                </c:pt>
                <c:pt idx="10">
                  <c:v>0.78900000000000003</c:v>
                </c:pt>
                <c:pt idx="11">
                  <c:v>3.2949999999999999</c:v>
                </c:pt>
                <c:pt idx="12">
                  <c:v>-1.6459999999999999</c:v>
                </c:pt>
                <c:pt idx="13">
                  <c:v>-0.48899999999999999</c:v>
                </c:pt>
                <c:pt idx="14">
                  <c:v>-1.0249999999999999</c:v>
                </c:pt>
                <c:pt idx="15">
                  <c:v>-1.27</c:v>
                </c:pt>
                <c:pt idx="16">
                  <c:v>-1.4490000000000001</c:v>
                </c:pt>
                <c:pt idx="17">
                  <c:v>-2.0990000000000002</c:v>
                </c:pt>
                <c:pt idx="18">
                  <c:v>0.155</c:v>
                </c:pt>
                <c:pt idx="19">
                  <c:v>5.6669999999999998</c:v>
                </c:pt>
                <c:pt idx="20">
                  <c:v>2.4209999999999998</c:v>
                </c:pt>
                <c:pt idx="21">
                  <c:v>-0.69599999999999995</c:v>
                </c:pt>
                <c:pt idx="22">
                  <c:v>2.0289999999999999</c:v>
                </c:pt>
                <c:pt idx="23">
                  <c:v>0.71299999999999997</c:v>
                </c:pt>
                <c:pt idx="24">
                  <c:v>7.08</c:v>
                </c:pt>
                <c:pt idx="25">
                  <c:v>4.3840000000000003</c:v>
                </c:pt>
                <c:pt idx="26">
                  <c:v>2.0859999999999999</c:v>
                </c:pt>
                <c:pt idx="27">
                  <c:v>2.2509999999999999</c:v>
                </c:pt>
                <c:pt idx="28">
                  <c:v>4.4550000000000001</c:v>
                </c:pt>
                <c:pt idx="29">
                  <c:v>6.6660000000000004</c:v>
                </c:pt>
                <c:pt idx="30">
                  <c:v>5.6440000000000001</c:v>
                </c:pt>
                <c:pt idx="31">
                  <c:v>7.93</c:v>
                </c:pt>
                <c:pt idx="32">
                  <c:v>8.91</c:v>
                </c:pt>
                <c:pt idx="33">
                  <c:v>6.0380000000000003</c:v>
                </c:pt>
                <c:pt idx="34">
                  <c:v>0.182</c:v>
                </c:pt>
                <c:pt idx="35">
                  <c:v>-1.3779999999999999</c:v>
                </c:pt>
                <c:pt idx="36">
                  <c:v>4.0659999999999998</c:v>
                </c:pt>
                <c:pt idx="37">
                  <c:v>10.14</c:v>
                </c:pt>
                <c:pt idx="38">
                  <c:v>9.57</c:v>
                </c:pt>
                <c:pt idx="39">
                  <c:v>9.49</c:v>
                </c:pt>
                <c:pt idx="40">
                  <c:v>11.26</c:v>
                </c:pt>
                <c:pt idx="41">
                  <c:v>9.33</c:v>
                </c:pt>
                <c:pt idx="42">
                  <c:v>3.677</c:v>
                </c:pt>
                <c:pt idx="43">
                  <c:v>0.63900000000000001</c:v>
                </c:pt>
                <c:pt idx="44">
                  <c:v>4.2439999999999998</c:v>
                </c:pt>
                <c:pt idx="45">
                  <c:v>5.4790000000000001</c:v>
                </c:pt>
                <c:pt idx="46">
                  <c:v>7.67</c:v>
                </c:pt>
                <c:pt idx="47">
                  <c:v>12.2</c:v>
                </c:pt>
                <c:pt idx="48">
                  <c:v>12.69</c:v>
                </c:pt>
                <c:pt idx="49">
                  <c:v>8.7799999999999994</c:v>
                </c:pt>
                <c:pt idx="50">
                  <c:v>11.99</c:v>
                </c:pt>
                <c:pt idx="51">
                  <c:v>7.72</c:v>
                </c:pt>
                <c:pt idx="52">
                  <c:v>5.7329999999999997</c:v>
                </c:pt>
                <c:pt idx="53">
                  <c:v>3.1429999999999998</c:v>
                </c:pt>
                <c:pt idx="54">
                  <c:v>3.0539999999999998</c:v>
                </c:pt>
                <c:pt idx="55">
                  <c:v>7.57</c:v>
                </c:pt>
                <c:pt idx="56">
                  <c:v>15.87</c:v>
                </c:pt>
                <c:pt idx="57">
                  <c:v>4.55</c:v>
                </c:pt>
                <c:pt idx="58">
                  <c:v>5.9560000000000004</c:v>
                </c:pt>
                <c:pt idx="59">
                  <c:v>9.19</c:v>
                </c:pt>
                <c:pt idx="60">
                  <c:v>7.91</c:v>
                </c:pt>
                <c:pt idx="61">
                  <c:v>11.01</c:v>
                </c:pt>
                <c:pt idx="62">
                  <c:v>5.6669999999999998</c:v>
                </c:pt>
                <c:pt idx="63">
                  <c:v>5.0069999999999997</c:v>
                </c:pt>
                <c:pt idx="64">
                  <c:v>2.7189999999999999</c:v>
                </c:pt>
                <c:pt idx="65">
                  <c:v>5.0970000000000004</c:v>
                </c:pt>
                <c:pt idx="66">
                  <c:v>4.8659999999999997</c:v>
                </c:pt>
                <c:pt idx="67">
                  <c:v>8.64</c:v>
                </c:pt>
                <c:pt idx="68">
                  <c:v>6.1449999999999996</c:v>
                </c:pt>
                <c:pt idx="69">
                  <c:v>2.9870000000000001</c:v>
                </c:pt>
                <c:pt idx="70">
                  <c:v>5.024</c:v>
                </c:pt>
                <c:pt idx="71">
                  <c:v>6.0659999999999998</c:v>
                </c:pt>
                <c:pt idx="72">
                  <c:v>8.5</c:v>
                </c:pt>
                <c:pt idx="73">
                  <c:v>10.54</c:v>
                </c:pt>
                <c:pt idx="74">
                  <c:v>14.4</c:v>
                </c:pt>
                <c:pt idx="75">
                  <c:v>15.86</c:v>
                </c:pt>
                <c:pt idx="76">
                  <c:v>12.23</c:v>
                </c:pt>
                <c:pt idx="77">
                  <c:v>12.13</c:v>
                </c:pt>
                <c:pt idx="78">
                  <c:v>10.25</c:v>
                </c:pt>
                <c:pt idx="79">
                  <c:v>9.6199999999999992</c:v>
                </c:pt>
                <c:pt idx="80">
                  <c:v>11.05</c:v>
                </c:pt>
                <c:pt idx="81">
                  <c:v>8.74</c:v>
                </c:pt>
                <c:pt idx="82">
                  <c:v>8.51</c:v>
                </c:pt>
                <c:pt idx="83">
                  <c:v>9.5</c:v>
                </c:pt>
                <c:pt idx="84">
                  <c:v>11.27</c:v>
                </c:pt>
                <c:pt idx="85">
                  <c:v>8.2100000000000009</c:v>
                </c:pt>
                <c:pt idx="86">
                  <c:v>8.59</c:v>
                </c:pt>
                <c:pt idx="87">
                  <c:v>8.1</c:v>
                </c:pt>
                <c:pt idx="88">
                  <c:v>8.35</c:v>
                </c:pt>
                <c:pt idx="89">
                  <c:v>12.17</c:v>
                </c:pt>
                <c:pt idx="90">
                  <c:v>10.7</c:v>
                </c:pt>
                <c:pt idx="91">
                  <c:v>10.6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65888"/>
        <c:axId val="234322560"/>
      </c:scatterChart>
      <c:valAx>
        <c:axId val="23016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322560"/>
        <c:crosses val="autoZero"/>
        <c:crossBetween val="midCat"/>
      </c:valAx>
      <c:valAx>
        <c:axId val="234322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65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215332458442694"/>
                  <c:y val="-2.1709317585301837E-2"/>
                </c:manualLayout>
              </c:layout>
              <c:numFmt formatCode="General" sourceLinked="0"/>
            </c:trendlineLbl>
          </c:trendline>
          <c:xVal>
            <c:numRef>
              <c:f>Data!$DS$68:$DS$159</c:f>
              <c:numCache>
                <c:formatCode>General</c:formatCode>
                <c:ptCount val="92"/>
                <c:pt idx="0">
                  <c:v>0.4</c:v>
                </c:pt>
                <c:pt idx="1">
                  <c:v>-0.2</c:v>
                </c:pt>
                <c:pt idx="2">
                  <c:v>-0.2</c:v>
                </c:pt>
                <c:pt idx="3">
                  <c:v>-0.9</c:v>
                </c:pt>
                <c:pt idx="4">
                  <c:v>-1.5</c:v>
                </c:pt>
                <c:pt idx="5">
                  <c:v>-3.2</c:v>
                </c:pt>
                <c:pt idx="6">
                  <c:v>-4.3</c:v>
                </c:pt>
                <c:pt idx="7">
                  <c:v>-0.2</c:v>
                </c:pt>
                <c:pt idx="8">
                  <c:v>0</c:v>
                </c:pt>
                <c:pt idx="9">
                  <c:v>0.3</c:v>
                </c:pt>
                <c:pt idx="10">
                  <c:v>-1.9</c:v>
                </c:pt>
                <c:pt idx="11">
                  <c:v>-0.1</c:v>
                </c:pt>
                <c:pt idx="12">
                  <c:v>-0.2</c:v>
                </c:pt>
                <c:pt idx="13">
                  <c:v>-1.7</c:v>
                </c:pt>
                <c:pt idx="14">
                  <c:v>-0.2</c:v>
                </c:pt>
                <c:pt idx="15">
                  <c:v>-0.2</c:v>
                </c:pt>
                <c:pt idx="16">
                  <c:v>0</c:v>
                </c:pt>
                <c:pt idx="17">
                  <c:v>-2.7</c:v>
                </c:pt>
                <c:pt idx="18">
                  <c:v>-5.0999999999999996</c:v>
                </c:pt>
                <c:pt idx="19">
                  <c:v>-0.4</c:v>
                </c:pt>
                <c:pt idx="20">
                  <c:v>-0.2</c:v>
                </c:pt>
                <c:pt idx="21">
                  <c:v>1.1000000000000001</c:v>
                </c:pt>
                <c:pt idx="22">
                  <c:v>0.9</c:v>
                </c:pt>
                <c:pt idx="23">
                  <c:v>-1.2</c:v>
                </c:pt>
                <c:pt idx="24">
                  <c:v>-1.2</c:v>
                </c:pt>
                <c:pt idx="25">
                  <c:v>0</c:v>
                </c:pt>
                <c:pt idx="26">
                  <c:v>2</c:v>
                </c:pt>
                <c:pt idx="27">
                  <c:v>-2.6</c:v>
                </c:pt>
                <c:pt idx="28">
                  <c:v>-4.2</c:v>
                </c:pt>
                <c:pt idx="29">
                  <c:v>-3.5</c:v>
                </c:pt>
                <c:pt idx="30">
                  <c:v>0.5</c:v>
                </c:pt>
                <c:pt idx="31">
                  <c:v>-1</c:v>
                </c:pt>
                <c:pt idx="32">
                  <c:v>-1.2</c:v>
                </c:pt>
                <c:pt idx="33">
                  <c:v>-0.7</c:v>
                </c:pt>
                <c:pt idx="34">
                  <c:v>-0.5</c:v>
                </c:pt>
                <c:pt idx="35">
                  <c:v>-0.8</c:v>
                </c:pt>
                <c:pt idx="36">
                  <c:v>-1.6</c:v>
                </c:pt>
                <c:pt idx="37">
                  <c:v>-0.4</c:v>
                </c:pt>
                <c:pt idx="38">
                  <c:v>-0.5</c:v>
                </c:pt>
                <c:pt idx="39">
                  <c:v>-3.1</c:v>
                </c:pt>
                <c:pt idx="40">
                  <c:v>-1.3</c:v>
                </c:pt>
                <c:pt idx="41">
                  <c:v>-0.1</c:v>
                </c:pt>
                <c:pt idx="42">
                  <c:v>2.2999999999999998</c:v>
                </c:pt>
                <c:pt idx="43">
                  <c:v>0</c:v>
                </c:pt>
                <c:pt idx="44">
                  <c:v>-0.2</c:v>
                </c:pt>
                <c:pt idx="45">
                  <c:v>-0.4</c:v>
                </c:pt>
                <c:pt idx="46">
                  <c:v>0.4</c:v>
                </c:pt>
                <c:pt idx="47">
                  <c:v>-2.5</c:v>
                </c:pt>
                <c:pt idx="48">
                  <c:v>-0.9</c:v>
                </c:pt>
                <c:pt idx="49">
                  <c:v>1.9</c:v>
                </c:pt>
                <c:pt idx="50">
                  <c:v>2.7</c:v>
                </c:pt>
                <c:pt idx="51">
                  <c:v>5.6</c:v>
                </c:pt>
                <c:pt idx="52">
                  <c:v>0.8</c:v>
                </c:pt>
                <c:pt idx="53">
                  <c:v>-0.5</c:v>
                </c:pt>
                <c:pt idx="54">
                  <c:v>-2.7</c:v>
                </c:pt>
                <c:pt idx="55">
                  <c:v>3.4</c:v>
                </c:pt>
                <c:pt idx="56">
                  <c:v>4.7</c:v>
                </c:pt>
                <c:pt idx="57">
                  <c:v>2.4</c:v>
                </c:pt>
                <c:pt idx="58">
                  <c:v>-0.7</c:v>
                </c:pt>
                <c:pt idx="59">
                  <c:v>5.4</c:v>
                </c:pt>
                <c:pt idx="60">
                  <c:v>7.1</c:v>
                </c:pt>
                <c:pt idx="61">
                  <c:v>5.7</c:v>
                </c:pt>
                <c:pt idx="62">
                  <c:v>4.8</c:v>
                </c:pt>
                <c:pt idx="63">
                  <c:v>3.8</c:v>
                </c:pt>
                <c:pt idx="64">
                  <c:v>2</c:v>
                </c:pt>
                <c:pt idx="65">
                  <c:v>1.7</c:v>
                </c:pt>
                <c:pt idx="66">
                  <c:v>-1</c:v>
                </c:pt>
                <c:pt idx="67">
                  <c:v>-1.6</c:v>
                </c:pt>
                <c:pt idx="68">
                  <c:v>5.2</c:v>
                </c:pt>
                <c:pt idx="69">
                  <c:v>4.8</c:v>
                </c:pt>
                <c:pt idx="70">
                  <c:v>4.8</c:v>
                </c:pt>
                <c:pt idx="71">
                  <c:v>4.3</c:v>
                </c:pt>
                <c:pt idx="72">
                  <c:v>4.3</c:v>
                </c:pt>
                <c:pt idx="73">
                  <c:v>0.9</c:v>
                </c:pt>
                <c:pt idx="74">
                  <c:v>4.0999999999999996</c:v>
                </c:pt>
                <c:pt idx="75">
                  <c:v>7</c:v>
                </c:pt>
                <c:pt idx="76">
                  <c:v>5.8</c:v>
                </c:pt>
                <c:pt idx="77">
                  <c:v>7.1</c:v>
                </c:pt>
                <c:pt idx="78">
                  <c:v>7.4</c:v>
                </c:pt>
                <c:pt idx="79">
                  <c:v>8</c:v>
                </c:pt>
                <c:pt idx="80">
                  <c:v>9.8000000000000007</c:v>
                </c:pt>
                <c:pt idx="81">
                  <c:v>7.9</c:v>
                </c:pt>
                <c:pt idx="82">
                  <c:v>3</c:v>
                </c:pt>
                <c:pt idx="83">
                  <c:v>-0.7</c:v>
                </c:pt>
                <c:pt idx="84">
                  <c:v>4.4000000000000004</c:v>
                </c:pt>
                <c:pt idx="85">
                  <c:v>2.1</c:v>
                </c:pt>
                <c:pt idx="86">
                  <c:v>6.3</c:v>
                </c:pt>
                <c:pt idx="87">
                  <c:v>7.3</c:v>
                </c:pt>
                <c:pt idx="88">
                  <c:v>5.7</c:v>
                </c:pt>
                <c:pt idx="89">
                  <c:v>1.9</c:v>
                </c:pt>
                <c:pt idx="90">
                  <c:v>2.1</c:v>
                </c:pt>
                <c:pt idx="91">
                  <c:v>2</c:v>
                </c:pt>
              </c:numCache>
            </c:numRef>
          </c:xVal>
          <c:yVal>
            <c:numRef>
              <c:f>Data!$AF$68:$AF$159</c:f>
              <c:numCache>
                <c:formatCode>General</c:formatCode>
                <c:ptCount val="92"/>
                <c:pt idx="0">
                  <c:v>-6.1130000000000004</c:v>
                </c:pt>
                <c:pt idx="1">
                  <c:v>-6.9539999999999997</c:v>
                </c:pt>
                <c:pt idx="2">
                  <c:v>-7.35</c:v>
                </c:pt>
                <c:pt idx="3">
                  <c:v>-12.54</c:v>
                </c:pt>
                <c:pt idx="4">
                  <c:v>-16.05</c:v>
                </c:pt>
                <c:pt idx="5">
                  <c:v>-18.850000000000001</c:v>
                </c:pt>
                <c:pt idx="6">
                  <c:v>-11.16</c:v>
                </c:pt>
                <c:pt idx="7">
                  <c:v>-2.9769999999999999</c:v>
                </c:pt>
                <c:pt idx="8">
                  <c:v>-3.915</c:v>
                </c:pt>
                <c:pt idx="9">
                  <c:v>-3.863</c:v>
                </c:pt>
                <c:pt idx="10">
                  <c:v>-9.68</c:v>
                </c:pt>
                <c:pt idx="11">
                  <c:v>-5.6749999999999998</c:v>
                </c:pt>
                <c:pt idx="12">
                  <c:v>-4.6150000000000002</c:v>
                </c:pt>
                <c:pt idx="13">
                  <c:v>-6.2910000000000004</c:v>
                </c:pt>
                <c:pt idx="14">
                  <c:v>-4.0289999999999999</c:v>
                </c:pt>
                <c:pt idx="15">
                  <c:v>-5.5389999999999997</c:v>
                </c:pt>
                <c:pt idx="16">
                  <c:v>-4.5049999999999999</c:v>
                </c:pt>
                <c:pt idx="17">
                  <c:v>-12</c:v>
                </c:pt>
                <c:pt idx="18">
                  <c:v>-16.18</c:v>
                </c:pt>
                <c:pt idx="19">
                  <c:v>-4.2430000000000003</c:v>
                </c:pt>
                <c:pt idx="20">
                  <c:v>-2.2309999999999999</c:v>
                </c:pt>
                <c:pt idx="21">
                  <c:v>-4.4619999999999997</c:v>
                </c:pt>
                <c:pt idx="22">
                  <c:v>-5.1639999999999997</c:v>
                </c:pt>
                <c:pt idx="23">
                  <c:v>-10.09</c:v>
                </c:pt>
                <c:pt idx="24">
                  <c:v>-12.62</c:v>
                </c:pt>
                <c:pt idx="25">
                  <c:v>-4.5570000000000004</c:v>
                </c:pt>
                <c:pt idx="26">
                  <c:v>-6.2949999999999999</c:v>
                </c:pt>
                <c:pt idx="27">
                  <c:v>-12.13</c:v>
                </c:pt>
                <c:pt idx="28">
                  <c:v>-14.03</c:v>
                </c:pt>
                <c:pt idx="29">
                  <c:v>-10.98</c:v>
                </c:pt>
                <c:pt idx="30">
                  <c:v>-1.877</c:v>
                </c:pt>
                <c:pt idx="31">
                  <c:v>-2.8730000000000002</c:v>
                </c:pt>
                <c:pt idx="32">
                  <c:v>-3.3359999999999999</c:v>
                </c:pt>
                <c:pt idx="33">
                  <c:v>-3.7679999999999998</c:v>
                </c:pt>
                <c:pt idx="34">
                  <c:v>-4.452</c:v>
                </c:pt>
                <c:pt idx="35">
                  <c:v>-12.92</c:v>
                </c:pt>
                <c:pt idx="36">
                  <c:v>-14.54</c:v>
                </c:pt>
                <c:pt idx="37">
                  <c:v>-4.8339999999999996</c:v>
                </c:pt>
                <c:pt idx="38">
                  <c:v>-5.1829999999999998</c:v>
                </c:pt>
                <c:pt idx="39">
                  <c:v>-6.3490000000000002</c:v>
                </c:pt>
                <c:pt idx="40">
                  <c:v>-5.016</c:v>
                </c:pt>
                <c:pt idx="41">
                  <c:v>-4.8390000000000004</c:v>
                </c:pt>
                <c:pt idx="42">
                  <c:v>-4.9009999999999998</c:v>
                </c:pt>
                <c:pt idx="43">
                  <c:v>-5.6829999999999998</c:v>
                </c:pt>
                <c:pt idx="44">
                  <c:v>-3.0049999999999999</c:v>
                </c:pt>
                <c:pt idx="45">
                  <c:v>-6.5</c:v>
                </c:pt>
                <c:pt idx="46">
                  <c:v>-6.1219999999999999</c:v>
                </c:pt>
                <c:pt idx="47">
                  <c:v>-7.24</c:v>
                </c:pt>
                <c:pt idx="48">
                  <c:v>-5.16</c:v>
                </c:pt>
                <c:pt idx="49">
                  <c:v>-2.9769999999999999</c:v>
                </c:pt>
                <c:pt idx="50">
                  <c:v>-1.726</c:v>
                </c:pt>
                <c:pt idx="51">
                  <c:v>-2.4620000000000002</c:v>
                </c:pt>
                <c:pt idx="52">
                  <c:v>-5.6269999999999998</c:v>
                </c:pt>
                <c:pt idx="53">
                  <c:v>-7.44</c:v>
                </c:pt>
                <c:pt idx="54">
                  <c:v>-7.81</c:v>
                </c:pt>
                <c:pt idx="55">
                  <c:v>-6.1529999999999996</c:v>
                </c:pt>
                <c:pt idx="56">
                  <c:v>2.1579999999999999</c:v>
                </c:pt>
                <c:pt idx="57">
                  <c:v>-3.407</c:v>
                </c:pt>
                <c:pt idx="58">
                  <c:v>-5.9740000000000002</c:v>
                </c:pt>
                <c:pt idx="59">
                  <c:v>-0.372</c:v>
                </c:pt>
                <c:pt idx="60">
                  <c:v>-6.7000000000000004E-2</c:v>
                </c:pt>
                <c:pt idx="61">
                  <c:v>-0.08</c:v>
                </c:pt>
                <c:pt idx="62">
                  <c:v>-4.9219999999999997</c:v>
                </c:pt>
                <c:pt idx="63">
                  <c:v>-7.4</c:v>
                </c:pt>
                <c:pt idx="64">
                  <c:v>-6.76</c:v>
                </c:pt>
                <c:pt idx="65">
                  <c:v>-8.69</c:v>
                </c:pt>
                <c:pt idx="66">
                  <c:v>-9.0299999999999994</c:v>
                </c:pt>
                <c:pt idx="67">
                  <c:v>-7.42</c:v>
                </c:pt>
                <c:pt idx="68">
                  <c:v>-2.1360000000000001</c:v>
                </c:pt>
                <c:pt idx="69">
                  <c:v>-1.369</c:v>
                </c:pt>
                <c:pt idx="70">
                  <c:v>-1.764</c:v>
                </c:pt>
                <c:pt idx="71">
                  <c:v>-2.2069999999999999</c:v>
                </c:pt>
                <c:pt idx="72">
                  <c:v>-1.712</c:v>
                </c:pt>
                <c:pt idx="73">
                  <c:v>-3.1659999999999999</c:v>
                </c:pt>
                <c:pt idx="74">
                  <c:v>-0.76200000000000001</c:v>
                </c:pt>
                <c:pt idx="75">
                  <c:v>-0.74299999999999999</c:v>
                </c:pt>
                <c:pt idx="76">
                  <c:v>-1.077</c:v>
                </c:pt>
                <c:pt idx="77">
                  <c:v>-1.6559999999999999</c:v>
                </c:pt>
                <c:pt idx="78">
                  <c:v>0.39800000000000002</c:v>
                </c:pt>
                <c:pt idx="79">
                  <c:v>-1.0389999999999999</c:v>
                </c:pt>
                <c:pt idx="80">
                  <c:v>3.536</c:v>
                </c:pt>
                <c:pt idx="81">
                  <c:v>-0.67800000000000005</c:v>
                </c:pt>
                <c:pt idx="82">
                  <c:v>-2.4900000000000002</c:v>
                </c:pt>
                <c:pt idx="83">
                  <c:v>-4.0720000000000001</c:v>
                </c:pt>
                <c:pt idx="84">
                  <c:v>-3</c:v>
                </c:pt>
                <c:pt idx="85">
                  <c:v>-2.7069999999999999</c:v>
                </c:pt>
                <c:pt idx="86">
                  <c:v>1.7999999999999999E-2</c:v>
                </c:pt>
                <c:pt idx="87">
                  <c:v>-0.185</c:v>
                </c:pt>
                <c:pt idx="88">
                  <c:v>-1.952</c:v>
                </c:pt>
                <c:pt idx="89">
                  <c:v>-3.2229999999999999</c:v>
                </c:pt>
                <c:pt idx="90">
                  <c:v>-2.2589999999999999</c:v>
                </c:pt>
                <c:pt idx="91">
                  <c:v>-3.6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0080"/>
        <c:axId val="236432000"/>
      </c:scatterChart>
      <c:valAx>
        <c:axId val="236430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432000"/>
        <c:crosses val="autoZero"/>
        <c:crossBetween val="midCat"/>
      </c:valAx>
      <c:valAx>
        <c:axId val="236432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6430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MoTI</c:v>
          </c:tx>
          <c:marker>
            <c:symbol val="none"/>
          </c:marker>
          <c:cat>
            <c:numRef>
              <c:f>Data!$B$67:$B$158</c:f>
              <c:numCache>
                <c:formatCode>General</c:formatCode>
                <c:ptCount val="92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  <c:pt idx="61">
                  <c:v>122</c:v>
                </c:pt>
                <c:pt idx="62">
                  <c:v>123</c:v>
                </c:pt>
                <c:pt idx="63">
                  <c:v>124</c:v>
                </c:pt>
                <c:pt idx="64">
                  <c:v>125</c:v>
                </c:pt>
                <c:pt idx="65">
                  <c:v>126</c:v>
                </c:pt>
                <c:pt idx="66">
                  <c:v>127</c:v>
                </c:pt>
                <c:pt idx="67">
                  <c:v>128</c:v>
                </c:pt>
                <c:pt idx="68">
                  <c:v>129</c:v>
                </c:pt>
                <c:pt idx="69">
                  <c:v>130</c:v>
                </c:pt>
                <c:pt idx="70">
                  <c:v>131</c:v>
                </c:pt>
                <c:pt idx="71">
                  <c:v>132</c:v>
                </c:pt>
                <c:pt idx="72">
                  <c:v>133</c:v>
                </c:pt>
                <c:pt idx="73">
                  <c:v>134</c:v>
                </c:pt>
                <c:pt idx="74">
                  <c:v>135</c:v>
                </c:pt>
                <c:pt idx="75">
                  <c:v>136</c:v>
                </c:pt>
                <c:pt idx="76">
                  <c:v>137</c:v>
                </c:pt>
                <c:pt idx="77">
                  <c:v>138</c:v>
                </c:pt>
                <c:pt idx="78">
                  <c:v>139</c:v>
                </c:pt>
                <c:pt idx="79">
                  <c:v>140</c:v>
                </c:pt>
                <c:pt idx="80">
                  <c:v>141</c:v>
                </c:pt>
                <c:pt idx="81">
                  <c:v>142</c:v>
                </c:pt>
                <c:pt idx="82">
                  <c:v>143</c:v>
                </c:pt>
                <c:pt idx="83">
                  <c:v>144</c:v>
                </c:pt>
                <c:pt idx="84">
                  <c:v>145</c:v>
                </c:pt>
                <c:pt idx="85">
                  <c:v>146</c:v>
                </c:pt>
                <c:pt idx="86">
                  <c:v>147</c:v>
                </c:pt>
                <c:pt idx="87">
                  <c:v>148</c:v>
                </c:pt>
                <c:pt idx="88">
                  <c:v>149</c:v>
                </c:pt>
                <c:pt idx="89">
                  <c:v>150</c:v>
                </c:pt>
                <c:pt idx="90">
                  <c:v>151</c:v>
                </c:pt>
                <c:pt idx="91">
                  <c:v>152</c:v>
                </c:pt>
              </c:numCache>
            </c:numRef>
          </c:cat>
          <c:val>
            <c:numRef>
              <c:f>Data!$DR$67:$DR$158</c:f>
              <c:numCache>
                <c:formatCode>General</c:formatCode>
                <c:ptCount val="92"/>
                <c:pt idx="0">
                  <c:v>6.6</c:v>
                </c:pt>
                <c:pt idx="1">
                  <c:v>4.4000000000000004</c:v>
                </c:pt>
                <c:pt idx="2">
                  <c:v>3.1</c:v>
                </c:pt>
                <c:pt idx="3">
                  <c:v>4.2</c:v>
                </c:pt>
                <c:pt idx="4">
                  <c:v>7</c:v>
                </c:pt>
                <c:pt idx="5">
                  <c:v>1.9</c:v>
                </c:pt>
                <c:pt idx="6">
                  <c:v>6.3</c:v>
                </c:pt>
                <c:pt idx="7">
                  <c:v>10.5</c:v>
                </c:pt>
                <c:pt idx="8">
                  <c:v>7.7</c:v>
                </c:pt>
                <c:pt idx="9">
                  <c:v>10</c:v>
                </c:pt>
                <c:pt idx="10">
                  <c:v>12.1</c:v>
                </c:pt>
                <c:pt idx="11">
                  <c:v>11.9</c:v>
                </c:pt>
                <c:pt idx="12">
                  <c:v>10.9</c:v>
                </c:pt>
                <c:pt idx="13">
                  <c:v>9.1999999999999993</c:v>
                </c:pt>
                <c:pt idx="14">
                  <c:v>11.2</c:v>
                </c:pt>
                <c:pt idx="15">
                  <c:v>5.8</c:v>
                </c:pt>
                <c:pt idx="16">
                  <c:v>6.9</c:v>
                </c:pt>
                <c:pt idx="17">
                  <c:v>3.5</c:v>
                </c:pt>
                <c:pt idx="18">
                  <c:v>8.6999999999999993</c:v>
                </c:pt>
                <c:pt idx="19">
                  <c:v>9.4</c:v>
                </c:pt>
                <c:pt idx="20">
                  <c:v>13.4</c:v>
                </c:pt>
                <c:pt idx="21">
                  <c:v>8.5</c:v>
                </c:pt>
                <c:pt idx="22">
                  <c:v>11.1</c:v>
                </c:pt>
                <c:pt idx="23">
                  <c:v>11.4</c:v>
                </c:pt>
                <c:pt idx="24">
                  <c:v>13.2</c:v>
                </c:pt>
                <c:pt idx="25">
                  <c:v>15.6</c:v>
                </c:pt>
                <c:pt idx="26">
                  <c:v>12.2</c:v>
                </c:pt>
                <c:pt idx="27">
                  <c:v>15.1</c:v>
                </c:pt>
                <c:pt idx="28">
                  <c:v>13</c:v>
                </c:pt>
                <c:pt idx="29">
                  <c:v>16.2</c:v>
                </c:pt>
                <c:pt idx="30">
                  <c:v>17.399999999999999</c:v>
                </c:pt>
                <c:pt idx="31">
                  <c:v>15.8</c:v>
                </c:pt>
                <c:pt idx="32">
                  <c:v>20</c:v>
                </c:pt>
                <c:pt idx="33">
                  <c:v>13.5</c:v>
                </c:pt>
                <c:pt idx="34">
                  <c:v>15.5</c:v>
                </c:pt>
                <c:pt idx="35">
                  <c:v>10.3</c:v>
                </c:pt>
                <c:pt idx="36">
                  <c:v>12.6</c:v>
                </c:pt>
                <c:pt idx="37">
                  <c:v>14.5</c:v>
                </c:pt>
                <c:pt idx="38">
                  <c:v>20.7</c:v>
                </c:pt>
                <c:pt idx="39">
                  <c:v>22</c:v>
                </c:pt>
                <c:pt idx="40">
                  <c:v>22.2</c:v>
                </c:pt>
                <c:pt idx="41">
                  <c:v>18.7</c:v>
                </c:pt>
                <c:pt idx="42">
                  <c:v>18.8</c:v>
                </c:pt>
                <c:pt idx="43">
                  <c:v>14.8</c:v>
                </c:pt>
                <c:pt idx="44">
                  <c:v>5.8</c:v>
                </c:pt>
                <c:pt idx="45">
                  <c:v>10.7</c:v>
                </c:pt>
                <c:pt idx="46">
                  <c:v>16.3</c:v>
                </c:pt>
                <c:pt idx="47">
                  <c:v>19.2</c:v>
                </c:pt>
                <c:pt idx="48">
                  <c:v>24.4</c:v>
                </c:pt>
                <c:pt idx="49">
                  <c:v>24.3</c:v>
                </c:pt>
                <c:pt idx="50">
                  <c:v>19.100000000000001</c:v>
                </c:pt>
                <c:pt idx="51">
                  <c:v>21.5</c:v>
                </c:pt>
                <c:pt idx="52">
                  <c:v>19.7</c:v>
                </c:pt>
                <c:pt idx="53">
                  <c:v>17.8</c:v>
                </c:pt>
                <c:pt idx="54">
                  <c:v>16.100000000000001</c:v>
                </c:pt>
                <c:pt idx="55">
                  <c:v>12.5</c:v>
                </c:pt>
                <c:pt idx="56">
                  <c:v>19.399999999999999</c:v>
                </c:pt>
                <c:pt idx="57">
                  <c:v>24.8</c:v>
                </c:pt>
                <c:pt idx="58">
                  <c:v>21.3</c:v>
                </c:pt>
                <c:pt idx="59">
                  <c:v>18.600000000000001</c:v>
                </c:pt>
                <c:pt idx="60">
                  <c:v>16.3</c:v>
                </c:pt>
                <c:pt idx="61">
                  <c:v>18.399999999999999</c:v>
                </c:pt>
                <c:pt idx="62">
                  <c:v>23.2</c:v>
                </c:pt>
                <c:pt idx="63">
                  <c:v>18</c:v>
                </c:pt>
                <c:pt idx="64">
                  <c:v>16.899999999999999</c:v>
                </c:pt>
                <c:pt idx="65">
                  <c:v>14.3</c:v>
                </c:pt>
                <c:pt idx="66">
                  <c:v>17.5</c:v>
                </c:pt>
                <c:pt idx="67">
                  <c:v>19.399999999999999</c:v>
                </c:pt>
                <c:pt idx="68">
                  <c:v>21.6</c:v>
                </c:pt>
                <c:pt idx="69">
                  <c:v>17.2</c:v>
                </c:pt>
                <c:pt idx="70">
                  <c:v>15.4</c:v>
                </c:pt>
                <c:pt idx="71">
                  <c:v>16.600000000000001</c:v>
                </c:pt>
                <c:pt idx="72">
                  <c:v>18.7</c:v>
                </c:pt>
                <c:pt idx="73">
                  <c:v>20</c:v>
                </c:pt>
                <c:pt idx="74">
                  <c:v>23</c:v>
                </c:pt>
                <c:pt idx="75">
                  <c:v>27.1</c:v>
                </c:pt>
                <c:pt idx="76">
                  <c:v>27.9</c:v>
                </c:pt>
                <c:pt idx="77">
                  <c:v>25</c:v>
                </c:pt>
                <c:pt idx="78">
                  <c:v>24.5</c:v>
                </c:pt>
                <c:pt idx="79">
                  <c:v>20.7</c:v>
                </c:pt>
                <c:pt idx="80">
                  <c:v>18.399999999999999</c:v>
                </c:pt>
                <c:pt idx="81">
                  <c:v>15.3</c:v>
                </c:pt>
                <c:pt idx="82">
                  <c:v>18.899999999999999</c:v>
                </c:pt>
                <c:pt idx="83">
                  <c:v>21.7</c:v>
                </c:pt>
                <c:pt idx="84">
                  <c:v>22</c:v>
                </c:pt>
                <c:pt idx="85">
                  <c:v>24</c:v>
                </c:pt>
                <c:pt idx="86">
                  <c:v>17.8</c:v>
                </c:pt>
                <c:pt idx="87">
                  <c:v>15.1</c:v>
                </c:pt>
                <c:pt idx="88">
                  <c:v>22.1</c:v>
                </c:pt>
                <c:pt idx="89">
                  <c:v>21.8</c:v>
                </c:pt>
                <c:pt idx="90">
                  <c:v>23.9</c:v>
                </c:pt>
                <c:pt idx="91">
                  <c:v>24.8</c:v>
                </c:pt>
              </c:numCache>
            </c:numRef>
          </c:val>
          <c:smooth val="0"/>
        </c:ser>
        <c:ser>
          <c:idx val="1"/>
          <c:order val="1"/>
          <c:tx>
            <c:v>Sicamous</c:v>
          </c:tx>
          <c:marker>
            <c:symbol val="none"/>
          </c:marker>
          <c:cat>
            <c:numRef>
              <c:f>Data!$B$67:$B$158</c:f>
              <c:numCache>
                <c:formatCode>General</c:formatCode>
                <c:ptCount val="92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  <c:pt idx="61">
                  <c:v>122</c:v>
                </c:pt>
                <c:pt idx="62">
                  <c:v>123</c:v>
                </c:pt>
                <c:pt idx="63">
                  <c:v>124</c:v>
                </c:pt>
                <c:pt idx="64">
                  <c:v>125</c:v>
                </c:pt>
                <c:pt idx="65">
                  <c:v>126</c:v>
                </c:pt>
                <c:pt idx="66">
                  <c:v>127</c:v>
                </c:pt>
                <c:pt idx="67">
                  <c:v>128</c:v>
                </c:pt>
                <c:pt idx="68">
                  <c:v>129</c:v>
                </c:pt>
                <c:pt idx="69">
                  <c:v>130</c:v>
                </c:pt>
                <c:pt idx="70">
                  <c:v>131</c:v>
                </c:pt>
                <c:pt idx="71">
                  <c:v>132</c:v>
                </c:pt>
                <c:pt idx="72">
                  <c:v>133</c:v>
                </c:pt>
                <c:pt idx="73">
                  <c:v>134</c:v>
                </c:pt>
                <c:pt idx="74">
                  <c:v>135</c:v>
                </c:pt>
                <c:pt idx="75">
                  <c:v>136</c:v>
                </c:pt>
                <c:pt idx="76">
                  <c:v>137</c:v>
                </c:pt>
                <c:pt idx="77">
                  <c:v>138</c:v>
                </c:pt>
                <c:pt idx="78">
                  <c:v>139</c:v>
                </c:pt>
                <c:pt idx="79">
                  <c:v>140</c:v>
                </c:pt>
                <c:pt idx="80">
                  <c:v>141</c:v>
                </c:pt>
                <c:pt idx="81">
                  <c:v>142</c:v>
                </c:pt>
                <c:pt idx="82">
                  <c:v>143</c:v>
                </c:pt>
                <c:pt idx="83">
                  <c:v>144</c:v>
                </c:pt>
                <c:pt idx="84">
                  <c:v>145</c:v>
                </c:pt>
                <c:pt idx="85">
                  <c:v>146</c:v>
                </c:pt>
                <c:pt idx="86">
                  <c:v>147</c:v>
                </c:pt>
                <c:pt idx="87">
                  <c:v>148</c:v>
                </c:pt>
                <c:pt idx="88">
                  <c:v>149</c:v>
                </c:pt>
                <c:pt idx="89">
                  <c:v>150</c:v>
                </c:pt>
                <c:pt idx="90">
                  <c:v>151</c:v>
                </c:pt>
                <c:pt idx="91">
                  <c:v>152</c:v>
                </c:pt>
              </c:numCache>
            </c:numRef>
          </c:cat>
          <c:val>
            <c:numRef>
              <c:f>Data!$R$67:$R$158</c:f>
              <c:numCache>
                <c:formatCode>General</c:formatCode>
                <c:ptCount val="92"/>
                <c:pt idx="0">
                  <c:v>-0.7</c:v>
                </c:pt>
                <c:pt idx="1">
                  <c:v>-0.373</c:v>
                </c:pt>
                <c:pt idx="2">
                  <c:v>-0.29599999999999999</c:v>
                </c:pt>
                <c:pt idx="3">
                  <c:v>-1.2370000000000001</c:v>
                </c:pt>
                <c:pt idx="4">
                  <c:v>-1.617</c:v>
                </c:pt>
                <c:pt idx="5">
                  <c:v>-4.3099999999999996</c:v>
                </c:pt>
                <c:pt idx="6">
                  <c:v>9.4E-2</c:v>
                </c:pt>
                <c:pt idx="7">
                  <c:v>3.3860000000000001</c:v>
                </c:pt>
                <c:pt idx="8">
                  <c:v>0.88200000000000001</c:v>
                </c:pt>
                <c:pt idx="9">
                  <c:v>3.206</c:v>
                </c:pt>
                <c:pt idx="10">
                  <c:v>0.83099999999999996</c:v>
                </c:pt>
                <c:pt idx="11">
                  <c:v>0.78900000000000003</c:v>
                </c:pt>
                <c:pt idx="12">
                  <c:v>3.2949999999999999</c:v>
                </c:pt>
                <c:pt idx="13">
                  <c:v>-1.6459999999999999</c:v>
                </c:pt>
                <c:pt idx="14">
                  <c:v>-0.48899999999999999</c:v>
                </c:pt>
                <c:pt idx="15">
                  <c:v>-1.0249999999999999</c:v>
                </c:pt>
                <c:pt idx="16">
                  <c:v>-1.27</c:v>
                </c:pt>
                <c:pt idx="17">
                  <c:v>-1.4490000000000001</c:v>
                </c:pt>
                <c:pt idx="18">
                  <c:v>-2.0990000000000002</c:v>
                </c:pt>
                <c:pt idx="19">
                  <c:v>0.155</c:v>
                </c:pt>
                <c:pt idx="20">
                  <c:v>5.6669999999999998</c:v>
                </c:pt>
                <c:pt idx="21">
                  <c:v>2.4209999999999998</c:v>
                </c:pt>
                <c:pt idx="22">
                  <c:v>-0.69599999999999995</c:v>
                </c:pt>
                <c:pt idx="23">
                  <c:v>2.0289999999999999</c:v>
                </c:pt>
                <c:pt idx="24">
                  <c:v>0.71299999999999997</c:v>
                </c:pt>
                <c:pt idx="25">
                  <c:v>7.08</c:v>
                </c:pt>
                <c:pt idx="26">
                  <c:v>4.3840000000000003</c:v>
                </c:pt>
                <c:pt idx="27">
                  <c:v>2.0859999999999999</c:v>
                </c:pt>
                <c:pt idx="28">
                  <c:v>2.2509999999999999</c:v>
                </c:pt>
                <c:pt idx="29">
                  <c:v>4.4550000000000001</c:v>
                </c:pt>
                <c:pt idx="30">
                  <c:v>6.6660000000000004</c:v>
                </c:pt>
                <c:pt idx="31">
                  <c:v>5.6440000000000001</c:v>
                </c:pt>
                <c:pt idx="32">
                  <c:v>7.93</c:v>
                </c:pt>
                <c:pt idx="33">
                  <c:v>8.91</c:v>
                </c:pt>
                <c:pt idx="34">
                  <c:v>6.0380000000000003</c:v>
                </c:pt>
                <c:pt idx="35">
                  <c:v>0.182</c:v>
                </c:pt>
                <c:pt idx="36">
                  <c:v>-1.3779999999999999</c:v>
                </c:pt>
                <c:pt idx="37">
                  <c:v>4.0659999999999998</c:v>
                </c:pt>
                <c:pt idx="38">
                  <c:v>10.14</c:v>
                </c:pt>
                <c:pt idx="39">
                  <c:v>9.57</c:v>
                </c:pt>
                <c:pt idx="40">
                  <c:v>9.49</c:v>
                </c:pt>
                <c:pt idx="41">
                  <c:v>11.26</c:v>
                </c:pt>
                <c:pt idx="42">
                  <c:v>9.33</c:v>
                </c:pt>
                <c:pt idx="43">
                  <c:v>3.677</c:v>
                </c:pt>
                <c:pt idx="44">
                  <c:v>0.63900000000000001</c:v>
                </c:pt>
                <c:pt idx="45">
                  <c:v>4.2439999999999998</c:v>
                </c:pt>
                <c:pt idx="46">
                  <c:v>5.4790000000000001</c:v>
                </c:pt>
                <c:pt idx="47">
                  <c:v>7.67</c:v>
                </c:pt>
                <c:pt idx="48">
                  <c:v>12.2</c:v>
                </c:pt>
                <c:pt idx="49">
                  <c:v>12.69</c:v>
                </c:pt>
                <c:pt idx="50">
                  <c:v>8.7799999999999994</c:v>
                </c:pt>
                <c:pt idx="51">
                  <c:v>11.99</c:v>
                </c:pt>
                <c:pt idx="52">
                  <c:v>7.72</c:v>
                </c:pt>
                <c:pt idx="53">
                  <c:v>5.7329999999999997</c:v>
                </c:pt>
                <c:pt idx="54">
                  <c:v>3.1429999999999998</c:v>
                </c:pt>
                <c:pt idx="55">
                  <c:v>3.0539999999999998</c:v>
                </c:pt>
                <c:pt idx="56">
                  <c:v>7.57</c:v>
                </c:pt>
                <c:pt idx="57">
                  <c:v>15.87</c:v>
                </c:pt>
                <c:pt idx="58">
                  <c:v>4.55</c:v>
                </c:pt>
                <c:pt idx="59">
                  <c:v>5.9560000000000004</c:v>
                </c:pt>
                <c:pt idx="60">
                  <c:v>9.19</c:v>
                </c:pt>
                <c:pt idx="61">
                  <c:v>7.91</c:v>
                </c:pt>
                <c:pt idx="62">
                  <c:v>11.01</c:v>
                </c:pt>
                <c:pt idx="63">
                  <c:v>5.6669999999999998</c:v>
                </c:pt>
                <c:pt idx="64">
                  <c:v>5.0069999999999997</c:v>
                </c:pt>
                <c:pt idx="65">
                  <c:v>2.7189999999999999</c:v>
                </c:pt>
                <c:pt idx="66">
                  <c:v>5.0970000000000004</c:v>
                </c:pt>
                <c:pt idx="67">
                  <c:v>4.8659999999999997</c:v>
                </c:pt>
                <c:pt idx="68">
                  <c:v>8.64</c:v>
                </c:pt>
                <c:pt idx="69">
                  <c:v>6.1449999999999996</c:v>
                </c:pt>
                <c:pt idx="70">
                  <c:v>2.9870000000000001</c:v>
                </c:pt>
                <c:pt idx="71">
                  <c:v>5.024</c:v>
                </c:pt>
                <c:pt idx="72">
                  <c:v>6.0659999999999998</c:v>
                </c:pt>
                <c:pt idx="73">
                  <c:v>8.5</c:v>
                </c:pt>
                <c:pt idx="74">
                  <c:v>10.54</c:v>
                </c:pt>
                <c:pt idx="75">
                  <c:v>14.4</c:v>
                </c:pt>
                <c:pt idx="76">
                  <c:v>15.86</c:v>
                </c:pt>
                <c:pt idx="77">
                  <c:v>12.23</c:v>
                </c:pt>
                <c:pt idx="78">
                  <c:v>12.13</c:v>
                </c:pt>
                <c:pt idx="79">
                  <c:v>10.25</c:v>
                </c:pt>
                <c:pt idx="80">
                  <c:v>9.6199999999999992</c:v>
                </c:pt>
                <c:pt idx="81">
                  <c:v>11.05</c:v>
                </c:pt>
                <c:pt idx="82">
                  <c:v>8.74</c:v>
                </c:pt>
                <c:pt idx="83">
                  <c:v>8.51</c:v>
                </c:pt>
                <c:pt idx="84">
                  <c:v>9.5</c:v>
                </c:pt>
                <c:pt idx="85">
                  <c:v>11.27</c:v>
                </c:pt>
                <c:pt idx="86">
                  <c:v>8.2100000000000009</c:v>
                </c:pt>
                <c:pt idx="87">
                  <c:v>8.59</c:v>
                </c:pt>
                <c:pt idx="88">
                  <c:v>8.1</c:v>
                </c:pt>
                <c:pt idx="89">
                  <c:v>8.35</c:v>
                </c:pt>
                <c:pt idx="90">
                  <c:v>12.17</c:v>
                </c:pt>
                <c:pt idx="91">
                  <c:v>10.7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840256"/>
        <c:axId val="237841792"/>
      </c:lineChart>
      <c:catAx>
        <c:axId val="237840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7841792"/>
        <c:crosses val="autoZero"/>
        <c:auto val="1"/>
        <c:lblAlgn val="ctr"/>
        <c:lblOffset val="100"/>
        <c:tickMarkSkip val="6"/>
        <c:noMultiLvlLbl val="0"/>
      </c:catAx>
      <c:valAx>
        <c:axId val="237841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840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MoTI</c:v>
          </c:tx>
          <c:marker>
            <c:symbol val="none"/>
          </c:marker>
          <c:cat>
            <c:numRef>
              <c:f>Data!$B$67:$B$158</c:f>
              <c:numCache>
                <c:formatCode>General</c:formatCode>
                <c:ptCount val="92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  <c:pt idx="61">
                  <c:v>122</c:v>
                </c:pt>
                <c:pt idx="62">
                  <c:v>123</c:v>
                </c:pt>
                <c:pt idx="63">
                  <c:v>124</c:v>
                </c:pt>
                <c:pt idx="64">
                  <c:v>125</c:v>
                </c:pt>
                <c:pt idx="65">
                  <c:v>126</c:v>
                </c:pt>
                <c:pt idx="66">
                  <c:v>127</c:v>
                </c:pt>
                <c:pt idx="67">
                  <c:v>128</c:v>
                </c:pt>
                <c:pt idx="68">
                  <c:v>129</c:v>
                </c:pt>
                <c:pt idx="69">
                  <c:v>130</c:v>
                </c:pt>
                <c:pt idx="70">
                  <c:v>131</c:v>
                </c:pt>
                <c:pt idx="71">
                  <c:v>132</c:v>
                </c:pt>
                <c:pt idx="72">
                  <c:v>133</c:v>
                </c:pt>
                <c:pt idx="73">
                  <c:v>134</c:v>
                </c:pt>
                <c:pt idx="74">
                  <c:v>135</c:v>
                </c:pt>
                <c:pt idx="75">
                  <c:v>136</c:v>
                </c:pt>
                <c:pt idx="76">
                  <c:v>137</c:v>
                </c:pt>
                <c:pt idx="77">
                  <c:v>138</c:v>
                </c:pt>
                <c:pt idx="78">
                  <c:v>139</c:v>
                </c:pt>
                <c:pt idx="79">
                  <c:v>140</c:v>
                </c:pt>
                <c:pt idx="80">
                  <c:v>141</c:v>
                </c:pt>
                <c:pt idx="81">
                  <c:v>142</c:v>
                </c:pt>
                <c:pt idx="82">
                  <c:v>143</c:v>
                </c:pt>
                <c:pt idx="83">
                  <c:v>144</c:v>
                </c:pt>
                <c:pt idx="84">
                  <c:v>145</c:v>
                </c:pt>
                <c:pt idx="85">
                  <c:v>146</c:v>
                </c:pt>
                <c:pt idx="86">
                  <c:v>147</c:v>
                </c:pt>
                <c:pt idx="87">
                  <c:v>148</c:v>
                </c:pt>
                <c:pt idx="88">
                  <c:v>149</c:v>
                </c:pt>
                <c:pt idx="89">
                  <c:v>150</c:v>
                </c:pt>
                <c:pt idx="90">
                  <c:v>151</c:v>
                </c:pt>
                <c:pt idx="91">
                  <c:v>152</c:v>
                </c:pt>
              </c:numCache>
            </c:numRef>
          </c:cat>
          <c:val>
            <c:numRef>
              <c:f>Data!$DS$67:$DS$158</c:f>
              <c:numCache>
                <c:formatCode>General</c:formatCode>
                <c:ptCount val="92"/>
                <c:pt idx="0">
                  <c:v>0.2</c:v>
                </c:pt>
                <c:pt idx="1">
                  <c:v>0.4</c:v>
                </c:pt>
                <c:pt idx="2">
                  <c:v>-0.2</c:v>
                </c:pt>
                <c:pt idx="3">
                  <c:v>-0.2</c:v>
                </c:pt>
                <c:pt idx="4">
                  <c:v>-0.9</c:v>
                </c:pt>
                <c:pt idx="5">
                  <c:v>-1.5</c:v>
                </c:pt>
                <c:pt idx="6">
                  <c:v>-3.2</c:v>
                </c:pt>
                <c:pt idx="7">
                  <c:v>-4.3</c:v>
                </c:pt>
                <c:pt idx="8">
                  <c:v>-0.2</c:v>
                </c:pt>
                <c:pt idx="9">
                  <c:v>0</c:v>
                </c:pt>
                <c:pt idx="10">
                  <c:v>0.3</c:v>
                </c:pt>
                <c:pt idx="11">
                  <c:v>-1.9</c:v>
                </c:pt>
                <c:pt idx="12">
                  <c:v>-0.1</c:v>
                </c:pt>
                <c:pt idx="13">
                  <c:v>-0.2</c:v>
                </c:pt>
                <c:pt idx="14">
                  <c:v>-1.7</c:v>
                </c:pt>
                <c:pt idx="15">
                  <c:v>-0.2</c:v>
                </c:pt>
                <c:pt idx="16">
                  <c:v>-0.2</c:v>
                </c:pt>
                <c:pt idx="17">
                  <c:v>0</c:v>
                </c:pt>
                <c:pt idx="18">
                  <c:v>-2.7</c:v>
                </c:pt>
                <c:pt idx="19">
                  <c:v>-5.0999999999999996</c:v>
                </c:pt>
                <c:pt idx="20">
                  <c:v>-0.4</c:v>
                </c:pt>
                <c:pt idx="21">
                  <c:v>-0.2</c:v>
                </c:pt>
                <c:pt idx="22">
                  <c:v>1.1000000000000001</c:v>
                </c:pt>
                <c:pt idx="23">
                  <c:v>0.9</c:v>
                </c:pt>
                <c:pt idx="24">
                  <c:v>-1.2</c:v>
                </c:pt>
                <c:pt idx="25">
                  <c:v>-1.2</c:v>
                </c:pt>
                <c:pt idx="26">
                  <c:v>0</c:v>
                </c:pt>
                <c:pt idx="27">
                  <c:v>2</c:v>
                </c:pt>
                <c:pt idx="28">
                  <c:v>-2.6</c:v>
                </c:pt>
                <c:pt idx="29">
                  <c:v>-4.2</c:v>
                </c:pt>
                <c:pt idx="30">
                  <c:v>-3.5</c:v>
                </c:pt>
                <c:pt idx="31">
                  <c:v>0.5</c:v>
                </c:pt>
                <c:pt idx="32">
                  <c:v>-1</c:v>
                </c:pt>
                <c:pt idx="33">
                  <c:v>-1.2</c:v>
                </c:pt>
                <c:pt idx="34">
                  <c:v>-0.7</c:v>
                </c:pt>
                <c:pt idx="35">
                  <c:v>-0.5</c:v>
                </c:pt>
                <c:pt idx="36">
                  <c:v>-0.8</c:v>
                </c:pt>
                <c:pt idx="37">
                  <c:v>-1.6</c:v>
                </c:pt>
                <c:pt idx="38">
                  <c:v>-0.4</c:v>
                </c:pt>
                <c:pt idx="39">
                  <c:v>-0.5</c:v>
                </c:pt>
                <c:pt idx="40">
                  <c:v>-3.1</c:v>
                </c:pt>
                <c:pt idx="41">
                  <c:v>-1.3</c:v>
                </c:pt>
                <c:pt idx="42">
                  <c:v>-0.1</c:v>
                </c:pt>
                <c:pt idx="43">
                  <c:v>2.2999999999999998</c:v>
                </c:pt>
                <c:pt idx="44">
                  <c:v>0</c:v>
                </c:pt>
                <c:pt idx="45">
                  <c:v>-0.2</c:v>
                </c:pt>
                <c:pt idx="46">
                  <c:v>-0.4</c:v>
                </c:pt>
                <c:pt idx="47">
                  <c:v>0.4</c:v>
                </c:pt>
                <c:pt idx="48">
                  <c:v>-2.5</c:v>
                </c:pt>
                <c:pt idx="49">
                  <c:v>-0.9</c:v>
                </c:pt>
                <c:pt idx="50">
                  <c:v>1.9</c:v>
                </c:pt>
                <c:pt idx="51">
                  <c:v>2.7</c:v>
                </c:pt>
                <c:pt idx="52">
                  <c:v>5.6</c:v>
                </c:pt>
                <c:pt idx="53">
                  <c:v>0.8</c:v>
                </c:pt>
                <c:pt idx="54">
                  <c:v>-0.5</c:v>
                </c:pt>
                <c:pt idx="55">
                  <c:v>-2.7</c:v>
                </c:pt>
                <c:pt idx="56">
                  <c:v>3.4</c:v>
                </c:pt>
                <c:pt idx="57">
                  <c:v>4.7</c:v>
                </c:pt>
                <c:pt idx="58">
                  <c:v>2.4</c:v>
                </c:pt>
                <c:pt idx="59">
                  <c:v>-0.7</c:v>
                </c:pt>
                <c:pt idx="60">
                  <c:v>5.4</c:v>
                </c:pt>
                <c:pt idx="61">
                  <c:v>7.1</c:v>
                </c:pt>
                <c:pt idx="62">
                  <c:v>5.7</c:v>
                </c:pt>
                <c:pt idx="63">
                  <c:v>4.8</c:v>
                </c:pt>
                <c:pt idx="64">
                  <c:v>3.8</c:v>
                </c:pt>
                <c:pt idx="65">
                  <c:v>2</c:v>
                </c:pt>
                <c:pt idx="66">
                  <c:v>1.7</c:v>
                </c:pt>
                <c:pt idx="67">
                  <c:v>-1</c:v>
                </c:pt>
                <c:pt idx="68">
                  <c:v>-1.6</c:v>
                </c:pt>
                <c:pt idx="69">
                  <c:v>5.2</c:v>
                </c:pt>
                <c:pt idx="70">
                  <c:v>4.8</c:v>
                </c:pt>
                <c:pt idx="71">
                  <c:v>4.8</c:v>
                </c:pt>
                <c:pt idx="72">
                  <c:v>4.3</c:v>
                </c:pt>
                <c:pt idx="73">
                  <c:v>4.3</c:v>
                </c:pt>
                <c:pt idx="74">
                  <c:v>0.9</c:v>
                </c:pt>
                <c:pt idx="75">
                  <c:v>4.0999999999999996</c:v>
                </c:pt>
                <c:pt idx="76">
                  <c:v>7</c:v>
                </c:pt>
                <c:pt idx="77">
                  <c:v>5.8</c:v>
                </c:pt>
                <c:pt idx="78">
                  <c:v>7.1</c:v>
                </c:pt>
                <c:pt idx="79">
                  <c:v>7.4</c:v>
                </c:pt>
                <c:pt idx="80">
                  <c:v>8</c:v>
                </c:pt>
                <c:pt idx="81">
                  <c:v>9.8000000000000007</c:v>
                </c:pt>
                <c:pt idx="82">
                  <c:v>7.9</c:v>
                </c:pt>
                <c:pt idx="83">
                  <c:v>3</c:v>
                </c:pt>
                <c:pt idx="84">
                  <c:v>-0.7</c:v>
                </c:pt>
                <c:pt idx="85">
                  <c:v>4.4000000000000004</c:v>
                </c:pt>
                <c:pt idx="86">
                  <c:v>2.1</c:v>
                </c:pt>
                <c:pt idx="87">
                  <c:v>6.3</c:v>
                </c:pt>
                <c:pt idx="88">
                  <c:v>7.3</c:v>
                </c:pt>
                <c:pt idx="89">
                  <c:v>5.7</c:v>
                </c:pt>
                <c:pt idx="90">
                  <c:v>1.9</c:v>
                </c:pt>
                <c:pt idx="91">
                  <c:v>2.1</c:v>
                </c:pt>
              </c:numCache>
            </c:numRef>
          </c:val>
          <c:smooth val="0"/>
        </c:ser>
        <c:ser>
          <c:idx val="1"/>
          <c:order val="1"/>
          <c:tx>
            <c:v>Sicamous</c:v>
          </c:tx>
          <c:marker>
            <c:symbol val="none"/>
          </c:marker>
          <c:cat>
            <c:numRef>
              <c:f>Data!$B$67:$B$158</c:f>
              <c:numCache>
                <c:formatCode>General</c:formatCode>
                <c:ptCount val="92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  <c:pt idx="61">
                  <c:v>122</c:v>
                </c:pt>
                <c:pt idx="62">
                  <c:v>123</c:v>
                </c:pt>
                <c:pt idx="63">
                  <c:v>124</c:v>
                </c:pt>
                <c:pt idx="64">
                  <c:v>125</c:v>
                </c:pt>
                <c:pt idx="65">
                  <c:v>126</c:v>
                </c:pt>
                <c:pt idx="66">
                  <c:v>127</c:v>
                </c:pt>
                <c:pt idx="67">
                  <c:v>128</c:v>
                </c:pt>
                <c:pt idx="68">
                  <c:v>129</c:v>
                </c:pt>
                <c:pt idx="69">
                  <c:v>130</c:v>
                </c:pt>
                <c:pt idx="70">
                  <c:v>131</c:v>
                </c:pt>
                <c:pt idx="71">
                  <c:v>132</c:v>
                </c:pt>
                <c:pt idx="72">
                  <c:v>133</c:v>
                </c:pt>
                <c:pt idx="73">
                  <c:v>134</c:v>
                </c:pt>
                <c:pt idx="74">
                  <c:v>135</c:v>
                </c:pt>
                <c:pt idx="75">
                  <c:v>136</c:v>
                </c:pt>
                <c:pt idx="76">
                  <c:v>137</c:v>
                </c:pt>
                <c:pt idx="77">
                  <c:v>138</c:v>
                </c:pt>
                <c:pt idx="78">
                  <c:v>139</c:v>
                </c:pt>
                <c:pt idx="79">
                  <c:v>140</c:v>
                </c:pt>
                <c:pt idx="80">
                  <c:v>141</c:v>
                </c:pt>
                <c:pt idx="81">
                  <c:v>142</c:v>
                </c:pt>
                <c:pt idx="82">
                  <c:v>143</c:v>
                </c:pt>
                <c:pt idx="83">
                  <c:v>144</c:v>
                </c:pt>
                <c:pt idx="84">
                  <c:v>145</c:v>
                </c:pt>
                <c:pt idx="85">
                  <c:v>146</c:v>
                </c:pt>
                <c:pt idx="86">
                  <c:v>147</c:v>
                </c:pt>
                <c:pt idx="87">
                  <c:v>148</c:v>
                </c:pt>
                <c:pt idx="88">
                  <c:v>149</c:v>
                </c:pt>
                <c:pt idx="89">
                  <c:v>150</c:v>
                </c:pt>
                <c:pt idx="90">
                  <c:v>151</c:v>
                </c:pt>
                <c:pt idx="91">
                  <c:v>152</c:v>
                </c:pt>
              </c:numCache>
            </c:numRef>
          </c:cat>
          <c:val>
            <c:numRef>
              <c:f>Data!$AF$67:$AF$158</c:f>
              <c:numCache>
                <c:formatCode>General</c:formatCode>
                <c:ptCount val="92"/>
                <c:pt idx="0">
                  <c:v>-6.5</c:v>
                </c:pt>
                <c:pt idx="1">
                  <c:v>-6.1130000000000004</c:v>
                </c:pt>
                <c:pt idx="2">
                  <c:v>-6.9539999999999997</c:v>
                </c:pt>
                <c:pt idx="3">
                  <c:v>-7.35</c:v>
                </c:pt>
                <c:pt idx="4">
                  <c:v>-12.54</c:v>
                </c:pt>
                <c:pt idx="5">
                  <c:v>-16.05</c:v>
                </c:pt>
                <c:pt idx="6">
                  <c:v>-18.850000000000001</c:v>
                </c:pt>
                <c:pt idx="7">
                  <c:v>-11.16</c:v>
                </c:pt>
                <c:pt idx="8">
                  <c:v>-2.9769999999999999</c:v>
                </c:pt>
                <c:pt idx="9">
                  <c:v>-3.915</c:v>
                </c:pt>
                <c:pt idx="10">
                  <c:v>-3.863</c:v>
                </c:pt>
                <c:pt idx="11">
                  <c:v>-9.68</c:v>
                </c:pt>
                <c:pt idx="12">
                  <c:v>-5.6749999999999998</c:v>
                </c:pt>
                <c:pt idx="13">
                  <c:v>-4.6150000000000002</c:v>
                </c:pt>
                <c:pt idx="14">
                  <c:v>-6.2910000000000004</c:v>
                </c:pt>
                <c:pt idx="15">
                  <c:v>-4.0289999999999999</c:v>
                </c:pt>
                <c:pt idx="16">
                  <c:v>-5.5389999999999997</c:v>
                </c:pt>
                <c:pt idx="17">
                  <c:v>-4.5049999999999999</c:v>
                </c:pt>
                <c:pt idx="18">
                  <c:v>-12</c:v>
                </c:pt>
                <c:pt idx="19">
                  <c:v>-16.18</c:v>
                </c:pt>
                <c:pt idx="20">
                  <c:v>-4.2430000000000003</c:v>
                </c:pt>
                <c:pt idx="21">
                  <c:v>-2.2309999999999999</c:v>
                </c:pt>
                <c:pt idx="22">
                  <c:v>-4.4619999999999997</c:v>
                </c:pt>
                <c:pt idx="23">
                  <c:v>-5.1639999999999997</c:v>
                </c:pt>
                <c:pt idx="24">
                  <c:v>-10.09</c:v>
                </c:pt>
                <c:pt idx="25">
                  <c:v>-12.62</c:v>
                </c:pt>
                <c:pt idx="26">
                  <c:v>-4.5570000000000004</c:v>
                </c:pt>
                <c:pt idx="27">
                  <c:v>-6.2949999999999999</c:v>
                </c:pt>
                <c:pt idx="28">
                  <c:v>-12.13</c:v>
                </c:pt>
                <c:pt idx="29">
                  <c:v>-14.03</c:v>
                </c:pt>
                <c:pt idx="30">
                  <c:v>-10.98</c:v>
                </c:pt>
                <c:pt idx="31">
                  <c:v>-1.877</c:v>
                </c:pt>
                <c:pt idx="32">
                  <c:v>-2.8730000000000002</c:v>
                </c:pt>
                <c:pt idx="33">
                  <c:v>-3.3359999999999999</c:v>
                </c:pt>
                <c:pt idx="34">
                  <c:v>-3.7679999999999998</c:v>
                </c:pt>
                <c:pt idx="35">
                  <c:v>-4.452</c:v>
                </c:pt>
                <c:pt idx="36">
                  <c:v>-12.92</c:v>
                </c:pt>
                <c:pt idx="37">
                  <c:v>-14.54</c:v>
                </c:pt>
                <c:pt idx="38">
                  <c:v>-4.8339999999999996</c:v>
                </c:pt>
                <c:pt idx="39">
                  <c:v>-5.1829999999999998</c:v>
                </c:pt>
                <c:pt idx="40">
                  <c:v>-6.3490000000000002</c:v>
                </c:pt>
                <c:pt idx="41">
                  <c:v>-5.016</c:v>
                </c:pt>
                <c:pt idx="42">
                  <c:v>-4.8390000000000004</c:v>
                </c:pt>
                <c:pt idx="43">
                  <c:v>-4.9009999999999998</c:v>
                </c:pt>
                <c:pt idx="44">
                  <c:v>-5.6829999999999998</c:v>
                </c:pt>
                <c:pt idx="45">
                  <c:v>-3.0049999999999999</c:v>
                </c:pt>
                <c:pt idx="46">
                  <c:v>-6.5</c:v>
                </c:pt>
                <c:pt idx="47">
                  <c:v>-6.1219999999999999</c:v>
                </c:pt>
                <c:pt idx="48">
                  <c:v>-7.24</c:v>
                </c:pt>
                <c:pt idx="49">
                  <c:v>-5.16</c:v>
                </c:pt>
                <c:pt idx="50">
                  <c:v>-2.9769999999999999</c:v>
                </c:pt>
                <c:pt idx="51">
                  <c:v>-1.726</c:v>
                </c:pt>
                <c:pt idx="52">
                  <c:v>-2.4620000000000002</c:v>
                </c:pt>
                <c:pt idx="53">
                  <c:v>-5.6269999999999998</c:v>
                </c:pt>
                <c:pt idx="54">
                  <c:v>-7.44</c:v>
                </c:pt>
                <c:pt idx="55">
                  <c:v>-7.81</c:v>
                </c:pt>
                <c:pt idx="56">
                  <c:v>-6.1529999999999996</c:v>
                </c:pt>
                <c:pt idx="57">
                  <c:v>2.1579999999999999</c:v>
                </c:pt>
                <c:pt idx="58">
                  <c:v>-3.407</c:v>
                </c:pt>
                <c:pt idx="59">
                  <c:v>-5.9740000000000002</c:v>
                </c:pt>
                <c:pt idx="60">
                  <c:v>-0.372</c:v>
                </c:pt>
                <c:pt idx="61">
                  <c:v>-6.7000000000000004E-2</c:v>
                </c:pt>
                <c:pt idx="62">
                  <c:v>-0.08</c:v>
                </c:pt>
                <c:pt idx="63">
                  <c:v>-4.9219999999999997</c:v>
                </c:pt>
                <c:pt idx="64">
                  <c:v>-7.4</c:v>
                </c:pt>
                <c:pt idx="65">
                  <c:v>-6.76</c:v>
                </c:pt>
                <c:pt idx="66">
                  <c:v>-8.69</c:v>
                </c:pt>
                <c:pt idx="67">
                  <c:v>-9.0299999999999994</c:v>
                </c:pt>
                <c:pt idx="68">
                  <c:v>-7.42</c:v>
                </c:pt>
                <c:pt idx="69">
                  <c:v>-2.1360000000000001</c:v>
                </c:pt>
                <c:pt idx="70">
                  <c:v>-1.369</c:v>
                </c:pt>
                <c:pt idx="71">
                  <c:v>-1.764</c:v>
                </c:pt>
                <c:pt idx="72">
                  <c:v>-2.2069999999999999</c:v>
                </c:pt>
                <c:pt idx="73">
                  <c:v>-1.712</c:v>
                </c:pt>
                <c:pt idx="74">
                  <c:v>-3.1659999999999999</c:v>
                </c:pt>
                <c:pt idx="75">
                  <c:v>-0.76200000000000001</c:v>
                </c:pt>
                <c:pt idx="76">
                  <c:v>-0.74299999999999999</c:v>
                </c:pt>
                <c:pt idx="77">
                  <c:v>-1.077</c:v>
                </c:pt>
                <c:pt idx="78">
                  <c:v>-1.6559999999999999</c:v>
                </c:pt>
                <c:pt idx="79">
                  <c:v>0.39800000000000002</c:v>
                </c:pt>
                <c:pt idx="80">
                  <c:v>-1.0389999999999999</c:v>
                </c:pt>
                <c:pt idx="81">
                  <c:v>3.536</c:v>
                </c:pt>
                <c:pt idx="82">
                  <c:v>-0.67800000000000005</c:v>
                </c:pt>
                <c:pt idx="83">
                  <c:v>-2.4900000000000002</c:v>
                </c:pt>
                <c:pt idx="84">
                  <c:v>-4.0720000000000001</c:v>
                </c:pt>
                <c:pt idx="85">
                  <c:v>-3</c:v>
                </c:pt>
                <c:pt idx="86">
                  <c:v>-2.7069999999999999</c:v>
                </c:pt>
                <c:pt idx="87">
                  <c:v>1.7999999999999999E-2</c:v>
                </c:pt>
                <c:pt idx="88">
                  <c:v>-0.185</c:v>
                </c:pt>
                <c:pt idx="89">
                  <c:v>-1.952</c:v>
                </c:pt>
                <c:pt idx="90">
                  <c:v>-3.2229999999999999</c:v>
                </c:pt>
                <c:pt idx="91">
                  <c:v>-2.2589999999999999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48320"/>
        <c:axId val="256570112"/>
      </c:lineChart>
      <c:catAx>
        <c:axId val="251448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570112"/>
        <c:crosses val="autoZero"/>
        <c:auto val="1"/>
        <c:lblAlgn val="ctr"/>
        <c:lblOffset val="100"/>
        <c:tickMarkSkip val="6"/>
        <c:noMultiLvlLbl val="0"/>
      </c:catAx>
      <c:valAx>
        <c:axId val="256570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1448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 May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763888888888889"/>
                  <c:y val="-5.678040244969379E-2"/>
                </c:manualLayout>
              </c:layout>
              <c:numFmt formatCode="General" sourceLinked="0"/>
            </c:trendlineLbl>
          </c:trendline>
          <c:xVal>
            <c:numRef>
              <c:f>Data!$DS$122:$DS$159</c:f>
              <c:numCache>
                <c:formatCode>General</c:formatCode>
                <c:ptCount val="38"/>
                <c:pt idx="0">
                  <c:v>-2.7</c:v>
                </c:pt>
                <c:pt idx="1">
                  <c:v>3.4</c:v>
                </c:pt>
                <c:pt idx="2">
                  <c:v>4.7</c:v>
                </c:pt>
                <c:pt idx="3">
                  <c:v>2.4</c:v>
                </c:pt>
                <c:pt idx="4">
                  <c:v>-0.7</c:v>
                </c:pt>
                <c:pt idx="5">
                  <c:v>5.4</c:v>
                </c:pt>
                <c:pt idx="6">
                  <c:v>7.1</c:v>
                </c:pt>
                <c:pt idx="7">
                  <c:v>5.7</c:v>
                </c:pt>
                <c:pt idx="8">
                  <c:v>4.8</c:v>
                </c:pt>
                <c:pt idx="9">
                  <c:v>3.8</c:v>
                </c:pt>
                <c:pt idx="10">
                  <c:v>2</c:v>
                </c:pt>
                <c:pt idx="11">
                  <c:v>1.7</c:v>
                </c:pt>
                <c:pt idx="12">
                  <c:v>-1</c:v>
                </c:pt>
                <c:pt idx="13">
                  <c:v>-1.6</c:v>
                </c:pt>
                <c:pt idx="14">
                  <c:v>5.2</c:v>
                </c:pt>
                <c:pt idx="15">
                  <c:v>4.8</c:v>
                </c:pt>
                <c:pt idx="16">
                  <c:v>4.8</c:v>
                </c:pt>
                <c:pt idx="17">
                  <c:v>4.3</c:v>
                </c:pt>
                <c:pt idx="18">
                  <c:v>4.3</c:v>
                </c:pt>
                <c:pt idx="19">
                  <c:v>0.9</c:v>
                </c:pt>
                <c:pt idx="20">
                  <c:v>4.0999999999999996</c:v>
                </c:pt>
                <c:pt idx="21">
                  <c:v>7</c:v>
                </c:pt>
                <c:pt idx="22">
                  <c:v>5.8</c:v>
                </c:pt>
                <c:pt idx="23">
                  <c:v>7.1</c:v>
                </c:pt>
                <c:pt idx="24">
                  <c:v>7.4</c:v>
                </c:pt>
                <c:pt idx="25">
                  <c:v>8</c:v>
                </c:pt>
                <c:pt idx="26">
                  <c:v>9.8000000000000007</c:v>
                </c:pt>
                <c:pt idx="27">
                  <c:v>7.9</c:v>
                </c:pt>
                <c:pt idx="28">
                  <c:v>3</c:v>
                </c:pt>
                <c:pt idx="29">
                  <c:v>-0.7</c:v>
                </c:pt>
                <c:pt idx="30">
                  <c:v>4.4000000000000004</c:v>
                </c:pt>
                <c:pt idx="31">
                  <c:v>2.1</c:v>
                </c:pt>
                <c:pt idx="32">
                  <c:v>6.3</c:v>
                </c:pt>
                <c:pt idx="33">
                  <c:v>7.3</c:v>
                </c:pt>
                <c:pt idx="34">
                  <c:v>5.7</c:v>
                </c:pt>
                <c:pt idx="35">
                  <c:v>1.9</c:v>
                </c:pt>
                <c:pt idx="36">
                  <c:v>2.1</c:v>
                </c:pt>
                <c:pt idx="37">
                  <c:v>2</c:v>
                </c:pt>
              </c:numCache>
            </c:numRef>
          </c:xVal>
          <c:yVal>
            <c:numRef>
              <c:f>Data!$AF$122:$AF$159</c:f>
              <c:numCache>
                <c:formatCode>General</c:formatCode>
                <c:ptCount val="38"/>
                <c:pt idx="0">
                  <c:v>-7.81</c:v>
                </c:pt>
                <c:pt idx="1">
                  <c:v>-6.1529999999999996</c:v>
                </c:pt>
                <c:pt idx="2">
                  <c:v>2.1579999999999999</c:v>
                </c:pt>
                <c:pt idx="3">
                  <c:v>-3.407</c:v>
                </c:pt>
                <c:pt idx="4">
                  <c:v>-5.9740000000000002</c:v>
                </c:pt>
                <c:pt idx="5">
                  <c:v>-0.372</c:v>
                </c:pt>
                <c:pt idx="6">
                  <c:v>-6.7000000000000004E-2</c:v>
                </c:pt>
                <c:pt idx="7">
                  <c:v>-0.08</c:v>
                </c:pt>
                <c:pt idx="8">
                  <c:v>-4.9219999999999997</c:v>
                </c:pt>
                <c:pt idx="9">
                  <c:v>-7.4</c:v>
                </c:pt>
                <c:pt idx="10">
                  <c:v>-6.76</c:v>
                </c:pt>
                <c:pt idx="11">
                  <c:v>-8.69</c:v>
                </c:pt>
                <c:pt idx="12">
                  <c:v>-9.0299999999999994</c:v>
                </c:pt>
                <c:pt idx="13">
                  <c:v>-7.42</c:v>
                </c:pt>
                <c:pt idx="14">
                  <c:v>-2.1360000000000001</c:v>
                </c:pt>
                <c:pt idx="15">
                  <c:v>-1.369</c:v>
                </c:pt>
                <c:pt idx="16">
                  <c:v>-1.764</c:v>
                </c:pt>
                <c:pt idx="17">
                  <c:v>-2.2069999999999999</c:v>
                </c:pt>
                <c:pt idx="18">
                  <c:v>-1.712</c:v>
                </c:pt>
                <c:pt idx="19">
                  <c:v>-3.1659999999999999</c:v>
                </c:pt>
                <c:pt idx="20">
                  <c:v>-0.76200000000000001</c:v>
                </c:pt>
                <c:pt idx="21">
                  <c:v>-0.74299999999999999</c:v>
                </c:pt>
                <c:pt idx="22">
                  <c:v>-1.077</c:v>
                </c:pt>
                <c:pt idx="23">
                  <c:v>-1.6559999999999999</c:v>
                </c:pt>
                <c:pt idx="24">
                  <c:v>0.39800000000000002</c:v>
                </c:pt>
                <c:pt idx="25">
                  <c:v>-1.0389999999999999</c:v>
                </c:pt>
                <c:pt idx="26">
                  <c:v>3.536</c:v>
                </c:pt>
                <c:pt idx="27">
                  <c:v>-0.67800000000000005</c:v>
                </c:pt>
                <c:pt idx="28">
                  <c:v>-2.4900000000000002</c:v>
                </c:pt>
                <c:pt idx="29">
                  <c:v>-4.0720000000000001</c:v>
                </c:pt>
                <c:pt idx="30">
                  <c:v>-3</c:v>
                </c:pt>
                <c:pt idx="31">
                  <c:v>-2.7069999999999999</c:v>
                </c:pt>
                <c:pt idx="32">
                  <c:v>1.7999999999999999E-2</c:v>
                </c:pt>
                <c:pt idx="33">
                  <c:v>-0.185</c:v>
                </c:pt>
                <c:pt idx="34">
                  <c:v>-1.952</c:v>
                </c:pt>
                <c:pt idx="35">
                  <c:v>-3.2229999999999999</c:v>
                </c:pt>
                <c:pt idx="36">
                  <c:v>-2.2589999999999999</c:v>
                </c:pt>
                <c:pt idx="37">
                  <c:v>-3.6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537408"/>
        <c:axId val="283539328"/>
      </c:scatterChart>
      <c:valAx>
        <c:axId val="28353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3539328"/>
        <c:crosses val="autoZero"/>
        <c:crossBetween val="midCat"/>
      </c:valAx>
      <c:valAx>
        <c:axId val="283539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3537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 March-April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215332458442694"/>
                  <c:y val="-2.1709317585301837E-2"/>
                </c:manualLayout>
              </c:layout>
              <c:numFmt formatCode="General" sourceLinked="0"/>
            </c:trendlineLbl>
          </c:trendline>
          <c:xVal>
            <c:numRef>
              <c:f>Data!$DS$68:$DS$121</c:f>
              <c:numCache>
                <c:formatCode>General</c:formatCode>
                <c:ptCount val="54"/>
                <c:pt idx="0">
                  <c:v>0.4</c:v>
                </c:pt>
                <c:pt idx="1">
                  <c:v>-0.2</c:v>
                </c:pt>
                <c:pt idx="2">
                  <c:v>-0.2</c:v>
                </c:pt>
                <c:pt idx="3">
                  <c:v>-0.9</c:v>
                </c:pt>
                <c:pt idx="4">
                  <c:v>-1.5</c:v>
                </c:pt>
                <c:pt idx="5">
                  <c:v>-3.2</c:v>
                </c:pt>
                <c:pt idx="6">
                  <c:v>-4.3</c:v>
                </c:pt>
                <c:pt idx="7">
                  <c:v>-0.2</c:v>
                </c:pt>
                <c:pt idx="8">
                  <c:v>0</c:v>
                </c:pt>
                <c:pt idx="9">
                  <c:v>0.3</c:v>
                </c:pt>
                <c:pt idx="10">
                  <c:v>-1.9</c:v>
                </c:pt>
                <c:pt idx="11">
                  <c:v>-0.1</c:v>
                </c:pt>
                <c:pt idx="12">
                  <c:v>-0.2</c:v>
                </c:pt>
                <c:pt idx="13">
                  <c:v>-1.7</c:v>
                </c:pt>
                <c:pt idx="14">
                  <c:v>-0.2</c:v>
                </c:pt>
                <c:pt idx="15">
                  <c:v>-0.2</c:v>
                </c:pt>
                <c:pt idx="16">
                  <c:v>0</c:v>
                </c:pt>
                <c:pt idx="17">
                  <c:v>-2.7</c:v>
                </c:pt>
                <c:pt idx="18">
                  <c:v>-5.0999999999999996</c:v>
                </c:pt>
                <c:pt idx="19">
                  <c:v>-0.4</c:v>
                </c:pt>
                <c:pt idx="20">
                  <c:v>-0.2</c:v>
                </c:pt>
                <c:pt idx="21">
                  <c:v>1.1000000000000001</c:v>
                </c:pt>
                <c:pt idx="22">
                  <c:v>0.9</c:v>
                </c:pt>
                <c:pt idx="23">
                  <c:v>-1.2</c:v>
                </c:pt>
                <c:pt idx="24">
                  <c:v>-1.2</c:v>
                </c:pt>
                <c:pt idx="25">
                  <c:v>0</c:v>
                </c:pt>
                <c:pt idx="26">
                  <c:v>2</c:v>
                </c:pt>
                <c:pt idx="27">
                  <c:v>-2.6</c:v>
                </c:pt>
                <c:pt idx="28">
                  <c:v>-4.2</c:v>
                </c:pt>
                <c:pt idx="29">
                  <c:v>-3.5</c:v>
                </c:pt>
                <c:pt idx="30">
                  <c:v>0.5</c:v>
                </c:pt>
                <c:pt idx="31">
                  <c:v>-1</c:v>
                </c:pt>
                <c:pt idx="32">
                  <c:v>-1.2</c:v>
                </c:pt>
                <c:pt idx="33">
                  <c:v>-0.7</c:v>
                </c:pt>
                <c:pt idx="34">
                  <c:v>-0.5</c:v>
                </c:pt>
                <c:pt idx="35">
                  <c:v>-0.8</c:v>
                </c:pt>
                <c:pt idx="36">
                  <c:v>-1.6</c:v>
                </c:pt>
                <c:pt idx="37">
                  <c:v>-0.4</c:v>
                </c:pt>
                <c:pt idx="38">
                  <c:v>-0.5</c:v>
                </c:pt>
                <c:pt idx="39">
                  <c:v>-3.1</c:v>
                </c:pt>
                <c:pt idx="40">
                  <c:v>-1.3</c:v>
                </c:pt>
                <c:pt idx="41">
                  <c:v>-0.1</c:v>
                </c:pt>
                <c:pt idx="42">
                  <c:v>2.2999999999999998</c:v>
                </c:pt>
                <c:pt idx="43">
                  <c:v>0</c:v>
                </c:pt>
                <c:pt idx="44">
                  <c:v>-0.2</c:v>
                </c:pt>
                <c:pt idx="45">
                  <c:v>-0.4</c:v>
                </c:pt>
                <c:pt idx="46">
                  <c:v>0.4</c:v>
                </c:pt>
                <c:pt idx="47">
                  <c:v>-2.5</c:v>
                </c:pt>
                <c:pt idx="48">
                  <c:v>-0.9</c:v>
                </c:pt>
                <c:pt idx="49">
                  <c:v>1.9</c:v>
                </c:pt>
                <c:pt idx="50">
                  <c:v>2.7</c:v>
                </c:pt>
                <c:pt idx="51">
                  <c:v>5.6</c:v>
                </c:pt>
                <c:pt idx="52">
                  <c:v>0.8</c:v>
                </c:pt>
                <c:pt idx="53">
                  <c:v>-0.5</c:v>
                </c:pt>
              </c:numCache>
            </c:numRef>
          </c:xVal>
          <c:yVal>
            <c:numRef>
              <c:f>Data!$AF$68:$AF$121</c:f>
              <c:numCache>
                <c:formatCode>General</c:formatCode>
                <c:ptCount val="54"/>
                <c:pt idx="0">
                  <c:v>-6.1130000000000004</c:v>
                </c:pt>
                <c:pt idx="1">
                  <c:v>-6.9539999999999997</c:v>
                </c:pt>
                <c:pt idx="2">
                  <c:v>-7.35</c:v>
                </c:pt>
                <c:pt idx="3">
                  <c:v>-12.54</c:v>
                </c:pt>
                <c:pt idx="4">
                  <c:v>-16.05</c:v>
                </c:pt>
                <c:pt idx="5">
                  <c:v>-18.850000000000001</c:v>
                </c:pt>
                <c:pt idx="6">
                  <c:v>-11.16</c:v>
                </c:pt>
                <c:pt idx="7">
                  <c:v>-2.9769999999999999</c:v>
                </c:pt>
                <c:pt idx="8">
                  <c:v>-3.915</c:v>
                </c:pt>
                <c:pt idx="9">
                  <c:v>-3.863</c:v>
                </c:pt>
                <c:pt idx="10">
                  <c:v>-9.68</c:v>
                </c:pt>
                <c:pt idx="11">
                  <c:v>-5.6749999999999998</c:v>
                </c:pt>
                <c:pt idx="12">
                  <c:v>-4.6150000000000002</c:v>
                </c:pt>
                <c:pt idx="13">
                  <c:v>-6.2910000000000004</c:v>
                </c:pt>
                <c:pt idx="14">
                  <c:v>-4.0289999999999999</c:v>
                </c:pt>
                <c:pt idx="15">
                  <c:v>-5.5389999999999997</c:v>
                </c:pt>
                <c:pt idx="16">
                  <c:v>-4.5049999999999999</c:v>
                </c:pt>
                <c:pt idx="17">
                  <c:v>-12</c:v>
                </c:pt>
                <c:pt idx="18">
                  <c:v>-16.18</c:v>
                </c:pt>
                <c:pt idx="19">
                  <c:v>-4.2430000000000003</c:v>
                </c:pt>
                <c:pt idx="20">
                  <c:v>-2.2309999999999999</c:v>
                </c:pt>
                <c:pt idx="21">
                  <c:v>-4.4619999999999997</c:v>
                </c:pt>
                <c:pt idx="22">
                  <c:v>-5.1639999999999997</c:v>
                </c:pt>
                <c:pt idx="23">
                  <c:v>-10.09</c:v>
                </c:pt>
                <c:pt idx="24">
                  <c:v>-12.62</c:v>
                </c:pt>
                <c:pt idx="25">
                  <c:v>-4.5570000000000004</c:v>
                </c:pt>
                <c:pt idx="26">
                  <c:v>-6.2949999999999999</c:v>
                </c:pt>
                <c:pt idx="27">
                  <c:v>-12.13</c:v>
                </c:pt>
                <c:pt idx="28">
                  <c:v>-14.03</c:v>
                </c:pt>
                <c:pt idx="29">
                  <c:v>-10.98</c:v>
                </c:pt>
                <c:pt idx="30">
                  <c:v>-1.877</c:v>
                </c:pt>
                <c:pt idx="31">
                  <c:v>-2.8730000000000002</c:v>
                </c:pt>
                <c:pt idx="32">
                  <c:v>-3.3359999999999999</c:v>
                </c:pt>
                <c:pt idx="33">
                  <c:v>-3.7679999999999998</c:v>
                </c:pt>
                <c:pt idx="34">
                  <c:v>-4.452</c:v>
                </c:pt>
                <c:pt idx="35">
                  <c:v>-12.92</c:v>
                </c:pt>
                <c:pt idx="36">
                  <c:v>-14.54</c:v>
                </c:pt>
                <c:pt idx="37">
                  <c:v>-4.8339999999999996</c:v>
                </c:pt>
                <c:pt idx="38">
                  <c:v>-5.1829999999999998</c:v>
                </c:pt>
                <c:pt idx="39">
                  <c:v>-6.3490000000000002</c:v>
                </c:pt>
                <c:pt idx="40">
                  <c:v>-5.016</c:v>
                </c:pt>
                <c:pt idx="41">
                  <c:v>-4.8390000000000004</c:v>
                </c:pt>
                <c:pt idx="42">
                  <c:v>-4.9009999999999998</c:v>
                </c:pt>
                <c:pt idx="43">
                  <c:v>-5.6829999999999998</c:v>
                </c:pt>
                <c:pt idx="44">
                  <c:v>-3.0049999999999999</c:v>
                </c:pt>
                <c:pt idx="45">
                  <c:v>-6.5</c:v>
                </c:pt>
                <c:pt idx="46">
                  <c:v>-6.1219999999999999</c:v>
                </c:pt>
                <c:pt idx="47">
                  <c:v>-7.24</c:v>
                </c:pt>
                <c:pt idx="48">
                  <c:v>-5.16</c:v>
                </c:pt>
                <c:pt idx="49">
                  <c:v>-2.9769999999999999</c:v>
                </c:pt>
                <c:pt idx="50">
                  <c:v>-1.726</c:v>
                </c:pt>
                <c:pt idx="51">
                  <c:v>-2.4620000000000002</c:v>
                </c:pt>
                <c:pt idx="52">
                  <c:v>-5.6269999999999998</c:v>
                </c:pt>
                <c:pt idx="53">
                  <c:v>-7.44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72000"/>
        <c:axId val="156673920"/>
      </c:scatterChart>
      <c:valAx>
        <c:axId val="15667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73920"/>
        <c:crosses val="autoZero"/>
        <c:crossBetween val="midCat"/>
      </c:valAx>
      <c:valAx>
        <c:axId val="156673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720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 March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215332458442694"/>
                  <c:y val="-2.1709317585301837E-2"/>
                </c:manualLayout>
              </c:layout>
              <c:numFmt formatCode="General" sourceLinked="0"/>
            </c:trendlineLbl>
          </c:trendline>
          <c:xVal>
            <c:numRef>
              <c:f>Data!$DS$68:$DS$97</c:f>
              <c:numCache>
                <c:formatCode>General</c:formatCode>
                <c:ptCount val="30"/>
                <c:pt idx="0">
                  <c:v>0.4</c:v>
                </c:pt>
                <c:pt idx="1">
                  <c:v>-0.2</c:v>
                </c:pt>
                <c:pt idx="2">
                  <c:v>-0.2</c:v>
                </c:pt>
                <c:pt idx="3">
                  <c:v>-0.9</c:v>
                </c:pt>
                <c:pt idx="4">
                  <c:v>-1.5</c:v>
                </c:pt>
                <c:pt idx="5">
                  <c:v>-3.2</c:v>
                </c:pt>
                <c:pt idx="6">
                  <c:v>-4.3</c:v>
                </c:pt>
                <c:pt idx="7">
                  <c:v>-0.2</c:v>
                </c:pt>
                <c:pt idx="8">
                  <c:v>0</c:v>
                </c:pt>
                <c:pt idx="9">
                  <c:v>0.3</c:v>
                </c:pt>
                <c:pt idx="10">
                  <c:v>-1.9</c:v>
                </c:pt>
                <c:pt idx="11">
                  <c:v>-0.1</c:v>
                </c:pt>
                <c:pt idx="12">
                  <c:v>-0.2</c:v>
                </c:pt>
                <c:pt idx="13">
                  <c:v>-1.7</c:v>
                </c:pt>
                <c:pt idx="14">
                  <c:v>-0.2</c:v>
                </c:pt>
                <c:pt idx="15">
                  <c:v>-0.2</c:v>
                </c:pt>
                <c:pt idx="16">
                  <c:v>0</c:v>
                </c:pt>
                <c:pt idx="17">
                  <c:v>-2.7</c:v>
                </c:pt>
                <c:pt idx="18">
                  <c:v>-5.0999999999999996</c:v>
                </c:pt>
                <c:pt idx="19">
                  <c:v>-0.4</c:v>
                </c:pt>
                <c:pt idx="20">
                  <c:v>-0.2</c:v>
                </c:pt>
                <c:pt idx="21">
                  <c:v>1.1000000000000001</c:v>
                </c:pt>
                <c:pt idx="22">
                  <c:v>0.9</c:v>
                </c:pt>
                <c:pt idx="23">
                  <c:v>-1.2</c:v>
                </c:pt>
                <c:pt idx="24">
                  <c:v>-1.2</c:v>
                </c:pt>
                <c:pt idx="25">
                  <c:v>0</c:v>
                </c:pt>
                <c:pt idx="26">
                  <c:v>2</c:v>
                </c:pt>
                <c:pt idx="27">
                  <c:v>-2.6</c:v>
                </c:pt>
                <c:pt idx="28">
                  <c:v>-4.2</c:v>
                </c:pt>
                <c:pt idx="29">
                  <c:v>-3.5</c:v>
                </c:pt>
              </c:numCache>
            </c:numRef>
          </c:xVal>
          <c:yVal>
            <c:numRef>
              <c:f>Data!$AF$68:$AF$97</c:f>
              <c:numCache>
                <c:formatCode>General</c:formatCode>
                <c:ptCount val="30"/>
                <c:pt idx="0">
                  <c:v>-6.1130000000000004</c:v>
                </c:pt>
                <c:pt idx="1">
                  <c:v>-6.9539999999999997</c:v>
                </c:pt>
                <c:pt idx="2">
                  <c:v>-7.35</c:v>
                </c:pt>
                <c:pt idx="3">
                  <c:v>-12.54</c:v>
                </c:pt>
                <c:pt idx="4">
                  <c:v>-16.05</c:v>
                </c:pt>
                <c:pt idx="5">
                  <c:v>-18.850000000000001</c:v>
                </c:pt>
                <c:pt idx="6">
                  <c:v>-11.16</c:v>
                </c:pt>
                <c:pt idx="7">
                  <c:v>-2.9769999999999999</c:v>
                </c:pt>
                <c:pt idx="8">
                  <c:v>-3.915</c:v>
                </c:pt>
                <c:pt idx="9">
                  <c:v>-3.863</c:v>
                </c:pt>
                <c:pt idx="10">
                  <c:v>-9.68</c:v>
                </c:pt>
                <c:pt idx="11">
                  <c:v>-5.6749999999999998</c:v>
                </c:pt>
                <c:pt idx="12">
                  <c:v>-4.6150000000000002</c:v>
                </c:pt>
                <c:pt idx="13">
                  <c:v>-6.2910000000000004</c:v>
                </c:pt>
                <c:pt idx="14">
                  <c:v>-4.0289999999999999</c:v>
                </c:pt>
                <c:pt idx="15">
                  <c:v>-5.5389999999999997</c:v>
                </c:pt>
                <c:pt idx="16">
                  <c:v>-4.5049999999999999</c:v>
                </c:pt>
                <c:pt idx="17">
                  <c:v>-12</c:v>
                </c:pt>
                <c:pt idx="18">
                  <c:v>-16.18</c:v>
                </c:pt>
                <c:pt idx="19">
                  <c:v>-4.2430000000000003</c:v>
                </c:pt>
                <c:pt idx="20">
                  <c:v>-2.2309999999999999</c:v>
                </c:pt>
                <c:pt idx="21">
                  <c:v>-4.4619999999999997</c:v>
                </c:pt>
                <c:pt idx="22">
                  <c:v>-5.1639999999999997</c:v>
                </c:pt>
                <c:pt idx="23">
                  <c:v>-10.09</c:v>
                </c:pt>
                <c:pt idx="24">
                  <c:v>-12.62</c:v>
                </c:pt>
                <c:pt idx="25">
                  <c:v>-4.5570000000000004</c:v>
                </c:pt>
                <c:pt idx="26">
                  <c:v>-6.2949999999999999</c:v>
                </c:pt>
                <c:pt idx="27">
                  <c:v>-12.13</c:v>
                </c:pt>
                <c:pt idx="28">
                  <c:v>-14.03</c:v>
                </c:pt>
                <c:pt idx="29">
                  <c:v>-10.98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2880"/>
        <c:axId val="156693248"/>
      </c:scatterChart>
      <c:valAx>
        <c:axId val="15668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93248"/>
        <c:crosses val="autoZero"/>
        <c:crossBetween val="midCat"/>
      </c:valAx>
      <c:valAx>
        <c:axId val="156693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82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 March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215332458442694"/>
                  <c:y val="-2.1709317585301837E-2"/>
                </c:manualLayout>
              </c:layout>
              <c:numFmt formatCode="General" sourceLinked="0"/>
            </c:trendlineLbl>
          </c:trendline>
          <c:xVal>
            <c:numRef>
              <c:f>Data!$DQ$68:$DQ$91</c:f>
              <c:numCache>
                <c:formatCode>General</c:formatCode>
                <c:ptCount val="24"/>
                <c:pt idx="0">
                  <c:v>2.4</c:v>
                </c:pt>
                <c:pt idx="1">
                  <c:v>1.5</c:v>
                </c:pt>
                <c:pt idx="2">
                  <c:v>2</c:v>
                </c:pt>
                <c:pt idx="3">
                  <c:v>3.1</c:v>
                </c:pt>
                <c:pt idx="4">
                  <c:v>0.2</c:v>
                </c:pt>
                <c:pt idx="5">
                  <c:v>1.6</c:v>
                </c:pt>
                <c:pt idx="6">
                  <c:v>3.1</c:v>
                </c:pt>
                <c:pt idx="7">
                  <c:v>3.8</c:v>
                </c:pt>
                <c:pt idx="8">
                  <c:v>5</c:v>
                </c:pt>
                <c:pt idx="9">
                  <c:v>6.2</c:v>
                </c:pt>
                <c:pt idx="10">
                  <c:v>5</c:v>
                </c:pt>
                <c:pt idx="11">
                  <c:v>5.4</c:v>
                </c:pt>
                <c:pt idx="12">
                  <c:v>4.5</c:v>
                </c:pt>
                <c:pt idx="13">
                  <c:v>4.8</c:v>
                </c:pt>
                <c:pt idx="14">
                  <c:v>2.8</c:v>
                </c:pt>
                <c:pt idx="15">
                  <c:v>3.4</c:v>
                </c:pt>
                <c:pt idx="16">
                  <c:v>1.8</c:v>
                </c:pt>
                <c:pt idx="17">
                  <c:v>3</c:v>
                </c:pt>
                <c:pt idx="18">
                  <c:v>2.2000000000000002</c:v>
                </c:pt>
                <c:pt idx="19">
                  <c:v>6.5</c:v>
                </c:pt>
                <c:pt idx="20">
                  <c:v>4.2</c:v>
                </c:pt>
                <c:pt idx="21">
                  <c:v>6.1</c:v>
                </c:pt>
                <c:pt idx="22">
                  <c:v>6.2</c:v>
                </c:pt>
                <c:pt idx="23">
                  <c:v>6</c:v>
                </c:pt>
              </c:numCache>
            </c:numRef>
          </c:xVal>
          <c:yVal>
            <c:numRef>
              <c:f>Data!$E$68:$E$91</c:f>
              <c:numCache>
                <c:formatCode>General</c:formatCode>
                <c:ptCount val="24"/>
                <c:pt idx="0">
                  <c:v>-1.68</c:v>
                </c:pt>
                <c:pt idx="1">
                  <c:v>-2.0670000000000002</c:v>
                </c:pt>
                <c:pt idx="2">
                  <c:v>-3.0190000000000001</c:v>
                </c:pt>
                <c:pt idx="3">
                  <c:v>-6.585</c:v>
                </c:pt>
                <c:pt idx="4">
                  <c:v>-6.98</c:v>
                </c:pt>
                <c:pt idx="5">
                  <c:v>-8.8800000000000008</c:v>
                </c:pt>
                <c:pt idx="6">
                  <c:v>-3.3530000000000002</c:v>
                </c:pt>
                <c:pt idx="7">
                  <c:v>-1.47</c:v>
                </c:pt>
                <c:pt idx="8">
                  <c:v>-0.80800000000000005</c:v>
                </c:pt>
                <c:pt idx="9">
                  <c:v>-1.6359999999999999</c:v>
                </c:pt>
                <c:pt idx="10">
                  <c:v>-3.7759999999999998</c:v>
                </c:pt>
                <c:pt idx="11">
                  <c:v>-2.2850000000000001</c:v>
                </c:pt>
                <c:pt idx="12">
                  <c:v>-2.7589999999999999</c:v>
                </c:pt>
                <c:pt idx="13">
                  <c:v>-3.4529999999999998</c:v>
                </c:pt>
                <c:pt idx="14">
                  <c:v>-2.3039999999999998</c:v>
                </c:pt>
                <c:pt idx="15">
                  <c:v>-3.9969999999999999</c:v>
                </c:pt>
                <c:pt idx="16">
                  <c:v>-2.6850000000000001</c:v>
                </c:pt>
                <c:pt idx="17">
                  <c:v>-5.1360000000000001</c:v>
                </c:pt>
                <c:pt idx="18">
                  <c:v>-6.8170000000000002</c:v>
                </c:pt>
                <c:pt idx="19">
                  <c:v>-0.57399999999999995</c:v>
                </c:pt>
                <c:pt idx="20">
                  <c:v>0.38100000000000001</c:v>
                </c:pt>
                <c:pt idx="21">
                  <c:v>-2.83</c:v>
                </c:pt>
                <c:pt idx="22">
                  <c:v>-2.2970000000000002</c:v>
                </c:pt>
                <c:pt idx="23">
                  <c:v>-2.9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56704"/>
        <c:axId val="186471168"/>
      </c:scatterChart>
      <c:valAx>
        <c:axId val="18645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71168"/>
        <c:crosses val="autoZero"/>
        <c:crossBetween val="midCat"/>
      </c:valAx>
      <c:valAx>
        <c:axId val="186471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5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532830271216095"/>
                  <c:y val="-4.2315543890347043E-2"/>
                </c:manualLayout>
              </c:layout>
              <c:numFmt formatCode="General" sourceLinked="0"/>
            </c:trendlineLbl>
          </c:trendline>
          <c:xVal>
            <c:numRef>
              <c:f>Data!$DQ$165:$DQ$250</c:f>
              <c:numCache>
                <c:formatCode>General</c:formatCode>
                <c:ptCount val="86"/>
                <c:pt idx="0">
                  <c:v>16.2</c:v>
                </c:pt>
                <c:pt idx="1">
                  <c:v>16.2</c:v>
                </c:pt>
                <c:pt idx="2">
                  <c:v>15.7</c:v>
                </c:pt>
                <c:pt idx="3">
                  <c:v>13.2</c:v>
                </c:pt>
                <c:pt idx="4">
                  <c:v>13.6</c:v>
                </c:pt>
                <c:pt idx="5">
                  <c:v>12.6</c:v>
                </c:pt>
                <c:pt idx="6">
                  <c:v>13.4</c:v>
                </c:pt>
                <c:pt idx="7">
                  <c:v>13.9</c:v>
                </c:pt>
                <c:pt idx="8">
                  <c:v>14.4</c:v>
                </c:pt>
                <c:pt idx="9">
                  <c:v>15</c:v>
                </c:pt>
                <c:pt idx="10">
                  <c:v>15.3</c:v>
                </c:pt>
                <c:pt idx="11">
                  <c:v>16.5</c:v>
                </c:pt>
                <c:pt idx="12">
                  <c:v>18.399999999999999</c:v>
                </c:pt>
                <c:pt idx="13">
                  <c:v>17</c:v>
                </c:pt>
                <c:pt idx="14">
                  <c:v>18.899999999999999</c:v>
                </c:pt>
                <c:pt idx="15">
                  <c:v>16.8</c:v>
                </c:pt>
                <c:pt idx="16">
                  <c:v>17.8</c:v>
                </c:pt>
                <c:pt idx="17">
                  <c:v>17.100000000000001</c:v>
                </c:pt>
                <c:pt idx="18">
                  <c:v>18.100000000000001</c:v>
                </c:pt>
                <c:pt idx="19">
                  <c:v>20.399999999999999</c:v>
                </c:pt>
                <c:pt idx="20">
                  <c:v>20.6</c:v>
                </c:pt>
                <c:pt idx="21">
                  <c:v>22.5</c:v>
                </c:pt>
                <c:pt idx="22">
                  <c:v>20.9</c:v>
                </c:pt>
                <c:pt idx="23">
                  <c:v>21.7</c:v>
                </c:pt>
                <c:pt idx="24">
                  <c:v>18.5</c:v>
                </c:pt>
                <c:pt idx="25">
                  <c:v>15.6</c:v>
                </c:pt>
                <c:pt idx="26">
                  <c:v>15.1</c:v>
                </c:pt>
                <c:pt idx="27">
                  <c:v>15.5</c:v>
                </c:pt>
                <c:pt idx="28">
                  <c:v>14.7</c:v>
                </c:pt>
                <c:pt idx="29">
                  <c:v>14.5</c:v>
                </c:pt>
                <c:pt idx="30">
                  <c:v>18.5</c:v>
                </c:pt>
                <c:pt idx="31">
                  <c:v>18.7</c:v>
                </c:pt>
                <c:pt idx="32">
                  <c:v>17.7</c:v>
                </c:pt>
                <c:pt idx="33">
                  <c:v>16.8</c:v>
                </c:pt>
                <c:pt idx="34">
                  <c:v>21.3</c:v>
                </c:pt>
                <c:pt idx="35">
                  <c:v>21.4</c:v>
                </c:pt>
                <c:pt idx="36">
                  <c:v>22.6</c:v>
                </c:pt>
                <c:pt idx="37">
                  <c:v>21.1</c:v>
                </c:pt>
                <c:pt idx="38">
                  <c:v>17.3</c:v>
                </c:pt>
                <c:pt idx="39">
                  <c:v>18.5</c:v>
                </c:pt>
                <c:pt idx="40">
                  <c:v>21</c:v>
                </c:pt>
                <c:pt idx="41">
                  <c:v>22.1</c:v>
                </c:pt>
                <c:pt idx="42">
                  <c:v>23.9</c:v>
                </c:pt>
                <c:pt idx="43">
                  <c:v>24</c:v>
                </c:pt>
                <c:pt idx="44">
                  <c:v>23.9</c:v>
                </c:pt>
                <c:pt idx="45">
                  <c:v>23.5</c:v>
                </c:pt>
                <c:pt idx="46">
                  <c:v>21.5</c:v>
                </c:pt>
                <c:pt idx="47">
                  <c:v>21.9</c:v>
                </c:pt>
                <c:pt idx="48">
                  <c:v>19</c:v>
                </c:pt>
                <c:pt idx="49">
                  <c:v>20.5</c:v>
                </c:pt>
                <c:pt idx="50">
                  <c:v>22</c:v>
                </c:pt>
                <c:pt idx="51">
                  <c:v>18.2</c:v>
                </c:pt>
                <c:pt idx="52">
                  <c:v>21.3</c:v>
                </c:pt>
                <c:pt idx="53">
                  <c:v>21.9</c:v>
                </c:pt>
                <c:pt idx="54">
                  <c:v>23</c:v>
                </c:pt>
                <c:pt idx="55">
                  <c:v>21.9</c:v>
                </c:pt>
                <c:pt idx="56">
                  <c:v>21</c:v>
                </c:pt>
                <c:pt idx="57">
                  <c:v>23.3</c:v>
                </c:pt>
                <c:pt idx="58">
                  <c:v>24.5</c:v>
                </c:pt>
                <c:pt idx="59">
                  <c:v>24.3</c:v>
                </c:pt>
                <c:pt idx="60">
                  <c:v>22.8</c:v>
                </c:pt>
                <c:pt idx="61">
                  <c:v>22.5</c:v>
                </c:pt>
                <c:pt idx="62">
                  <c:v>23.2</c:v>
                </c:pt>
                <c:pt idx="63">
                  <c:v>23.3</c:v>
                </c:pt>
                <c:pt idx="64">
                  <c:v>21.8</c:v>
                </c:pt>
                <c:pt idx="65">
                  <c:v>19.3</c:v>
                </c:pt>
                <c:pt idx="66">
                  <c:v>19.399999999999999</c:v>
                </c:pt>
                <c:pt idx="67">
                  <c:v>17.899999999999999</c:v>
                </c:pt>
                <c:pt idx="68">
                  <c:v>16.2</c:v>
                </c:pt>
                <c:pt idx="69">
                  <c:v>16.7</c:v>
                </c:pt>
                <c:pt idx="70">
                  <c:v>18.8</c:v>
                </c:pt>
                <c:pt idx="71">
                  <c:v>20.100000000000001</c:v>
                </c:pt>
                <c:pt idx="72">
                  <c:v>16.899999999999999</c:v>
                </c:pt>
                <c:pt idx="73">
                  <c:v>15.2</c:v>
                </c:pt>
                <c:pt idx="74">
                  <c:v>14.6</c:v>
                </c:pt>
                <c:pt idx="75">
                  <c:v>17.3</c:v>
                </c:pt>
                <c:pt idx="76">
                  <c:v>19.2</c:v>
                </c:pt>
                <c:pt idx="77">
                  <c:v>21.3</c:v>
                </c:pt>
                <c:pt idx="78">
                  <c:v>18.399999999999999</c:v>
                </c:pt>
                <c:pt idx="79">
                  <c:v>19</c:v>
                </c:pt>
                <c:pt idx="80">
                  <c:v>17.899999999999999</c:v>
                </c:pt>
                <c:pt idx="81">
                  <c:v>12.4</c:v>
                </c:pt>
                <c:pt idx="82">
                  <c:v>11.4</c:v>
                </c:pt>
                <c:pt idx="83">
                  <c:v>12.8</c:v>
                </c:pt>
                <c:pt idx="84">
                  <c:v>16.899999999999999</c:v>
                </c:pt>
                <c:pt idx="85">
                  <c:v>15.7</c:v>
                </c:pt>
              </c:numCache>
            </c:numRef>
          </c:xVal>
          <c:yVal>
            <c:numRef>
              <c:f>Data!$DK$165:$DK$250</c:f>
              <c:numCache>
                <c:formatCode>General</c:formatCode>
                <c:ptCount val="86"/>
                <c:pt idx="0">
                  <c:v>11.2</c:v>
                </c:pt>
                <c:pt idx="1">
                  <c:v>9</c:v>
                </c:pt>
                <c:pt idx="2">
                  <c:v>8.1</c:v>
                </c:pt>
                <c:pt idx="3">
                  <c:v>5.0999999999999996</c:v>
                </c:pt>
                <c:pt idx="4">
                  <c:v>5.5</c:v>
                </c:pt>
                <c:pt idx="5">
                  <c:v>5.8</c:v>
                </c:pt>
                <c:pt idx="6">
                  <c:v>8.6</c:v>
                </c:pt>
                <c:pt idx="7">
                  <c:v>8.1999999999999993</c:v>
                </c:pt>
                <c:pt idx="8">
                  <c:v>7.6</c:v>
                </c:pt>
                <c:pt idx="9">
                  <c:v>11.1</c:v>
                </c:pt>
                <c:pt idx="10">
                  <c:v>13.6</c:v>
                </c:pt>
                <c:pt idx="11">
                  <c:v>9.6</c:v>
                </c:pt>
                <c:pt idx="12">
                  <c:v>10.4</c:v>
                </c:pt>
                <c:pt idx="13">
                  <c:v>11.6</c:v>
                </c:pt>
                <c:pt idx="14">
                  <c:v>10.8</c:v>
                </c:pt>
                <c:pt idx="15">
                  <c:v>11</c:v>
                </c:pt>
                <c:pt idx="16">
                  <c:v>12.5</c:v>
                </c:pt>
                <c:pt idx="17">
                  <c:v>9.6</c:v>
                </c:pt>
                <c:pt idx="18">
                  <c:v>14.3</c:v>
                </c:pt>
                <c:pt idx="19">
                  <c:v>16.899999999999999</c:v>
                </c:pt>
                <c:pt idx="20">
                  <c:v>18.600000000000001</c:v>
                </c:pt>
                <c:pt idx="21">
                  <c:v>17.2</c:v>
                </c:pt>
                <c:pt idx="22">
                  <c:v>16.399999999999999</c:v>
                </c:pt>
                <c:pt idx="23">
                  <c:v>14.4</c:v>
                </c:pt>
                <c:pt idx="24">
                  <c:v>11.3</c:v>
                </c:pt>
                <c:pt idx="25">
                  <c:v>7.5</c:v>
                </c:pt>
                <c:pt idx="26">
                  <c:v>9.5</c:v>
                </c:pt>
                <c:pt idx="27">
                  <c:v>5.8</c:v>
                </c:pt>
                <c:pt idx="28">
                  <c:v>10</c:v>
                </c:pt>
                <c:pt idx="29">
                  <c:v>11.7</c:v>
                </c:pt>
                <c:pt idx="30">
                  <c:v>12.8</c:v>
                </c:pt>
                <c:pt idx="31">
                  <c:v>12.9</c:v>
                </c:pt>
                <c:pt idx="32">
                  <c:v>10.5</c:v>
                </c:pt>
                <c:pt idx="33">
                  <c:v>11.5</c:v>
                </c:pt>
                <c:pt idx="34">
                  <c:v>15</c:v>
                </c:pt>
                <c:pt idx="35">
                  <c:v>16.8</c:v>
                </c:pt>
                <c:pt idx="36">
                  <c:v>17</c:v>
                </c:pt>
                <c:pt idx="37">
                  <c:v>12.4</c:v>
                </c:pt>
                <c:pt idx="38">
                  <c:v>10.4</c:v>
                </c:pt>
                <c:pt idx="39">
                  <c:v>14.2</c:v>
                </c:pt>
                <c:pt idx="40">
                  <c:v>17.7</c:v>
                </c:pt>
                <c:pt idx="41">
                  <c:v>18.8</c:v>
                </c:pt>
                <c:pt idx="42">
                  <c:v>19.100000000000001</c:v>
                </c:pt>
                <c:pt idx="43">
                  <c:v>17.8</c:v>
                </c:pt>
                <c:pt idx="44">
                  <c:v>19.8</c:v>
                </c:pt>
                <c:pt idx="45">
                  <c:v>17.899999999999999</c:v>
                </c:pt>
                <c:pt idx="46">
                  <c:v>11.3</c:v>
                </c:pt>
                <c:pt idx="47">
                  <c:v>14.9</c:v>
                </c:pt>
                <c:pt idx="48">
                  <c:v>14.1</c:v>
                </c:pt>
                <c:pt idx="49">
                  <c:v>14.4</c:v>
                </c:pt>
                <c:pt idx="50">
                  <c:v>13.6</c:v>
                </c:pt>
                <c:pt idx="51">
                  <c:v>13</c:v>
                </c:pt>
                <c:pt idx="52">
                  <c:v>14.3</c:v>
                </c:pt>
                <c:pt idx="55">
                  <c:v>16.3</c:v>
                </c:pt>
                <c:pt idx="56">
                  <c:v>16.600000000000001</c:v>
                </c:pt>
                <c:pt idx="57">
                  <c:v>16.5</c:v>
                </c:pt>
                <c:pt idx="58">
                  <c:v>18.3</c:v>
                </c:pt>
                <c:pt idx="59">
                  <c:v>20.2</c:v>
                </c:pt>
                <c:pt idx="60">
                  <c:v>18.899999999999999</c:v>
                </c:pt>
                <c:pt idx="61">
                  <c:v>18.100000000000001</c:v>
                </c:pt>
                <c:pt idx="62">
                  <c:v>19.899999999999999</c:v>
                </c:pt>
                <c:pt idx="63">
                  <c:v>18.7</c:v>
                </c:pt>
                <c:pt idx="64">
                  <c:v>17.100000000000001</c:v>
                </c:pt>
                <c:pt idx="65">
                  <c:v>13.5</c:v>
                </c:pt>
                <c:pt idx="66">
                  <c:v>13.1</c:v>
                </c:pt>
                <c:pt idx="67">
                  <c:v>11.4</c:v>
                </c:pt>
                <c:pt idx="68">
                  <c:v>12.3</c:v>
                </c:pt>
                <c:pt idx="69">
                  <c:v>12.8</c:v>
                </c:pt>
                <c:pt idx="70">
                  <c:v>14.8</c:v>
                </c:pt>
                <c:pt idx="71">
                  <c:v>16.899999999999999</c:v>
                </c:pt>
                <c:pt idx="72">
                  <c:v>11.1</c:v>
                </c:pt>
                <c:pt idx="73">
                  <c:v>8</c:v>
                </c:pt>
                <c:pt idx="74">
                  <c:v>8.1999999999999993</c:v>
                </c:pt>
                <c:pt idx="75">
                  <c:v>11.6</c:v>
                </c:pt>
                <c:pt idx="76">
                  <c:v>16.399999999999999</c:v>
                </c:pt>
                <c:pt idx="77">
                  <c:v>19</c:v>
                </c:pt>
                <c:pt idx="78">
                  <c:v>16.7</c:v>
                </c:pt>
                <c:pt idx="79">
                  <c:v>15.5</c:v>
                </c:pt>
                <c:pt idx="80">
                  <c:v>8.3000000000000007</c:v>
                </c:pt>
                <c:pt idx="81">
                  <c:v>6.1</c:v>
                </c:pt>
                <c:pt idx="82">
                  <c:v>8</c:v>
                </c:pt>
                <c:pt idx="83">
                  <c:v>8</c:v>
                </c:pt>
                <c:pt idx="84">
                  <c:v>9.4</c:v>
                </c:pt>
                <c:pt idx="85">
                  <c:v>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84608"/>
        <c:axId val="186486784"/>
      </c:scatterChart>
      <c:valAx>
        <c:axId val="18648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86784"/>
        <c:crosses val="autoZero"/>
        <c:crossBetween val="midCat"/>
      </c:valAx>
      <c:valAx>
        <c:axId val="186486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84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532830271216095"/>
                  <c:y val="-4.2315543890347043E-2"/>
                </c:manualLayout>
              </c:layout>
              <c:numFmt formatCode="General" sourceLinked="0"/>
            </c:trendlineLbl>
          </c:trendline>
          <c:xVal>
            <c:numRef>
              <c:f>Data!$DR$165:$DR$250</c:f>
              <c:numCache>
                <c:formatCode>General</c:formatCode>
                <c:ptCount val="86"/>
                <c:pt idx="0">
                  <c:v>23.6</c:v>
                </c:pt>
                <c:pt idx="1">
                  <c:v>21.1</c:v>
                </c:pt>
                <c:pt idx="2">
                  <c:v>20.7</c:v>
                </c:pt>
                <c:pt idx="3">
                  <c:v>18.3</c:v>
                </c:pt>
                <c:pt idx="4">
                  <c:v>20.3</c:v>
                </c:pt>
                <c:pt idx="5">
                  <c:v>16.3</c:v>
                </c:pt>
                <c:pt idx="6">
                  <c:v>16.899999999999999</c:v>
                </c:pt>
                <c:pt idx="7">
                  <c:v>17.7</c:v>
                </c:pt>
                <c:pt idx="8">
                  <c:v>21.6</c:v>
                </c:pt>
                <c:pt idx="9">
                  <c:v>27</c:v>
                </c:pt>
                <c:pt idx="10">
                  <c:v>24.7</c:v>
                </c:pt>
                <c:pt idx="11">
                  <c:v>23.9</c:v>
                </c:pt>
                <c:pt idx="12">
                  <c:v>26.7</c:v>
                </c:pt>
                <c:pt idx="13">
                  <c:v>24.4</c:v>
                </c:pt>
                <c:pt idx="14">
                  <c:v>25.4</c:v>
                </c:pt>
                <c:pt idx="15">
                  <c:v>24.9</c:v>
                </c:pt>
                <c:pt idx="16">
                  <c:v>27.7</c:v>
                </c:pt>
                <c:pt idx="17">
                  <c:v>25.2</c:v>
                </c:pt>
                <c:pt idx="18">
                  <c:v>30.9</c:v>
                </c:pt>
                <c:pt idx="19">
                  <c:v>33.4</c:v>
                </c:pt>
                <c:pt idx="20">
                  <c:v>34.700000000000003</c:v>
                </c:pt>
                <c:pt idx="21">
                  <c:v>35.299999999999997</c:v>
                </c:pt>
                <c:pt idx="22">
                  <c:v>31.6</c:v>
                </c:pt>
                <c:pt idx="23">
                  <c:v>31</c:v>
                </c:pt>
                <c:pt idx="24">
                  <c:v>29.8</c:v>
                </c:pt>
                <c:pt idx="25">
                  <c:v>23</c:v>
                </c:pt>
                <c:pt idx="26">
                  <c:v>24.8</c:v>
                </c:pt>
                <c:pt idx="27">
                  <c:v>21.3</c:v>
                </c:pt>
                <c:pt idx="28">
                  <c:v>20.2</c:v>
                </c:pt>
                <c:pt idx="29">
                  <c:v>22.2</c:v>
                </c:pt>
                <c:pt idx="30">
                  <c:v>25.3</c:v>
                </c:pt>
                <c:pt idx="31">
                  <c:v>25.1</c:v>
                </c:pt>
                <c:pt idx="32">
                  <c:v>23.9</c:v>
                </c:pt>
                <c:pt idx="33">
                  <c:v>22.2</c:v>
                </c:pt>
                <c:pt idx="34">
                  <c:v>31.2</c:v>
                </c:pt>
                <c:pt idx="35">
                  <c:v>33.799999999999997</c:v>
                </c:pt>
                <c:pt idx="36">
                  <c:v>36.1</c:v>
                </c:pt>
                <c:pt idx="37">
                  <c:v>29.8</c:v>
                </c:pt>
                <c:pt idx="38">
                  <c:v>25.1</c:v>
                </c:pt>
                <c:pt idx="39">
                  <c:v>31.4</c:v>
                </c:pt>
                <c:pt idx="40">
                  <c:v>34.799999999999997</c:v>
                </c:pt>
                <c:pt idx="41">
                  <c:v>34.700000000000003</c:v>
                </c:pt>
                <c:pt idx="42">
                  <c:v>36.9</c:v>
                </c:pt>
                <c:pt idx="43">
                  <c:v>36.4</c:v>
                </c:pt>
                <c:pt idx="44">
                  <c:v>37</c:v>
                </c:pt>
                <c:pt idx="45">
                  <c:v>34.6</c:v>
                </c:pt>
                <c:pt idx="46">
                  <c:v>29</c:v>
                </c:pt>
                <c:pt idx="47">
                  <c:v>30.6</c:v>
                </c:pt>
                <c:pt idx="48">
                  <c:v>27.9</c:v>
                </c:pt>
                <c:pt idx="49">
                  <c:v>30.3</c:v>
                </c:pt>
                <c:pt idx="50">
                  <c:v>28.8</c:v>
                </c:pt>
                <c:pt idx="51">
                  <c:v>22.5</c:v>
                </c:pt>
                <c:pt idx="52">
                  <c:v>30.7</c:v>
                </c:pt>
                <c:pt idx="53">
                  <c:v>35.4</c:v>
                </c:pt>
                <c:pt idx="54">
                  <c:v>34.700000000000003</c:v>
                </c:pt>
                <c:pt idx="55">
                  <c:v>31.3</c:v>
                </c:pt>
                <c:pt idx="56">
                  <c:v>33.1</c:v>
                </c:pt>
                <c:pt idx="57">
                  <c:v>34</c:v>
                </c:pt>
                <c:pt idx="58">
                  <c:v>36.9</c:v>
                </c:pt>
                <c:pt idx="59">
                  <c:v>36.9</c:v>
                </c:pt>
                <c:pt idx="60">
                  <c:v>33.299999999999997</c:v>
                </c:pt>
                <c:pt idx="61">
                  <c:v>34.700000000000003</c:v>
                </c:pt>
                <c:pt idx="62">
                  <c:v>37.1</c:v>
                </c:pt>
                <c:pt idx="63">
                  <c:v>35.4</c:v>
                </c:pt>
                <c:pt idx="64">
                  <c:v>34.9</c:v>
                </c:pt>
                <c:pt idx="65">
                  <c:v>30.5</c:v>
                </c:pt>
                <c:pt idx="66">
                  <c:v>31.3</c:v>
                </c:pt>
                <c:pt idx="67">
                  <c:v>27.7</c:v>
                </c:pt>
                <c:pt idx="68">
                  <c:v>28.5</c:v>
                </c:pt>
                <c:pt idx="69">
                  <c:v>28.2</c:v>
                </c:pt>
                <c:pt idx="70">
                  <c:v>32.5</c:v>
                </c:pt>
                <c:pt idx="71">
                  <c:v>34.4</c:v>
                </c:pt>
                <c:pt idx="72">
                  <c:v>27.4</c:v>
                </c:pt>
                <c:pt idx="73">
                  <c:v>21.4</c:v>
                </c:pt>
                <c:pt idx="74">
                  <c:v>20.100000000000001</c:v>
                </c:pt>
                <c:pt idx="75">
                  <c:v>27.4</c:v>
                </c:pt>
                <c:pt idx="76">
                  <c:v>32.9</c:v>
                </c:pt>
                <c:pt idx="77">
                  <c:v>35.299999999999997</c:v>
                </c:pt>
                <c:pt idx="78">
                  <c:v>28</c:v>
                </c:pt>
                <c:pt idx="79">
                  <c:v>29.8</c:v>
                </c:pt>
                <c:pt idx="80">
                  <c:v>25.7</c:v>
                </c:pt>
                <c:pt idx="81">
                  <c:v>19.899999999999999</c:v>
                </c:pt>
                <c:pt idx="82">
                  <c:v>21.4</c:v>
                </c:pt>
                <c:pt idx="83">
                  <c:v>15.8</c:v>
                </c:pt>
                <c:pt idx="84">
                  <c:v>25.7</c:v>
                </c:pt>
                <c:pt idx="85">
                  <c:v>24.6</c:v>
                </c:pt>
              </c:numCache>
            </c:numRef>
          </c:xVal>
          <c:yVal>
            <c:numRef>
              <c:f>Data!$DL$165:$DL$250</c:f>
              <c:numCache>
                <c:formatCode>General</c:formatCode>
                <c:ptCount val="86"/>
                <c:pt idx="0">
                  <c:v>14.600000381469727</c:v>
                </c:pt>
                <c:pt idx="1">
                  <c:v>11.300000190734863</c:v>
                </c:pt>
                <c:pt idx="2">
                  <c:v>12.800000190734863</c:v>
                </c:pt>
                <c:pt idx="3">
                  <c:v>8.6000003814697266</c:v>
                </c:pt>
                <c:pt idx="4">
                  <c:v>11.199999809265137</c:v>
                </c:pt>
                <c:pt idx="5">
                  <c:v>7.4000000953674316</c:v>
                </c:pt>
                <c:pt idx="6">
                  <c:v>16.299999237060547</c:v>
                </c:pt>
                <c:pt idx="7">
                  <c:v>11.399999618530273</c:v>
                </c:pt>
                <c:pt idx="8">
                  <c:v>10.899999618530273</c:v>
                </c:pt>
                <c:pt idx="9">
                  <c:v>17</c:v>
                </c:pt>
                <c:pt idx="10">
                  <c:v>17.700000762939453</c:v>
                </c:pt>
                <c:pt idx="11">
                  <c:v>12.899999618530273</c:v>
                </c:pt>
                <c:pt idx="12">
                  <c:v>15.100000381469727</c:v>
                </c:pt>
                <c:pt idx="13">
                  <c:v>15.5</c:v>
                </c:pt>
                <c:pt idx="14">
                  <c:v>15.100000381469727</c:v>
                </c:pt>
                <c:pt idx="15">
                  <c:v>15.199999809265137</c:v>
                </c:pt>
                <c:pt idx="16">
                  <c:v>18.299999237060547</c:v>
                </c:pt>
                <c:pt idx="17">
                  <c:v>14.399999618530273</c:v>
                </c:pt>
                <c:pt idx="18">
                  <c:v>19.899999618530273</c:v>
                </c:pt>
                <c:pt idx="19">
                  <c:v>22.299999237060547</c:v>
                </c:pt>
                <c:pt idx="20">
                  <c:v>24.5</c:v>
                </c:pt>
                <c:pt idx="21">
                  <c:v>24.100000381469727</c:v>
                </c:pt>
                <c:pt idx="22">
                  <c:v>21.200000762939453</c:v>
                </c:pt>
                <c:pt idx="23">
                  <c:v>19.899999618530273</c:v>
                </c:pt>
                <c:pt idx="24">
                  <c:v>16.399999618530273</c:v>
                </c:pt>
                <c:pt idx="25">
                  <c:v>11.199999809265137</c:v>
                </c:pt>
                <c:pt idx="26">
                  <c:v>15.600000381469727</c:v>
                </c:pt>
                <c:pt idx="27">
                  <c:v>7.5999999046325684</c:v>
                </c:pt>
                <c:pt idx="28">
                  <c:v>14</c:v>
                </c:pt>
                <c:pt idx="29">
                  <c:v>16.5</c:v>
                </c:pt>
                <c:pt idx="30">
                  <c:v>17.5</c:v>
                </c:pt>
                <c:pt idx="31">
                  <c:v>18</c:v>
                </c:pt>
                <c:pt idx="32">
                  <c:v>15.100000381469727</c:v>
                </c:pt>
                <c:pt idx="33">
                  <c:v>15.699999809265137</c:v>
                </c:pt>
                <c:pt idx="34">
                  <c:v>19.700000762939453</c:v>
                </c:pt>
                <c:pt idx="35">
                  <c:v>23.100000381469727</c:v>
                </c:pt>
                <c:pt idx="36">
                  <c:v>23</c:v>
                </c:pt>
                <c:pt idx="37">
                  <c:v>17.399999618530273</c:v>
                </c:pt>
                <c:pt idx="38">
                  <c:v>15.199999809265137</c:v>
                </c:pt>
                <c:pt idx="39">
                  <c:v>19.600000381469727</c:v>
                </c:pt>
                <c:pt idx="40">
                  <c:v>23.799999237060547</c:v>
                </c:pt>
                <c:pt idx="41">
                  <c:v>24.200000762939453</c:v>
                </c:pt>
                <c:pt idx="42">
                  <c:v>24.299999237060547</c:v>
                </c:pt>
                <c:pt idx="43">
                  <c:v>23.799999237060547</c:v>
                </c:pt>
                <c:pt idx="44">
                  <c:v>25.899999618530273</c:v>
                </c:pt>
                <c:pt idx="45">
                  <c:v>22.299999237060547</c:v>
                </c:pt>
                <c:pt idx="46">
                  <c:v>14.399999618530273</c:v>
                </c:pt>
                <c:pt idx="47">
                  <c:v>20.799999237060547</c:v>
                </c:pt>
                <c:pt idx="48">
                  <c:v>18.200000762939453</c:v>
                </c:pt>
                <c:pt idx="49">
                  <c:v>20.399999618530273</c:v>
                </c:pt>
                <c:pt idx="50">
                  <c:v>16.899999618530273</c:v>
                </c:pt>
                <c:pt idx="51">
                  <c:v>17.700000762939453</c:v>
                </c:pt>
                <c:pt idx="52">
                  <c:v>20.799999237060547</c:v>
                </c:pt>
                <c:pt idx="55">
                  <c:v>20.399999618530273</c:v>
                </c:pt>
                <c:pt idx="56">
                  <c:v>21.100000381469727</c:v>
                </c:pt>
                <c:pt idx="57">
                  <c:v>22.100000381469727</c:v>
                </c:pt>
                <c:pt idx="58">
                  <c:v>24.100000381469727</c:v>
                </c:pt>
                <c:pt idx="59">
                  <c:v>25.899999618530273</c:v>
                </c:pt>
                <c:pt idx="60">
                  <c:v>23</c:v>
                </c:pt>
                <c:pt idx="61">
                  <c:v>23.600000381469727</c:v>
                </c:pt>
                <c:pt idx="62">
                  <c:v>25.600000381469727</c:v>
                </c:pt>
                <c:pt idx="63">
                  <c:v>24.600000381469727</c:v>
                </c:pt>
                <c:pt idx="64">
                  <c:v>23</c:v>
                </c:pt>
                <c:pt idx="65">
                  <c:v>18.299999237060547</c:v>
                </c:pt>
                <c:pt idx="66">
                  <c:v>19</c:v>
                </c:pt>
                <c:pt idx="67">
                  <c:v>17</c:v>
                </c:pt>
                <c:pt idx="68">
                  <c:v>17.799999237060547</c:v>
                </c:pt>
                <c:pt idx="69">
                  <c:v>17.899999618530273</c:v>
                </c:pt>
                <c:pt idx="70">
                  <c:v>21</c:v>
                </c:pt>
                <c:pt idx="71">
                  <c:v>23.399999618530273</c:v>
                </c:pt>
                <c:pt idx="72">
                  <c:v>15.100000381469727</c:v>
                </c:pt>
                <c:pt idx="73">
                  <c:v>11.399999618530273</c:v>
                </c:pt>
                <c:pt idx="74">
                  <c:v>12</c:v>
                </c:pt>
                <c:pt idx="75">
                  <c:v>17</c:v>
                </c:pt>
                <c:pt idx="76">
                  <c:v>23</c:v>
                </c:pt>
                <c:pt idx="77">
                  <c:v>24.299999237060547</c:v>
                </c:pt>
                <c:pt idx="78">
                  <c:v>19.899999618530273</c:v>
                </c:pt>
                <c:pt idx="79">
                  <c:v>20.100000381469727</c:v>
                </c:pt>
                <c:pt idx="80">
                  <c:v>13.699999809265137</c:v>
                </c:pt>
                <c:pt idx="81">
                  <c:v>9.8999996185302734</c:v>
                </c:pt>
                <c:pt idx="82">
                  <c:v>12.300000190734863</c:v>
                </c:pt>
                <c:pt idx="83">
                  <c:v>9.1999998092651367</c:v>
                </c:pt>
                <c:pt idx="84">
                  <c:v>14.100000381469727</c:v>
                </c:pt>
                <c:pt idx="85">
                  <c:v>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5088"/>
        <c:axId val="186511360"/>
      </c:scatterChart>
      <c:valAx>
        <c:axId val="186505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511360"/>
        <c:crosses val="autoZero"/>
        <c:crossBetween val="midCat"/>
      </c:valAx>
      <c:valAx>
        <c:axId val="186511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505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352318460192478"/>
                  <c:y val="-0.10696886847477399"/>
                </c:manualLayout>
              </c:layout>
              <c:numFmt formatCode="General" sourceLinked="0"/>
            </c:trendlineLbl>
          </c:trendline>
          <c:xVal>
            <c:numRef>
              <c:f>Data!$DS$165:$DS$250</c:f>
              <c:numCache>
                <c:formatCode>General</c:formatCode>
                <c:ptCount val="86"/>
                <c:pt idx="0">
                  <c:v>8.6999999999999993</c:v>
                </c:pt>
                <c:pt idx="1">
                  <c:v>11.3</c:v>
                </c:pt>
                <c:pt idx="2">
                  <c:v>10.6</c:v>
                </c:pt>
                <c:pt idx="3">
                  <c:v>8</c:v>
                </c:pt>
                <c:pt idx="4">
                  <c:v>6.9</c:v>
                </c:pt>
                <c:pt idx="5">
                  <c:v>8.8000000000000007</c:v>
                </c:pt>
                <c:pt idx="6">
                  <c:v>9.9</c:v>
                </c:pt>
                <c:pt idx="7">
                  <c:v>10.1</c:v>
                </c:pt>
                <c:pt idx="8">
                  <c:v>7.2</c:v>
                </c:pt>
                <c:pt idx="9">
                  <c:v>2.9</c:v>
                </c:pt>
                <c:pt idx="10">
                  <c:v>5.8</c:v>
                </c:pt>
                <c:pt idx="11">
                  <c:v>9.1</c:v>
                </c:pt>
                <c:pt idx="12">
                  <c:v>10.1</c:v>
                </c:pt>
                <c:pt idx="13">
                  <c:v>9.6</c:v>
                </c:pt>
                <c:pt idx="14">
                  <c:v>12.4</c:v>
                </c:pt>
                <c:pt idx="15">
                  <c:v>8.6999999999999993</c:v>
                </c:pt>
                <c:pt idx="16">
                  <c:v>7.8</c:v>
                </c:pt>
                <c:pt idx="17">
                  <c:v>8.9</c:v>
                </c:pt>
                <c:pt idx="18">
                  <c:v>5.2</c:v>
                </c:pt>
                <c:pt idx="19">
                  <c:v>7.4</c:v>
                </c:pt>
                <c:pt idx="20">
                  <c:v>6.5</c:v>
                </c:pt>
                <c:pt idx="21">
                  <c:v>9.6999999999999993</c:v>
                </c:pt>
                <c:pt idx="22">
                  <c:v>10.199999999999999</c:v>
                </c:pt>
                <c:pt idx="23">
                  <c:v>12.4</c:v>
                </c:pt>
                <c:pt idx="24">
                  <c:v>7.2</c:v>
                </c:pt>
                <c:pt idx="25">
                  <c:v>8.1</c:v>
                </c:pt>
                <c:pt idx="26">
                  <c:v>5.4</c:v>
                </c:pt>
                <c:pt idx="27">
                  <c:v>9.6</c:v>
                </c:pt>
                <c:pt idx="28">
                  <c:v>9.1999999999999993</c:v>
                </c:pt>
                <c:pt idx="29">
                  <c:v>6.8</c:v>
                </c:pt>
                <c:pt idx="30">
                  <c:v>11.7</c:v>
                </c:pt>
                <c:pt idx="31">
                  <c:v>12.3</c:v>
                </c:pt>
                <c:pt idx="32">
                  <c:v>11.5</c:v>
                </c:pt>
                <c:pt idx="33">
                  <c:v>11.4</c:v>
                </c:pt>
                <c:pt idx="34">
                  <c:v>11.3</c:v>
                </c:pt>
                <c:pt idx="35">
                  <c:v>8.9</c:v>
                </c:pt>
                <c:pt idx="36">
                  <c:v>9.1</c:v>
                </c:pt>
                <c:pt idx="37">
                  <c:v>12.3</c:v>
                </c:pt>
                <c:pt idx="38">
                  <c:v>9.5</c:v>
                </c:pt>
                <c:pt idx="39">
                  <c:v>5.5</c:v>
                </c:pt>
                <c:pt idx="40">
                  <c:v>7.1</c:v>
                </c:pt>
                <c:pt idx="41">
                  <c:v>9.4</c:v>
                </c:pt>
                <c:pt idx="42">
                  <c:v>10.9</c:v>
                </c:pt>
                <c:pt idx="43">
                  <c:v>11.6</c:v>
                </c:pt>
                <c:pt idx="44">
                  <c:v>10.7</c:v>
                </c:pt>
                <c:pt idx="45">
                  <c:v>12.3</c:v>
                </c:pt>
                <c:pt idx="46">
                  <c:v>13.9</c:v>
                </c:pt>
                <c:pt idx="47">
                  <c:v>13.2</c:v>
                </c:pt>
                <c:pt idx="48">
                  <c:v>10</c:v>
                </c:pt>
                <c:pt idx="49">
                  <c:v>10.6</c:v>
                </c:pt>
                <c:pt idx="50">
                  <c:v>15.2</c:v>
                </c:pt>
                <c:pt idx="51">
                  <c:v>13.8</c:v>
                </c:pt>
                <c:pt idx="52">
                  <c:v>11.8</c:v>
                </c:pt>
                <c:pt idx="53">
                  <c:v>8.3000000000000007</c:v>
                </c:pt>
                <c:pt idx="54">
                  <c:v>11.3</c:v>
                </c:pt>
                <c:pt idx="55">
                  <c:v>12.4</c:v>
                </c:pt>
                <c:pt idx="56">
                  <c:v>8.8000000000000007</c:v>
                </c:pt>
                <c:pt idx="57">
                  <c:v>12.5</c:v>
                </c:pt>
                <c:pt idx="58">
                  <c:v>12</c:v>
                </c:pt>
                <c:pt idx="59">
                  <c:v>11.7</c:v>
                </c:pt>
                <c:pt idx="60">
                  <c:v>12.2</c:v>
                </c:pt>
                <c:pt idx="61">
                  <c:v>10.3</c:v>
                </c:pt>
                <c:pt idx="62">
                  <c:v>9.3000000000000007</c:v>
                </c:pt>
                <c:pt idx="63">
                  <c:v>11.1</c:v>
                </c:pt>
                <c:pt idx="64">
                  <c:v>8.6999999999999993</c:v>
                </c:pt>
                <c:pt idx="65">
                  <c:v>8.1</c:v>
                </c:pt>
                <c:pt idx="66">
                  <c:v>7.4</c:v>
                </c:pt>
                <c:pt idx="67">
                  <c:v>8.1</c:v>
                </c:pt>
                <c:pt idx="68">
                  <c:v>3.9</c:v>
                </c:pt>
                <c:pt idx="69">
                  <c:v>5.2</c:v>
                </c:pt>
                <c:pt idx="70">
                  <c:v>5</c:v>
                </c:pt>
                <c:pt idx="71">
                  <c:v>5.7</c:v>
                </c:pt>
                <c:pt idx="72">
                  <c:v>6.4</c:v>
                </c:pt>
                <c:pt idx="73">
                  <c:v>9</c:v>
                </c:pt>
                <c:pt idx="74">
                  <c:v>9.1</c:v>
                </c:pt>
                <c:pt idx="75">
                  <c:v>7.1</c:v>
                </c:pt>
                <c:pt idx="76">
                  <c:v>5.4</c:v>
                </c:pt>
                <c:pt idx="77">
                  <c:v>7.3</c:v>
                </c:pt>
                <c:pt idx="78">
                  <c:v>8.8000000000000007</c:v>
                </c:pt>
                <c:pt idx="79">
                  <c:v>8.1</c:v>
                </c:pt>
                <c:pt idx="80">
                  <c:v>10.1</c:v>
                </c:pt>
                <c:pt idx="81">
                  <c:v>4.9000000000000004</c:v>
                </c:pt>
                <c:pt idx="82">
                  <c:v>1.4</c:v>
                </c:pt>
                <c:pt idx="83">
                  <c:v>9.6999999999999993</c:v>
                </c:pt>
                <c:pt idx="84">
                  <c:v>8</c:v>
                </c:pt>
                <c:pt idx="85">
                  <c:v>6.7</c:v>
                </c:pt>
              </c:numCache>
            </c:numRef>
          </c:xVal>
          <c:yVal>
            <c:numRef>
              <c:f>Data!$DM$165:$DM$250</c:f>
              <c:numCache>
                <c:formatCode>General</c:formatCode>
                <c:ptCount val="86"/>
                <c:pt idx="0">
                  <c:v>7.9000000953674316</c:v>
                </c:pt>
                <c:pt idx="1">
                  <c:v>7</c:v>
                </c:pt>
                <c:pt idx="2">
                  <c:v>5.3000001907348633</c:v>
                </c:pt>
                <c:pt idx="3">
                  <c:v>0.5</c:v>
                </c:pt>
                <c:pt idx="4">
                  <c:v>-0.69999998807907104</c:v>
                </c:pt>
                <c:pt idx="5">
                  <c:v>3.7000000476837158</c:v>
                </c:pt>
                <c:pt idx="6">
                  <c:v>5.6999998092651367</c:v>
                </c:pt>
                <c:pt idx="7">
                  <c:v>6.4000000953674316</c:v>
                </c:pt>
                <c:pt idx="8">
                  <c:v>5</c:v>
                </c:pt>
                <c:pt idx="9">
                  <c:v>4.5999999046325684</c:v>
                </c:pt>
                <c:pt idx="10">
                  <c:v>8.3000001907348633</c:v>
                </c:pt>
                <c:pt idx="11">
                  <c:v>6</c:v>
                </c:pt>
                <c:pt idx="12">
                  <c:v>2.7000000476837158</c:v>
                </c:pt>
                <c:pt idx="13">
                  <c:v>8.1999998092651367</c:v>
                </c:pt>
                <c:pt idx="14">
                  <c:v>8</c:v>
                </c:pt>
                <c:pt idx="15">
                  <c:v>7.4000000953674316</c:v>
                </c:pt>
                <c:pt idx="16">
                  <c:v>8.1000003814697266</c:v>
                </c:pt>
                <c:pt idx="17">
                  <c:v>6.1999998092651367</c:v>
                </c:pt>
                <c:pt idx="18">
                  <c:v>7.0999999046325684</c:v>
                </c:pt>
                <c:pt idx="19">
                  <c:v>11.699999809265137</c:v>
                </c:pt>
                <c:pt idx="20">
                  <c:v>13.100000381469727</c:v>
                </c:pt>
                <c:pt idx="21">
                  <c:v>12.600000381469727</c:v>
                </c:pt>
                <c:pt idx="22">
                  <c:v>10.300000190734863</c:v>
                </c:pt>
                <c:pt idx="23">
                  <c:v>9.1000003814697266</c:v>
                </c:pt>
                <c:pt idx="24">
                  <c:v>5.5999999046325684</c:v>
                </c:pt>
                <c:pt idx="25">
                  <c:v>4.4000000953674316</c:v>
                </c:pt>
                <c:pt idx="26">
                  <c:v>4.9000000953674316</c:v>
                </c:pt>
                <c:pt idx="27">
                  <c:v>4.4000000953674316</c:v>
                </c:pt>
                <c:pt idx="28">
                  <c:v>6.4000000953674316</c:v>
                </c:pt>
                <c:pt idx="29">
                  <c:v>7.1999998092651367</c:v>
                </c:pt>
                <c:pt idx="30">
                  <c:v>8.8000001907348633</c:v>
                </c:pt>
                <c:pt idx="31">
                  <c:v>8.8000001907348633</c:v>
                </c:pt>
                <c:pt idx="32">
                  <c:v>8.1999998092651367</c:v>
                </c:pt>
                <c:pt idx="33">
                  <c:v>8.3999996185302734</c:v>
                </c:pt>
                <c:pt idx="34">
                  <c:v>9.5</c:v>
                </c:pt>
                <c:pt idx="35">
                  <c:v>10.399999618530273</c:v>
                </c:pt>
                <c:pt idx="36">
                  <c:v>11.199999809265137</c:v>
                </c:pt>
                <c:pt idx="37">
                  <c:v>7.1999998092651367</c:v>
                </c:pt>
                <c:pt idx="38">
                  <c:v>7.4000000953674316</c:v>
                </c:pt>
                <c:pt idx="39">
                  <c:v>7.6999998092651367</c:v>
                </c:pt>
                <c:pt idx="40">
                  <c:v>10.399999618530273</c:v>
                </c:pt>
                <c:pt idx="41">
                  <c:v>13.899999618530273</c:v>
                </c:pt>
                <c:pt idx="42">
                  <c:v>13.600000381469727</c:v>
                </c:pt>
                <c:pt idx="43">
                  <c:v>12.899999618530273</c:v>
                </c:pt>
                <c:pt idx="44">
                  <c:v>12</c:v>
                </c:pt>
                <c:pt idx="45">
                  <c:v>10.199999809265137</c:v>
                </c:pt>
                <c:pt idx="46">
                  <c:v>9.3000001907348633</c:v>
                </c:pt>
                <c:pt idx="47">
                  <c:v>8.8999996185302734</c:v>
                </c:pt>
                <c:pt idx="48">
                  <c:v>8.6000003814697266</c:v>
                </c:pt>
                <c:pt idx="49">
                  <c:v>8.6000003814697266</c:v>
                </c:pt>
                <c:pt idx="50">
                  <c:v>8.3000001907348633</c:v>
                </c:pt>
                <c:pt idx="51">
                  <c:v>9.6000003814697266</c:v>
                </c:pt>
                <c:pt idx="52">
                  <c:v>8.5</c:v>
                </c:pt>
                <c:pt idx="55">
                  <c:v>11.899999618530273</c:v>
                </c:pt>
                <c:pt idx="56">
                  <c:v>11.199999809265137</c:v>
                </c:pt>
                <c:pt idx="57">
                  <c:v>11.600000381469727</c:v>
                </c:pt>
                <c:pt idx="58">
                  <c:v>13.399999618530273</c:v>
                </c:pt>
                <c:pt idx="59">
                  <c:v>13.5</c:v>
                </c:pt>
                <c:pt idx="60">
                  <c:v>14.199999809265137</c:v>
                </c:pt>
                <c:pt idx="61">
                  <c:v>12.100000381469727</c:v>
                </c:pt>
                <c:pt idx="62">
                  <c:v>13.300000190734863</c:v>
                </c:pt>
                <c:pt idx="63">
                  <c:v>13.100000381469727</c:v>
                </c:pt>
                <c:pt idx="64">
                  <c:v>11.300000190734863</c:v>
                </c:pt>
                <c:pt idx="65">
                  <c:v>8.6000003814697266</c:v>
                </c:pt>
                <c:pt idx="66">
                  <c:v>7.3000001907348633</c:v>
                </c:pt>
                <c:pt idx="67">
                  <c:v>8.1000003814697266</c:v>
                </c:pt>
                <c:pt idx="68">
                  <c:v>6.1999998092651367</c:v>
                </c:pt>
                <c:pt idx="69">
                  <c:v>9.3000001907348633</c:v>
                </c:pt>
                <c:pt idx="70">
                  <c:v>9</c:v>
                </c:pt>
                <c:pt idx="71">
                  <c:v>11.100000381469727</c:v>
                </c:pt>
                <c:pt idx="72">
                  <c:v>6.3000001907348633</c:v>
                </c:pt>
                <c:pt idx="73">
                  <c:v>5.3000001907348633</c:v>
                </c:pt>
                <c:pt idx="74">
                  <c:v>4.8000001907348633</c:v>
                </c:pt>
                <c:pt idx="75">
                  <c:v>4.9000000953674316</c:v>
                </c:pt>
                <c:pt idx="76">
                  <c:v>8.6999998092651367</c:v>
                </c:pt>
                <c:pt idx="77">
                  <c:v>12.800000190734863</c:v>
                </c:pt>
                <c:pt idx="78">
                  <c:v>12.800000190734863</c:v>
                </c:pt>
                <c:pt idx="79">
                  <c:v>10.600000381469727</c:v>
                </c:pt>
                <c:pt idx="80">
                  <c:v>5.1999998092651367</c:v>
                </c:pt>
                <c:pt idx="81">
                  <c:v>3.7000000476837158</c:v>
                </c:pt>
                <c:pt idx="82">
                  <c:v>2.4000000953674316</c:v>
                </c:pt>
                <c:pt idx="83">
                  <c:v>6.3000001907348633</c:v>
                </c:pt>
                <c:pt idx="84">
                  <c:v>6.6999998092651367</c:v>
                </c:pt>
                <c:pt idx="85">
                  <c:v>6.5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53056"/>
        <c:axId val="229863424"/>
      </c:scatterChart>
      <c:valAx>
        <c:axId val="229853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63424"/>
        <c:crosses val="autoZero"/>
        <c:crossBetween val="midCat"/>
      </c:valAx>
      <c:valAx>
        <c:axId val="229863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530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Malakwa</c:v>
          </c:tx>
          <c:marker>
            <c:symbol val="none"/>
          </c:marker>
          <c:cat>
            <c:numRef>
              <c:f>Data!$B$165:$B$283</c:f>
              <c:numCache>
                <c:formatCode>General</c:formatCode>
                <c:ptCount val="119"/>
                <c:pt idx="0">
                  <c:v>159</c:v>
                </c:pt>
                <c:pt idx="1">
                  <c:v>160</c:v>
                </c:pt>
                <c:pt idx="2">
                  <c:v>161</c:v>
                </c:pt>
                <c:pt idx="3">
                  <c:v>162</c:v>
                </c:pt>
                <c:pt idx="4">
                  <c:v>163</c:v>
                </c:pt>
                <c:pt idx="5">
                  <c:v>164</c:v>
                </c:pt>
                <c:pt idx="6">
                  <c:v>165</c:v>
                </c:pt>
                <c:pt idx="7">
                  <c:v>166</c:v>
                </c:pt>
                <c:pt idx="8">
                  <c:v>167</c:v>
                </c:pt>
                <c:pt idx="9">
                  <c:v>168</c:v>
                </c:pt>
                <c:pt idx="10">
                  <c:v>169</c:v>
                </c:pt>
                <c:pt idx="11">
                  <c:v>170</c:v>
                </c:pt>
                <c:pt idx="12">
                  <c:v>171</c:v>
                </c:pt>
                <c:pt idx="13">
                  <c:v>172</c:v>
                </c:pt>
                <c:pt idx="14">
                  <c:v>173</c:v>
                </c:pt>
                <c:pt idx="15">
                  <c:v>174</c:v>
                </c:pt>
                <c:pt idx="16">
                  <c:v>175</c:v>
                </c:pt>
                <c:pt idx="17">
                  <c:v>176</c:v>
                </c:pt>
                <c:pt idx="18">
                  <c:v>177</c:v>
                </c:pt>
                <c:pt idx="19">
                  <c:v>178</c:v>
                </c:pt>
                <c:pt idx="20">
                  <c:v>179</c:v>
                </c:pt>
                <c:pt idx="21">
                  <c:v>180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191</c:v>
                </c:pt>
                <c:pt idx="33">
                  <c:v>192</c:v>
                </c:pt>
                <c:pt idx="34">
                  <c:v>193</c:v>
                </c:pt>
                <c:pt idx="35">
                  <c:v>194</c:v>
                </c:pt>
                <c:pt idx="36">
                  <c:v>195</c:v>
                </c:pt>
                <c:pt idx="37">
                  <c:v>196</c:v>
                </c:pt>
                <c:pt idx="38">
                  <c:v>197</c:v>
                </c:pt>
                <c:pt idx="39">
                  <c:v>198</c:v>
                </c:pt>
                <c:pt idx="40">
                  <c:v>199</c:v>
                </c:pt>
                <c:pt idx="41">
                  <c:v>200</c:v>
                </c:pt>
                <c:pt idx="42">
                  <c:v>201</c:v>
                </c:pt>
                <c:pt idx="43">
                  <c:v>202</c:v>
                </c:pt>
                <c:pt idx="44">
                  <c:v>203</c:v>
                </c:pt>
                <c:pt idx="45">
                  <c:v>204</c:v>
                </c:pt>
                <c:pt idx="46">
                  <c:v>205</c:v>
                </c:pt>
                <c:pt idx="47">
                  <c:v>206</c:v>
                </c:pt>
                <c:pt idx="48">
                  <c:v>207</c:v>
                </c:pt>
                <c:pt idx="49">
                  <c:v>208</c:v>
                </c:pt>
                <c:pt idx="50">
                  <c:v>209</c:v>
                </c:pt>
                <c:pt idx="51">
                  <c:v>210</c:v>
                </c:pt>
                <c:pt idx="52">
                  <c:v>211</c:v>
                </c:pt>
                <c:pt idx="53">
                  <c:v>212</c:v>
                </c:pt>
                <c:pt idx="54">
                  <c:v>213</c:v>
                </c:pt>
                <c:pt idx="55">
                  <c:v>214</c:v>
                </c:pt>
                <c:pt idx="56">
                  <c:v>215</c:v>
                </c:pt>
                <c:pt idx="57">
                  <c:v>216</c:v>
                </c:pt>
                <c:pt idx="58">
                  <c:v>217</c:v>
                </c:pt>
                <c:pt idx="59">
                  <c:v>218</c:v>
                </c:pt>
                <c:pt idx="60">
                  <c:v>219</c:v>
                </c:pt>
                <c:pt idx="61">
                  <c:v>220</c:v>
                </c:pt>
                <c:pt idx="62">
                  <c:v>221</c:v>
                </c:pt>
                <c:pt idx="63">
                  <c:v>222</c:v>
                </c:pt>
                <c:pt idx="64">
                  <c:v>223</c:v>
                </c:pt>
                <c:pt idx="65">
                  <c:v>224</c:v>
                </c:pt>
                <c:pt idx="66">
                  <c:v>225</c:v>
                </c:pt>
                <c:pt idx="67">
                  <c:v>226</c:v>
                </c:pt>
                <c:pt idx="68">
                  <c:v>227</c:v>
                </c:pt>
                <c:pt idx="69">
                  <c:v>228</c:v>
                </c:pt>
                <c:pt idx="70">
                  <c:v>229</c:v>
                </c:pt>
                <c:pt idx="71">
                  <c:v>230</c:v>
                </c:pt>
                <c:pt idx="72">
                  <c:v>231</c:v>
                </c:pt>
                <c:pt idx="73">
                  <c:v>232</c:v>
                </c:pt>
                <c:pt idx="74">
                  <c:v>233</c:v>
                </c:pt>
                <c:pt idx="75">
                  <c:v>234</c:v>
                </c:pt>
                <c:pt idx="76">
                  <c:v>235</c:v>
                </c:pt>
                <c:pt idx="77">
                  <c:v>236</c:v>
                </c:pt>
                <c:pt idx="78">
                  <c:v>237</c:v>
                </c:pt>
                <c:pt idx="79">
                  <c:v>238</c:v>
                </c:pt>
                <c:pt idx="80">
                  <c:v>239</c:v>
                </c:pt>
                <c:pt idx="81">
                  <c:v>240</c:v>
                </c:pt>
                <c:pt idx="82">
                  <c:v>241</c:v>
                </c:pt>
                <c:pt idx="83">
                  <c:v>242</c:v>
                </c:pt>
                <c:pt idx="84">
                  <c:v>243</c:v>
                </c:pt>
                <c:pt idx="85">
                  <c:v>244</c:v>
                </c:pt>
                <c:pt idx="86">
                  <c:v>245</c:v>
                </c:pt>
                <c:pt idx="87">
                  <c:v>246</c:v>
                </c:pt>
                <c:pt idx="88">
                  <c:v>247</c:v>
                </c:pt>
                <c:pt idx="89">
                  <c:v>248</c:v>
                </c:pt>
                <c:pt idx="90">
                  <c:v>249</c:v>
                </c:pt>
                <c:pt idx="91">
                  <c:v>250</c:v>
                </c:pt>
                <c:pt idx="92">
                  <c:v>251</c:v>
                </c:pt>
                <c:pt idx="93">
                  <c:v>252</c:v>
                </c:pt>
                <c:pt idx="94">
                  <c:v>253</c:v>
                </c:pt>
                <c:pt idx="95">
                  <c:v>254</c:v>
                </c:pt>
                <c:pt idx="96">
                  <c:v>255</c:v>
                </c:pt>
                <c:pt idx="97">
                  <c:v>256</c:v>
                </c:pt>
                <c:pt idx="98">
                  <c:v>257</c:v>
                </c:pt>
                <c:pt idx="99">
                  <c:v>258</c:v>
                </c:pt>
                <c:pt idx="100">
                  <c:v>259</c:v>
                </c:pt>
                <c:pt idx="101">
                  <c:v>260</c:v>
                </c:pt>
                <c:pt idx="102">
                  <c:v>261</c:v>
                </c:pt>
                <c:pt idx="103">
                  <c:v>262</c:v>
                </c:pt>
                <c:pt idx="104">
                  <c:v>263</c:v>
                </c:pt>
                <c:pt idx="105">
                  <c:v>264</c:v>
                </c:pt>
                <c:pt idx="106">
                  <c:v>265</c:v>
                </c:pt>
                <c:pt idx="107">
                  <c:v>266</c:v>
                </c:pt>
                <c:pt idx="108">
                  <c:v>267</c:v>
                </c:pt>
                <c:pt idx="109">
                  <c:v>268</c:v>
                </c:pt>
                <c:pt idx="110">
                  <c:v>269</c:v>
                </c:pt>
                <c:pt idx="111">
                  <c:v>270</c:v>
                </c:pt>
                <c:pt idx="112">
                  <c:v>271</c:v>
                </c:pt>
                <c:pt idx="113">
                  <c:v>272</c:v>
                </c:pt>
                <c:pt idx="114">
                  <c:v>273</c:v>
                </c:pt>
                <c:pt idx="115">
                  <c:v>274</c:v>
                </c:pt>
                <c:pt idx="116">
                  <c:v>275</c:v>
                </c:pt>
                <c:pt idx="117">
                  <c:v>276</c:v>
                </c:pt>
                <c:pt idx="118">
                  <c:v>277</c:v>
                </c:pt>
              </c:numCache>
            </c:numRef>
          </c:cat>
          <c:val>
            <c:numRef>
              <c:f>Data!$DR$165:$DR$283</c:f>
              <c:numCache>
                <c:formatCode>General</c:formatCode>
                <c:ptCount val="119"/>
                <c:pt idx="0">
                  <c:v>23.6</c:v>
                </c:pt>
                <c:pt idx="1">
                  <c:v>21.1</c:v>
                </c:pt>
                <c:pt idx="2">
                  <c:v>20.7</c:v>
                </c:pt>
                <c:pt idx="3">
                  <c:v>18.3</c:v>
                </c:pt>
                <c:pt idx="4">
                  <c:v>20.3</c:v>
                </c:pt>
                <c:pt idx="5">
                  <c:v>16.3</c:v>
                </c:pt>
                <c:pt idx="6">
                  <c:v>16.899999999999999</c:v>
                </c:pt>
                <c:pt idx="7">
                  <c:v>17.7</c:v>
                </c:pt>
                <c:pt idx="8">
                  <c:v>21.6</c:v>
                </c:pt>
                <c:pt idx="9">
                  <c:v>27</c:v>
                </c:pt>
                <c:pt idx="10">
                  <c:v>24.7</c:v>
                </c:pt>
                <c:pt idx="11">
                  <c:v>23.9</c:v>
                </c:pt>
                <c:pt idx="12">
                  <c:v>26.7</c:v>
                </c:pt>
                <c:pt idx="13">
                  <c:v>24.4</c:v>
                </c:pt>
                <c:pt idx="14">
                  <c:v>25.4</c:v>
                </c:pt>
                <c:pt idx="15">
                  <c:v>24.9</c:v>
                </c:pt>
                <c:pt idx="16">
                  <c:v>27.7</c:v>
                </c:pt>
                <c:pt idx="17">
                  <c:v>25.2</c:v>
                </c:pt>
                <c:pt idx="18">
                  <c:v>30.9</c:v>
                </c:pt>
                <c:pt idx="19">
                  <c:v>33.4</c:v>
                </c:pt>
                <c:pt idx="20">
                  <c:v>34.700000000000003</c:v>
                </c:pt>
                <c:pt idx="21">
                  <c:v>35.299999999999997</c:v>
                </c:pt>
                <c:pt idx="22">
                  <c:v>31.6</c:v>
                </c:pt>
                <c:pt idx="23">
                  <c:v>31</c:v>
                </c:pt>
                <c:pt idx="24">
                  <c:v>29.8</c:v>
                </c:pt>
                <c:pt idx="25">
                  <c:v>23</c:v>
                </c:pt>
                <c:pt idx="26">
                  <c:v>24.8</c:v>
                </c:pt>
                <c:pt idx="27">
                  <c:v>21.3</c:v>
                </c:pt>
                <c:pt idx="28">
                  <c:v>20.2</c:v>
                </c:pt>
                <c:pt idx="29">
                  <c:v>22.2</c:v>
                </c:pt>
                <c:pt idx="30">
                  <c:v>25.3</c:v>
                </c:pt>
                <c:pt idx="31">
                  <c:v>25.1</c:v>
                </c:pt>
                <c:pt idx="32">
                  <c:v>23.9</c:v>
                </c:pt>
                <c:pt idx="33">
                  <c:v>22.2</c:v>
                </c:pt>
                <c:pt idx="34">
                  <c:v>31.2</c:v>
                </c:pt>
                <c:pt idx="35">
                  <c:v>33.799999999999997</c:v>
                </c:pt>
                <c:pt idx="36">
                  <c:v>36.1</c:v>
                </c:pt>
                <c:pt idx="37">
                  <c:v>29.8</c:v>
                </c:pt>
                <c:pt idx="38">
                  <c:v>25.1</c:v>
                </c:pt>
                <c:pt idx="39">
                  <c:v>31.4</c:v>
                </c:pt>
                <c:pt idx="40">
                  <c:v>34.799999999999997</c:v>
                </c:pt>
                <c:pt idx="41">
                  <c:v>34.700000000000003</c:v>
                </c:pt>
                <c:pt idx="42">
                  <c:v>36.9</c:v>
                </c:pt>
                <c:pt idx="43">
                  <c:v>36.4</c:v>
                </c:pt>
                <c:pt idx="44">
                  <c:v>37</c:v>
                </c:pt>
                <c:pt idx="45">
                  <c:v>34.6</c:v>
                </c:pt>
                <c:pt idx="46">
                  <c:v>29</c:v>
                </c:pt>
                <c:pt idx="47">
                  <c:v>30.6</c:v>
                </c:pt>
                <c:pt idx="48">
                  <c:v>27.9</c:v>
                </c:pt>
                <c:pt idx="49">
                  <c:v>30.3</c:v>
                </c:pt>
                <c:pt idx="50">
                  <c:v>28.8</c:v>
                </c:pt>
                <c:pt idx="51">
                  <c:v>22.5</c:v>
                </c:pt>
                <c:pt idx="52">
                  <c:v>30.7</c:v>
                </c:pt>
                <c:pt idx="53">
                  <c:v>35.4</c:v>
                </c:pt>
                <c:pt idx="54">
                  <c:v>34.700000000000003</c:v>
                </c:pt>
                <c:pt idx="55">
                  <c:v>31.3</c:v>
                </c:pt>
                <c:pt idx="56">
                  <c:v>33.1</c:v>
                </c:pt>
                <c:pt idx="57">
                  <c:v>34</c:v>
                </c:pt>
                <c:pt idx="58">
                  <c:v>36.9</c:v>
                </c:pt>
                <c:pt idx="59">
                  <c:v>36.9</c:v>
                </c:pt>
                <c:pt idx="60">
                  <c:v>33.299999999999997</c:v>
                </c:pt>
                <c:pt idx="61">
                  <c:v>34.700000000000003</c:v>
                </c:pt>
                <c:pt idx="62">
                  <c:v>37.1</c:v>
                </c:pt>
                <c:pt idx="63">
                  <c:v>35.4</c:v>
                </c:pt>
                <c:pt idx="64">
                  <c:v>34.9</c:v>
                </c:pt>
                <c:pt idx="65">
                  <c:v>30.5</c:v>
                </c:pt>
                <c:pt idx="66">
                  <c:v>31.3</c:v>
                </c:pt>
                <c:pt idx="67">
                  <c:v>27.7</c:v>
                </c:pt>
                <c:pt idx="68">
                  <c:v>28.5</c:v>
                </c:pt>
                <c:pt idx="69">
                  <c:v>28.2</c:v>
                </c:pt>
                <c:pt idx="70">
                  <c:v>32.5</c:v>
                </c:pt>
                <c:pt idx="71">
                  <c:v>34.4</c:v>
                </c:pt>
                <c:pt idx="72">
                  <c:v>27.4</c:v>
                </c:pt>
                <c:pt idx="73">
                  <c:v>21.4</c:v>
                </c:pt>
                <c:pt idx="74">
                  <c:v>20.100000000000001</c:v>
                </c:pt>
                <c:pt idx="75">
                  <c:v>27.4</c:v>
                </c:pt>
                <c:pt idx="76">
                  <c:v>32.9</c:v>
                </c:pt>
                <c:pt idx="77">
                  <c:v>35.299999999999997</c:v>
                </c:pt>
                <c:pt idx="78">
                  <c:v>28</c:v>
                </c:pt>
                <c:pt idx="79">
                  <c:v>29.8</c:v>
                </c:pt>
                <c:pt idx="80">
                  <c:v>25.7</c:v>
                </c:pt>
                <c:pt idx="81">
                  <c:v>19.899999999999999</c:v>
                </c:pt>
                <c:pt idx="82">
                  <c:v>21.4</c:v>
                </c:pt>
                <c:pt idx="83">
                  <c:v>15.8</c:v>
                </c:pt>
                <c:pt idx="84">
                  <c:v>25.7</c:v>
                </c:pt>
                <c:pt idx="85">
                  <c:v>24.6</c:v>
                </c:pt>
                <c:pt idx="86">
                  <c:v>21.7</c:v>
                </c:pt>
                <c:pt idx="87">
                  <c:v>17.100000000000001</c:v>
                </c:pt>
                <c:pt idx="88">
                  <c:v>13.6</c:v>
                </c:pt>
                <c:pt idx="89">
                  <c:v>21.9</c:v>
                </c:pt>
                <c:pt idx="90">
                  <c:v>16</c:v>
                </c:pt>
                <c:pt idx="91">
                  <c:v>24.6</c:v>
                </c:pt>
                <c:pt idx="92">
                  <c:v>18.399999999999999</c:v>
                </c:pt>
                <c:pt idx="93">
                  <c:v>13.1</c:v>
                </c:pt>
                <c:pt idx="94">
                  <c:v>10</c:v>
                </c:pt>
                <c:pt idx="95">
                  <c:v>20.100000000000001</c:v>
                </c:pt>
                <c:pt idx="96">
                  <c:v>17.899999999999999</c:v>
                </c:pt>
                <c:pt idx="97">
                  <c:v>22.3</c:v>
                </c:pt>
                <c:pt idx="98">
                  <c:v>26.4</c:v>
                </c:pt>
                <c:pt idx="99">
                  <c:v>28.1</c:v>
                </c:pt>
                <c:pt idx="100">
                  <c:v>27</c:v>
                </c:pt>
                <c:pt idx="101">
                  <c:v>28.5</c:v>
                </c:pt>
                <c:pt idx="102">
                  <c:v>25.3</c:v>
                </c:pt>
                <c:pt idx="103">
                  <c:v>22.6</c:v>
                </c:pt>
                <c:pt idx="104">
                  <c:v>24.5</c:v>
                </c:pt>
                <c:pt idx="105">
                  <c:v>14.9</c:v>
                </c:pt>
                <c:pt idx="106">
                  <c:v>18.100000000000001</c:v>
                </c:pt>
                <c:pt idx="107">
                  <c:v>17</c:v>
                </c:pt>
                <c:pt idx="108">
                  <c:v>18.8</c:v>
                </c:pt>
                <c:pt idx="109">
                  <c:v>21.6</c:v>
                </c:pt>
                <c:pt idx="110">
                  <c:v>23</c:v>
                </c:pt>
                <c:pt idx="111">
                  <c:v>25.3</c:v>
                </c:pt>
                <c:pt idx="112">
                  <c:v>25.5</c:v>
                </c:pt>
                <c:pt idx="113">
                  <c:v>22.2</c:v>
                </c:pt>
                <c:pt idx="114">
                  <c:v>16.3</c:v>
                </c:pt>
                <c:pt idx="115">
                  <c:v>21.4</c:v>
                </c:pt>
                <c:pt idx="116">
                  <c:v>19.3</c:v>
                </c:pt>
                <c:pt idx="117">
                  <c:v>16.100000000000001</c:v>
                </c:pt>
                <c:pt idx="118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Data!$B$165:$B$283</c:f>
              <c:numCache>
                <c:formatCode>General</c:formatCode>
                <c:ptCount val="119"/>
                <c:pt idx="0">
                  <c:v>159</c:v>
                </c:pt>
                <c:pt idx="1">
                  <c:v>160</c:v>
                </c:pt>
                <c:pt idx="2">
                  <c:v>161</c:v>
                </c:pt>
                <c:pt idx="3">
                  <c:v>162</c:v>
                </c:pt>
                <c:pt idx="4">
                  <c:v>163</c:v>
                </c:pt>
                <c:pt idx="5">
                  <c:v>164</c:v>
                </c:pt>
                <c:pt idx="6">
                  <c:v>165</c:v>
                </c:pt>
                <c:pt idx="7">
                  <c:v>166</c:v>
                </c:pt>
                <c:pt idx="8">
                  <c:v>167</c:v>
                </c:pt>
                <c:pt idx="9">
                  <c:v>168</c:v>
                </c:pt>
                <c:pt idx="10">
                  <c:v>169</c:v>
                </c:pt>
                <c:pt idx="11">
                  <c:v>170</c:v>
                </c:pt>
                <c:pt idx="12">
                  <c:v>171</c:v>
                </c:pt>
                <c:pt idx="13">
                  <c:v>172</c:v>
                </c:pt>
                <c:pt idx="14">
                  <c:v>173</c:v>
                </c:pt>
                <c:pt idx="15">
                  <c:v>174</c:v>
                </c:pt>
                <c:pt idx="16">
                  <c:v>175</c:v>
                </c:pt>
                <c:pt idx="17">
                  <c:v>176</c:v>
                </c:pt>
                <c:pt idx="18">
                  <c:v>177</c:v>
                </c:pt>
                <c:pt idx="19">
                  <c:v>178</c:v>
                </c:pt>
                <c:pt idx="20">
                  <c:v>179</c:v>
                </c:pt>
                <c:pt idx="21">
                  <c:v>180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191</c:v>
                </c:pt>
                <c:pt idx="33">
                  <c:v>192</c:v>
                </c:pt>
                <c:pt idx="34">
                  <c:v>193</c:v>
                </c:pt>
                <c:pt idx="35">
                  <c:v>194</c:v>
                </c:pt>
                <c:pt idx="36">
                  <c:v>195</c:v>
                </c:pt>
                <c:pt idx="37">
                  <c:v>196</c:v>
                </c:pt>
                <c:pt idx="38">
                  <c:v>197</c:v>
                </c:pt>
                <c:pt idx="39">
                  <c:v>198</c:v>
                </c:pt>
                <c:pt idx="40">
                  <c:v>199</c:v>
                </c:pt>
                <c:pt idx="41">
                  <c:v>200</c:v>
                </c:pt>
                <c:pt idx="42">
                  <c:v>201</c:v>
                </c:pt>
                <c:pt idx="43">
                  <c:v>202</c:v>
                </c:pt>
                <c:pt idx="44">
                  <c:v>203</c:v>
                </c:pt>
                <c:pt idx="45">
                  <c:v>204</c:v>
                </c:pt>
                <c:pt idx="46">
                  <c:v>205</c:v>
                </c:pt>
                <c:pt idx="47">
                  <c:v>206</c:v>
                </c:pt>
                <c:pt idx="48">
                  <c:v>207</c:v>
                </c:pt>
                <c:pt idx="49">
                  <c:v>208</c:v>
                </c:pt>
                <c:pt idx="50">
                  <c:v>209</c:v>
                </c:pt>
                <c:pt idx="51">
                  <c:v>210</c:v>
                </c:pt>
                <c:pt idx="52">
                  <c:v>211</c:v>
                </c:pt>
                <c:pt idx="53">
                  <c:v>212</c:v>
                </c:pt>
                <c:pt idx="54">
                  <c:v>213</c:v>
                </c:pt>
                <c:pt idx="55">
                  <c:v>214</c:v>
                </c:pt>
                <c:pt idx="56">
                  <c:v>215</c:v>
                </c:pt>
                <c:pt idx="57">
                  <c:v>216</c:v>
                </c:pt>
                <c:pt idx="58">
                  <c:v>217</c:v>
                </c:pt>
                <c:pt idx="59">
                  <c:v>218</c:v>
                </c:pt>
                <c:pt idx="60">
                  <c:v>219</c:v>
                </c:pt>
                <c:pt idx="61">
                  <c:v>220</c:v>
                </c:pt>
                <c:pt idx="62">
                  <c:v>221</c:v>
                </c:pt>
                <c:pt idx="63">
                  <c:v>222</c:v>
                </c:pt>
                <c:pt idx="64">
                  <c:v>223</c:v>
                </c:pt>
                <c:pt idx="65">
                  <c:v>224</c:v>
                </c:pt>
                <c:pt idx="66">
                  <c:v>225</c:v>
                </c:pt>
                <c:pt idx="67">
                  <c:v>226</c:v>
                </c:pt>
                <c:pt idx="68">
                  <c:v>227</c:v>
                </c:pt>
                <c:pt idx="69">
                  <c:v>228</c:v>
                </c:pt>
                <c:pt idx="70">
                  <c:v>229</c:v>
                </c:pt>
                <c:pt idx="71">
                  <c:v>230</c:v>
                </c:pt>
                <c:pt idx="72">
                  <c:v>231</c:v>
                </c:pt>
                <c:pt idx="73">
                  <c:v>232</c:v>
                </c:pt>
                <c:pt idx="74">
                  <c:v>233</c:v>
                </c:pt>
                <c:pt idx="75">
                  <c:v>234</c:v>
                </c:pt>
                <c:pt idx="76">
                  <c:v>235</c:v>
                </c:pt>
                <c:pt idx="77">
                  <c:v>236</c:v>
                </c:pt>
                <c:pt idx="78">
                  <c:v>237</c:v>
                </c:pt>
                <c:pt idx="79">
                  <c:v>238</c:v>
                </c:pt>
                <c:pt idx="80">
                  <c:v>239</c:v>
                </c:pt>
                <c:pt idx="81">
                  <c:v>240</c:v>
                </c:pt>
                <c:pt idx="82">
                  <c:v>241</c:v>
                </c:pt>
                <c:pt idx="83">
                  <c:v>242</c:v>
                </c:pt>
                <c:pt idx="84">
                  <c:v>243</c:v>
                </c:pt>
                <c:pt idx="85">
                  <c:v>244</c:v>
                </c:pt>
                <c:pt idx="86">
                  <c:v>245</c:v>
                </c:pt>
                <c:pt idx="87">
                  <c:v>246</c:v>
                </c:pt>
                <c:pt idx="88">
                  <c:v>247</c:v>
                </c:pt>
                <c:pt idx="89">
                  <c:v>248</c:v>
                </c:pt>
                <c:pt idx="90">
                  <c:v>249</c:v>
                </c:pt>
                <c:pt idx="91">
                  <c:v>250</c:v>
                </c:pt>
                <c:pt idx="92">
                  <c:v>251</c:v>
                </c:pt>
                <c:pt idx="93">
                  <c:v>252</c:v>
                </c:pt>
                <c:pt idx="94">
                  <c:v>253</c:v>
                </c:pt>
                <c:pt idx="95">
                  <c:v>254</c:v>
                </c:pt>
                <c:pt idx="96">
                  <c:v>255</c:v>
                </c:pt>
                <c:pt idx="97">
                  <c:v>256</c:v>
                </c:pt>
                <c:pt idx="98">
                  <c:v>257</c:v>
                </c:pt>
                <c:pt idx="99">
                  <c:v>258</c:v>
                </c:pt>
                <c:pt idx="100">
                  <c:v>259</c:v>
                </c:pt>
                <c:pt idx="101">
                  <c:v>260</c:v>
                </c:pt>
                <c:pt idx="102">
                  <c:v>261</c:v>
                </c:pt>
                <c:pt idx="103">
                  <c:v>262</c:v>
                </c:pt>
                <c:pt idx="104">
                  <c:v>263</c:v>
                </c:pt>
                <c:pt idx="105">
                  <c:v>264</c:v>
                </c:pt>
                <c:pt idx="106">
                  <c:v>265</c:v>
                </c:pt>
                <c:pt idx="107">
                  <c:v>266</c:v>
                </c:pt>
                <c:pt idx="108">
                  <c:v>267</c:v>
                </c:pt>
                <c:pt idx="109">
                  <c:v>268</c:v>
                </c:pt>
                <c:pt idx="110">
                  <c:v>269</c:v>
                </c:pt>
                <c:pt idx="111">
                  <c:v>270</c:v>
                </c:pt>
                <c:pt idx="112">
                  <c:v>271</c:v>
                </c:pt>
                <c:pt idx="113">
                  <c:v>272</c:v>
                </c:pt>
                <c:pt idx="114">
                  <c:v>273</c:v>
                </c:pt>
                <c:pt idx="115">
                  <c:v>274</c:v>
                </c:pt>
                <c:pt idx="116">
                  <c:v>275</c:v>
                </c:pt>
                <c:pt idx="117">
                  <c:v>276</c:v>
                </c:pt>
                <c:pt idx="118">
                  <c:v>277</c:v>
                </c:pt>
              </c:numCache>
            </c:numRef>
          </c:cat>
          <c:val>
            <c:numRef>
              <c:f>Data!$DL$165:$DL$283</c:f>
              <c:numCache>
                <c:formatCode>General</c:formatCode>
                <c:ptCount val="119"/>
                <c:pt idx="0">
                  <c:v>14.600000381469727</c:v>
                </c:pt>
                <c:pt idx="1">
                  <c:v>11.300000190734863</c:v>
                </c:pt>
                <c:pt idx="2">
                  <c:v>12.800000190734863</c:v>
                </c:pt>
                <c:pt idx="3">
                  <c:v>8.6000003814697266</c:v>
                </c:pt>
                <c:pt idx="4">
                  <c:v>11.199999809265137</c:v>
                </c:pt>
                <c:pt idx="5">
                  <c:v>7.4000000953674316</c:v>
                </c:pt>
                <c:pt idx="6">
                  <c:v>16.299999237060547</c:v>
                </c:pt>
                <c:pt idx="7">
                  <c:v>11.399999618530273</c:v>
                </c:pt>
                <c:pt idx="8">
                  <c:v>10.899999618530273</c:v>
                </c:pt>
                <c:pt idx="9">
                  <c:v>17</c:v>
                </c:pt>
                <c:pt idx="10">
                  <c:v>17.700000762939453</c:v>
                </c:pt>
                <c:pt idx="11">
                  <c:v>12.899999618530273</c:v>
                </c:pt>
                <c:pt idx="12">
                  <c:v>15.100000381469727</c:v>
                </c:pt>
                <c:pt idx="13">
                  <c:v>15.5</c:v>
                </c:pt>
                <c:pt idx="14">
                  <c:v>15.100000381469727</c:v>
                </c:pt>
                <c:pt idx="15">
                  <c:v>15.199999809265137</c:v>
                </c:pt>
                <c:pt idx="16">
                  <c:v>18.299999237060547</c:v>
                </c:pt>
                <c:pt idx="17">
                  <c:v>14.399999618530273</c:v>
                </c:pt>
                <c:pt idx="18">
                  <c:v>19.899999618530273</c:v>
                </c:pt>
                <c:pt idx="19">
                  <c:v>22.299999237060547</c:v>
                </c:pt>
                <c:pt idx="20">
                  <c:v>24.5</c:v>
                </c:pt>
                <c:pt idx="21">
                  <c:v>24.100000381469727</c:v>
                </c:pt>
                <c:pt idx="22">
                  <c:v>21.200000762939453</c:v>
                </c:pt>
                <c:pt idx="23">
                  <c:v>19.899999618530273</c:v>
                </c:pt>
                <c:pt idx="24">
                  <c:v>16.399999618530273</c:v>
                </c:pt>
                <c:pt idx="25">
                  <c:v>11.199999809265137</c:v>
                </c:pt>
                <c:pt idx="26">
                  <c:v>15.600000381469727</c:v>
                </c:pt>
                <c:pt idx="27">
                  <c:v>7.5999999046325684</c:v>
                </c:pt>
                <c:pt idx="28">
                  <c:v>14</c:v>
                </c:pt>
                <c:pt idx="29">
                  <c:v>16.5</c:v>
                </c:pt>
                <c:pt idx="30">
                  <c:v>17.5</c:v>
                </c:pt>
                <c:pt idx="31">
                  <c:v>18</c:v>
                </c:pt>
                <c:pt idx="32">
                  <c:v>15.100000381469727</c:v>
                </c:pt>
                <c:pt idx="33">
                  <c:v>15.699999809265137</c:v>
                </c:pt>
                <c:pt idx="34">
                  <c:v>19.700000762939453</c:v>
                </c:pt>
                <c:pt idx="35">
                  <c:v>23.100000381469727</c:v>
                </c:pt>
                <c:pt idx="36">
                  <c:v>23</c:v>
                </c:pt>
                <c:pt idx="37">
                  <c:v>17.399999618530273</c:v>
                </c:pt>
                <c:pt idx="38">
                  <c:v>15.199999809265137</c:v>
                </c:pt>
                <c:pt idx="39">
                  <c:v>19.600000381469727</c:v>
                </c:pt>
                <c:pt idx="40">
                  <c:v>23.799999237060547</c:v>
                </c:pt>
                <c:pt idx="41">
                  <c:v>24.200000762939453</c:v>
                </c:pt>
                <c:pt idx="42">
                  <c:v>24.299999237060547</c:v>
                </c:pt>
                <c:pt idx="43">
                  <c:v>23.799999237060547</c:v>
                </c:pt>
                <c:pt idx="44">
                  <c:v>25.899999618530273</c:v>
                </c:pt>
                <c:pt idx="45">
                  <c:v>22.299999237060547</c:v>
                </c:pt>
                <c:pt idx="46">
                  <c:v>14.399999618530273</c:v>
                </c:pt>
                <c:pt idx="47">
                  <c:v>20.799999237060547</c:v>
                </c:pt>
                <c:pt idx="48">
                  <c:v>18.200000762939453</c:v>
                </c:pt>
                <c:pt idx="49">
                  <c:v>20.399999618530273</c:v>
                </c:pt>
                <c:pt idx="50">
                  <c:v>16.899999618530273</c:v>
                </c:pt>
                <c:pt idx="51">
                  <c:v>17.700000762939453</c:v>
                </c:pt>
                <c:pt idx="52">
                  <c:v>20.799999237060547</c:v>
                </c:pt>
                <c:pt idx="55">
                  <c:v>20.399999618530273</c:v>
                </c:pt>
                <c:pt idx="56">
                  <c:v>21.100000381469727</c:v>
                </c:pt>
                <c:pt idx="57">
                  <c:v>22.100000381469727</c:v>
                </c:pt>
                <c:pt idx="58">
                  <c:v>24.100000381469727</c:v>
                </c:pt>
                <c:pt idx="59">
                  <c:v>25.899999618530273</c:v>
                </c:pt>
                <c:pt idx="60">
                  <c:v>23</c:v>
                </c:pt>
                <c:pt idx="61">
                  <c:v>23.600000381469727</c:v>
                </c:pt>
                <c:pt idx="62">
                  <c:v>25.600000381469727</c:v>
                </c:pt>
                <c:pt idx="63">
                  <c:v>24.600000381469727</c:v>
                </c:pt>
                <c:pt idx="64">
                  <c:v>23</c:v>
                </c:pt>
                <c:pt idx="65">
                  <c:v>18.299999237060547</c:v>
                </c:pt>
                <c:pt idx="66">
                  <c:v>19</c:v>
                </c:pt>
                <c:pt idx="67">
                  <c:v>17</c:v>
                </c:pt>
                <c:pt idx="68">
                  <c:v>17.799999237060547</c:v>
                </c:pt>
                <c:pt idx="69">
                  <c:v>17.899999618530273</c:v>
                </c:pt>
                <c:pt idx="70">
                  <c:v>21</c:v>
                </c:pt>
                <c:pt idx="71">
                  <c:v>23.399999618530273</c:v>
                </c:pt>
                <c:pt idx="72">
                  <c:v>15.100000381469727</c:v>
                </c:pt>
                <c:pt idx="73">
                  <c:v>11.399999618530273</c:v>
                </c:pt>
                <c:pt idx="74">
                  <c:v>12</c:v>
                </c:pt>
                <c:pt idx="75">
                  <c:v>17</c:v>
                </c:pt>
                <c:pt idx="76">
                  <c:v>23</c:v>
                </c:pt>
                <c:pt idx="77">
                  <c:v>24.299999237060547</c:v>
                </c:pt>
                <c:pt idx="78">
                  <c:v>19.899999618530273</c:v>
                </c:pt>
                <c:pt idx="79">
                  <c:v>20.100000381469727</c:v>
                </c:pt>
                <c:pt idx="80">
                  <c:v>13.699999809265137</c:v>
                </c:pt>
                <c:pt idx="81">
                  <c:v>9.8999996185302734</c:v>
                </c:pt>
                <c:pt idx="82">
                  <c:v>12.300000190734863</c:v>
                </c:pt>
                <c:pt idx="83">
                  <c:v>9.1999998092651367</c:v>
                </c:pt>
                <c:pt idx="84">
                  <c:v>14.100000381469727</c:v>
                </c:pt>
                <c:pt idx="85">
                  <c:v>15</c:v>
                </c:pt>
                <c:pt idx="86">
                  <c:v>12.300000190734863</c:v>
                </c:pt>
                <c:pt idx="87">
                  <c:v>8.1999998092651367</c:v>
                </c:pt>
                <c:pt idx="88">
                  <c:v>6.8000001907348633</c:v>
                </c:pt>
                <c:pt idx="89">
                  <c:v>11</c:v>
                </c:pt>
                <c:pt idx="90">
                  <c:v>9.8000001907348633</c:v>
                </c:pt>
                <c:pt idx="91">
                  <c:v>15.399999618530273</c:v>
                </c:pt>
                <c:pt idx="92">
                  <c:v>12.800000190734863</c:v>
                </c:pt>
                <c:pt idx="93">
                  <c:v>8.3000001907348633</c:v>
                </c:pt>
                <c:pt idx="94">
                  <c:v>5.8000001907348633</c:v>
                </c:pt>
                <c:pt idx="95">
                  <c:v>10.699999809265137</c:v>
                </c:pt>
                <c:pt idx="96">
                  <c:v>10.899999618530273</c:v>
                </c:pt>
                <c:pt idx="97">
                  <c:v>14.699999809265137</c:v>
                </c:pt>
                <c:pt idx="98">
                  <c:v>18.5</c:v>
                </c:pt>
                <c:pt idx="99">
                  <c:v>23</c:v>
                </c:pt>
                <c:pt idx="100">
                  <c:v>19.600000381469727</c:v>
                </c:pt>
                <c:pt idx="101">
                  <c:v>20.600000381469727</c:v>
                </c:pt>
                <c:pt idx="102">
                  <c:v>17.399999618530273</c:v>
                </c:pt>
                <c:pt idx="103">
                  <c:v>13.100000381469727</c:v>
                </c:pt>
                <c:pt idx="104">
                  <c:v>13.699999809265137</c:v>
                </c:pt>
                <c:pt idx="105">
                  <c:v>8.8999996185302734</c:v>
                </c:pt>
                <c:pt idx="106">
                  <c:v>8.1999998092651367</c:v>
                </c:pt>
                <c:pt idx="107">
                  <c:v>8.3000001907348633</c:v>
                </c:pt>
                <c:pt idx="108">
                  <c:v>11.699999809265137</c:v>
                </c:pt>
                <c:pt idx="109">
                  <c:v>14.800000190734863</c:v>
                </c:pt>
                <c:pt idx="110">
                  <c:v>16.600000381469727</c:v>
                </c:pt>
                <c:pt idx="111">
                  <c:v>19.600000381469727</c:v>
                </c:pt>
                <c:pt idx="112">
                  <c:v>18.200000762939453</c:v>
                </c:pt>
                <c:pt idx="113">
                  <c:v>18.200000762939453</c:v>
                </c:pt>
                <c:pt idx="114">
                  <c:v>12.5</c:v>
                </c:pt>
                <c:pt idx="115">
                  <c:v>12.800000190734863</c:v>
                </c:pt>
                <c:pt idx="116">
                  <c:v>9.1000003814697266</c:v>
                </c:pt>
                <c:pt idx="117">
                  <c:v>6.8000001907348633</c:v>
                </c:pt>
                <c:pt idx="118">
                  <c:v>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72768"/>
        <c:axId val="229874304"/>
      </c:lineChart>
      <c:catAx>
        <c:axId val="229872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9874304"/>
        <c:crosses val="autoZero"/>
        <c:auto val="1"/>
        <c:lblAlgn val="ctr"/>
        <c:lblOffset val="100"/>
        <c:tickMarkSkip val="7"/>
        <c:noMultiLvlLbl val="0"/>
      </c:catAx>
      <c:valAx>
        <c:axId val="229874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72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Malakwa</c:v>
          </c:tx>
          <c:marker>
            <c:symbol val="none"/>
          </c:marker>
          <c:cat>
            <c:numRef>
              <c:f>Data!$B$165:$B$283</c:f>
              <c:numCache>
                <c:formatCode>General</c:formatCode>
                <c:ptCount val="119"/>
                <c:pt idx="0">
                  <c:v>159</c:v>
                </c:pt>
                <c:pt idx="1">
                  <c:v>160</c:v>
                </c:pt>
                <c:pt idx="2">
                  <c:v>161</c:v>
                </c:pt>
                <c:pt idx="3">
                  <c:v>162</c:v>
                </c:pt>
                <c:pt idx="4">
                  <c:v>163</c:v>
                </c:pt>
                <c:pt idx="5">
                  <c:v>164</c:v>
                </c:pt>
                <c:pt idx="6">
                  <c:v>165</c:v>
                </c:pt>
                <c:pt idx="7">
                  <c:v>166</c:v>
                </c:pt>
                <c:pt idx="8">
                  <c:v>167</c:v>
                </c:pt>
                <c:pt idx="9">
                  <c:v>168</c:v>
                </c:pt>
                <c:pt idx="10">
                  <c:v>169</c:v>
                </c:pt>
                <c:pt idx="11">
                  <c:v>170</c:v>
                </c:pt>
                <c:pt idx="12">
                  <c:v>171</c:v>
                </c:pt>
                <c:pt idx="13">
                  <c:v>172</c:v>
                </c:pt>
                <c:pt idx="14">
                  <c:v>173</c:v>
                </c:pt>
                <c:pt idx="15">
                  <c:v>174</c:v>
                </c:pt>
                <c:pt idx="16">
                  <c:v>175</c:v>
                </c:pt>
                <c:pt idx="17">
                  <c:v>176</c:v>
                </c:pt>
                <c:pt idx="18">
                  <c:v>177</c:v>
                </c:pt>
                <c:pt idx="19">
                  <c:v>178</c:v>
                </c:pt>
                <c:pt idx="20">
                  <c:v>179</c:v>
                </c:pt>
                <c:pt idx="21">
                  <c:v>180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191</c:v>
                </c:pt>
                <c:pt idx="33">
                  <c:v>192</c:v>
                </c:pt>
                <c:pt idx="34">
                  <c:v>193</c:v>
                </c:pt>
                <c:pt idx="35">
                  <c:v>194</c:v>
                </c:pt>
                <c:pt idx="36">
                  <c:v>195</c:v>
                </c:pt>
                <c:pt idx="37">
                  <c:v>196</c:v>
                </c:pt>
                <c:pt idx="38">
                  <c:v>197</c:v>
                </c:pt>
                <c:pt idx="39">
                  <c:v>198</c:v>
                </c:pt>
                <c:pt idx="40">
                  <c:v>199</c:v>
                </c:pt>
                <c:pt idx="41">
                  <c:v>200</c:v>
                </c:pt>
                <c:pt idx="42">
                  <c:v>201</c:v>
                </c:pt>
                <c:pt idx="43">
                  <c:v>202</c:v>
                </c:pt>
                <c:pt idx="44">
                  <c:v>203</c:v>
                </c:pt>
                <c:pt idx="45">
                  <c:v>204</c:v>
                </c:pt>
                <c:pt idx="46">
                  <c:v>205</c:v>
                </c:pt>
                <c:pt idx="47">
                  <c:v>206</c:v>
                </c:pt>
                <c:pt idx="48">
                  <c:v>207</c:v>
                </c:pt>
                <c:pt idx="49">
                  <c:v>208</c:v>
                </c:pt>
                <c:pt idx="50">
                  <c:v>209</c:v>
                </c:pt>
                <c:pt idx="51">
                  <c:v>210</c:v>
                </c:pt>
                <c:pt idx="52">
                  <c:v>211</c:v>
                </c:pt>
                <c:pt idx="53">
                  <c:v>212</c:v>
                </c:pt>
                <c:pt idx="54">
                  <c:v>213</c:v>
                </c:pt>
                <c:pt idx="55">
                  <c:v>214</c:v>
                </c:pt>
                <c:pt idx="56">
                  <c:v>215</c:v>
                </c:pt>
                <c:pt idx="57">
                  <c:v>216</c:v>
                </c:pt>
                <c:pt idx="58">
                  <c:v>217</c:v>
                </c:pt>
                <c:pt idx="59">
                  <c:v>218</c:v>
                </c:pt>
                <c:pt idx="60">
                  <c:v>219</c:v>
                </c:pt>
                <c:pt idx="61">
                  <c:v>220</c:v>
                </c:pt>
                <c:pt idx="62">
                  <c:v>221</c:v>
                </c:pt>
                <c:pt idx="63">
                  <c:v>222</c:v>
                </c:pt>
                <c:pt idx="64">
                  <c:v>223</c:v>
                </c:pt>
                <c:pt idx="65">
                  <c:v>224</c:v>
                </c:pt>
                <c:pt idx="66">
                  <c:v>225</c:v>
                </c:pt>
                <c:pt idx="67">
                  <c:v>226</c:v>
                </c:pt>
                <c:pt idx="68">
                  <c:v>227</c:v>
                </c:pt>
                <c:pt idx="69">
                  <c:v>228</c:v>
                </c:pt>
                <c:pt idx="70">
                  <c:v>229</c:v>
                </c:pt>
                <c:pt idx="71">
                  <c:v>230</c:v>
                </c:pt>
                <c:pt idx="72">
                  <c:v>231</c:v>
                </c:pt>
                <c:pt idx="73">
                  <c:v>232</c:v>
                </c:pt>
                <c:pt idx="74">
                  <c:v>233</c:v>
                </c:pt>
                <c:pt idx="75">
                  <c:v>234</c:v>
                </c:pt>
                <c:pt idx="76">
                  <c:v>235</c:v>
                </c:pt>
                <c:pt idx="77">
                  <c:v>236</c:v>
                </c:pt>
                <c:pt idx="78">
                  <c:v>237</c:v>
                </c:pt>
                <c:pt idx="79">
                  <c:v>238</c:v>
                </c:pt>
                <c:pt idx="80">
                  <c:v>239</c:v>
                </c:pt>
                <c:pt idx="81">
                  <c:v>240</c:v>
                </c:pt>
                <c:pt idx="82">
                  <c:v>241</c:v>
                </c:pt>
                <c:pt idx="83">
                  <c:v>242</c:v>
                </c:pt>
                <c:pt idx="84">
                  <c:v>243</c:v>
                </c:pt>
                <c:pt idx="85">
                  <c:v>244</c:v>
                </c:pt>
                <c:pt idx="86">
                  <c:v>245</c:v>
                </c:pt>
                <c:pt idx="87">
                  <c:v>246</c:v>
                </c:pt>
                <c:pt idx="88">
                  <c:v>247</c:v>
                </c:pt>
                <c:pt idx="89">
                  <c:v>248</c:v>
                </c:pt>
                <c:pt idx="90">
                  <c:v>249</c:v>
                </c:pt>
                <c:pt idx="91">
                  <c:v>250</c:v>
                </c:pt>
                <c:pt idx="92">
                  <c:v>251</c:v>
                </c:pt>
                <c:pt idx="93">
                  <c:v>252</c:v>
                </c:pt>
                <c:pt idx="94">
                  <c:v>253</c:v>
                </c:pt>
                <c:pt idx="95">
                  <c:v>254</c:v>
                </c:pt>
                <c:pt idx="96">
                  <c:v>255</c:v>
                </c:pt>
                <c:pt idx="97">
                  <c:v>256</c:v>
                </c:pt>
                <c:pt idx="98">
                  <c:v>257</c:v>
                </c:pt>
                <c:pt idx="99">
                  <c:v>258</c:v>
                </c:pt>
                <c:pt idx="100">
                  <c:v>259</c:v>
                </c:pt>
                <c:pt idx="101">
                  <c:v>260</c:v>
                </c:pt>
                <c:pt idx="102">
                  <c:v>261</c:v>
                </c:pt>
                <c:pt idx="103">
                  <c:v>262</c:v>
                </c:pt>
                <c:pt idx="104">
                  <c:v>263</c:v>
                </c:pt>
                <c:pt idx="105">
                  <c:v>264</c:v>
                </c:pt>
                <c:pt idx="106">
                  <c:v>265</c:v>
                </c:pt>
                <c:pt idx="107">
                  <c:v>266</c:v>
                </c:pt>
                <c:pt idx="108">
                  <c:v>267</c:v>
                </c:pt>
                <c:pt idx="109">
                  <c:v>268</c:v>
                </c:pt>
                <c:pt idx="110">
                  <c:v>269</c:v>
                </c:pt>
                <c:pt idx="111">
                  <c:v>270</c:v>
                </c:pt>
                <c:pt idx="112">
                  <c:v>271</c:v>
                </c:pt>
                <c:pt idx="113">
                  <c:v>272</c:v>
                </c:pt>
                <c:pt idx="114">
                  <c:v>273</c:v>
                </c:pt>
                <c:pt idx="115">
                  <c:v>274</c:v>
                </c:pt>
                <c:pt idx="116">
                  <c:v>275</c:v>
                </c:pt>
                <c:pt idx="117">
                  <c:v>276</c:v>
                </c:pt>
                <c:pt idx="118">
                  <c:v>277</c:v>
                </c:pt>
              </c:numCache>
            </c:numRef>
          </c:cat>
          <c:val>
            <c:numRef>
              <c:f>Data!$DS$165:$DS$283</c:f>
              <c:numCache>
                <c:formatCode>General</c:formatCode>
                <c:ptCount val="119"/>
                <c:pt idx="0">
                  <c:v>8.6999999999999993</c:v>
                </c:pt>
                <c:pt idx="1">
                  <c:v>11.3</c:v>
                </c:pt>
                <c:pt idx="2">
                  <c:v>10.6</c:v>
                </c:pt>
                <c:pt idx="3">
                  <c:v>8</c:v>
                </c:pt>
                <c:pt idx="4">
                  <c:v>6.9</c:v>
                </c:pt>
                <c:pt idx="5">
                  <c:v>8.8000000000000007</c:v>
                </c:pt>
                <c:pt idx="6">
                  <c:v>9.9</c:v>
                </c:pt>
                <c:pt idx="7">
                  <c:v>10.1</c:v>
                </c:pt>
                <c:pt idx="8">
                  <c:v>7.2</c:v>
                </c:pt>
                <c:pt idx="9">
                  <c:v>2.9</c:v>
                </c:pt>
                <c:pt idx="10">
                  <c:v>5.8</c:v>
                </c:pt>
                <c:pt idx="11">
                  <c:v>9.1</c:v>
                </c:pt>
                <c:pt idx="12">
                  <c:v>10.1</c:v>
                </c:pt>
                <c:pt idx="13">
                  <c:v>9.6</c:v>
                </c:pt>
                <c:pt idx="14">
                  <c:v>12.4</c:v>
                </c:pt>
                <c:pt idx="15">
                  <c:v>8.6999999999999993</c:v>
                </c:pt>
                <c:pt idx="16">
                  <c:v>7.8</c:v>
                </c:pt>
                <c:pt idx="17">
                  <c:v>8.9</c:v>
                </c:pt>
                <c:pt idx="18">
                  <c:v>5.2</c:v>
                </c:pt>
                <c:pt idx="19">
                  <c:v>7.4</c:v>
                </c:pt>
                <c:pt idx="20">
                  <c:v>6.5</c:v>
                </c:pt>
                <c:pt idx="21">
                  <c:v>9.6999999999999993</c:v>
                </c:pt>
                <c:pt idx="22">
                  <c:v>10.199999999999999</c:v>
                </c:pt>
                <c:pt idx="23">
                  <c:v>12.4</c:v>
                </c:pt>
                <c:pt idx="24">
                  <c:v>7.2</c:v>
                </c:pt>
                <c:pt idx="25">
                  <c:v>8.1</c:v>
                </c:pt>
                <c:pt idx="26">
                  <c:v>5.4</c:v>
                </c:pt>
                <c:pt idx="27">
                  <c:v>9.6</c:v>
                </c:pt>
                <c:pt idx="28">
                  <c:v>9.1999999999999993</c:v>
                </c:pt>
                <c:pt idx="29">
                  <c:v>6.8</c:v>
                </c:pt>
                <c:pt idx="30">
                  <c:v>11.7</c:v>
                </c:pt>
                <c:pt idx="31">
                  <c:v>12.3</c:v>
                </c:pt>
                <c:pt idx="32">
                  <c:v>11.5</c:v>
                </c:pt>
                <c:pt idx="33">
                  <c:v>11.4</c:v>
                </c:pt>
                <c:pt idx="34">
                  <c:v>11.3</c:v>
                </c:pt>
                <c:pt idx="35">
                  <c:v>8.9</c:v>
                </c:pt>
                <c:pt idx="36">
                  <c:v>9.1</c:v>
                </c:pt>
                <c:pt idx="37">
                  <c:v>12.3</c:v>
                </c:pt>
                <c:pt idx="38">
                  <c:v>9.5</c:v>
                </c:pt>
                <c:pt idx="39">
                  <c:v>5.5</c:v>
                </c:pt>
                <c:pt idx="40">
                  <c:v>7.1</c:v>
                </c:pt>
                <c:pt idx="41">
                  <c:v>9.4</c:v>
                </c:pt>
                <c:pt idx="42">
                  <c:v>10.9</c:v>
                </c:pt>
                <c:pt idx="43">
                  <c:v>11.6</c:v>
                </c:pt>
                <c:pt idx="44">
                  <c:v>10.7</c:v>
                </c:pt>
                <c:pt idx="45">
                  <c:v>12.3</c:v>
                </c:pt>
                <c:pt idx="46">
                  <c:v>13.9</c:v>
                </c:pt>
                <c:pt idx="47">
                  <c:v>13.2</c:v>
                </c:pt>
                <c:pt idx="48">
                  <c:v>10</c:v>
                </c:pt>
                <c:pt idx="49">
                  <c:v>10.6</c:v>
                </c:pt>
                <c:pt idx="50">
                  <c:v>15.2</c:v>
                </c:pt>
                <c:pt idx="51">
                  <c:v>13.8</c:v>
                </c:pt>
                <c:pt idx="52">
                  <c:v>11.8</c:v>
                </c:pt>
                <c:pt idx="53">
                  <c:v>8.3000000000000007</c:v>
                </c:pt>
                <c:pt idx="54">
                  <c:v>11.3</c:v>
                </c:pt>
                <c:pt idx="55">
                  <c:v>12.4</c:v>
                </c:pt>
                <c:pt idx="56">
                  <c:v>8.8000000000000007</c:v>
                </c:pt>
                <c:pt idx="57">
                  <c:v>12.5</c:v>
                </c:pt>
                <c:pt idx="58">
                  <c:v>12</c:v>
                </c:pt>
                <c:pt idx="59">
                  <c:v>11.7</c:v>
                </c:pt>
                <c:pt idx="60">
                  <c:v>12.2</c:v>
                </c:pt>
                <c:pt idx="61">
                  <c:v>10.3</c:v>
                </c:pt>
                <c:pt idx="62">
                  <c:v>9.3000000000000007</c:v>
                </c:pt>
                <c:pt idx="63">
                  <c:v>11.1</c:v>
                </c:pt>
                <c:pt idx="64">
                  <c:v>8.6999999999999993</c:v>
                </c:pt>
                <c:pt idx="65">
                  <c:v>8.1</c:v>
                </c:pt>
                <c:pt idx="66">
                  <c:v>7.4</c:v>
                </c:pt>
                <c:pt idx="67">
                  <c:v>8.1</c:v>
                </c:pt>
                <c:pt idx="68">
                  <c:v>3.9</c:v>
                </c:pt>
                <c:pt idx="69">
                  <c:v>5.2</c:v>
                </c:pt>
                <c:pt idx="70">
                  <c:v>5</c:v>
                </c:pt>
                <c:pt idx="71">
                  <c:v>5.7</c:v>
                </c:pt>
                <c:pt idx="72">
                  <c:v>6.4</c:v>
                </c:pt>
                <c:pt idx="73">
                  <c:v>9</c:v>
                </c:pt>
                <c:pt idx="74">
                  <c:v>9.1</c:v>
                </c:pt>
                <c:pt idx="75">
                  <c:v>7.1</c:v>
                </c:pt>
                <c:pt idx="76">
                  <c:v>5.4</c:v>
                </c:pt>
                <c:pt idx="77">
                  <c:v>7.3</c:v>
                </c:pt>
                <c:pt idx="78">
                  <c:v>8.8000000000000007</c:v>
                </c:pt>
                <c:pt idx="79">
                  <c:v>8.1</c:v>
                </c:pt>
                <c:pt idx="80">
                  <c:v>10.1</c:v>
                </c:pt>
                <c:pt idx="81">
                  <c:v>4.9000000000000004</c:v>
                </c:pt>
                <c:pt idx="82">
                  <c:v>1.4</c:v>
                </c:pt>
                <c:pt idx="83">
                  <c:v>9.6999999999999993</c:v>
                </c:pt>
                <c:pt idx="84">
                  <c:v>8</c:v>
                </c:pt>
                <c:pt idx="85">
                  <c:v>6.7</c:v>
                </c:pt>
                <c:pt idx="86">
                  <c:v>10.5</c:v>
                </c:pt>
                <c:pt idx="87">
                  <c:v>11.3</c:v>
                </c:pt>
                <c:pt idx="88">
                  <c:v>8.3000000000000007</c:v>
                </c:pt>
                <c:pt idx="89">
                  <c:v>6</c:v>
                </c:pt>
                <c:pt idx="90">
                  <c:v>4</c:v>
                </c:pt>
                <c:pt idx="91">
                  <c:v>7</c:v>
                </c:pt>
                <c:pt idx="92">
                  <c:v>3.8</c:v>
                </c:pt>
                <c:pt idx="93">
                  <c:v>7.5</c:v>
                </c:pt>
                <c:pt idx="94">
                  <c:v>7.5</c:v>
                </c:pt>
                <c:pt idx="95">
                  <c:v>3.8</c:v>
                </c:pt>
                <c:pt idx="96">
                  <c:v>2</c:v>
                </c:pt>
                <c:pt idx="97">
                  <c:v>9.6999999999999993</c:v>
                </c:pt>
                <c:pt idx="98">
                  <c:v>5.8</c:v>
                </c:pt>
                <c:pt idx="99">
                  <c:v>6.2</c:v>
                </c:pt>
                <c:pt idx="100">
                  <c:v>7.2</c:v>
                </c:pt>
                <c:pt idx="101">
                  <c:v>8.6999999999999993</c:v>
                </c:pt>
                <c:pt idx="102">
                  <c:v>9.4</c:v>
                </c:pt>
                <c:pt idx="103">
                  <c:v>8.1999999999999993</c:v>
                </c:pt>
                <c:pt idx="104">
                  <c:v>7</c:v>
                </c:pt>
                <c:pt idx="105">
                  <c:v>6.8</c:v>
                </c:pt>
                <c:pt idx="106">
                  <c:v>-0.3</c:v>
                </c:pt>
                <c:pt idx="107">
                  <c:v>-3.9</c:v>
                </c:pt>
                <c:pt idx="108">
                  <c:v>-3.4</c:v>
                </c:pt>
                <c:pt idx="109">
                  <c:v>-2.1</c:v>
                </c:pt>
                <c:pt idx="110">
                  <c:v>-0.8</c:v>
                </c:pt>
                <c:pt idx="111">
                  <c:v>0.9</c:v>
                </c:pt>
                <c:pt idx="112">
                  <c:v>0.9</c:v>
                </c:pt>
                <c:pt idx="113">
                  <c:v>1.7</c:v>
                </c:pt>
                <c:pt idx="114">
                  <c:v>8.6999999999999993</c:v>
                </c:pt>
                <c:pt idx="115">
                  <c:v>6.2</c:v>
                </c:pt>
                <c:pt idx="116">
                  <c:v>4.2</c:v>
                </c:pt>
                <c:pt idx="117">
                  <c:v>3.2</c:v>
                </c:pt>
                <c:pt idx="118">
                  <c:v>1.2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Data!$B$165:$B$283</c:f>
              <c:numCache>
                <c:formatCode>General</c:formatCode>
                <c:ptCount val="119"/>
                <c:pt idx="0">
                  <c:v>159</c:v>
                </c:pt>
                <c:pt idx="1">
                  <c:v>160</c:v>
                </c:pt>
                <c:pt idx="2">
                  <c:v>161</c:v>
                </c:pt>
                <c:pt idx="3">
                  <c:v>162</c:v>
                </c:pt>
                <c:pt idx="4">
                  <c:v>163</c:v>
                </c:pt>
                <c:pt idx="5">
                  <c:v>164</c:v>
                </c:pt>
                <c:pt idx="6">
                  <c:v>165</c:v>
                </c:pt>
                <c:pt idx="7">
                  <c:v>166</c:v>
                </c:pt>
                <c:pt idx="8">
                  <c:v>167</c:v>
                </c:pt>
                <c:pt idx="9">
                  <c:v>168</c:v>
                </c:pt>
                <c:pt idx="10">
                  <c:v>169</c:v>
                </c:pt>
                <c:pt idx="11">
                  <c:v>170</c:v>
                </c:pt>
                <c:pt idx="12">
                  <c:v>171</c:v>
                </c:pt>
                <c:pt idx="13">
                  <c:v>172</c:v>
                </c:pt>
                <c:pt idx="14">
                  <c:v>173</c:v>
                </c:pt>
                <c:pt idx="15">
                  <c:v>174</c:v>
                </c:pt>
                <c:pt idx="16">
                  <c:v>175</c:v>
                </c:pt>
                <c:pt idx="17">
                  <c:v>176</c:v>
                </c:pt>
                <c:pt idx="18">
                  <c:v>177</c:v>
                </c:pt>
                <c:pt idx="19">
                  <c:v>178</c:v>
                </c:pt>
                <c:pt idx="20">
                  <c:v>179</c:v>
                </c:pt>
                <c:pt idx="21">
                  <c:v>180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191</c:v>
                </c:pt>
                <c:pt idx="33">
                  <c:v>192</c:v>
                </c:pt>
                <c:pt idx="34">
                  <c:v>193</c:v>
                </c:pt>
                <c:pt idx="35">
                  <c:v>194</c:v>
                </c:pt>
                <c:pt idx="36">
                  <c:v>195</c:v>
                </c:pt>
                <c:pt idx="37">
                  <c:v>196</c:v>
                </c:pt>
                <c:pt idx="38">
                  <c:v>197</c:v>
                </c:pt>
                <c:pt idx="39">
                  <c:v>198</c:v>
                </c:pt>
                <c:pt idx="40">
                  <c:v>199</c:v>
                </c:pt>
                <c:pt idx="41">
                  <c:v>200</c:v>
                </c:pt>
                <c:pt idx="42">
                  <c:v>201</c:v>
                </c:pt>
                <c:pt idx="43">
                  <c:v>202</c:v>
                </c:pt>
                <c:pt idx="44">
                  <c:v>203</c:v>
                </c:pt>
                <c:pt idx="45">
                  <c:v>204</c:v>
                </c:pt>
                <c:pt idx="46">
                  <c:v>205</c:v>
                </c:pt>
                <c:pt idx="47">
                  <c:v>206</c:v>
                </c:pt>
                <c:pt idx="48">
                  <c:v>207</c:v>
                </c:pt>
                <c:pt idx="49">
                  <c:v>208</c:v>
                </c:pt>
                <c:pt idx="50">
                  <c:v>209</c:v>
                </c:pt>
                <c:pt idx="51">
                  <c:v>210</c:v>
                </c:pt>
                <c:pt idx="52">
                  <c:v>211</c:v>
                </c:pt>
                <c:pt idx="53">
                  <c:v>212</c:v>
                </c:pt>
                <c:pt idx="54">
                  <c:v>213</c:v>
                </c:pt>
                <c:pt idx="55">
                  <c:v>214</c:v>
                </c:pt>
                <c:pt idx="56">
                  <c:v>215</c:v>
                </c:pt>
                <c:pt idx="57">
                  <c:v>216</c:v>
                </c:pt>
                <c:pt idx="58">
                  <c:v>217</c:v>
                </c:pt>
                <c:pt idx="59">
                  <c:v>218</c:v>
                </c:pt>
                <c:pt idx="60">
                  <c:v>219</c:v>
                </c:pt>
                <c:pt idx="61">
                  <c:v>220</c:v>
                </c:pt>
                <c:pt idx="62">
                  <c:v>221</c:v>
                </c:pt>
                <c:pt idx="63">
                  <c:v>222</c:v>
                </c:pt>
                <c:pt idx="64">
                  <c:v>223</c:v>
                </c:pt>
                <c:pt idx="65">
                  <c:v>224</c:v>
                </c:pt>
                <c:pt idx="66">
                  <c:v>225</c:v>
                </c:pt>
                <c:pt idx="67">
                  <c:v>226</c:v>
                </c:pt>
                <c:pt idx="68">
                  <c:v>227</c:v>
                </c:pt>
                <c:pt idx="69">
                  <c:v>228</c:v>
                </c:pt>
                <c:pt idx="70">
                  <c:v>229</c:v>
                </c:pt>
                <c:pt idx="71">
                  <c:v>230</c:v>
                </c:pt>
                <c:pt idx="72">
                  <c:v>231</c:v>
                </c:pt>
                <c:pt idx="73">
                  <c:v>232</c:v>
                </c:pt>
                <c:pt idx="74">
                  <c:v>233</c:v>
                </c:pt>
                <c:pt idx="75">
                  <c:v>234</c:v>
                </c:pt>
                <c:pt idx="76">
                  <c:v>235</c:v>
                </c:pt>
                <c:pt idx="77">
                  <c:v>236</c:v>
                </c:pt>
                <c:pt idx="78">
                  <c:v>237</c:v>
                </c:pt>
                <c:pt idx="79">
                  <c:v>238</c:v>
                </c:pt>
                <c:pt idx="80">
                  <c:v>239</c:v>
                </c:pt>
                <c:pt idx="81">
                  <c:v>240</c:v>
                </c:pt>
                <c:pt idx="82">
                  <c:v>241</c:v>
                </c:pt>
                <c:pt idx="83">
                  <c:v>242</c:v>
                </c:pt>
                <c:pt idx="84">
                  <c:v>243</c:v>
                </c:pt>
                <c:pt idx="85">
                  <c:v>244</c:v>
                </c:pt>
                <c:pt idx="86">
                  <c:v>245</c:v>
                </c:pt>
                <c:pt idx="87">
                  <c:v>246</c:v>
                </c:pt>
                <c:pt idx="88">
                  <c:v>247</c:v>
                </c:pt>
                <c:pt idx="89">
                  <c:v>248</c:v>
                </c:pt>
                <c:pt idx="90">
                  <c:v>249</c:v>
                </c:pt>
                <c:pt idx="91">
                  <c:v>250</c:v>
                </c:pt>
                <c:pt idx="92">
                  <c:v>251</c:v>
                </c:pt>
                <c:pt idx="93">
                  <c:v>252</c:v>
                </c:pt>
                <c:pt idx="94">
                  <c:v>253</c:v>
                </c:pt>
                <c:pt idx="95">
                  <c:v>254</c:v>
                </c:pt>
                <c:pt idx="96">
                  <c:v>255</c:v>
                </c:pt>
                <c:pt idx="97">
                  <c:v>256</c:v>
                </c:pt>
                <c:pt idx="98">
                  <c:v>257</c:v>
                </c:pt>
                <c:pt idx="99">
                  <c:v>258</c:v>
                </c:pt>
                <c:pt idx="100">
                  <c:v>259</c:v>
                </c:pt>
                <c:pt idx="101">
                  <c:v>260</c:v>
                </c:pt>
                <c:pt idx="102">
                  <c:v>261</c:v>
                </c:pt>
                <c:pt idx="103">
                  <c:v>262</c:v>
                </c:pt>
                <c:pt idx="104">
                  <c:v>263</c:v>
                </c:pt>
                <c:pt idx="105">
                  <c:v>264</c:v>
                </c:pt>
                <c:pt idx="106">
                  <c:v>265</c:v>
                </c:pt>
                <c:pt idx="107">
                  <c:v>266</c:v>
                </c:pt>
                <c:pt idx="108">
                  <c:v>267</c:v>
                </c:pt>
                <c:pt idx="109">
                  <c:v>268</c:v>
                </c:pt>
                <c:pt idx="110">
                  <c:v>269</c:v>
                </c:pt>
                <c:pt idx="111">
                  <c:v>270</c:v>
                </c:pt>
                <c:pt idx="112">
                  <c:v>271</c:v>
                </c:pt>
                <c:pt idx="113">
                  <c:v>272</c:v>
                </c:pt>
                <c:pt idx="114">
                  <c:v>273</c:v>
                </c:pt>
                <c:pt idx="115">
                  <c:v>274</c:v>
                </c:pt>
                <c:pt idx="116">
                  <c:v>275</c:v>
                </c:pt>
                <c:pt idx="117">
                  <c:v>276</c:v>
                </c:pt>
                <c:pt idx="118">
                  <c:v>277</c:v>
                </c:pt>
              </c:numCache>
            </c:numRef>
          </c:cat>
          <c:val>
            <c:numRef>
              <c:f>Data!$DM$165:$DM$283</c:f>
              <c:numCache>
                <c:formatCode>General</c:formatCode>
                <c:ptCount val="119"/>
                <c:pt idx="0">
                  <c:v>7.9000000953674316</c:v>
                </c:pt>
                <c:pt idx="1">
                  <c:v>7</c:v>
                </c:pt>
                <c:pt idx="2">
                  <c:v>5.3000001907348633</c:v>
                </c:pt>
                <c:pt idx="3">
                  <c:v>0.5</c:v>
                </c:pt>
                <c:pt idx="4">
                  <c:v>-0.69999998807907104</c:v>
                </c:pt>
                <c:pt idx="5">
                  <c:v>3.7000000476837158</c:v>
                </c:pt>
                <c:pt idx="6">
                  <c:v>5.6999998092651367</c:v>
                </c:pt>
                <c:pt idx="7">
                  <c:v>6.4000000953674316</c:v>
                </c:pt>
                <c:pt idx="8">
                  <c:v>5</c:v>
                </c:pt>
                <c:pt idx="9">
                  <c:v>4.5999999046325684</c:v>
                </c:pt>
                <c:pt idx="10">
                  <c:v>8.3000001907348633</c:v>
                </c:pt>
                <c:pt idx="11">
                  <c:v>6</c:v>
                </c:pt>
                <c:pt idx="12">
                  <c:v>2.7000000476837158</c:v>
                </c:pt>
                <c:pt idx="13">
                  <c:v>8.1999998092651367</c:v>
                </c:pt>
                <c:pt idx="14">
                  <c:v>8</c:v>
                </c:pt>
                <c:pt idx="15">
                  <c:v>7.4000000953674316</c:v>
                </c:pt>
                <c:pt idx="16">
                  <c:v>8.1000003814697266</c:v>
                </c:pt>
                <c:pt idx="17">
                  <c:v>6.1999998092651367</c:v>
                </c:pt>
                <c:pt idx="18">
                  <c:v>7.0999999046325684</c:v>
                </c:pt>
                <c:pt idx="19">
                  <c:v>11.699999809265137</c:v>
                </c:pt>
                <c:pt idx="20">
                  <c:v>13.100000381469727</c:v>
                </c:pt>
                <c:pt idx="21">
                  <c:v>12.600000381469727</c:v>
                </c:pt>
                <c:pt idx="22">
                  <c:v>10.300000190734863</c:v>
                </c:pt>
                <c:pt idx="23">
                  <c:v>9.1000003814697266</c:v>
                </c:pt>
                <c:pt idx="24">
                  <c:v>5.5999999046325684</c:v>
                </c:pt>
                <c:pt idx="25">
                  <c:v>4.4000000953674316</c:v>
                </c:pt>
                <c:pt idx="26">
                  <c:v>4.9000000953674316</c:v>
                </c:pt>
                <c:pt idx="27">
                  <c:v>4.4000000953674316</c:v>
                </c:pt>
                <c:pt idx="28">
                  <c:v>6.4000000953674316</c:v>
                </c:pt>
                <c:pt idx="29">
                  <c:v>7.1999998092651367</c:v>
                </c:pt>
                <c:pt idx="30">
                  <c:v>8.8000001907348633</c:v>
                </c:pt>
                <c:pt idx="31">
                  <c:v>8.8000001907348633</c:v>
                </c:pt>
                <c:pt idx="32">
                  <c:v>8.1999998092651367</c:v>
                </c:pt>
                <c:pt idx="33">
                  <c:v>8.3999996185302734</c:v>
                </c:pt>
                <c:pt idx="34">
                  <c:v>9.5</c:v>
                </c:pt>
                <c:pt idx="35">
                  <c:v>10.399999618530273</c:v>
                </c:pt>
                <c:pt idx="36">
                  <c:v>11.199999809265137</c:v>
                </c:pt>
                <c:pt idx="37">
                  <c:v>7.1999998092651367</c:v>
                </c:pt>
                <c:pt idx="38">
                  <c:v>7.4000000953674316</c:v>
                </c:pt>
                <c:pt idx="39">
                  <c:v>7.6999998092651367</c:v>
                </c:pt>
                <c:pt idx="40">
                  <c:v>10.399999618530273</c:v>
                </c:pt>
                <c:pt idx="41">
                  <c:v>13.899999618530273</c:v>
                </c:pt>
                <c:pt idx="42">
                  <c:v>13.600000381469727</c:v>
                </c:pt>
                <c:pt idx="43">
                  <c:v>12.899999618530273</c:v>
                </c:pt>
                <c:pt idx="44">
                  <c:v>12</c:v>
                </c:pt>
                <c:pt idx="45">
                  <c:v>10.199999809265137</c:v>
                </c:pt>
                <c:pt idx="46">
                  <c:v>9.3000001907348633</c:v>
                </c:pt>
                <c:pt idx="47">
                  <c:v>8.8999996185302734</c:v>
                </c:pt>
                <c:pt idx="48">
                  <c:v>8.6000003814697266</c:v>
                </c:pt>
                <c:pt idx="49">
                  <c:v>8.6000003814697266</c:v>
                </c:pt>
                <c:pt idx="50">
                  <c:v>8.3000001907348633</c:v>
                </c:pt>
                <c:pt idx="51">
                  <c:v>9.6000003814697266</c:v>
                </c:pt>
                <c:pt idx="52">
                  <c:v>8.5</c:v>
                </c:pt>
                <c:pt idx="55">
                  <c:v>11.899999618530273</c:v>
                </c:pt>
                <c:pt idx="56">
                  <c:v>11.199999809265137</c:v>
                </c:pt>
                <c:pt idx="57">
                  <c:v>11.600000381469727</c:v>
                </c:pt>
                <c:pt idx="58">
                  <c:v>13.399999618530273</c:v>
                </c:pt>
                <c:pt idx="59">
                  <c:v>13.5</c:v>
                </c:pt>
                <c:pt idx="60">
                  <c:v>14.199999809265137</c:v>
                </c:pt>
                <c:pt idx="61">
                  <c:v>12.100000381469727</c:v>
                </c:pt>
                <c:pt idx="62">
                  <c:v>13.300000190734863</c:v>
                </c:pt>
                <c:pt idx="63">
                  <c:v>13.100000381469727</c:v>
                </c:pt>
                <c:pt idx="64">
                  <c:v>11.300000190734863</c:v>
                </c:pt>
                <c:pt idx="65">
                  <c:v>8.6000003814697266</c:v>
                </c:pt>
                <c:pt idx="66">
                  <c:v>7.3000001907348633</c:v>
                </c:pt>
                <c:pt idx="67">
                  <c:v>8.1000003814697266</c:v>
                </c:pt>
                <c:pt idx="68">
                  <c:v>6.1999998092651367</c:v>
                </c:pt>
                <c:pt idx="69">
                  <c:v>9.3000001907348633</c:v>
                </c:pt>
                <c:pt idx="70">
                  <c:v>9</c:v>
                </c:pt>
                <c:pt idx="71">
                  <c:v>11.100000381469727</c:v>
                </c:pt>
                <c:pt idx="72">
                  <c:v>6.3000001907348633</c:v>
                </c:pt>
                <c:pt idx="73">
                  <c:v>5.3000001907348633</c:v>
                </c:pt>
                <c:pt idx="74">
                  <c:v>4.8000001907348633</c:v>
                </c:pt>
                <c:pt idx="75">
                  <c:v>4.9000000953674316</c:v>
                </c:pt>
                <c:pt idx="76">
                  <c:v>8.6999998092651367</c:v>
                </c:pt>
                <c:pt idx="77">
                  <c:v>12.800000190734863</c:v>
                </c:pt>
                <c:pt idx="78">
                  <c:v>12.800000190734863</c:v>
                </c:pt>
                <c:pt idx="79">
                  <c:v>10.600000381469727</c:v>
                </c:pt>
                <c:pt idx="80">
                  <c:v>5.1999998092651367</c:v>
                </c:pt>
                <c:pt idx="81">
                  <c:v>3.7000000476837158</c:v>
                </c:pt>
                <c:pt idx="82">
                  <c:v>2.4000000953674316</c:v>
                </c:pt>
                <c:pt idx="83">
                  <c:v>6.3000001907348633</c:v>
                </c:pt>
                <c:pt idx="84">
                  <c:v>6.6999998092651367</c:v>
                </c:pt>
                <c:pt idx="85">
                  <c:v>6.5</c:v>
                </c:pt>
                <c:pt idx="86">
                  <c:v>5.9000000953674316</c:v>
                </c:pt>
                <c:pt idx="87">
                  <c:v>5.1999998092651367</c:v>
                </c:pt>
                <c:pt idx="88">
                  <c:v>4.5</c:v>
                </c:pt>
                <c:pt idx="89">
                  <c:v>4</c:v>
                </c:pt>
                <c:pt idx="90">
                  <c:v>3.5999999046325684</c:v>
                </c:pt>
                <c:pt idx="91">
                  <c:v>7.5999999046325684</c:v>
                </c:pt>
                <c:pt idx="92">
                  <c:v>7</c:v>
                </c:pt>
                <c:pt idx="93">
                  <c:v>3.5</c:v>
                </c:pt>
                <c:pt idx="94">
                  <c:v>3.5999999046325684</c:v>
                </c:pt>
                <c:pt idx="95">
                  <c:v>2</c:v>
                </c:pt>
                <c:pt idx="96">
                  <c:v>2.7000000476837158</c:v>
                </c:pt>
                <c:pt idx="97">
                  <c:v>7.3000001907348633</c:v>
                </c:pt>
                <c:pt idx="98">
                  <c:v>7</c:v>
                </c:pt>
                <c:pt idx="99">
                  <c:v>10.100000381469727</c:v>
                </c:pt>
                <c:pt idx="100">
                  <c:v>12.300000190734863</c:v>
                </c:pt>
                <c:pt idx="101">
                  <c:v>10.899999618530273</c:v>
                </c:pt>
                <c:pt idx="102">
                  <c:v>10.800000190734863</c:v>
                </c:pt>
                <c:pt idx="103">
                  <c:v>6.5</c:v>
                </c:pt>
                <c:pt idx="104">
                  <c:v>6.9000000953674316</c:v>
                </c:pt>
                <c:pt idx="105">
                  <c:v>4.6999998092651367</c:v>
                </c:pt>
                <c:pt idx="106">
                  <c:v>0.20000000298023224</c:v>
                </c:pt>
                <c:pt idx="107">
                  <c:v>-2.7999999523162842</c:v>
                </c:pt>
                <c:pt idx="108">
                  <c:v>-0.69999998807907104</c:v>
                </c:pt>
                <c:pt idx="109">
                  <c:v>2.7000000476837158</c:v>
                </c:pt>
                <c:pt idx="110">
                  <c:v>4.9000000953674316</c:v>
                </c:pt>
                <c:pt idx="111">
                  <c:v>6.1999998092651367</c:v>
                </c:pt>
                <c:pt idx="112">
                  <c:v>7.8000001907348633</c:v>
                </c:pt>
                <c:pt idx="113">
                  <c:v>9.8000001907348633</c:v>
                </c:pt>
                <c:pt idx="114">
                  <c:v>6.8000001907348633</c:v>
                </c:pt>
                <c:pt idx="115">
                  <c:v>4.3000001907348633</c:v>
                </c:pt>
                <c:pt idx="116">
                  <c:v>2.2000000476837158</c:v>
                </c:pt>
                <c:pt idx="117">
                  <c:v>-0.20000000298023224</c:v>
                </c:pt>
                <c:pt idx="118">
                  <c:v>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96192"/>
        <c:axId val="229897728"/>
      </c:lineChart>
      <c:catAx>
        <c:axId val="229896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9897728"/>
        <c:crosses val="autoZero"/>
        <c:auto val="1"/>
        <c:lblAlgn val="ctr"/>
        <c:lblOffset val="100"/>
        <c:tickMarkSkip val="7"/>
        <c:noMultiLvlLbl val="0"/>
      </c:catAx>
      <c:valAx>
        <c:axId val="229897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96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 June-July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352318460192478"/>
                  <c:y val="-0.10696886847477399"/>
                </c:manualLayout>
              </c:layout>
              <c:numFmt formatCode="General" sourceLinked="0"/>
            </c:trendlineLbl>
          </c:trendline>
          <c:xVal>
            <c:numRef>
              <c:f>Data!$DS$165:$DS$219</c:f>
              <c:numCache>
                <c:formatCode>General</c:formatCode>
                <c:ptCount val="55"/>
                <c:pt idx="0">
                  <c:v>8.6999999999999993</c:v>
                </c:pt>
                <c:pt idx="1">
                  <c:v>11.3</c:v>
                </c:pt>
                <c:pt idx="2">
                  <c:v>10.6</c:v>
                </c:pt>
                <c:pt idx="3">
                  <c:v>8</c:v>
                </c:pt>
                <c:pt idx="4">
                  <c:v>6.9</c:v>
                </c:pt>
                <c:pt idx="5">
                  <c:v>8.8000000000000007</c:v>
                </c:pt>
                <c:pt idx="6">
                  <c:v>9.9</c:v>
                </c:pt>
                <c:pt idx="7">
                  <c:v>10.1</c:v>
                </c:pt>
                <c:pt idx="8">
                  <c:v>7.2</c:v>
                </c:pt>
                <c:pt idx="9">
                  <c:v>2.9</c:v>
                </c:pt>
                <c:pt idx="10">
                  <c:v>5.8</c:v>
                </c:pt>
                <c:pt idx="11">
                  <c:v>9.1</c:v>
                </c:pt>
                <c:pt idx="12">
                  <c:v>10.1</c:v>
                </c:pt>
                <c:pt idx="13">
                  <c:v>9.6</c:v>
                </c:pt>
                <c:pt idx="14">
                  <c:v>12.4</c:v>
                </c:pt>
                <c:pt idx="15">
                  <c:v>8.6999999999999993</c:v>
                </c:pt>
                <c:pt idx="16">
                  <c:v>7.8</c:v>
                </c:pt>
                <c:pt idx="17">
                  <c:v>8.9</c:v>
                </c:pt>
                <c:pt idx="18">
                  <c:v>5.2</c:v>
                </c:pt>
                <c:pt idx="19">
                  <c:v>7.4</c:v>
                </c:pt>
                <c:pt idx="20">
                  <c:v>6.5</c:v>
                </c:pt>
                <c:pt idx="21">
                  <c:v>9.6999999999999993</c:v>
                </c:pt>
                <c:pt idx="22">
                  <c:v>10.199999999999999</c:v>
                </c:pt>
                <c:pt idx="23">
                  <c:v>12.4</c:v>
                </c:pt>
                <c:pt idx="24">
                  <c:v>7.2</c:v>
                </c:pt>
                <c:pt idx="25">
                  <c:v>8.1</c:v>
                </c:pt>
                <c:pt idx="26">
                  <c:v>5.4</c:v>
                </c:pt>
                <c:pt idx="27">
                  <c:v>9.6</c:v>
                </c:pt>
                <c:pt idx="28">
                  <c:v>9.1999999999999993</c:v>
                </c:pt>
                <c:pt idx="29">
                  <c:v>6.8</c:v>
                </c:pt>
                <c:pt idx="30">
                  <c:v>11.7</c:v>
                </c:pt>
                <c:pt idx="31">
                  <c:v>12.3</c:v>
                </c:pt>
                <c:pt idx="32">
                  <c:v>11.5</c:v>
                </c:pt>
                <c:pt idx="33">
                  <c:v>11.4</c:v>
                </c:pt>
                <c:pt idx="34">
                  <c:v>11.3</c:v>
                </c:pt>
                <c:pt idx="35">
                  <c:v>8.9</c:v>
                </c:pt>
                <c:pt idx="36">
                  <c:v>9.1</c:v>
                </c:pt>
                <c:pt idx="37">
                  <c:v>12.3</c:v>
                </c:pt>
                <c:pt idx="38">
                  <c:v>9.5</c:v>
                </c:pt>
                <c:pt idx="39">
                  <c:v>5.5</c:v>
                </c:pt>
                <c:pt idx="40">
                  <c:v>7.1</c:v>
                </c:pt>
                <c:pt idx="41">
                  <c:v>9.4</c:v>
                </c:pt>
                <c:pt idx="42">
                  <c:v>10.9</c:v>
                </c:pt>
                <c:pt idx="43">
                  <c:v>11.6</c:v>
                </c:pt>
                <c:pt idx="44">
                  <c:v>10.7</c:v>
                </c:pt>
                <c:pt idx="45">
                  <c:v>12.3</c:v>
                </c:pt>
                <c:pt idx="46">
                  <c:v>13.9</c:v>
                </c:pt>
                <c:pt idx="47">
                  <c:v>13.2</c:v>
                </c:pt>
                <c:pt idx="48">
                  <c:v>10</c:v>
                </c:pt>
                <c:pt idx="49">
                  <c:v>10.6</c:v>
                </c:pt>
                <c:pt idx="50">
                  <c:v>15.2</c:v>
                </c:pt>
                <c:pt idx="51">
                  <c:v>13.8</c:v>
                </c:pt>
                <c:pt idx="52">
                  <c:v>11.8</c:v>
                </c:pt>
                <c:pt idx="53">
                  <c:v>8.3000000000000007</c:v>
                </c:pt>
                <c:pt idx="54">
                  <c:v>11.3</c:v>
                </c:pt>
              </c:numCache>
            </c:numRef>
          </c:xVal>
          <c:yVal>
            <c:numRef>
              <c:f>Data!$DM$165:$DM$219</c:f>
              <c:numCache>
                <c:formatCode>General</c:formatCode>
                <c:ptCount val="55"/>
                <c:pt idx="0">
                  <c:v>7.9000000953674316</c:v>
                </c:pt>
                <c:pt idx="1">
                  <c:v>7</c:v>
                </c:pt>
                <c:pt idx="2">
                  <c:v>5.3000001907348633</c:v>
                </c:pt>
                <c:pt idx="3">
                  <c:v>0.5</c:v>
                </c:pt>
                <c:pt idx="4">
                  <c:v>-0.69999998807907104</c:v>
                </c:pt>
                <c:pt idx="5">
                  <c:v>3.7000000476837158</c:v>
                </c:pt>
                <c:pt idx="6">
                  <c:v>5.6999998092651367</c:v>
                </c:pt>
                <c:pt idx="7">
                  <c:v>6.4000000953674316</c:v>
                </c:pt>
                <c:pt idx="8">
                  <c:v>5</c:v>
                </c:pt>
                <c:pt idx="9">
                  <c:v>4.5999999046325684</c:v>
                </c:pt>
                <c:pt idx="10">
                  <c:v>8.3000001907348633</c:v>
                </c:pt>
                <c:pt idx="11">
                  <c:v>6</c:v>
                </c:pt>
                <c:pt idx="12">
                  <c:v>2.7000000476837158</c:v>
                </c:pt>
                <c:pt idx="13">
                  <c:v>8.1999998092651367</c:v>
                </c:pt>
                <c:pt idx="14">
                  <c:v>8</c:v>
                </c:pt>
                <c:pt idx="15">
                  <c:v>7.4000000953674316</c:v>
                </c:pt>
                <c:pt idx="16">
                  <c:v>8.1000003814697266</c:v>
                </c:pt>
                <c:pt idx="17">
                  <c:v>6.1999998092651367</c:v>
                </c:pt>
                <c:pt idx="18">
                  <c:v>7.0999999046325684</c:v>
                </c:pt>
                <c:pt idx="19">
                  <c:v>11.699999809265137</c:v>
                </c:pt>
                <c:pt idx="20">
                  <c:v>13.100000381469727</c:v>
                </c:pt>
                <c:pt idx="21">
                  <c:v>12.600000381469727</c:v>
                </c:pt>
                <c:pt idx="22">
                  <c:v>10.300000190734863</c:v>
                </c:pt>
                <c:pt idx="23">
                  <c:v>9.1000003814697266</c:v>
                </c:pt>
                <c:pt idx="24">
                  <c:v>5.5999999046325684</c:v>
                </c:pt>
                <c:pt idx="25">
                  <c:v>4.4000000953674316</c:v>
                </c:pt>
                <c:pt idx="26">
                  <c:v>4.9000000953674316</c:v>
                </c:pt>
                <c:pt idx="27">
                  <c:v>4.4000000953674316</c:v>
                </c:pt>
                <c:pt idx="28">
                  <c:v>6.4000000953674316</c:v>
                </c:pt>
                <c:pt idx="29">
                  <c:v>7.1999998092651367</c:v>
                </c:pt>
                <c:pt idx="30">
                  <c:v>8.8000001907348633</c:v>
                </c:pt>
                <c:pt idx="31">
                  <c:v>8.8000001907348633</c:v>
                </c:pt>
                <c:pt idx="32">
                  <c:v>8.1999998092651367</c:v>
                </c:pt>
                <c:pt idx="33">
                  <c:v>8.3999996185302734</c:v>
                </c:pt>
                <c:pt idx="34">
                  <c:v>9.5</c:v>
                </c:pt>
                <c:pt idx="35">
                  <c:v>10.399999618530273</c:v>
                </c:pt>
                <c:pt idx="36">
                  <c:v>11.199999809265137</c:v>
                </c:pt>
                <c:pt idx="37">
                  <c:v>7.1999998092651367</c:v>
                </c:pt>
                <c:pt idx="38">
                  <c:v>7.4000000953674316</c:v>
                </c:pt>
                <c:pt idx="39">
                  <c:v>7.6999998092651367</c:v>
                </c:pt>
                <c:pt idx="40">
                  <c:v>10.399999618530273</c:v>
                </c:pt>
                <c:pt idx="41">
                  <c:v>13.899999618530273</c:v>
                </c:pt>
                <c:pt idx="42">
                  <c:v>13.600000381469727</c:v>
                </c:pt>
                <c:pt idx="43">
                  <c:v>12.899999618530273</c:v>
                </c:pt>
                <c:pt idx="44">
                  <c:v>12</c:v>
                </c:pt>
                <c:pt idx="45">
                  <c:v>10.199999809265137</c:v>
                </c:pt>
                <c:pt idx="46">
                  <c:v>9.3000001907348633</c:v>
                </c:pt>
                <c:pt idx="47">
                  <c:v>8.8999996185302734</c:v>
                </c:pt>
                <c:pt idx="48">
                  <c:v>8.6000003814697266</c:v>
                </c:pt>
                <c:pt idx="49">
                  <c:v>8.6000003814697266</c:v>
                </c:pt>
                <c:pt idx="50">
                  <c:v>8.3000001907348633</c:v>
                </c:pt>
                <c:pt idx="51">
                  <c:v>9.6000003814697266</c:v>
                </c:pt>
                <c:pt idx="52">
                  <c:v>8.5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15264"/>
        <c:axId val="229917440"/>
      </c:scatterChart>
      <c:valAx>
        <c:axId val="22991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17440"/>
        <c:crosses val="autoZero"/>
        <c:crossBetween val="midCat"/>
      </c:valAx>
      <c:valAx>
        <c:axId val="229917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152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Malakwa</c:v>
          </c:tx>
          <c:marker>
            <c:symbol val="none"/>
          </c:marker>
          <c:cat>
            <c:numRef>
              <c:f>Data!$B$165:$B$283</c:f>
              <c:numCache>
                <c:formatCode>General</c:formatCode>
                <c:ptCount val="119"/>
                <c:pt idx="0">
                  <c:v>159</c:v>
                </c:pt>
                <c:pt idx="1">
                  <c:v>160</c:v>
                </c:pt>
                <c:pt idx="2">
                  <c:v>161</c:v>
                </c:pt>
                <c:pt idx="3">
                  <c:v>162</c:v>
                </c:pt>
                <c:pt idx="4">
                  <c:v>163</c:v>
                </c:pt>
                <c:pt idx="5">
                  <c:v>164</c:v>
                </c:pt>
                <c:pt idx="6">
                  <c:v>165</c:v>
                </c:pt>
                <c:pt idx="7">
                  <c:v>166</c:v>
                </c:pt>
                <c:pt idx="8">
                  <c:v>167</c:v>
                </c:pt>
                <c:pt idx="9">
                  <c:v>168</c:v>
                </c:pt>
                <c:pt idx="10">
                  <c:v>169</c:v>
                </c:pt>
                <c:pt idx="11">
                  <c:v>170</c:v>
                </c:pt>
                <c:pt idx="12">
                  <c:v>171</c:v>
                </c:pt>
                <c:pt idx="13">
                  <c:v>172</c:v>
                </c:pt>
                <c:pt idx="14">
                  <c:v>173</c:v>
                </c:pt>
                <c:pt idx="15">
                  <c:v>174</c:v>
                </c:pt>
                <c:pt idx="16">
                  <c:v>175</c:v>
                </c:pt>
                <c:pt idx="17">
                  <c:v>176</c:v>
                </c:pt>
                <c:pt idx="18">
                  <c:v>177</c:v>
                </c:pt>
                <c:pt idx="19">
                  <c:v>178</c:v>
                </c:pt>
                <c:pt idx="20">
                  <c:v>179</c:v>
                </c:pt>
                <c:pt idx="21">
                  <c:v>180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191</c:v>
                </c:pt>
                <c:pt idx="33">
                  <c:v>192</c:v>
                </c:pt>
                <c:pt idx="34">
                  <c:v>193</c:v>
                </c:pt>
                <c:pt idx="35">
                  <c:v>194</c:v>
                </c:pt>
                <c:pt idx="36">
                  <c:v>195</c:v>
                </c:pt>
                <c:pt idx="37">
                  <c:v>196</c:v>
                </c:pt>
                <c:pt idx="38">
                  <c:v>197</c:v>
                </c:pt>
                <c:pt idx="39">
                  <c:v>198</c:v>
                </c:pt>
                <c:pt idx="40">
                  <c:v>199</c:v>
                </c:pt>
                <c:pt idx="41">
                  <c:v>200</c:v>
                </c:pt>
                <c:pt idx="42">
                  <c:v>201</c:v>
                </c:pt>
                <c:pt idx="43">
                  <c:v>202</c:v>
                </c:pt>
                <c:pt idx="44">
                  <c:v>203</c:v>
                </c:pt>
                <c:pt idx="45">
                  <c:v>204</c:v>
                </c:pt>
                <c:pt idx="46">
                  <c:v>205</c:v>
                </c:pt>
                <c:pt idx="47">
                  <c:v>206</c:v>
                </c:pt>
                <c:pt idx="48">
                  <c:v>207</c:v>
                </c:pt>
                <c:pt idx="49">
                  <c:v>208</c:v>
                </c:pt>
                <c:pt idx="50">
                  <c:v>209</c:v>
                </c:pt>
                <c:pt idx="51">
                  <c:v>210</c:v>
                </c:pt>
                <c:pt idx="52">
                  <c:v>211</c:v>
                </c:pt>
                <c:pt idx="53">
                  <c:v>212</c:v>
                </c:pt>
                <c:pt idx="54">
                  <c:v>213</c:v>
                </c:pt>
                <c:pt idx="55">
                  <c:v>214</c:v>
                </c:pt>
                <c:pt idx="56">
                  <c:v>215</c:v>
                </c:pt>
                <c:pt idx="57">
                  <c:v>216</c:v>
                </c:pt>
                <c:pt idx="58">
                  <c:v>217</c:v>
                </c:pt>
                <c:pt idx="59">
                  <c:v>218</c:v>
                </c:pt>
                <c:pt idx="60">
                  <c:v>219</c:v>
                </c:pt>
                <c:pt idx="61">
                  <c:v>220</c:v>
                </c:pt>
                <c:pt idx="62">
                  <c:v>221</c:v>
                </c:pt>
                <c:pt idx="63">
                  <c:v>222</c:v>
                </c:pt>
                <c:pt idx="64">
                  <c:v>223</c:v>
                </c:pt>
                <c:pt idx="65">
                  <c:v>224</c:v>
                </c:pt>
                <c:pt idx="66">
                  <c:v>225</c:v>
                </c:pt>
                <c:pt idx="67">
                  <c:v>226</c:v>
                </c:pt>
                <c:pt idx="68">
                  <c:v>227</c:v>
                </c:pt>
                <c:pt idx="69">
                  <c:v>228</c:v>
                </c:pt>
                <c:pt idx="70">
                  <c:v>229</c:v>
                </c:pt>
                <c:pt idx="71">
                  <c:v>230</c:v>
                </c:pt>
                <c:pt idx="72">
                  <c:v>231</c:v>
                </c:pt>
                <c:pt idx="73">
                  <c:v>232</c:v>
                </c:pt>
                <c:pt idx="74">
                  <c:v>233</c:v>
                </c:pt>
                <c:pt idx="75">
                  <c:v>234</c:v>
                </c:pt>
                <c:pt idx="76">
                  <c:v>235</c:v>
                </c:pt>
                <c:pt idx="77">
                  <c:v>236</c:v>
                </c:pt>
                <c:pt idx="78">
                  <c:v>237</c:v>
                </c:pt>
                <c:pt idx="79">
                  <c:v>238</c:v>
                </c:pt>
                <c:pt idx="80">
                  <c:v>239</c:v>
                </c:pt>
                <c:pt idx="81">
                  <c:v>240</c:v>
                </c:pt>
                <c:pt idx="82">
                  <c:v>241</c:v>
                </c:pt>
                <c:pt idx="83">
                  <c:v>242</c:v>
                </c:pt>
                <c:pt idx="84">
                  <c:v>243</c:v>
                </c:pt>
                <c:pt idx="85">
                  <c:v>244</c:v>
                </c:pt>
                <c:pt idx="86">
                  <c:v>245</c:v>
                </c:pt>
                <c:pt idx="87">
                  <c:v>246</c:v>
                </c:pt>
                <c:pt idx="88">
                  <c:v>247</c:v>
                </c:pt>
                <c:pt idx="89">
                  <c:v>248</c:v>
                </c:pt>
                <c:pt idx="90">
                  <c:v>249</c:v>
                </c:pt>
                <c:pt idx="91">
                  <c:v>250</c:v>
                </c:pt>
                <c:pt idx="92">
                  <c:v>251</c:v>
                </c:pt>
                <c:pt idx="93">
                  <c:v>252</c:v>
                </c:pt>
                <c:pt idx="94">
                  <c:v>253</c:v>
                </c:pt>
                <c:pt idx="95">
                  <c:v>254</c:v>
                </c:pt>
                <c:pt idx="96">
                  <c:v>255</c:v>
                </c:pt>
                <c:pt idx="97">
                  <c:v>256</c:v>
                </c:pt>
                <c:pt idx="98">
                  <c:v>257</c:v>
                </c:pt>
                <c:pt idx="99">
                  <c:v>258</c:v>
                </c:pt>
                <c:pt idx="100">
                  <c:v>259</c:v>
                </c:pt>
                <c:pt idx="101">
                  <c:v>260</c:v>
                </c:pt>
                <c:pt idx="102">
                  <c:v>261</c:v>
                </c:pt>
                <c:pt idx="103">
                  <c:v>262</c:v>
                </c:pt>
                <c:pt idx="104">
                  <c:v>263</c:v>
                </c:pt>
                <c:pt idx="105">
                  <c:v>264</c:v>
                </c:pt>
                <c:pt idx="106">
                  <c:v>265</c:v>
                </c:pt>
                <c:pt idx="107">
                  <c:v>266</c:v>
                </c:pt>
                <c:pt idx="108">
                  <c:v>267</c:v>
                </c:pt>
                <c:pt idx="109">
                  <c:v>268</c:v>
                </c:pt>
                <c:pt idx="110">
                  <c:v>269</c:v>
                </c:pt>
                <c:pt idx="111">
                  <c:v>270</c:v>
                </c:pt>
                <c:pt idx="112">
                  <c:v>271</c:v>
                </c:pt>
                <c:pt idx="113">
                  <c:v>272</c:v>
                </c:pt>
                <c:pt idx="114">
                  <c:v>273</c:v>
                </c:pt>
                <c:pt idx="115">
                  <c:v>274</c:v>
                </c:pt>
                <c:pt idx="116">
                  <c:v>275</c:v>
                </c:pt>
                <c:pt idx="117">
                  <c:v>276</c:v>
                </c:pt>
                <c:pt idx="118">
                  <c:v>277</c:v>
                </c:pt>
              </c:numCache>
            </c:numRef>
          </c:cat>
          <c:val>
            <c:numRef>
              <c:f>Data!$DQ$165:$DQ$283</c:f>
              <c:numCache>
                <c:formatCode>General</c:formatCode>
                <c:ptCount val="119"/>
                <c:pt idx="0">
                  <c:v>16.2</c:v>
                </c:pt>
                <c:pt idx="1">
                  <c:v>16.2</c:v>
                </c:pt>
                <c:pt idx="2">
                  <c:v>15.7</c:v>
                </c:pt>
                <c:pt idx="3">
                  <c:v>13.2</c:v>
                </c:pt>
                <c:pt idx="4">
                  <c:v>13.6</c:v>
                </c:pt>
                <c:pt idx="5">
                  <c:v>12.6</c:v>
                </c:pt>
                <c:pt idx="6">
                  <c:v>13.4</c:v>
                </c:pt>
                <c:pt idx="7">
                  <c:v>13.9</c:v>
                </c:pt>
                <c:pt idx="8">
                  <c:v>14.4</c:v>
                </c:pt>
                <c:pt idx="9">
                  <c:v>15</c:v>
                </c:pt>
                <c:pt idx="10">
                  <c:v>15.3</c:v>
                </c:pt>
                <c:pt idx="11">
                  <c:v>16.5</c:v>
                </c:pt>
                <c:pt idx="12">
                  <c:v>18.399999999999999</c:v>
                </c:pt>
                <c:pt idx="13">
                  <c:v>17</c:v>
                </c:pt>
                <c:pt idx="14">
                  <c:v>18.899999999999999</c:v>
                </c:pt>
                <c:pt idx="15">
                  <c:v>16.8</c:v>
                </c:pt>
                <c:pt idx="16">
                  <c:v>17.8</c:v>
                </c:pt>
                <c:pt idx="17">
                  <c:v>17.100000000000001</c:v>
                </c:pt>
                <c:pt idx="18">
                  <c:v>18.100000000000001</c:v>
                </c:pt>
                <c:pt idx="19">
                  <c:v>20.399999999999999</c:v>
                </c:pt>
                <c:pt idx="20">
                  <c:v>20.6</c:v>
                </c:pt>
                <c:pt idx="21">
                  <c:v>22.5</c:v>
                </c:pt>
                <c:pt idx="22">
                  <c:v>20.9</c:v>
                </c:pt>
                <c:pt idx="23">
                  <c:v>21.7</c:v>
                </c:pt>
                <c:pt idx="24">
                  <c:v>18.5</c:v>
                </c:pt>
                <c:pt idx="25">
                  <c:v>15.6</c:v>
                </c:pt>
                <c:pt idx="26">
                  <c:v>15.1</c:v>
                </c:pt>
                <c:pt idx="27">
                  <c:v>15.5</c:v>
                </c:pt>
                <c:pt idx="28">
                  <c:v>14.7</c:v>
                </c:pt>
                <c:pt idx="29">
                  <c:v>14.5</c:v>
                </c:pt>
                <c:pt idx="30">
                  <c:v>18.5</c:v>
                </c:pt>
                <c:pt idx="31">
                  <c:v>18.7</c:v>
                </c:pt>
                <c:pt idx="32">
                  <c:v>17.7</c:v>
                </c:pt>
                <c:pt idx="33">
                  <c:v>16.8</c:v>
                </c:pt>
                <c:pt idx="34">
                  <c:v>21.3</c:v>
                </c:pt>
                <c:pt idx="35">
                  <c:v>21.4</c:v>
                </c:pt>
                <c:pt idx="36">
                  <c:v>22.6</c:v>
                </c:pt>
                <c:pt idx="37">
                  <c:v>21.1</c:v>
                </c:pt>
                <c:pt idx="38">
                  <c:v>17.3</c:v>
                </c:pt>
                <c:pt idx="39">
                  <c:v>18.5</c:v>
                </c:pt>
                <c:pt idx="40">
                  <c:v>21</c:v>
                </c:pt>
                <c:pt idx="41">
                  <c:v>22.1</c:v>
                </c:pt>
                <c:pt idx="42">
                  <c:v>23.9</c:v>
                </c:pt>
                <c:pt idx="43">
                  <c:v>24</c:v>
                </c:pt>
                <c:pt idx="44">
                  <c:v>23.9</c:v>
                </c:pt>
                <c:pt idx="45">
                  <c:v>23.5</c:v>
                </c:pt>
                <c:pt idx="46">
                  <c:v>21.5</c:v>
                </c:pt>
                <c:pt idx="47">
                  <c:v>21.9</c:v>
                </c:pt>
                <c:pt idx="48">
                  <c:v>19</c:v>
                </c:pt>
                <c:pt idx="49">
                  <c:v>20.5</c:v>
                </c:pt>
                <c:pt idx="50">
                  <c:v>22</c:v>
                </c:pt>
                <c:pt idx="51">
                  <c:v>18.2</c:v>
                </c:pt>
                <c:pt idx="52">
                  <c:v>21.3</c:v>
                </c:pt>
                <c:pt idx="53">
                  <c:v>21.9</c:v>
                </c:pt>
                <c:pt idx="54">
                  <c:v>23</c:v>
                </c:pt>
                <c:pt idx="55">
                  <c:v>21.9</c:v>
                </c:pt>
                <c:pt idx="56">
                  <c:v>21</c:v>
                </c:pt>
                <c:pt idx="57">
                  <c:v>23.3</c:v>
                </c:pt>
                <c:pt idx="58">
                  <c:v>24.5</c:v>
                </c:pt>
                <c:pt idx="59">
                  <c:v>24.3</c:v>
                </c:pt>
                <c:pt idx="60">
                  <c:v>22.8</c:v>
                </c:pt>
                <c:pt idx="61">
                  <c:v>22.5</c:v>
                </c:pt>
                <c:pt idx="62">
                  <c:v>23.2</c:v>
                </c:pt>
                <c:pt idx="63">
                  <c:v>23.3</c:v>
                </c:pt>
                <c:pt idx="64">
                  <c:v>21.8</c:v>
                </c:pt>
                <c:pt idx="65">
                  <c:v>19.3</c:v>
                </c:pt>
                <c:pt idx="66">
                  <c:v>19.399999999999999</c:v>
                </c:pt>
                <c:pt idx="67">
                  <c:v>17.899999999999999</c:v>
                </c:pt>
                <c:pt idx="68">
                  <c:v>16.2</c:v>
                </c:pt>
                <c:pt idx="69">
                  <c:v>16.7</c:v>
                </c:pt>
                <c:pt idx="70">
                  <c:v>18.8</c:v>
                </c:pt>
                <c:pt idx="71">
                  <c:v>20.100000000000001</c:v>
                </c:pt>
                <c:pt idx="72">
                  <c:v>16.899999999999999</c:v>
                </c:pt>
                <c:pt idx="73">
                  <c:v>15.2</c:v>
                </c:pt>
                <c:pt idx="74">
                  <c:v>14.6</c:v>
                </c:pt>
                <c:pt idx="75">
                  <c:v>17.3</c:v>
                </c:pt>
                <c:pt idx="76">
                  <c:v>19.2</c:v>
                </c:pt>
                <c:pt idx="77">
                  <c:v>21.3</c:v>
                </c:pt>
                <c:pt idx="78">
                  <c:v>18.399999999999999</c:v>
                </c:pt>
                <c:pt idx="79">
                  <c:v>19</c:v>
                </c:pt>
                <c:pt idx="80">
                  <c:v>17.899999999999999</c:v>
                </c:pt>
                <c:pt idx="81">
                  <c:v>12.4</c:v>
                </c:pt>
                <c:pt idx="82">
                  <c:v>11.4</c:v>
                </c:pt>
                <c:pt idx="83">
                  <c:v>12.8</c:v>
                </c:pt>
                <c:pt idx="84">
                  <c:v>16.899999999999999</c:v>
                </c:pt>
                <c:pt idx="85">
                  <c:v>15.7</c:v>
                </c:pt>
                <c:pt idx="86">
                  <c:v>16.100000000000001</c:v>
                </c:pt>
                <c:pt idx="87">
                  <c:v>14.2</c:v>
                </c:pt>
                <c:pt idx="88">
                  <c:v>11</c:v>
                </c:pt>
                <c:pt idx="89">
                  <c:v>14</c:v>
                </c:pt>
                <c:pt idx="90">
                  <c:v>10</c:v>
                </c:pt>
                <c:pt idx="91">
                  <c:v>15.8</c:v>
                </c:pt>
                <c:pt idx="92">
                  <c:v>11.1</c:v>
                </c:pt>
                <c:pt idx="93">
                  <c:v>10.3</c:v>
                </c:pt>
                <c:pt idx="94">
                  <c:v>8.8000000000000007</c:v>
                </c:pt>
                <c:pt idx="95">
                  <c:v>12</c:v>
                </c:pt>
                <c:pt idx="96">
                  <c:v>10</c:v>
                </c:pt>
                <c:pt idx="97">
                  <c:v>16</c:v>
                </c:pt>
                <c:pt idx="98">
                  <c:v>16.100000000000001</c:v>
                </c:pt>
                <c:pt idx="99">
                  <c:v>17.2</c:v>
                </c:pt>
                <c:pt idx="100">
                  <c:v>17.100000000000001</c:v>
                </c:pt>
                <c:pt idx="101">
                  <c:v>18.600000000000001</c:v>
                </c:pt>
                <c:pt idx="102">
                  <c:v>17.399999999999999</c:v>
                </c:pt>
                <c:pt idx="103">
                  <c:v>15.4</c:v>
                </c:pt>
                <c:pt idx="104">
                  <c:v>15.8</c:v>
                </c:pt>
                <c:pt idx="105">
                  <c:v>10.9</c:v>
                </c:pt>
                <c:pt idx="106">
                  <c:v>8.9</c:v>
                </c:pt>
                <c:pt idx="107">
                  <c:v>6.6</c:v>
                </c:pt>
                <c:pt idx="108">
                  <c:v>7.7</c:v>
                </c:pt>
                <c:pt idx="109">
                  <c:v>9.8000000000000007</c:v>
                </c:pt>
                <c:pt idx="110">
                  <c:v>11.1</c:v>
                </c:pt>
                <c:pt idx="111">
                  <c:v>13.1</c:v>
                </c:pt>
                <c:pt idx="112">
                  <c:v>13.2</c:v>
                </c:pt>
                <c:pt idx="113">
                  <c:v>12</c:v>
                </c:pt>
                <c:pt idx="114">
                  <c:v>12.5</c:v>
                </c:pt>
                <c:pt idx="115">
                  <c:v>13.8</c:v>
                </c:pt>
                <c:pt idx="116">
                  <c:v>11.8</c:v>
                </c:pt>
                <c:pt idx="117">
                  <c:v>9.6999999999999993</c:v>
                </c:pt>
                <c:pt idx="118">
                  <c:v>8.6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Data!$B$165:$B$283</c:f>
              <c:numCache>
                <c:formatCode>General</c:formatCode>
                <c:ptCount val="119"/>
                <c:pt idx="0">
                  <c:v>159</c:v>
                </c:pt>
                <c:pt idx="1">
                  <c:v>160</c:v>
                </c:pt>
                <c:pt idx="2">
                  <c:v>161</c:v>
                </c:pt>
                <c:pt idx="3">
                  <c:v>162</c:v>
                </c:pt>
                <c:pt idx="4">
                  <c:v>163</c:v>
                </c:pt>
                <c:pt idx="5">
                  <c:v>164</c:v>
                </c:pt>
                <c:pt idx="6">
                  <c:v>165</c:v>
                </c:pt>
                <c:pt idx="7">
                  <c:v>166</c:v>
                </c:pt>
                <c:pt idx="8">
                  <c:v>167</c:v>
                </c:pt>
                <c:pt idx="9">
                  <c:v>168</c:v>
                </c:pt>
                <c:pt idx="10">
                  <c:v>169</c:v>
                </c:pt>
                <c:pt idx="11">
                  <c:v>170</c:v>
                </c:pt>
                <c:pt idx="12">
                  <c:v>171</c:v>
                </c:pt>
                <c:pt idx="13">
                  <c:v>172</c:v>
                </c:pt>
                <c:pt idx="14">
                  <c:v>173</c:v>
                </c:pt>
                <c:pt idx="15">
                  <c:v>174</c:v>
                </c:pt>
                <c:pt idx="16">
                  <c:v>175</c:v>
                </c:pt>
                <c:pt idx="17">
                  <c:v>176</c:v>
                </c:pt>
                <c:pt idx="18">
                  <c:v>177</c:v>
                </c:pt>
                <c:pt idx="19">
                  <c:v>178</c:v>
                </c:pt>
                <c:pt idx="20">
                  <c:v>179</c:v>
                </c:pt>
                <c:pt idx="21">
                  <c:v>180</c:v>
                </c:pt>
                <c:pt idx="22">
                  <c:v>181</c:v>
                </c:pt>
                <c:pt idx="23">
                  <c:v>182</c:v>
                </c:pt>
                <c:pt idx="24">
                  <c:v>183</c:v>
                </c:pt>
                <c:pt idx="25">
                  <c:v>184</c:v>
                </c:pt>
                <c:pt idx="26">
                  <c:v>185</c:v>
                </c:pt>
                <c:pt idx="27">
                  <c:v>186</c:v>
                </c:pt>
                <c:pt idx="28">
                  <c:v>187</c:v>
                </c:pt>
                <c:pt idx="29">
                  <c:v>188</c:v>
                </c:pt>
                <c:pt idx="30">
                  <c:v>189</c:v>
                </c:pt>
                <c:pt idx="31">
                  <c:v>190</c:v>
                </c:pt>
                <c:pt idx="32">
                  <c:v>191</c:v>
                </c:pt>
                <c:pt idx="33">
                  <c:v>192</c:v>
                </c:pt>
                <c:pt idx="34">
                  <c:v>193</c:v>
                </c:pt>
                <c:pt idx="35">
                  <c:v>194</c:v>
                </c:pt>
                <c:pt idx="36">
                  <c:v>195</c:v>
                </c:pt>
                <c:pt idx="37">
                  <c:v>196</c:v>
                </c:pt>
                <c:pt idx="38">
                  <c:v>197</c:v>
                </c:pt>
                <c:pt idx="39">
                  <c:v>198</c:v>
                </c:pt>
                <c:pt idx="40">
                  <c:v>199</c:v>
                </c:pt>
                <c:pt idx="41">
                  <c:v>200</c:v>
                </c:pt>
                <c:pt idx="42">
                  <c:v>201</c:v>
                </c:pt>
                <c:pt idx="43">
                  <c:v>202</c:v>
                </c:pt>
                <c:pt idx="44">
                  <c:v>203</c:v>
                </c:pt>
                <c:pt idx="45">
                  <c:v>204</c:v>
                </c:pt>
                <c:pt idx="46">
                  <c:v>205</c:v>
                </c:pt>
                <c:pt idx="47">
                  <c:v>206</c:v>
                </c:pt>
                <c:pt idx="48">
                  <c:v>207</c:v>
                </c:pt>
                <c:pt idx="49">
                  <c:v>208</c:v>
                </c:pt>
                <c:pt idx="50">
                  <c:v>209</c:v>
                </c:pt>
                <c:pt idx="51">
                  <c:v>210</c:v>
                </c:pt>
                <c:pt idx="52">
                  <c:v>211</c:v>
                </c:pt>
                <c:pt idx="53">
                  <c:v>212</c:v>
                </c:pt>
                <c:pt idx="54">
                  <c:v>213</c:v>
                </c:pt>
                <c:pt idx="55">
                  <c:v>214</c:v>
                </c:pt>
                <c:pt idx="56">
                  <c:v>215</c:v>
                </c:pt>
                <c:pt idx="57">
                  <c:v>216</c:v>
                </c:pt>
                <c:pt idx="58">
                  <c:v>217</c:v>
                </c:pt>
                <c:pt idx="59">
                  <c:v>218</c:v>
                </c:pt>
                <c:pt idx="60">
                  <c:v>219</c:v>
                </c:pt>
                <c:pt idx="61">
                  <c:v>220</c:v>
                </c:pt>
                <c:pt idx="62">
                  <c:v>221</c:v>
                </c:pt>
                <c:pt idx="63">
                  <c:v>222</c:v>
                </c:pt>
                <c:pt idx="64">
                  <c:v>223</c:v>
                </c:pt>
                <c:pt idx="65">
                  <c:v>224</c:v>
                </c:pt>
                <c:pt idx="66">
                  <c:v>225</c:v>
                </c:pt>
                <c:pt idx="67">
                  <c:v>226</c:v>
                </c:pt>
                <c:pt idx="68">
                  <c:v>227</c:v>
                </c:pt>
                <c:pt idx="69">
                  <c:v>228</c:v>
                </c:pt>
                <c:pt idx="70">
                  <c:v>229</c:v>
                </c:pt>
                <c:pt idx="71">
                  <c:v>230</c:v>
                </c:pt>
                <c:pt idx="72">
                  <c:v>231</c:v>
                </c:pt>
                <c:pt idx="73">
                  <c:v>232</c:v>
                </c:pt>
                <c:pt idx="74">
                  <c:v>233</c:v>
                </c:pt>
                <c:pt idx="75">
                  <c:v>234</c:v>
                </c:pt>
                <c:pt idx="76">
                  <c:v>235</c:v>
                </c:pt>
                <c:pt idx="77">
                  <c:v>236</c:v>
                </c:pt>
                <c:pt idx="78">
                  <c:v>237</c:v>
                </c:pt>
                <c:pt idx="79">
                  <c:v>238</c:v>
                </c:pt>
                <c:pt idx="80">
                  <c:v>239</c:v>
                </c:pt>
                <c:pt idx="81">
                  <c:v>240</c:v>
                </c:pt>
                <c:pt idx="82">
                  <c:v>241</c:v>
                </c:pt>
                <c:pt idx="83">
                  <c:v>242</c:v>
                </c:pt>
                <c:pt idx="84">
                  <c:v>243</c:v>
                </c:pt>
                <c:pt idx="85">
                  <c:v>244</c:v>
                </c:pt>
                <c:pt idx="86">
                  <c:v>245</c:v>
                </c:pt>
                <c:pt idx="87">
                  <c:v>246</c:v>
                </c:pt>
                <c:pt idx="88">
                  <c:v>247</c:v>
                </c:pt>
                <c:pt idx="89">
                  <c:v>248</c:v>
                </c:pt>
                <c:pt idx="90">
                  <c:v>249</c:v>
                </c:pt>
                <c:pt idx="91">
                  <c:v>250</c:v>
                </c:pt>
                <c:pt idx="92">
                  <c:v>251</c:v>
                </c:pt>
                <c:pt idx="93">
                  <c:v>252</c:v>
                </c:pt>
                <c:pt idx="94">
                  <c:v>253</c:v>
                </c:pt>
                <c:pt idx="95">
                  <c:v>254</c:v>
                </c:pt>
                <c:pt idx="96">
                  <c:v>255</c:v>
                </c:pt>
                <c:pt idx="97">
                  <c:v>256</c:v>
                </c:pt>
                <c:pt idx="98">
                  <c:v>257</c:v>
                </c:pt>
                <c:pt idx="99">
                  <c:v>258</c:v>
                </c:pt>
                <c:pt idx="100">
                  <c:v>259</c:v>
                </c:pt>
                <c:pt idx="101">
                  <c:v>260</c:v>
                </c:pt>
                <c:pt idx="102">
                  <c:v>261</c:v>
                </c:pt>
                <c:pt idx="103">
                  <c:v>262</c:v>
                </c:pt>
                <c:pt idx="104">
                  <c:v>263</c:v>
                </c:pt>
                <c:pt idx="105">
                  <c:v>264</c:v>
                </c:pt>
                <c:pt idx="106">
                  <c:v>265</c:v>
                </c:pt>
                <c:pt idx="107">
                  <c:v>266</c:v>
                </c:pt>
                <c:pt idx="108">
                  <c:v>267</c:v>
                </c:pt>
                <c:pt idx="109">
                  <c:v>268</c:v>
                </c:pt>
                <c:pt idx="110">
                  <c:v>269</c:v>
                </c:pt>
                <c:pt idx="111">
                  <c:v>270</c:v>
                </c:pt>
                <c:pt idx="112">
                  <c:v>271</c:v>
                </c:pt>
                <c:pt idx="113">
                  <c:v>272</c:v>
                </c:pt>
                <c:pt idx="114">
                  <c:v>273</c:v>
                </c:pt>
                <c:pt idx="115">
                  <c:v>274</c:v>
                </c:pt>
                <c:pt idx="116">
                  <c:v>275</c:v>
                </c:pt>
                <c:pt idx="117">
                  <c:v>276</c:v>
                </c:pt>
                <c:pt idx="118">
                  <c:v>277</c:v>
                </c:pt>
              </c:numCache>
            </c:numRef>
          </c:cat>
          <c:val>
            <c:numRef>
              <c:f>Data!$DK$165:$DK$283</c:f>
              <c:numCache>
                <c:formatCode>General</c:formatCode>
                <c:ptCount val="119"/>
                <c:pt idx="0">
                  <c:v>11.2</c:v>
                </c:pt>
                <c:pt idx="1">
                  <c:v>9</c:v>
                </c:pt>
                <c:pt idx="2">
                  <c:v>8.1</c:v>
                </c:pt>
                <c:pt idx="3">
                  <c:v>5.0999999999999996</c:v>
                </c:pt>
                <c:pt idx="4">
                  <c:v>5.5</c:v>
                </c:pt>
                <c:pt idx="5">
                  <c:v>5.8</c:v>
                </c:pt>
                <c:pt idx="6">
                  <c:v>8.6</c:v>
                </c:pt>
                <c:pt idx="7">
                  <c:v>8.1999999999999993</c:v>
                </c:pt>
                <c:pt idx="8">
                  <c:v>7.6</c:v>
                </c:pt>
                <c:pt idx="9">
                  <c:v>11.1</c:v>
                </c:pt>
                <c:pt idx="10">
                  <c:v>13.6</c:v>
                </c:pt>
                <c:pt idx="11">
                  <c:v>9.6</c:v>
                </c:pt>
                <c:pt idx="12">
                  <c:v>10.4</c:v>
                </c:pt>
                <c:pt idx="13">
                  <c:v>11.6</c:v>
                </c:pt>
                <c:pt idx="14">
                  <c:v>10.8</c:v>
                </c:pt>
                <c:pt idx="15">
                  <c:v>11</c:v>
                </c:pt>
                <c:pt idx="16">
                  <c:v>12.5</c:v>
                </c:pt>
                <c:pt idx="17">
                  <c:v>9.6</c:v>
                </c:pt>
                <c:pt idx="18">
                  <c:v>14.3</c:v>
                </c:pt>
                <c:pt idx="19">
                  <c:v>16.899999999999999</c:v>
                </c:pt>
                <c:pt idx="20">
                  <c:v>18.600000000000001</c:v>
                </c:pt>
                <c:pt idx="21">
                  <c:v>17.2</c:v>
                </c:pt>
                <c:pt idx="22">
                  <c:v>16.399999999999999</c:v>
                </c:pt>
                <c:pt idx="23">
                  <c:v>14.4</c:v>
                </c:pt>
                <c:pt idx="24">
                  <c:v>11.3</c:v>
                </c:pt>
                <c:pt idx="25">
                  <c:v>7.5</c:v>
                </c:pt>
                <c:pt idx="26">
                  <c:v>9.5</c:v>
                </c:pt>
                <c:pt idx="27">
                  <c:v>5.8</c:v>
                </c:pt>
                <c:pt idx="28">
                  <c:v>10</c:v>
                </c:pt>
                <c:pt idx="29">
                  <c:v>11.7</c:v>
                </c:pt>
                <c:pt idx="30">
                  <c:v>12.8</c:v>
                </c:pt>
                <c:pt idx="31">
                  <c:v>12.9</c:v>
                </c:pt>
                <c:pt idx="32">
                  <c:v>10.5</c:v>
                </c:pt>
                <c:pt idx="33">
                  <c:v>11.5</c:v>
                </c:pt>
                <c:pt idx="34">
                  <c:v>15</c:v>
                </c:pt>
                <c:pt idx="35">
                  <c:v>16.8</c:v>
                </c:pt>
                <c:pt idx="36">
                  <c:v>17</c:v>
                </c:pt>
                <c:pt idx="37">
                  <c:v>12.4</c:v>
                </c:pt>
                <c:pt idx="38">
                  <c:v>10.4</c:v>
                </c:pt>
                <c:pt idx="39">
                  <c:v>14.2</c:v>
                </c:pt>
                <c:pt idx="40">
                  <c:v>17.7</c:v>
                </c:pt>
                <c:pt idx="41">
                  <c:v>18.8</c:v>
                </c:pt>
                <c:pt idx="42">
                  <c:v>19.100000000000001</c:v>
                </c:pt>
                <c:pt idx="43">
                  <c:v>17.8</c:v>
                </c:pt>
                <c:pt idx="44">
                  <c:v>19.8</c:v>
                </c:pt>
                <c:pt idx="45">
                  <c:v>17.899999999999999</c:v>
                </c:pt>
                <c:pt idx="46">
                  <c:v>11.3</c:v>
                </c:pt>
                <c:pt idx="47">
                  <c:v>14.9</c:v>
                </c:pt>
                <c:pt idx="48">
                  <c:v>14.1</c:v>
                </c:pt>
                <c:pt idx="49">
                  <c:v>14.4</c:v>
                </c:pt>
                <c:pt idx="50">
                  <c:v>13.6</c:v>
                </c:pt>
                <c:pt idx="51">
                  <c:v>13</c:v>
                </c:pt>
                <c:pt idx="52">
                  <c:v>14.3</c:v>
                </c:pt>
                <c:pt idx="55">
                  <c:v>16.3</c:v>
                </c:pt>
                <c:pt idx="56">
                  <c:v>16.600000000000001</c:v>
                </c:pt>
                <c:pt idx="57">
                  <c:v>16.5</c:v>
                </c:pt>
                <c:pt idx="58">
                  <c:v>18.3</c:v>
                </c:pt>
                <c:pt idx="59">
                  <c:v>20.2</c:v>
                </c:pt>
                <c:pt idx="60">
                  <c:v>18.899999999999999</c:v>
                </c:pt>
                <c:pt idx="61">
                  <c:v>18.100000000000001</c:v>
                </c:pt>
                <c:pt idx="62">
                  <c:v>19.899999999999999</c:v>
                </c:pt>
                <c:pt idx="63">
                  <c:v>18.7</c:v>
                </c:pt>
                <c:pt idx="64">
                  <c:v>17.100000000000001</c:v>
                </c:pt>
                <c:pt idx="65">
                  <c:v>13.5</c:v>
                </c:pt>
                <c:pt idx="66">
                  <c:v>13.1</c:v>
                </c:pt>
                <c:pt idx="67">
                  <c:v>11.4</c:v>
                </c:pt>
                <c:pt idx="68">
                  <c:v>12.3</c:v>
                </c:pt>
                <c:pt idx="69">
                  <c:v>12.8</c:v>
                </c:pt>
                <c:pt idx="70">
                  <c:v>14.8</c:v>
                </c:pt>
                <c:pt idx="71">
                  <c:v>16.899999999999999</c:v>
                </c:pt>
                <c:pt idx="72">
                  <c:v>11.1</c:v>
                </c:pt>
                <c:pt idx="73">
                  <c:v>8</c:v>
                </c:pt>
                <c:pt idx="74">
                  <c:v>8.1999999999999993</c:v>
                </c:pt>
                <c:pt idx="75">
                  <c:v>11.6</c:v>
                </c:pt>
                <c:pt idx="76">
                  <c:v>16.399999999999999</c:v>
                </c:pt>
                <c:pt idx="77">
                  <c:v>19</c:v>
                </c:pt>
                <c:pt idx="78">
                  <c:v>16.7</c:v>
                </c:pt>
                <c:pt idx="79">
                  <c:v>15.5</c:v>
                </c:pt>
                <c:pt idx="80">
                  <c:v>8.3000000000000007</c:v>
                </c:pt>
                <c:pt idx="81">
                  <c:v>6.1</c:v>
                </c:pt>
                <c:pt idx="82">
                  <c:v>8</c:v>
                </c:pt>
                <c:pt idx="83">
                  <c:v>8</c:v>
                </c:pt>
                <c:pt idx="84">
                  <c:v>9.4</c:v>
                </c:pt>
                <c:pt idx="85">
                  <c:v>10</c:v>
                </c:pt>
                <c:pt idx="86">
                  <c:v>8.6</c:v>
                </c:pt>
                <c:pt idx="87">
                  <c:v>6.7</c:v>
                </c:pt>
                <c:pt idx="88">
                  <c:v>5.2</c:v>
                </c:pt>
                <c:pt idx="89">
                  <c:v>6.8</c:v>
                </c:pt>
                <c:pt idx="90">
                  <c:v>6.9</c:v>
                </c:pt>
                <c:pt idx="91">
                  <c:v>10</c:v>
                </c:pt>
                <c:pt idx="92">
                  <c:v>9.3000000000000007</c:v>
                </c:pt>
                <c:pt idx="93">
                  <c:v>5.6</c:v>
                </c:pt>
                <c:pt idx="94">
                  <c:v>4.7</c:v>
                </c:pt>
                <c:pt idx="95">
                  <c:v>5.6</c:v>
                </c:pt>
                <c:pt idx="96">
                  <c:v>8</c:v>
                </c:pt>
                <c:pt idx="97">
                  <c:v>10.5</c:v>
                </c:pt>
                <c:pt idx="98">
                  <c:v>12.5</c:v>
                </c:pt>
                <c:pt idx="99">
                  <c:v>15.7</c:v>
                </c:pt>
                <c:pt idx="100">
                  <c:v>15.8</c:v>
                </c:pt>
                <c:pt idx="101">
                  <c:v>15.1</c:v>
                </c:pt>
                <c:pt idx="102">
                  <c:v>14</c:v>
                </c:pt>
                <c:pt idx="103">
                  <c:v>9.6</c:v>
                </c:pt>
                <c:pt idx="104">
                  <c:v>9.3000000000000007</c:v>
                </c:pt>
                <c:pt idx="105">
                  <c:v>6.9</c:v>
                </c:pt>
                <c:pt idx="106">
                  <c:v>4.4000000000000004</c:v>
                </c:pt>
                <c:pt idx="107">
                  <c:v>2.5</c:v>
                </c:pt>
                <c:pt idx="108">
                  <c:v>5.3</c:v>
                </c:pt>
                <c:pt idx="109">
                  <c:v>8.3000000000000007</c:v>
                </c:pt>
                <c:pt idx="110">
                  <c:v>10.199999999999999</c:v>
                </c:pt>
                <c:pt idx="111">
                  <c:v>12.1</c:v>
                </c:pt>
                <c:pt idx="112">
                  <c:v>12.9</c:v>
                </c:pt>
                <c:pt idx="113">
                  <c:v>13</c:v>
                </c:pt>
                <c:pt idx="114">
                  <c:v>8.9</c:v>
                </c:pt>
                <c:pt idx="115">
                  <c:v>8.5</c:v>
                </c:pt>
                <c:pt idx="116">
                  <c:v>5.0999999999999996</c:v>
                </c:pt>
                <c:pt idx="117">
                  <c:v>2.6</c:v>
                </c:pt>
                <c:pt idx="118">
                  <c:v>2.2000000000000002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30880"/>
        <c:axId val="229932416"/>
      </c:lineChart>
      <c:catAx>
        <c:axId val="2299308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9932416"/>
        <c:crosses val="autoZero"/>
        <c:auto val="1"/>
        <c:lblAlgn val="ctr"/>
        <c:lblOffset val="100"/>
        <c:tickMarkSkip val="7"/>
        <c:noMultiLvlLbl val="0"/>
      </c:catAx>
      <c:valAx>
        <c:axId val="229932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30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PPTest!$N$7:$N$372</c:f>
              <c:numCache>
                <c:formatCode>0.0</c:formatCode>
                <c:ptCount val="366"/>
                <c:pt idx="0" formatCode="0.0_)">
                  <c:v>12.935999999999995</c:v>
                </c:pt>
                <c:pt idx="1">
                  <c:v>17.198999999999995</c:v>
                </c:pt>
                <c:pt idx="2">
                  <c:v>22.049999999999994</c:v>
                </c:pt>
                <c:pt idx="3">
                  <c:v>28.51799999999999</c:v>
                </c:pt>
                <c:pt idx="4">
                  <c:v>29.54699999999999</c:v>
                </c:pt>
                <c:pt idx="5">
                  <c:v>52.184999999999988</c:v>
                </c:pt>
                <c:pt idx="6">
                  <c:v>52.184999999999988</c:v>
                </c:pt>
                <c:pt idx="7">
                  <c:v>74.234999999999985</c:v>
                </c:pt>
                <c:pt idx="8">
                  <c:v>81.290999999999983</c:v>
                </c:pt>
                <c:pt idx="9">
                  <c:v>82.025999999999982</c:v>
                </c:pt>
                <c:pt idx="10">
                  <c:v>83.789999999999978</c:v>
                </c:pt>
                <c:pt idx="11">
                  <c:v>87.905999999999977</c:v>
                </c:pt>
                <c:pt idx="12">
                  <c:v>87.905999999999977</c:v>
                </c:pt>
                <c:pt idx="13">
                  <c:v>90.992999999999981</c:v>
                </c:pt>
                <c:pt idx="14">
                  <c:v>92.609999999999985</c:v>
                </c:pt>
                <c:pt idx="15">
                  <c:v>103.48799999999999</c:v>
                </c:pt>
                <c:pt idx="16">
                  <c:v>103.48799999999999</c:v>
                </c:pt>
                <c:pt idx="17">
                  <c:v>107.45699999999998</c:v>
                </c:pt>
                <c:pt idx="18">
                  <c:v>107.45699999999998</c:v>
                </c:pt>
                <c:pt idx="19">
                  <c:v>111.86699999999998</c:v>
                </c:pt>
                <c:pt idx="20">
                  <c:v>112.30799999999998</c:v>
                </c:pt>
                <c:pt idx="21">
                  <c:v>115.68899999999998</c:v>
                </c:pt>
                <c:pt idx="22">
                  <c:v>115.68899999999998</c:v>
                </c:pt>
                <c:pt idx="23">
                  <c:v>116.12999999999998</c:v>
                </c:pt>
                <c:pt idx="24">
                  <c:v>116.12999999999998</c:v>
                </c:pt>
                <c:pt idx="25">
                  <c:v>117.74699999999999</c:v>
                </c:pt>
                <c:pt idx="26">
                  <c:v>118.48199999999999</c:v>
                </c:pt>
                <c:pt idx="27">
                  <c:v>118.48199999999999</c:v>
                </c:pt>
                <c:pt idx="28">
                  <c:v>119.36399999999999</c:v>
                </c:pt>
                <c:pt idx="29">
                  <c:v>119.36399999999999</c:v>
                </c:pt>
                <c:pt idx="30">
                  <c:v>120.09899999999999</c:v>
                </c:pt>
                <c:pt idx="31">
                  <c:v>125.24399999999999</c:v>
                </c:pt>
                <c:pt idx="32">
                  <c:v>125.24399999999999</c:v>
                </c:pt>
                <c:pt idx="33">
                  <c:v>125.24399999999999</c:v>
                </c:pt>
                <c:pt idx="34">
                  <c:v>126.41999999999999</c:v>
                </c:pt>
                <c:pt idx="35">
                  <c:v>127.59599999999999</c:v>
                </c:pt>
                <c:pt idx="36">
                  <c:v>127.59599999999999</c:v>
                </c:pt>
                <c:pt idx="37">
                  <c:v>127.59599999999999</c:v>
                </c:pt>
                <c:pt idx="38">
                  <c:v>141.41399999999999</c:v>
                </c:pt>
                <c:pt idx="39">
                  <c:v>162.14099999999999</c:v>
                </c:pt>
                <c:pt idx="40">
                  <c:v>163.023</c:v>
                </c:pt>
                <c:pt idx="41">
                  <c:v>163.023</c:v>
                </c:pt>
                <c:pt idx="42">
                  <c:v>163.023</c:v>
                </c:pt>
                <c:pt idx="43">
                  <c:v>164.05199999999999</c:v>
                </c:pt>
                <c:pt idx="44">
                  <c:v>166.25700000000001</c:v>
                </c:pt>
                <c:pt idx="45">
                  <c:v>170.37300000000002</c:v>
                </c:pt>
                <c:pt idx="46">
                  <c:v>170.37300000000002</c:v>
                </c:pt>
                <c:pt idx="47">
                  <c:v>170.37300000000002</c:v>
                </c:pt>
                <c:pt idx="48">
                  <c:v>170.37300000000002</c:v>
                </c:pt>
                <c:pt idx="49">
                  <c:v>171.25500000000002</c:v>
                </c:pt>
                <c:pt idx="50">
                  <c:v>171.25500000000002</c:v>
                </c:pt>
                <c:pt idx="51">
                  <c:v>178.16400000000002</c:v>
                </c:pt>
                <c:pt idx="52">
                  <c:v>186.54300000000001</c:v>
                </c:pt>
                <c:pt idx="53">
                  <c:v>189.77700000000002</c:v>
                </c:pt>
                <c:pt idx="54">
                  <c:v>189.77700000000002</c:v>
                </c:pt>
                <c:pt idx="55">
                  <c:v>189.77700000000002</c:v>
                </c:pt>
                <c:pt idx="56">
                  <c:v>194.18700000000001</c:v>
                </c:pt>
                <c:pt idx="57">
                  <c:v>197.715</c:v>
                </c:pt>
                <c:pt idx="58">
                  <c:v>199.47900000000001</c:v>
                </c:pt>
                <c:pt idx="59">
                  <c:v>203.88900000000001</c:v>
                </c:pt>
                <c:pt idx="60">
                  <c:v>208.887</c:v>
                </c:pt>
                <c:pt idx="61">
                  <c:v>214.32599999999999</c:v>
                </c:pt>
                <c:pt idx="62">
                  <c:v>219.92599999999999</c:v>
                </c:pt>
                <c:pt idx="63">
                  <c:v>223.226</c:v>
                </c:pt>
                <c:pt idx="64">
                  <c:v>223.226</c:v>
                </c:pt>
                <c:pt idx="65">
                  <c:v>225.32599999999999</c:v>
                </c:pt>
                <c:pt idx="66">
                  <c:v>225.32599999999999</c:v>
                </c:pt>
                <c:pt idx="67">
                  <c:v>225.32599999999999</c:v>
                </c:pt>
                <c:pt idx="68">
                  <c:v>225.32599999999999</c:v>
                </c:pt>
                <c:pt idx="69">
                  <c:v>225.32599999999999</c:v>
                </c:pt>
                <c:pt idx="70">
                  <c:v>225.32599999999999</c:v>
                </c:pt>
                <c:pt idx="71">
                  <c:v>225.32599999999999</c:v>
                </c:pt>
                <c:pt idx="72">
                  <c:v>225.32599999999999</c:v>
                </c:pt>
                <c:pt idx="73">
                  <c:v>243.52599999999998</c:v>
                </c:pt>
                <c:pt idx="74">
                  <c:v>243.52599999999998</c:v>
                </c:pt>
                <c:pt idx="75">
                  <c:v>251.62599999999998</c:v>
                </c:pt>
                <c:pt idx="76">
                  <c:v>269.02599999999995</c:v>
                </c:pt>
                <c:pt idx="77">
                  <c:v>272.82599999999996</c:v>
                </c:pt>
                <c:pt idx="78">
                  <c:v>272.92599999999999</c:v>
                </c:pt>
                <c:pt idx="79">
                  <c:v>272.92599999999999</c:v>
                </c:pt>
                <c:pt idx="80">
                  <c:v>272.92599999999999</c:v>
                </c:pt>
                <c:pt idx="81">
                  <c:v>274.12599999999998</c:v>
                </c:pt>
                <c:pt idx="82">
                  <c:v>280.02599999999995</c:v>
                </c:pt>
                <c:pt idx="83">
                  <c:v>280.02599999999995</c:v>
                </c:pt>
                <c:pt idx="84">
                  <c:v>280.82599999999996</c:v>
                </c:pt>
                <c:pt idx="85">
                  <c:v>280.82599999999996</c:v>
                </c:pt>
                <c:pt idx="86">
                  <c:v>283.52599999999995</c:v>
                </c:pt>
                <c:pt idx="87">
                  <c:v>283.52599999999995</c:v>
                </c:pt>
                <c:pt idx="88">
                  <c:v>283.52599999999995</c:v>
                </c:pt>
                <c:pt idx="89">
                  <c:v>283.52599999999995</c:v>
                </c:pt>
                <c:pt idx="90">
                  <c:v>283.52599999999995</c:v>
                </c:pt>
                <c:pt idx="91">
                  <c:v>283.52599999999995</c:v>
                </c:pt>
                <c:pt idx="92">
                  <c:v>283.52599999999995</c:v>
                </c:pt>
                <c:pt idx="93">
                  <c:v>283.52599999999995</c:v>
                </c:pt>
                <c:pt idx="94">
                  <c:v>283.52599999999995</c:v>
                </c:pt>
                <c:pt idx="95">
                  <c:v>283.52599999999995</c:v>
                </c:pt>
                <c:pt idx="96">
                  <c:v>283.52599999999995</c:v>
                </c:pt>
                <c:pt idx="97">
                  <c:v>284.82599999999996</c:v>
                </c:pt>
                <c:pt idx="98">
                  <c:v>284.82599999999996</c:v>
                </c:pt>
                <c:pt idx="99">
                  <c:v>284.82599999999996</c:v>
                </c:pt>
                <c:pt idx="100">
                  <c:v>284.82599999999996</c:v>
                </c:pt>
                <c:pt idx="101">
                  <c:v>284.82599999999996</c:v>
                </c:pt>
                <c:pt idx="102">
                  <c:v>284.82599999999996</c:v>
                </c:pt>
                <c:pt idx="103">
                  <c:v>293.12599999999998</c:v>
                </c:pt>
                <c:pt idx="104">
                  <c:v>298.27099999999996</c:v>
                </c:pt>
                <c:pt idx="105">
                  <c:v>302.97499999999997</c:v>
                </c:pt>
                <c:pt idx="106">
                  <c:v>305.07499999999999</c:v>
                </c:pt>
                <c:pt idx="107">
                  <c:v>305.07499999999999</c:v>
                </c:pt>
                <c:pt idx="108">
                  <c:v>305.07499999999999</c:v>
                </c:pt>
                <c:pt idx="109">
                  <c:v>305.07499999999999</c:v>
                </c:pt>
                <c:pt idx="110">
                  <c:v>305.07499999999999</c:v>
                </c:pt>
                <c:pt idx="111">
                  <c:v>305.07499999999999</c:v>
                </c:pt>
                <c:pt idx="112">
                  <c:v>305.07499999999999</c:v>
                </c:pt>
                <c:pt idx="113">
                  <c:v>309.77499999999998</c:v>
                </c:pt>
                <c:pt idx="114">
                  <c:v>309.77499999999998</c:v>
                </c:pt>
                <c:pt idx="115">
                  <c:v>309.77499999999998</c:v>
                </c:pt>
                <c:pt idx="116">
                  <c:v>309.77499999999998</c:v>
                </c:pt>
                <c:pt idx="117">
                  <c:v>309.77499999999998</c:v>
                </c:pt>
                <c:pt idx="118">
                  <c:v>309.77499999999998</c:v>
                </c:pt>
                <c:pt idx="119">
                  <c:v>313.17499999999995</c:v>
                </c:pt>
                <c:pt idx="120">
                  <c:v>313.17499999999995</c:v>
                </c:pt>
                <c:pt idx="121">
                  <c:v>313.17499999999995</c:v>
                </c:pt>
                <c:pt idx="122">
                  <c:v>313.17499999999995</c:v>
                </c:pt>
                <c:pt idx="123">
                  <c:v>314.47499999999997</c:v>
                </c:pt>
                <c:pt idx="124">
                  <c:v>314.47499999999997</c:v>
                </c:pt>
                <c:pt idx="125">
                  <c:v>318.27499999999998</c:v>
                </c:pt>
                <c:pt idx="126">
                  <c:v>318.27499999999998</c:v>
                </c:pt>
                <c:pt idx="127">
                  <c:v>318.67499999999995</c:v>
                </c:pt>
                <c:pt idx="128">
                  <c:v>318.67499999999995</c:v>
                </c:pt>
                <c:pt idx="129">
                  <c:v>319.07499999999993</c:v>
                </c:pt>
                <c:pt idx="130">
                  <c:v>324.21999999999991</c:v>
                </c:pt>
                <c:pt idx="131">
                  <c:v>325.81999999999994</c:v>
                </c:pt>
                <c:pt idx="132">
                  <c:v>325.81999999999994</c:v>
                </c:pt>
                <c:pt idx="133">
                  <c:v>325.81999999999994</c:v>
                </c:pt>
                <c:pt idx="134">
                  <c:v>325.81999999999994</c:v>
                </c:pt>
                <c:pt idx="135">
                  <c:v>325.81999999999994</c:v>
                </c:pt>
                <c:pt idx="136">
                  <c:v>325.81999999999994</c:v>
                </c:pt>
                <c:pt idx="137">
                  <c:v>325.81999999999994</c:v>
                </c:pt>
                <c:pt idx="138">
                  <c:v>325.81999999999994</c:v>
                </c:pt>
                <c:pt idx="139">
                  <c:v>332.43499999999995</c:v>
                </c:pt>
                <c:pt idx="140">
                  <c:v>332.43499999999995</c:v>
                </c:pt>
                <c:pt idx="141">
                  <c:v>350.95699999999994</c:v>
                </c:pt>
                <c:pt idx="142">
                  <c:v>350.95699999999994</c:v>
                </c:pt>
                <c:pt idx="143">
                  <c:v>350.95699999999994</c:v>
                </c:pt>
                <c:pt idx="144">
                  <c:v>350.95699999999994</c:v>
                </c:pt>
                <c:pt idx="145">
                  <c:v>350.95699999999994</c:v>
                </c:pt>
                <c:pt idx="146">
                  <c:v>350.95699999999994</c:v>
                </c:pt>
                <c:pt idx="147">
                  <c:v>358.09699999999992</c:v>
                </c:pt>
                <c:pt idx="148">
                  <c:v>367.02199999999993</c:v>
                </c:pt>
                <c:pt idx="149">
                  <c:v>369.22699999999992</c:v>
                </c:pt>
                <c:pt idx="150">
                  <c:v>372.0619999999999</c:v>
                </c:pt>
                <c:pt idx="151">
                  <c:v>372.0619999999999</c:v>
                </c:pt>
                <c:pt idx="152">
                  <c:v>372.0619999999999</c:v>
                </c:pt>
                <c:pt idx="153">
                  <c:v>373.63699999999989</c:v>
                </c:pt>
                <c:pt idx="154">
                  <c:v>373.63699999999989</c:v>
                </c:pt>
                <c:pt idx="155">
                  <c:v>373.63699999999989</c:v>
                </c:pt>
                <c:pt idx="156">
                  <c:v>385.92199999999991</c:v>
                </c:pt>
                <c:pt idx="157">
                  <c:v>385.92199999999991</c:v>
                </c:pt>
                <c:pt idx="158">
                  <c:v>385.92199999999991</c:v>
                </c:pt>
                <c:pt idx="159">
                  <c:v>393.69199999999989</c:v>
                </c:pt>
                <c:pt idx="160">
                  <c:v>408.07699999999988</c:v>
                </c:pt>
                <c:pt idx="161">
                  <c:v>414.90199999999987</c:v>
                </c:pt>
                <c:pt idx="162">
                  <c:v>414.90199999999987</c:v>
                </c:pt>
                <c:pt idx="163">
                  <c:v>432.54199999999986</c:v>
                </c:pt>
                <c:pt idx="164">
                  <c:v>432.54199999999986</c:v>
                </c:pt>
                <c:pt idx="165">
                  <c:v>439.05199999999985</c:v>
                </c:pt>
                <c:pt idx="166">
                  <c:v>439.05199999999985</c:v>
                </c:pt>
                <c:pt idx="167">
                  <c:v>439.05199999999985</c:v>
                </c:pt>
                <c:pt idx="168">
                  <c:v>439.05199999999985</c:v>
                </c:pt>
                <c:pt idx="169">
                  <c:v>447.13699999999983</c:v>
                </c:pt>
                <c:pt idx="170">
                  <c:v>447.13699999999983</c:v>
                </c:pt>
                <c:pt idx="171">
                  <c:v>447.45199999999983</c:v>
                </c:pt>
                <c:pt idx="172">
                  <c:v>450.70699999999982</c:v>
                </c:pt>
                <c:pt idx="173">
                  <c:v>450.70699999999982</c:v>
                </c:pt>
                <c:pt idx="174">
                  <c:v>450.70699999999982</c:v>
                </c:pt>
                <c:pt idx="175">
                  <c:v>458.58199999999982</c:v>
                </c:pt>
                <c:pt idx="176">
                  <c:v>458.58199999999982</c:v>
                </c:pt>
                <c:pt idx="177">
                  <c:v>458.58199999999982</c:v>
                </c:pt>
                <c:pt idx="178">
                  <c:v>458.58199999999982</c:v>
                </c:pt>
                <c:pt idx="179">
                  <c:v>460.26199999999983</c:v>
                </c:pt>
                <c:pt idx="180">
                  <c:v>461.4169999999998</c:v>
                </c:pt>
                <c:pt idx="181">
                  <c:v>461.7319999999998</c:v>
                </c:pt>
                <c:pt idx="182">
                  <c:v>469.50199999999978</c:v>
                </c:pt>
                <c:pt idx="183">
                  <c:v>470.34199999999976</c:v>
                </c:pt>
                <c:pt idx="184">
                  <c:v>470.34199999999976</c:v>
                </c:pt>
                <c:pt idx="185">
                  <c:v>478.00699999999978</c:v>
                </c:pt>
                <c:pt idx="186">
                  <c:v>478.00699999999978</c:v>
                </c:pt>
                <c:pt idx="187">
                  <c:v>479.89699999999976</c:v>
                </c:pt>
                <c:pt idx="188">
                  <c:v>482.10199999999975</c:v>
                </c:pt>
                <c:pt idx="189">
                  <c:v>483.78199999999975</c:v>
                </c:pt>
                <c:pt idx="190">
                  <c:v>495.12199999999973</c:v>
                </c:pt>
                <c:pt idx="191">
                  <c:v>495.43699999999973</c:v>
                </c:pt>
                <c:pt idx="192">
                  <c:v>495.43699999999973</c:v>
                </c:pt>
                <c:pt idx="193">
                  <c:v>495.43699999999973</c:v>
                </c:pt>
                <c:pt idx="194">
                  <c:v>495.43699999999973</c:v>
                </c:pt>
                <c:pt idx="195">
                  <c:v>499.42699999999974</c:v>
                </c:pt>
                <c:pt idx="196">
                  <c:v>500.26699999999971</c:v>
                </c:pt>
                <c:pt idx="197">
                  <c:v>500.26699999999971</c:v>
                </c:pt>
                <c:pt idx="198">
                  <c:v>500.26699999999971</c:v>
                </c:pt>
                <c:pt idx="199">
                  <c:v>500.26699999999971</c:v>
                </c:pt>
                <c:pt idx="200">
                  <c:v>500.26699999999971</c:v>
                </c:pt>
                <c:pt idx="201">
                  <c:v>502.36699999999973</c:v>
                </c:pt>
                <c:pt idx="202">
                  <c:v>502.36699999999973</c:v>
                </c:pt>
                <c:pt idx="203">
                  <c:v>529.03699999999969</c:v>
                </c:pt>
                <c:pt idx="204">
                  <c:v>535.02199999999971</c:v>
                </c:pt>
                <c:pt idx="205">
                  <c:v>535.02199999999971</c:v>
                </c:pt>
                <c:pt idx="206">
                  <c:v>537.43699999999967</c:v>
                </c:pt>
                <c:pt idx="207">
                  <c:v>539.01199999999972</c:v>
                </c:pt>
                <c:pt idx="208">
                  <c:v>540.16699999999969</c:v>
                </c:pt>
                <c:pt idx="209">
                  <c:v>550.24699999999973</c:v>
                </c:pt>
                <c:pt idx="210">
                  <c:v>550.56199999999978</c:v>
                </c:pt>
                <c:pt idx="211">
                  <c:v>550.56199999999978</c:v>
                </c:pt>
                <c:pt idx="212">
                  <c:v>550.56199999999978</c:v>
                </c:pt>
                <c:pt idx="213">
                  <c:v>550.56199999999978</c:v>
                </c:pt>
                <c:pt idx="214">
                  <c:v>550.56199999999978</c:v>
                </c:pt>
                <c:pt idx="215">
                  <c:v>550.56199999999978</c:v>
                </c:pt>
                <c:pt idx="216">
                  <c:v>550.56199999999978</c:v>
                </c:pt>
                <c:pt idx="217">
                  <c:v>550.56199999999978</c:v>
                </c:pt>
                <c:pt idx="218">
                  <c:v>550.56199999999978</c:v>
                </c:pt>
                <c:pt idx="219">
                  <c:v>550.56199999999978</c:v>
                </c:pt>
                <c:pt idx="220">
                  <c:v>550.56199999999978</c:v>
                </c:pt>
                <c:pt idx="221">
                  <c:v>550.56199999999978</c:v>
                </c:pt>
                <c:pt idx="222">
                  <c:v>550.56199999999978</c:v>
                </c:pt>
                <c:pt idx="223">
                  <c:v>550.56199999999978</c:v>
                </c:pt>
                <c:pt idx="224">
                  <c:v>550.56199999999978</c:v>
                </c:pt>
                <c:pt idx="225">
                  <c:v>550.56199999999978</c:v>
                </c:pt>
                <c:pt idx="226">
                  <c:v>550.56199999999978</c:v>
                </c:pt>
                <c:pt idx="227">
                  <c:v>550.87699999999984</c:v>
                </c:pt>
                <c:pt idx="228">
                  <c:v>550.87699999999984</c:v>
                </c:pt>
                <c:pt idx="229">
                  <c:v>550.87699999999984</c:v>
                </c:pt>
                <c:pt idx="230">
                  <c:v>552.76699999999983</c:v>
                </c:pt>
                <c:pt idx="231">
                  <c:v>558.75199999999984</c:v>
                </c:pt>
                <c:pt idx="232">
                  <c:v>559.90699999999981</c:v>
                </c:pt>
                <c:pt idx="233">
                  <c:v>559.90699999999981</c:v>
                </c:pt>
                <c:pt idx="234">
                  <c:v>559.90699999999981</c:v>
                </c:pt>
                <c:pt idx="235">
                  <c:v>559.90699999999981</c:v>
                </c:pt>
                <c:pt idx="236">
                  <c:v>559.90699999999981</c:v>
                </c:pt>
                <c:pt idx="237">
                  <c:v>560.22199999999987</c:v>
                </c:pt>
                <c:pt idx="238">
                  <c:v>577.02199999999982</c:v>
                </c:pt>
                <c:pt idx="239">
                  <c:v>581.64199999999983</c:v>
                </c:pt>
                <c:pt idx="240">
                  <c:v>581.95699999999988</c:v>
                </c:pt>
                <c:pt idx="241">
                  <c:v>591.72199999999987</c:v>
                </c:pt>
                <c:pt idx="242">
                  <c:v>592.03699999999992</c:v>
                </c:pt>
                <c:pt idx="243">
                  <c:v>606.21199999999988</c:v>
                </c:pt>
                <c:pt idx="244">
                  <c:v>609.25699999999983</c:v>
                </c:pt>
                <c:pt idx="245">
                  <c:v>612.30199999999979</c:v>
                </c:pt>
                <c:pt idx="246">
                  <c:v>622.1719999999998</c:v>
                </c:pt>
                <c:pt idx="247">
                  <c:v>624.27199999999982</c:v>
                </c:pt>
                <c:pt idx="248">
                  <c:v>626.7919999999998</c:v>
                </c:pt>
                <c:pt idx="249">
                  <c:v>626.7919999999998</c:v>
                </c:pt>
                <c:pt idx="250">
                  <c:v>634.56199999999978</c:v>
                </c:pt>
                <c:pt idx="251">
                  <c:v>646.84699999999975</c:v>
                </c:pt>
                <c:pt idx="252">
                  <c:v>654.93199999999979</c:v>
                </c:pt>
                <c:pt idx="253">
                  <c:v>655.98199999999974</c:v>
                </c:pt>
                <c:pt idx="254">
                  <c:v>656.2969999999998</c:v>
                </c:pt>
                <c:pt idx="255">
                  <c:v>656.2969999999998</c:v>
                </c:pt>
                <c:pt idx="256">
                  <c:v>656.2969999999998</c:v>
                </c:pt>
                <c:pt idx="257">
                  <c:v>656.2969999999998</c:v>
                </c:pt>
                <c:pt idx="258">
                  <c:v>656.2969999999998</c:v>
                </c:pt>
                <c:pt idx="259">
                  <c:v>656.2969999999998</c:v>
                </c:pt>
                <c:pt idx="260">
                  <c:v>656.2969999999998</c:v>
                </c:pt>
                <c:pt idx="261">
                  <c:v>664.59199999999976</c:v>
                </c:pt>
                <c:pt idx="262">
                  <c:v>664.59199999999976</c:v>
                </c:pt>
                <c:pt idx="263">
                  <c:v>672.57199999999978</c:v>
                </c:pt>
                <c:pt idx="264">
                  <c:v>672.57199999999978</c:v>
                </c:pt>
                <c:pt idx="265">
                  <c:v>672.57199999999978</c:v>
                </c:pt>
                <c:pt idx="266">
                  <c:v>672.57199999999978</c:v>
                </c:pt>
                <c:pt idx="267">
                  <c:v>672.57199999999978</c:v>
                </c:pt>
                <c:pt idx="268">
                  <c:v>672.57199999999978</c:v>
                </c:pt>
                <c:pt idx="269">
                  <c:v>672.57199999999978</c:v>
                </c:pt>
                <c:pt idx="270">
                  <c:v>672.57199999999978</c:v>
                </c:pt>
                <c:pt idx="271">
                  <c:v>672.57199999999978</c:v>
                </c:pt>
                <c:pt idx="272">
                  <c:v>691.26199999999983</c:v>
                </c:pt>
                <c:pt idx="273">
                  <c:v>693.88699999999983</c:v>
                </c:pt>
                <c:pt idx="274">
                  <c:v>695.0419999999998</c:v>
                </c:pt>
                <c:pt idx="275">
                  <c:v>695.35699999999986</c:v>
                </c:pt>
                <c:pt idx="276">
                  <c:v>695.98699999999985</c:v>
                </c:pt>
                <c:pt idx="277">
                  <c:v>695.98699999999985</c:v>
                </c:pt>
                <c:pt idx="278">
                  <c:v>695.98699999999985</c:v>
                </c:pt>
                <c:pt idx="279">
                  <c:v>695.98699999999985</c:v>
                </c:pt>
                <c:pt idx="280">
                  <c:v>695.98699999999985</c:v>
                </c:pt>
                <c:pt idx="281">
                  <c:v>695.98699999999985</c:v>
                </c:pt>
                <c:pt idx="282">
                  <c:v>695.98699999999985</c:v>
                </c:pt>
                <c:pt idx="283">
                  <c:v>695.98699999999985</c:v>
                </c:pt>
                <c:pt idx="284">
                  <c:v>695.98699999999985</c:v>
                </c:pt>
                <c:pt idx="285">
                  <c:v>695.98699999999985</c:v>
                </c:pt>
                <c:pt idx="286">
                  <c:v>696.30199999999991</c:v>
                </c:pt>
                <c:pt idx="287">
                  <c:v>698.50699999999995</c:v>
                </c:pt>
                <c:pt idx="288">
                  <c:v>698.822</c:v>
                </c:pt>
                <c:pt idx="289">
                  <c:v>714.25699999999995</c:v>
                </c:pt>
                <c:pt idx="290">
                  <c:v>722.76199999999994</c:v>
                </c:pt>
                <c:pt idx="291">
                  <c:v>724.12699999999995</c:v>
                </c:pt>
                <c:pt idx="292">
                  <c:v>731.0569999999999</c:v>
                </c:pt>
                <c:pt idx="293">
                  <c:v>737.35699999999986</c:v>
                </c:pt>
                <c:pt idx="294">
                  <c:v>737.67199999999991</c:v>
                </c:pt>
                <c:pt idx="295">
                  <c:v>737.67199999999991</c:v>
                </c:pt>
                <c:pt idx="296">
                  <c:v>737.67199999999991</c:v>
                </c:pt>
                <c:pt idx="297">
                  <c:v>737.67199999999991</c:v>
                </c:pt>
                <c:pt idx="298">
                  <c:v>737.67199999999991</c:v>
                </c:pt>
                <c:pt idx="299">
                  <c:v>737.98699999999997</c:v>
                </c:pt>
                <c:pt idx="300">
                  <c:v>739.24699999999996</c:v>
                </c:pt>
                <c:pt idx="301">
                  <c:v>745.86199999999997</c:v>
                </c:pt>
                <c:pt idx="302">
                  <c:v>752.68700000000001</c:v>
                </c:pt>
                <c:pt idx="303">
                  <c:v>753.00200000000007</c:v>
                </c:pt>
                <c:pt idx="304">
                  <c:v>758.04200000000003</c:v>
                </c:pt>
                <c:pt idx="305">
                  <c:v>763.64200000000005</c:v>
                </c:pt>
                <c:pt idx="306">
                  <c:v>763.64200000000005</c:v>
                </c:pt>
                <c:pt idx="307">
                  <c:v>764.14200000000005</c:v>
                </c:pt>
                <c:pt idx="308">
                  <c:v>775.24200000000008</c:v>
                </c:pt>
                <c:pt idx="309">
                  <c:v>775.24200000000008</c:v>
                </c:pt>
                <c:pt idx="310">
                  <c:v>775.24200000000008</c:v>
                </c:pt>
                <c:pt idx="311">
                  <c:v>775.54200000000003</c:v>
                </c:pt>
                <c:pt idx="312">
                  <c:v>775.54200000000003</c:v>
                </c:pt>
                <c:pt idx="313">
                  <c:v>775.54200000000003</c:v>
                </c:pt>
                <c:pt idx="314">
                  <c:v>776.34199999999998</c:v>
                </c:pt>
                <c:pt idx="315">
                  <c:v>781.24199999999996</c:v>
                </c:pt>
                <c:pt idx="316">
                  <c:v>781.24199999999996</c:v>
                </c:pt>
                <c:pt idx="317">
                  <c:v>781.24199999999996</c:v>
                </c:pt>
                <c:pt idx="318">
                  <c:v>781.24199999999996</c:v>
                </c:pt>
                <c:pt idx="319">
                  <c:v>781.24199999999996</c:v>
                </c:pt>
                <c:pt idx="320">
                  <c:v>781.24199999999996</c:v>
                </c:pt>
                <c:pt idx="321">
                  <c:v>783.34199999999998</c:v>
                </c:pt>
                <c:pt idx="322">
                  <c:v>783.34199999999998</c:v>
                </c:pt>
                <c:pt idx="323">
                  <c:v>783.34199999999998</c:v>
                </c:pt>
                <c:pt idx="324">
                  <c:v>783.34199999999998</c:v>
                </c:pt>
                <c:pt idx="325">
                  <c:v>783.34199999999998</c:v>
                </c:pt>
                <c:pt idx="326">
                  <c:v>783.34199999999998</c:v>
                </c:pt>
                <c:pt idx="327">
                  <c:v>789.44200000000001</c:v>
                </c:pt>
                <c:pt idx="328">
                  <c:v>792.04200000000003</c:v>
                </c:pt>
                <c:pt idx="329">
                  <c:v>794.64200000000005</c:v>
                </c:pt>
                <c:pt idx="330">
                  <c:v>800.74200000000008</c:v>
                </c:pt>
                <c:pt idx="331">
                  <c:v>802.54200000000003</c:v>
                </c:pt>
                <c:pt idx="332">
                  <c:v>802.54200000000003</c:v>
                </c:pt>
                <c:pt idx="333">
                  <c:v>813.74200000000008</c:v>
                </c:pt>
                <c:pt idx="334">
                  <c:v>813.74200000000008</c:v>
                </c:pt>
                <c:pt idx="335">
                  <c:v>813.74200000000008</c:v>
                </c:pt>
                <c:pt idx="336">
                  <c:v>815.3420000000001</c:v>
                </c:pt>
                <c:pt idx="337">
                  <c:v>815.3420000000001</c:v>
                </c:pt>
                <c:pt idx="338">
                  <c:v>815.74200000000008</c:v>
                </c:pt>
                <c:pt idx="339">
                  <c:v>815.74200000000008</c:v>
                </c:pt>
                <c:pt idx="340">
                  <c:v>815.74200000000008</c:v>
                </c:pt>
                <c:pt idx="341">
                  <c:v>815.74200000000008</c:v>
                </c:pt>
                <c:pt idx="342">
                  <c:v>816.24200000000008</c:v>
                </c:pt>
                <c:pt idx="343">
                  <c:v>825.44200000000012</c:v>
                </c:pt>
                <c:pt idx="344">
                  <c:v>825.44200000000012</c:v>
                </c:pt>
                <c:pt idx="345">
                  <c:v>825.54200000000014</c:v>
                </c:pt>
                <c:pt idx="346">
                  <c:v>826.04200000000014</c:v>
                </c:pt>
                <c:pt idx="347">
                  <c:v>826.04200000000014</c:v>
                </c:pt>
                <c:pt idx="348">
                  <c:v>837.8420000000001</c:v>
                </c:pt>
                <c:pt idx="349">
                  <c:v>851.24200000000008</c:v>
                </c:pt>
                <c:pt idx="350">
                  <c:v>854.54200000000003</c:v>
                </c:pt>
                <c:pt idx="351">
                  <c:v>854.54200000000003</c:v>
                </c:pt>
                <c:pt idx="352">
                  <c:v>854.54200000000003</c:v>
                </c:pt>
                <c:pt idx="353">
                  <c:v>854.64200000000005</c:v>
                </c:pt>
                <c:pt idx="354">
                  <c:v>854.64200000000005</c:v>
                </c:pt>
                <c:pt idx="355">
                  <c:v>856.8420000000001</c:v>
                </c:pt>
                <c:pt idx="356">
                  <c:v>856.8420000000001</c:v>
                </c:pt>
                <c:pt idx="357">
                  <c:v>856.8420000000001</c:v>
                </c:pt>
                <c:pt idx="358">
                  <c:v>856.8420000000001</c:v>
                </c:pt>
                <c:pt idx="359">
                  <c:v>859.14200000000005</c:v>
                </c:pt>
                <c:pt idx="360">
                  <c:v>863.8420000000001</c:v>
                </c:pt>
                <c:pt idx="361">
                  <c:v>871.74200000000008</c:v>
                </c:pt>
                <c:pt idx="362">
                  <c:v>871.74200000000008</c:v>
                </c:pt>
                <c:pt idx="363">
                  <c:v>871.74200000000008</c:v>
                </c:pt>
                <c:pt idx="364">
                  <c:v>871.74200000000008</c:v>
                </c:pt>
                <c:pt idx="365">
                  <c:v>873.94200000000012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PPTest!$M$7:$M$372</c:f>
              <c:numCache>
                <c:formatCode>0.0</c:formatCode>
                <c:ptCount val="366"/>
                <c:pt idx="0" formatCode="General">
                  <c:v>12.319999999999995</c:v>
                </c:pt>
                <c:pt idx="1">
                  <c:v>16.379999999999995</c:v>
                </c:pt>
                <c:pt idx="2">
                  <c:v>20.999999999999996</c:v>
                </c:pt>
                <c:pt idx="3">
                  <c:v>27.159999999999993</c:v>
                </c:pt>
                <c:pt idx="4">
                  <c:v>28.139999999999993</c:v>
                </c:pt>
                <c:pt idx="5">
                  <c:v>49.699999999999989</c:v>
                </c:pt>
                <c:pt idx="6">
                  <c:v>49.699999999999989</c:v>
                </c:pt>
                <c:pt idx="7">
                  <c:v>70.699999999999989</c:v>
                </c:pt>
                <c:pt idx="8">
                  <c:v>77.419999999999987</c:v>
                </c:pt>
                <c:pt idx="9">
                  <c:v>78.11999999999999</c:v>
                </c:pt>
                <c:pt idx="10">
                  <c:v>79.8</c:v>
                </c:pt>
                <c:pt idx="11">
                  <c:v>83.72</c:v>
                </c:pt>
                <c:pt idx="12">
                  <c:v>83.72</c:v>
                </c:pt>
                <c:pt idx="13">
                  <c:v>86.66</c:v>
                </c:pt>
                <c:pt idx="14">
                  <c:v>88.2</c:v>
                </c:pt>
                <c:pt idx="15">
                  <c:v>98.56</c:v>
                </c:pt>
                <c:pt idx="16">
                  <c:v>98.56</c:v>
                </c:pt>
                <c:pt idx="17">
                  <c:v>102.34</c:v>
                </c:pt>
                <c:pt idx="18">
                  <c:v>102.34</c:v>
                </c:pt>
                <c:pt idx="19">
                  <c:v>106.54</c:v>
                </c:pt>
                <c:pt idx="20">
                  <c:v>106.96000000000001</c:v>
                </c:pt>
                <c:pt idx="21">
                  <c:v>110.18</c:v>
                </c:pt>
                <c:pt idx="22">
                  <c:v>110.18</c:v>
                </c:pt>
                <c:pt idx="23">
                  <c:v>110.60000000000001</c:v>
                </c:pt>
                <c:pt idx="24">
                  <c:v>110.60000000000001</c:v>
                </c:pt>
                <c:pt idx="25">
                  <c:v>112.14000000000001</c:v>
                </c:pt>
                <c:pt idx="26">
                  <c:v>112.84000000000002</c:v>
                </c:pt>
                <c:pt idx="27">
                  <c:v>112.84000000000002</c:v>
                </c:pt>
                <c:pt idx="28">
                  <c:v>113.68000000000002</c:v>
                </c:pt>
                <c:pt idx="29">
                  <c:v>113.68000000000002</c:v>
                </c:pt>
                <c:pt idx="30">
                  <c:v>114.38000000000002</c:v>
                </c:pt>
                <c:pt idx="31">
                  <c:v>119.28000000000003</c:v>
                </c:pt>
                <c:pt idx="32">
                  <c:v>119.28000000000003</c:v>
                </c:pt>
                <c:pt idx="33">
                  <c:v>119.28000000000003</c:v>
                </c:pt>
                <c:pt idx="34">
                  <c:v>120.40000000000003</c:v>
                </c:pt>
                <c:pt idx="35">
                  <c:v>121.52000000000004</c:v>
                </c:pt>
                <c:pt idx="36">
                  <c:v>121.52000000000004</c:v>
                </c:pt>
                <c:pt idx="37">
                  <c:v>121.52000000000004</c:v>
                </c:pt>
                <c:pt idx="38">
                  <c:v>134.68000000000004</c:v>
                </c:pt>
                <c:pt idx="39">
                  <c:v>154.42000000000002</c:v>
                </c:pt>
                <c:pt idx="40">
                  <c:v>155.26000000000002</c:v>
                </c:pt>
                <c:pt idx="41">
                  <c:v>155.26000000000002</c:v>
                </c:pt>
                <c:pt idx="42">
                  <c:v>155.26000000000002</c:v>
                </c:pt>
                <c:pt idx="43">
                  <c:v>156.24</c:v>
                </c:pt>
                <c:pt idx="44">
                  <c:v>158.34</c:v>
                </c:pt>
                <c:pt idx="45">
                  <c:v>162.26</c:v>
                </c:pt>
                <c:pt idx="46">
                  <c:v>162.26</c:v>
                </c:pt>
                <c:pt idx="47">
                  <c:v>162.26</c:v>
                </c:pt>
                <c:pt idx="48">
                  <c:v>162.26</c:v>
                </c:pt>
                <c:pt idx="49">
                  <c:v>163.1</c:v>
                </c:pt>
                <c:pt idx="50">
                  <c:v>163.1</c:v>
                </c:pt>
                <c:pt idx="51">
                  <c:v>169.68</c:v>
                </c:pt>
                <c:pt idx="52">
                  <c:v>177.66</c:v>
                </c:pt>
                <c:pt idx="53">
                  <c:v>180.74</c:v>
                </c:pt>
                <c:pt idx="54">
                  <c:v>180.74</c:v>
                </c:pt>
                <c:pt idx="55">
                  <c:v>180.74</c:v>
                </c:pt>
                <c:pt idx="56">
                  <c:v>184.94</c:v>
                </c:pt>
                <c:pt idx="57">
                  <c:v>188.3</c:v>
                </c:pt>
                <c:pt idx="58">
                  <c:v>189.98000000000002</c:v>
                </c:pt>
                <c:pt idx="59">
                  <c:v>194.18</c:v>
                </c:pt>
                <c:pt idx="60">
                  <c:v>198.94</c:v>
                </c:pt>
                <c:pt idx="61">
                  <c:v>204.12</c:v>
                </c:pt>
                <c:pt idx="62">
                  <c:v>212.1</c:v>
                </c:pt>
                <c:pt idx="63">
                  <c:v>221.34</c:v>
                </c:pt>
                <c:pt idx="64">
                  <c:v>221.34</c:v>
                </c:pt>
                <c:pt idx="65">
                  <c:v>223.72</c:v>
                </c:pt>
                <c:pt idx="66">
                  <c:v>224</c:v>
                </c:pt>
                <c:pt idx="67">
                  <c:v>224</c:v>
                </c:pt>
                <c:pt idx="68">
                  <c:v>224.84</c:v>
                </c:pt>
                <c:pt idx="69">
                  <c:v>225.26</c:v>
                </c:pt>
                <c:pt idx="70">
                  <c:v>227.22</c:v>
                </c:pt>
                <c:pt idx="71">
                  <c:v>227.22</c:v>
                </c:pt>
                <c:pt idx="72">
                  <c:v>227.22</c:v>
                </c:pt>
                <c:pt idx="73">
                  <c:v>244.01999999999998</c:v>
                </c:pt>
                <c:pt idx="74">
                  <c:v>244.01999999999998</c:v>
                </c:pt>
                <c:pt idx="75">
                  <c:v>265.02</c:v>
                </c:pt>
                <c:pt idx="76">
                  <c:v>266.83999999999997</c:v>
                </c:pt>
                <c:pt idx="77">
                  <c:v>276.08</c:v>
                </c:pt>
                <c:pt idx="78">
                  <c:v>283.21999999999997</c:v>
                </c:pt>
                <c:pt idx="79">
                  <c:v>283.21999999999997</c:v>
                </c:pt>
                <c:pt idx="80">
                  <c:v>283.21999999999997</c:v>
                </c:pt>
                <c:pt idx="81">
                  <c:v>290.49999999999994</c:v>
                </c:pt>
                <c:pt idx="82">
                  <c:v>295.95999999999992</c:v>
                </c:pt>
                <c:pt idx="83">
                  <c:v>295.95999999999992</c:v>
                </c:pt>
                <c:pt idx="84">
                  <c:v>298.75999999999993</c:v>
                </c:pt>
                <c:pt idx="85">
                  <c:v>298.75999999999993</c:v>
                </c:pt>
                <c:pt idx="86">
                  <c:v>298.75999999999993</c:v>
                </c:pt>
                <c:pt idx="87">
                  <c:v>298.75999999999993</c:v>
                </c:pt>
                <c:pt idx="88">
                  <c:v>299.73999999999995</c:v>
                </c:pt>
                <c:pt idx="89">
                  <c:v>299.73999999999995</c:v>
                </c:pt>
                <c:pt idx="90">
                  <c:v>299.73999999999995</c:v>
                </c:pt>
                <c:pt idx="91">
                  <c:v>300.85999999999996</c:v>
                </c:pt>
                <c:pt idx="92">
                  <c:v>300.85999999999996</c:v>
                </c:pt>
                <c:pt idx="93">
                  <c:v>300.85999999999996</c:v>
                </c:pt>
                <c:pt idx="94">
                  <c:v>301.55999999999995</c:v>
                </c:pt>
                <c:pt idx="95">
                  <c:v>301.55999999999995</c:v>
                </c:pt>
                <c:pt idx="96">
                  <c:v>305.61999999999995</c:v>
                </c:pt>
                <c:pt idx="97">
                  <c:v>305.61999999999995</c:v>
                </c:pt>
                <c:pt idx="98">
                  <c:v>305.61999999999995</c:v>
                </c:pt>
                <c:pt idx="99">
                  <c:v>305.61999999999995</c:v>
                </c:pt>
                <c:pt idx="100">
                  <c:v>305.61999999999995</c:v>
                </c:pt>
                <c:pt idx="101">
                  <c:v>305.61999999999995</c:v>
                </c:pt>
                <c:pt idx="102">
                  <c:v>305.61999999999995</c:v>
                </c:pt>
                <c:pt idx="103">
                  <c:v>318.77999999999997</c:v>
                </c:pt>
                <c:pt idx="104">
                  <c:v>323.67999999999995</c:v>
                </c:pt>
                <c:pt idx="105">
                  <c:v>328.15999999999997</c:v>
                </c:pt>
                <c:pt idx="106">
                  <c:v>328.15999999999997</c:v>
                </c:pt>
                <c:pt idx="107">
                  <c:v>328.15999999999997</c:v>
                </c:pt>
                <c:pt idx="108">
                  <c:v>328.15999999999997</c:v>
                </c:pt>
                <c:pt idx="109">
                  <c:v>328.15999999999997</c:v>
                </c:pt>
                <c:pt idx="110">
                  <c:v>328.15999999999997</c:v>
                </c:pt>
                <c:pt idx="111">
                  <c:v>328.15999999999997</c:v>
                </c:pt>
                <c:pt idx="112">
                  <c:v>329.14</c:v>
                </c:pt>
                <c:pt idx="113">
                  <c:v>329.14</c:v>
                </c:pt>
                <c:pt idx="114">
                  <c:v>329.14</c:v>
                </c:pt>
                <c:pt idx="115">
                  <c:v>329.14</c:v>
                </c:pt>
                <c:pt idx="116">
                  <c:v>329.14</c:v>
                </c:pt>
                <c:pt idx="117">
                  <c:v>329.14</c:v>
                </c:pt>
                <c:pt idx="118">
                  <c:v>343.97999999999996</c:v>
                </c:pt>
                <c:pt idx="119">
                  <c:v>343.97999999999996</c:v>
                </c:pt>
                <c:pt idx="120">
                  <c:v>344.25999999999993</c:v>
                </c:pt>
                <c:pt idx="121">
                  <c:v>349.71999999999991</c:v>
                </c:pt>
                <c:pt idx="122">
                  <c:v>349.71999999999991</c:v>
                </c:pt>
                <c:pt idx="123">
                  <c:v>367.63999999999993</c:v>
                </c:pt>
                <c:pt idx="124">
                  <c:v>367.63999999999993</c:v>
                </c:pt>
                <c:pt idx="125">
                  <c:v>372.53999999999991</c:v>
                </c:pt>
                <c:pt idx="126">
                  <c:v>372.53999999999991</c:v>
                </c:pt>
                <c:pt idx="127">
                  <c:v>372.53999999999991</c:v>
                </c:pt>
                <c:pt idx="128">
                  <c:v>374.77999999999992</c:v>
                </c:pt>
                <c:pt idx="129">
                  <c:v>374.77999999999992</c:v>
                </c:pt>
                <c:pt idx="130">
                  <c:v>379.67999999999989</c:v>
                </c:pt>
                <c:pt idx="131">
                  <c:v>379.95999999999987</c:v>
                </c:pt>
                <c:pt idx="132">
                  <c:v>379.95999999999987</c:v>
                </c:pt>
                <c:pt idx="133">
                  <c:v>379.95999999999987</c:v>
                </c:pt>
                <c:pt idx="134">
                  <c:v>379.95999999999987</c:v>
                </c:pt>
                <c:pt idx="135">
                  <c:v>379.95999999999987</c:v>
                </c:pt>
                <c:pt idx="136">
                  <c:v>379.95999999999987</c:v>
                </c:pt>
                <c:pt idx="137">
                  <c:v>379.95999999999987</c:v>
                </c:pt>
                <c:pt idx="138">
                  <c:v>379.95999999999987</c:v>
                </c:pt>
                <c:pt idx="139">
                  <c:v>386.25999999999988</c:v>
                </c:pt>
                <c:pt idx="140">
                  <c:v>386.25999999999988</c:v>
                </c:pt>
                <c:pt idx="141">
                  <c:v>403.89999999999986</c:v>
                </c:pt>
                <c:pt idx="142">
                  <c:v>403.89999999999986</c:v>
                </c:pt>
                <c:pt idx="143">
                  <c:v>403.89999999999986</c:v>
                </c:pt>
                <c:pt idx="144">
                  <c:v>403.89999999999986</c:v>
                </c:pt>
                <c:pt idx="145">
                  <c:v>403.89999999999986</c:v>
                </c:pt>
                <c:pt idx="146">
                  <c:v>403.89999999999986</c:v>
                </c:pt>
                <c:pt idx="147">
                  <c:v>410.69999999999987</c:v>
                </c:pt>
                <c:pt idx="148">
                  <c:v>419.19999999999987</c:v>
                </c:pt>
                <c:pt idx="149">
                  <c:v>421.2999999999999</c:v>
                </c:pt>
                <c:pt idx="150">
                  <c:v>423.99999999999989</c:v>
                </c:pt>
                <c:pt idx="151">
                  <c:v>423.99999999999989</c:v>
                </c:pt>
                <c:pt idx="152">
                  <c:v>423.99999999999989</c:v>
                </c:pt>
                <c:pt idx="153">
                  <c:v>425.49999999999989</c:v>
                </c:pt>
                <c:pt idx="154">
                  <c:v>425.49999999999989</c:v>
                </c:pt>
                <c:pt idx="155">
                  <c:v>425.49999999999989</c:v>
                </c:pt>
                <c:pt idx="156">
                  <c:v>437.19999999999987</c:v>
                </c:pt>
                <c:pt idx="157">
                  <c:v>437.19999999999987</c:v>
                </c:pt>
                <c:pt idx="158">
                  <c:v>437.19999999999987</c:v>
                </c:pt>
                <c:pt idx="159">
                  <c:v>444.59999999999985</c:v>
                </c:pt>
                <c:pt idx="160">
                  <c:v>458.29999999999984</c:v>
                </c:pt>
                <c:pt idx="161">
                  <c:v>464.79999999999984</c:v>
                </c:pt>
                <c:pt idx="162">
                  <c:v>464.79999999999984</c:v>
                </c:pt>
                <c:pt idx="163">
                  <c:v>481.59999999999985</c:v>
                </c:pt>
                <c:pt idx="164">
                  <c:v>481.59999999999985</c:v>
                </c:pt>
                <c:pt idx="165">
                  <c:v>487.79999999999984</c:v>
                </c:pt>
                <c:pt idx="166">
                  <c:v>487.79999999999984</c:v>
                </c:pt>
                <c:pt idx="167">
                  <c:v>487.79999999999984</c:v>
                </c:pt>
                <c:pt idx="168">
                  <c:v>487.79999999999984</c:v>
                </c:pt>
                <c:pt idx="169">
                  <c:v>495.49999999999983</c:v>
                </c:pt>
                <c:pt idx="170">
                  <c:v>495.49999999999983</c:v>
                </c:pt>
                <c:pt idx="171">
                  <c:v>495.79999999999984</c:v>
                </c:pt>
                <c:pt idx="172">
                  <c:v>498.89999999999986</c:v>
                </c:pt>
                <c:pt idx="173">
                  <c:v>498.89999999999986</c:v>
                </c:pt>
                <c:pt idx="174">
                  <c:v>498.89999999999986</c:v>
                </c:pt>
                <c:pt idx="175">
                  <c:v>506.39999999999986</c:v>
                </c:pt>
                <c:pt idx="176">
                  <c:v>506.39999999999986</c:v>
                </c:pt>
                <c:pt idx="177">
                  <c:v>506.39999999999986</c:v>
                </c:pt>
                <c:pt idx="178">
                  <c:v>506.39999999999986</c:v>
                </c:pt>
                <c:pt idx="179">
                  <c:v>507.99999999999989</c:v>
                </c:pt>
                <c:pt idx="180">
                  <c:v>509.09999999999991</c:v>
                </c:pt>
                <c:pt idx="181">
                  <c:v>509.39999999999992</c:v>
                </c:pt>
                <c:pt idx="182">
                  <c:v>516.79999999999995</c:v>
                </c:pt>
                <c:pt idx="183">
                  <c:v>517.59999999999991</c:v>
                </c:pt>
                <c:pt idx="184">
                  <c:v>517.59999999999991</c:v>
                </c:pt>
                <c:pt idx="185">
                  <c:v>524.89999999999986</c:v>
                </c:pt>
                <c:pt idx="186">
                  <c:v>524.89999999999986</c:v>
                </c:pt>
                <c:pt idx="187">
                  <c:v>526.69999999999982</c:v>
                </c:pt>
                <c:pt idx="188">
                  <c:v>528.79999999999984</c:v>
                </c:pt>
                <c:pt idx="189">
                  <c:v>530.39999999999986</c:v>
                </c:pt>
                <c:pt idx="190">
                  <c:v>541.19999999999982</c:v>
                </c:pt>
                <c:pt idx="191">
                  <c:v>541.49999999999977</c:v>
                </c:pt>
                <c:pt idx="192">
                  <c:v>541.49999999999977</c:v>
                </c:pt>
                <c:pt idx="193">
                  <c:v>541.49999999999977</c:v>
                </c:pt>
                <c:pt idx="194">
                  <c:v>541.49999999999977</c:v>
                </c:pt>
                <c:pt idx="195">
                  <c:v>545.29999999999973</c:v>
                </c:pt>
                <c:pt idx="196">
                  <c:v>546.09999999999968</c:v>
                </c:pt>
                <c:pt idx="197">
                  <c:v>546.09999999999968</c:v>
                </c:pt>
                <c:pt idx="198">
                  <c:v>546.09999999999968</c:v>
                </c:pt>
                <c:pt idx="199">
                  <c:v>546.09999999999968</c:v>
                </c:pt>
                <c:pt idx="200">
                  <c:v>546.09999999999968</c:v>
                </c:pt>
                <c:pt idx="201">
                  <c:v>548.09999999999968</c:v>
                </c:pt>
                <c:pt idx="202">
                  <c:v>548.09999999999968</c:v>
                </c:pt>
                <c:pt idx="203">
                  <c:v>573.49999999999966</c:v>
                </c:pt>
                <c:pt idx="204">
                  <c:v>579.1999999999997</c:v>
                </c:pt>
                <c:pt idx="205">
                  <c:v>579.1999999999997</c:v>
                </c:pt>
                <c:pt idx="206">
                  <c:v>581.49999999999966</c:v>
                </c:pt>
                <c:pt idx="207">
                  <c:v>582.99999999999966</c:v>
                </c:pt>
                <c:pt idx="208">
                  <c:v>584.09999999999968</c:v>
                </c:pt>
                <c:pt idx="209">
                  <c:v>593.6999999999997</c:v>
                </c:pt>
                <c:pt idx="210">
                  <c:v>593.99999999999966</c:v>
                </c:pt>
                <c:pt idx="211">
                  <c:v>593.99999999999966</c:v>
                </c:pt>
                <c:pt idx="212">
                  <c:v>593.99999999999966</c:v>
                </c:pt>
                <c:pt idx="213">
                  <c:v>593.99999999999966</c:v>
                </c:pt>
                <c:pt idx="214">
                  <c:v>593.99999999999966</c:v>
                </c:pt>
                <c:pt idx="215">
                  <c:v>593.99999999999966</c:v>
                </c:pt>
                <c:pt idx="216">
                  <c:v>593.99999999999966</c:v>
                </c:pt>
                <c:pt idx="217">
                  <c:v>593.99999999999966</c:v>
                </c:pt>
                <c:pt idx="218">
                  <c:v>593.99999999999966</c:v>
                </c:pt>
                <c:pt idx="219">
                  <c:v>593.99999999999966</c:v>
                </c:pt>
                <c:pt idx="220">
                  <c:v>593.99999999999966</c:v>
                </c:pt>
                <c:pt idx="221">
                  <c:v>593.99999999999966</c:v>
                </c:pt>
                <c:pt idx="222">
                  <c:v>593.99999999999966</c:v>
                </c:pt>
                <c:pt idx="223">
                  <c:v>593.99999999999966</c:v>
                </c:pt>
                <c:pt idx="224">
                  <c:v>593.99999999999966</c:v>
                </c:pt>
                <c:pt idx="225">
                  <c:v>593.99999999999966</c:v>
                </c:pt>
                <c:pt idx="226">
                  <c:v>593.99999999999966</c:v>
                </c:pt>
                <c:pt idx="227">
                  <c:v>594.29999999999961</c:v>
                </c:pt>
                <c:pt idx="228">
                  <c:v>594.29999999999961</c:v>
                </c:pt>
                <c:pt idx="229">
                  <c:v>594.29999999999961</c:v>
                </c:pt>
                <c:pt idx="230">
                  <c:v>596.09999999999957</c:v>
                </c:pt>
                <c:pt idx="231">
                  <c:v>601.79999999999961</c:v>
                </c:pt>
                <c:pt idx="232">
                  <c:v>602.89999999999964</c:v>
                </c:pt>
                <c:pt idx="233">
                  <c:v>602.89999999999964</c:v>
                </c:pt>
                <c:pt idx="234">
                  <c:v>602.89999999999964</c:v>
                </c:pt>
                <c:pt idx="235">
                  <c:v>602.89999999999964</c:v>
                </c:pt>
                <c:pt idx="236">
                  <c:v>602.89999999999964</c:v>
                </c:pt>
                <c:pt idx="237">
                  <c:v>603.19999999999959</c:v>
                </c:pt>
                <c:pt idx="238">
                  <c:v>619.19999999999959</c:v>
                </c:pt>
                <c:pt idx="239">
                  <c:v>623.59999999999957</c:v>
                </c:pt>
                <c:pt idx="240">
                  <c:v>623.89999999999952</c:v>
                </c:pt>
                <c:pt idx="241">
                  <c:v>633.19999999999948</c:v>
                </c:pt>
                <c:pt idx="242">
                  <c:v>633.49999999999943</c:v>
                </c:pt>
                <c:pt idx="243">
                  <c:v>646.99999999999943</c:v>
                </c:pt>
                <c:pt idx="244">
                  <c:v>649.89999999999941</c:v>
                </c:pt>
                <c:pt idx="245">
                  <c:v>652.79999999999939</c:v>
                </c:pt>
                <c:pt idx="246">
                  <c:v>662.19999999999936</c:v>
                </c:pt>
                <c:pt idx="247">
                  <c:v>664.19999999999936</c:v>
                </c:pt>
                <c:pt idx="248">
                  <c:v>666.59999999999934</c:v>
                </c:pt>
                <c:pt idx="249">
                  <c:v>666.59999999999934</c:v>
                </c:pt>
                <c:pt idx="250">
                  <c:v>673.99999999999932</c:v>
                </c:pt>
                <c:pt idx="251">
                  <c:v>685.69999999999936</c:v>
                </c:pt>
                <c:pt idx="252">
                  <c:v>693.39999999999941</c:v>
                </c:pt>
                <c:pt idx="253">
                  <c:v>694.39999999999941</c:v>
                </c:pt>
                <c:pt idx="254">
                  <c:v>694.69999999999936</c:v>
                </c:pt>
                <c:pt idx="255">
                  <c:v>694.69999999999936</c:v>
                </c:pt>
                <c:pt idx="256">
                  <c:v>694.69999999999936</c:v>
                </c:pt>
                <c:pt idx="257">
                  <c:v>694.69999999999936</c:v>
                </c:pt>
                <c:pt idx="258">
                  <c:v>694.69999999999936</c:v>
                </c:pt>
                <c:pt idx="259">
                  <c:v>694.69999999999936</c:v>
                </c:pt>
                <c:pt idx="260">
                  <c:v>694.69999999999936</c:v>
                </c:pt>
                <c:pt idx="261">
                  <c:v>702.59999999999934</c:v>
                </c:pt>
                <c:pt idx="262">
                  <c:v>702.59999999999934</c:v>
                </c:pt>
                <c:pt idx="263">
                  <c:v>710.19999999999936</c:v>
                </c:pt>
                <c:pt idx="264">
                  <c:v>710.19999999999936</c:v>
                </c:pt>
                <c:pt idx="265">
                  <c:v>710.19999999999936</c:v>
                </c:pt>
                <c:pt idx="266">
                  <c:v>710.19999999999936</c:v>
                </c:pt>
                <c:pt idx="267">
                  <c:v>710.19999999999936</c:v>
                </c:pt>
                <c:pt idx="268">
                  <c:v>710.19999999999936</c:v>
                </c:pt>
                <c:pt idx="269">
                  <c:v>710.19999999999936</c:v>
                </c:pt>
                <c:pt idx="270">
                  <c:v>710.19999999999936</c:v>
                </c:pt>
                <c:pt idx="271">
                  <c:v>710.19999999999936</c:v>
                </c:pt>
                <c:pt idx="272">
                  <c:v>727.99999999999932</c:v>
                </c:pt>
                <c:pt idx="273">
                  <c:v>730.49999999999932</c:v>
                </c:pt>
                <c:pt idx="274">
                  <c:v>731.59999999999934</c:v>
                </c:pt>
                <c:pt idx="275">
                  <c:v>731.8999999999993</c:v>
                </c:pt>
                <c:pt idx="276">
                  <c:v>732.49999999999932</c:v>
                </c:pt>
                <c:pt idx="277">
                  <c:v>732.49999999999932</c:v>
                </c:pt>
                <c:pt idx="278">
                  <c:v>732.49999999999932</c:v>
                </c:pt>
                <c:pt idx="279">
                  <c:v>732.49999999999932</c:v>
                </c:pt>
                <c:pt idx="280">
                  <c:v>732.49999999999932</c:v>
                </c:pt>
                <c:pt idx="281">
                  <c:v>732.49999999999932</c:v>
                </c:pt>
                <c:pt idx="282">
                  <c:v>732.49999999999932</c:v>
                </c:pt>
                <c:pt idx="283">
                  <c:v>732.49999999999932</c:v>
                </c:pt>
                <c:pt idx="284">
                  <c:v>732.49999999999932</c:v>
                </c:pt>
                <c:pt idx="285">
                  <c:v>732.49999999999932</c:v>
                </c:pt>
                <c:pt idx="286">
                  <c:v>732.79999999999927</c:v>
                </c:pt>
                <c:pt idx="287">
                  <c:v>734.8999999999993</c:v>
                </c:pt>
                <c:pt idx="288">
                  <c:v>735.19999999999925</c:v>
                </c:pt>
                <c:pt idx="289">
                  <c:v>749.8999999999993</c:v>
                </c:pt>
                <c:pt idx="290">
                  <c:v>757.99999999999932</c:v>
                </c:pt>
                <c:pt idx="291">
                  <c:v>759.29999999999927</c:v>
                </c:pt>
                <c:pt idx="292">
                  <c:v>765.8999999999993</c:v>
                </c:pt>
                <c:pt idx="293">
                  <c:v>771.8999999999993</c:v>
                </c:pt>
                <c:pt idx="294">
                  <c:v>772.19999999999925</c:v>
                </c:pt>
                <c:pt idx="295">
                  <c:v>772.19999999999925</c:v>
                </c:pt>
                <c:pt idx="296">
                  <c:v>772.19999999999925</c:v>
                </c:pt>
                <c:pt idx="297">
                  <c:v>772.19999999999925</c:v>
                </c:pt>
                <c:pt idx="298">
                  <c:v>772.19999999999925</c:v>
                </c:pt>
                <c:pt idx="299">
                  <c:v>772.4999999999992</c:v>
                </c:pt>
                <c:pt idx="300">
                  <c:v>773.69999999999925</c:v>
                </c:pt>
                <c:pt idx="301">
                  <c:v>779.9999999999992</c:v>
                </c:pt>
                <c:pt idx="302">
                  <c:v>786.4999999999992</c:v>
                </c:pt>
                <c:pt idx="303">
                  <c:v>786.79999999999916</c:v>
                </c:pt>
                <c:pt idx="304">
                  <c:v>791.59999999999911</c:v>
                </c:pt>
                <c:pt idx="305">
                  <c:v>792.39999999999907</c:v>
                </c:pt>
                <c:pt idx="306">
                  <c:v>792.99999999999909</c:v>
                </c:pt>
                <c:pt idx="307">
                  <c:v>792.99999999999909</c:v>
                </c:pt>
                <c:pt idx="308">
                  <c:v>792.99999999999909</c:v>
                </c:pt>
                <c:pt idx="309">
                  <c:v>792.99999999999909</c:v>
                </c:pt>
                <c:pt idx="310">
                  <c:v>792.99999999999909</c:v>
                </c:pt>
                <c:pt idx="311">
                  <c:v>792.99999999999909</c:v>
                </c:pt>
                <c:pt idx="312">
                  <c:v>792.99999999999909</c:v>
                </c:pt>
                <c:pt idx="313">
                  <c:v>792.99999999999909</c:v>
                </c:pt>
                <c:pt idx="314">
                  <c:v>792.99999999999909</c:v>
                </c:pt>
                <c:pt idx="315">
                  <c:v>792.99999999999909</c:v>
                </c:pt>
                <c:pt idx="316">
                  <c:v>792.99999999999909</c:v>
                </c:pt>
                <c:pt idx="317">
                  <c:v>792.99999999999909</c:v>
                </c:pt>
                <c:pt idx="318">
                  <c:v>792.99999999999909</c:v>
                </c:pt>
                <c:pt idx="319">
                  <c:v>792.99999999999909</c:v>
                </c:pt>
                <c:pt idx="320">
                  <c:v>792.99999999999909</c:v>
                </c:pt>
                <c:pt idx="321">
                  <c:v>792.99999999999909</c:v>
                </c:pt>
                <c:pt idx="322">
                  <c:v>792.99999999999909</c:v>
                </c:pt>
                <c:pt idx="323">
                  <c:v>792.99999999999909</c:v>
                </c:pt>
                <c:pt idx="324">
                  <c:v>792.99999999999909</c:v>
                </c:pt>
                <c:pt idx="325">
                  <c:v>792.99999999999909</c:v>
                </c:pt>
                <c:pt idx="326">
                  <c:v>792.99999999999909</c:v>
                </c:pt>
                <c:pt idx="327">
                  <c:v>792.99999999999909</c:v>
                </c:pt>
                <c:pt idx="328">
                  <c:v>792.99999999999909</c:v>
                </c:pt>
                <c:pt idx="329">
                  <c:v>792.99999999999909</c:v>
                </c:pt>
                <c:pt idx="330">
                  <c:v>792.99999999999909</c:v>
                </c:pt>
                <c:pt idx="331">
                  <c:v>792.99999999999909</c:v>
                </c:pt>
                <c:pt idx="332">
                  <c:v>792.99999999999909</c:v>
                </c:pt>
                <c:pt idx="333">
                  <c:v>792.99999999999909</c:v>
                </c:pt>
                <c:pt idx="334">
                  <c:v>792.99999999999909</c:v>
                </c:pt>
                <c:pt idx="335">
                  <c:v>792.99999999999909</c:v>
                </c:pt>
                <c:pt idx="336">
                  <c:v>792.99999999999909</c:v>
                </c:pt>
                <c:pt idx="337">
                  <c:v>792.99999999999909</c:v>
                </c:pt>
                <c:pt idx="338">
                  <c:v>792.99999999999909</c:v>
                </c:pt>
                <c:pt idx="339">
                  <c:v>792.99999999999909</c:v>
                </c:pt>
                <c:pt idx="340">
                  <c:v>792.99999999999909</c:v>
                </c:pt>
                <c:pt idx="341">
                  <c:v>792.99999999999909</c:v>
                </c:pt>
                <c:pt idx="342">
                  <c:v>792.99999999999909</c:v>
                </c:pt>
                <c:pt idx="343">
                  <c:v>792.99999999999909</c:v>
                </c:pt>
                <c:pt idx="344">
                  <c:v>792.99999999999909</c:v>
                </c:pt>
                <c:pt idx="345">
                  <c:v>792.99999999999909</c:v>
                </c:pt>
                <c:pt idx="346">
                  <c:v>792.99999999999909</c:v>
                </c:pt>
                <c:pt idx="347">
                  <c:v>792.99999999999909</c:v>
                </c:pt>
                <c:pt idx="348">
                  <c:v>792.99999999999909</c:v>
                </c:pt>
                <c:pt idx="349">
                  <c:v>792.99999999999909</c:v>
                </c:pt>
                <c:pt idx="350">
                  <c:v>792.99999999999909</c:v>
                </c:pt>
                <c:pt idx="351">
                  <c:v>792.99999999999909</c:v>
                </c:pt>
                <c:pt idx="352">
                  <c:v>792.99999999999909</c:v>
                </c:pt>
                <c:pt idx="353">
                  <c:v>792.99999999999909</c:v>
                </c:pt>
                <c:pt idx="354">
                  <c:v>792.99999999999909</c:v>
                </c:pt>
                <c:pt idx="355">
                  <c:v>792.99999999999909</c:v>
                </c:pt>
                <c:pt idx="356">
                  <c:v>792.99999999999909</c:v>
                </c:pt>
                <c:pt idx="357">
                  <c:v>792.99999999999909</c:v>
                </c:pt>
                <c:pt idx="358">
                  <c:v>792.99999999999909</c:v>
                </c:pt>
                <c:pt idx="359">
                  <c:v>792.99999999999909</c:v>
                </c:pt>
                <c:pt idx="360">
                  <c:v>792.99999999999909</c:v>
                </c:pt>
                <c:pt idx="361">
                  <c:v>792.99999999999909</c:v>
                </c:pt>
                <c:pt idx="362">
                  <c:v>792.99999999999909</c:v>
                </c:pt>
                <c:pt idx="363">
                  <c:v>792.99999999999909</c:v>
                </c:pt>
                <c:pt idx="364">
                  <c:v>792.99999999999909</c:v>
                </c:pt>
                <c:pt idx="365">
                  <c:v>792.99999999999909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58784"/>
        <c:axId val="229960320"/>
      </c:lineChart>
      <c:catAx>
        <c:axId val="229958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9960320"/>
        <c:crosses val="autoZero"/>
        <c:auto val="1"/>
        <c:lblAlgn val="ctr"/>
        <c:lblOffset val="100"/>
        <c:tickMarkSkip val="15"/>
        <c:noMultiLvlLbl val="0"/>
      </c:catAx>
      <c:valAx>
        <c:axId val="229960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2995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PPTest!$R$7:$R$372</c:f>
              <c:numCache>
                <c:formatCode>0</c:formatCode>
                <c:ptCount val="366"/>
                <c:pt idx="0">
                  <c:v>162.43600000000001</c:v>
                </c:pt>
                <c:pt idx="1">
                  <c:v>166.69900000000001</c:v>
                </c:pt>
                <c:pt idx="2">
                  <c:v>171.55</c:v>
                </c:pt>
                <c:pt idx="3">
                  <c:v>178.018</c:v>
                </c:pt>
                <c:pt idx="4">
                  <c:v>179.047</c:v>
                </c:pt>
                <c:pt idx="5">
                  <c:v>201.685</c:v>
                </c:pt>
                <c:pt idx="6">
                  <c:v>201.685</c:v>
                </c:pt>
                <c:pt idx="7">
                  <c:v>223.73499999999999</c:v>
                </c:pt>
                <c:pt idx="8">
                  <c:v>230.791</c:v>
                </c:pt>
                <c:pt idx="9">
                  <c:v>231.52600000000001</c:v>
                </c:pt>
                <c:pt idx="10">
                  <c:v>233.29000000000002</c:v>
                </c:pt>
                <c:pt idx="11">
                  <c:v>237.40600000000003</c:v>
                </c:pt>
                <c:pt idx="12">
                  <c:v>237.40600000000003</c:v>
                </c:pt>
                <c:pt idx="13">
                  <c:v>240.49300000000002</c:v>
                </c:pt>
                <c:pt idx="14">
                  <c:v>242.11</c:v>
                </c:pt>
                <c:pt idx="15">
                  <c:v>252.988</c:v>
                </c:pt>
                <c:pt idx="16">
                  <c:v>252.988</c:v>
                </c:pt>
                <c:pt idx="17">
                  <c:v>256.95699999999999</c:v>
                </c:pt>
                <c:pt idx="18">
                  <c:v>256.95699999999999</c:v>
                </c:pt>
                <c:pt idx="19">
                  <c:v>261.36700000000002</c:v>
                </c:pt>
                <c:pt idx="20">
                  <c:v>261.80799999999999</c:v>
                </c:pt>
                <c:pt idx="21">
                  <c:v>265.18899999999996</c:v>
                </c:pt>
                <c:pt idx="22">
                  <c:v>265.18899999999996</c:v>
                </c:pt>
                <c:pt idx="23">
                  <c:v>265.62999999999994</c:v>
                </c:pt>
                <c:pt idx="24">
                  <c:v>265.62999999999994</c:v>
                </c:pt>
                <c:pt idx="25">
                  <c:v>267.24699999999996</c:v>
                </c:pt>
                <c:pt idx="26">
                  <c:v>267.98199999999997</c:v>
                </c:pt>
                <c:pt idx="27">
                  <c:v>267.98199999999997</c:v>
                </c:pt>
                <c:pt idx="28">
                  <c:v>268.86399999999998</c:v>
                </c:pt>
                <c:pt idx="29">
                  <c:v>268.86399999999998</c:v>
                </c:pt>
                <c:pt idx="30">
                  <c:v>269.59899999999999</c:v>
                </c:pt>
                <c:pt idx="31">
                  <c:v>274.74399999999997</c:v>
                </c:pt>
                <c:pt idx="32">
                  <c:v>274.74399999999997</c:v>
                </c:pt>
                <c:pt idx="33">
                  <c:v>274.74399999999997</c:v>
                </c:pt>
                <c:pt idx="34">
                  <c:v>275.91999999999996</c:v>
                </c:pt>
                <c:pt idx="35">
                  <c:v>277.09599999999995</c:v>
                </c:pt>
                <c:pt idx="36">
                  <c:v>277.09599999999995</c:v>
                </c:pt>
                <c:pt idx="37">
                  <c:v>277.09599999999995</c:v>
                </c:pt>
                <c:pt idx="38">
                  <c:v>290.91399999999993</c:v>
                </c:pt>
                <c:pt idx="39">
                  <c:v>311.64099999999991</c:v>
                </c:pt>
                <c:pt idx="40">
                  <c:v>312.52299999999991</c:v>
                </c:pt>
                <c:pt idx="41">
                  <c:v>312.52299999999991</c:v>
                </c:pt>
                <c:pt idx="42">
                  <c:v>312.52299999999991</c:v>
                </c:pt>
                <c:pt idx="43">
                  <c:v>313.55199999999991</c:v>
                </c:pt>
                <c:pt idx="44">
                  <c:v>315.75699999999989</c:v>
                </c:pt>
                <c:pt idx="45">
                  <c:v>319.87299999999988</c:v>
                </c:pt>
                <c:pt idx="46">
                  <c:v>319.87299999999988</c:v>
                </c:pt>
                <c:pt idx="47">
                  <c:v>319.87299999999988</c:v>
                </c:pt>
                <c:pt idx="48">
                  <c:v>319.87299999999988</c:v>
                </c:pt>
                <c:pt idx="49">
                  <c:v>320.75499999999988</c:v>
                </c:pt>
                <c:pt idx="50">
                  <c:v>320.75499999999988</c:v>
                </c:pt>
                <c:pt idx="51">
                  <c:v>327.66399999999987</c:v>
                </c:pt>
                <c:pt idx="52">
                  <c:v>336.04299999999989</c:v>
                </c:pt>
                <c:pt idx="53">
                  <c:v>339.27699999999987</c:v>
                </c:pt>
                <c:pt idx="54">
                  <c:v>339.27699999999987</c:v>
                </c:pt>
                <c:pt idx="55">
                  <c:v>339.27699999999987</c:v>
                </c:pt>
                <c:pt idx="56">
                  <c:v>343.6869999999999</c:v>
                </c:pt>
                <c:pt idx="57">
                  <c:v>347.21499999999992</c:v>
                </c:pt>
                <c:pt idx="58">
                  <c:v>348.97899999999993</c:v>
                </c:pt>
                <c:pt idx="59">
                  <c:v>353.38899999999995</c:v>
                </c:pt>
                <c:pt idx="60">
                  <c:v>358.38699999999994</c:v>
                </c:pt>
                <c:pt idx="61">
                  <c:v>363.82599999999996</c:v>
                </c:pt>
                <c:pt idx="62">
                  <c:v>369.42600000000004</c:v>
                </c:pt>
                <c:pt idx="63">
                  <c:v>372.72600000000006</c:v>
                </c:pt>
                <c:pt idx="64">
                  <c:v>372.72600000000006</c:v>
                </c:pt>
                <c:pt idx="65">
                  <c:v>374.82600000000008</c:v>
                </c:pt>
                <c:pt idx="66">
                  <c:v>374.82600000000008</c:v>
                </c:pt>
                <c:pt idx="67">
                  <c:v>374.82600000000014</c:v>
                </c:pt>
                <c:pt idx="68">
                  <c:v>374.82600000000014</c:v>
                </c:pt>
                <c:pt idx="69">
                  <c:v>374.82600000000014</c:v>
                </c:pt>
                <c:pt idx="70">
                  <c:v>374.82600000000014</c:v>
                </c:pt>
                <c:pt idx="71">
                  <c:v>374.82600000000014</c:v>
                </c:pt>
                <c:pt idx="72">
                  <c:v>374.82600000000014</c:v>
                </c:pt>
                <c:pt idx="73">
                  <c:v>393.02600000000012</c:v>
                </c:pt>
                <c:pt idx="74">
                  <c:v>393.02600000000012</c:v>
                </c:pt>
                <c:pt idx="75">
                  <c:v>401.1260000000002</c:v>
                </c:pt>
                <c:pt idx="76">
                  <c:v>418.52600000000012</c:v>
                </c:pt>
                <c:pt idx="77">
                  <c:v>422.32600000000019</c:v>
                </c:pt>
                <c:pt idx="78">
                  <c:v>422.42600000000016</c:v>
                </c:pt>
                <c:pt idx="79">
                  <c:v>422.42600000000016</c:v>
                </c:pt>
                <c:pt idx="80">
                  <c:v>422.42600000000016</c:v>
                </c:pt>
                <c:pt idx="81">
                  <c:v>423.62600000000015</c:v>
                </c:pt>
                <c:pt idx="82">
                  <c:v>429.52600000000012</c:v>
                </c:pt>
                <c:pt idx="83">
                  <c:v>429.52600000000007</c:v>
                </c:pt>
                <c:pt idx="84">
                  <c:v>430.32600000000008</c:v>
                </c:pt>
                <c:pt idx="85">
                  <c:v>430.32600000000008</c:v>
                </c:pt>
                <c:pt idx="86">
                  <c:v>433.02600000000007</c:v>
                </c:pt>
                <c:pt idx="87">
                  <c:v>433.02600000000007</c:v>
                </c:pt>
                <c:pt idx="88">
                  <c:v>433.02600000000007</c:v>
                </c:pt>
                <c:pt idx="89">
                  <c:v>433.02600000000007</c:v>
                </c:pt>
                <c:pt idx="90">
                  <c:v>433.02600000000007</c:v>
                </c:pt>
                <c:pt idx="91">
                  <c:v>433.02600000000007</c:v>
                </c:pt>
                <c:pt idx="92">
                  <c:v>433.02600000000012</c:v>
                </c:pt>
                <c:pt idx="93">
                  <c:v>433.02600000000012</c:v>
                </c:pt>
                <c:pt idx="94">
                  <c:v>433.02600000000012</c:v>
                </c:pt>
                <c:pt idx="95">
                  <c:v>433.02600000000012</c:v>
                </c:pt>
                <c:pt idx="96">
                  <c:v>433.02600000000012</c:v>
                </c:pt>
                <c:pt idx="97">
                  <c:v>434.32600000000014</c:v>
                </c:pt>
                <c:pt idx="98">
                  <c:v>434.32600000000014</c:v>
                </c:pt>
                <c:pt idx="99">
                  <c:v>434.32600000000019</c:v>
                </c:pt>
                <c:pt idx="100">
                  <c:v>434.32600000000025</c:v>
                </c:pt>
                <c:pt idx="101">
                  <c:v>434.32600000000025</c:v>
                </c:pt>
                <c:pt idx="102">
                  <c:v>434.32600000000031</c:v>
                </c:pt>
                <c:pt idx="103">
                  <c:v>442.62600000000032</c:v>
                </c:pt>
                <c:pt idx="104">
                  <c:v>447.7710000000003</c:v>
                </c:pt>
                <c:pt idx="105">
                  <c:v>452.47500000000025</c:v>
                </c:pt>
                <c:pt idx="106">
                  <c:v>454.57500000000027</c:v>
                </c:pt>
                <c:pt idx="107">
                  <c:v>443.6</c:v>
                </c:pt>
                <c:pt idx="108">
                  <c:v>424.40000000000003</c:v>
                </c:pt>
                <c:pt idx="109">
                  <c:v>409.20000000000005</c:v>
                </c:pt>
                <c:pt idx="110">
                  <c:v>397.20000000000005</c:v>
                </c:pt>
                <c:pt idx="111">
                  <c:v>377.20000000000005</c:v>
                </c:pt>
                <c:pt idx="112">
                  <c:v>354.8</c:v>
                </c:pt>
                <c:pt idx="113">
                  <c:v>359.5</c:v>
                </c:pt>
                <c:pt idx="114">
                  <c:v>355.6</c:v>
                </c:pt>
                <c:pt idx="115">
                  <c:v>352.40000000000003</c:v>
                </c:pt>
                <c:pt idx="116">
                  <c:v>337.20000000000005</c:v>
                </c:pt>
                <c:pt idx="117">
                  <c:v>319.60000000000002</c:v>
                </c:pt>
                <c:pt idx="118">
                  <c:v>312</c:v>
                </c:pt>
                <c:pt idx="119">
                  <c:v>315.39999999999998</c:v>
                </c:pt>
                <c:pt idx="120">
                  <c:v>315.39999999999998</c:v>
                </c:pt>
                <c:pt idx="121">
                  <c:v>312.40000000000003</c:v>
                </c:pt>
                <c:pt idx="122">
                  <c:v>297.60000000000002</c:v>
                </c:pt>
                <c:pt idx="123">
                  <c:v>298.90000000000003</c:v>
                </c:pt>
                <c:pt idx="124">
                  <c:v>296.40000000000003</c:v>
                </c:pt>
                <c:pt idx="125">
                  <c:v>300.20000000000005</c:v>
                </c:pt>
                <c:pt idx="126">
                  <c:v>300.20000000000005</c:v>
                </c:pt>
                <c:pt idx="127">
                  <c:v>300.60000000000002</c:v>
                </c:pt>
                <c:pt idx="128">
                  <c:v>300.60000000000002</c:v>
                </c:pt>
                <c:pt idx="129">
                  <c:v>301</c:v>
                </c:pt>
                <c:pt idx="130">
                  <c:v>300.8</c:v>
                </c:pt>
                <c:pt idx="131">
                  <c:v>302.40000000000003</c:v>
                </c:pt>
                <c:pt idx="132">
                  <c:v>299.2</c:v>
                </c:pt>
                <c:pt idx="133">
                  <c:v>288</c:v>
                </c:pt>
                <c:pt idx="134">
                  <c:v>275.2</c:v>
                </c:pt>
                <c:pt idx="135">
                  <c:v>254.4</c:v>
                </c:pt>
                <c:pt idx="136">
                  <c:v>238.8</c:v>
                </c:pt>
                <c:pt idx="137">
                  <c:v>218.4</c:v>
                </c:pt>
                <c:pt idx="138">
                  <c:v>198</c:v>
                </c:pt>
                <c:pt idx="139">
                  <c:v>176.4</c:v>
                </c:pt>
                <c:pt idx="140">
                  <c:v>154.80000000000001</c:v>
                </c:pt>
                <c:pt idx="141">
                  <c:v>135.20000000000002</c:v>
                </c:pt>
                <c:pt idx="142">
                  <c:v>117.2</c:v>
                </c:pt>
                <c:pt idx="143">
                  <c:v>91.600000000000009</c:v>
                </c:pt>
                <c:pt idx="144">
                  <c:v>70.8</c:v>
                </c:pt>
                <c:pt idx="145">
                  <c:v>66.400000000000006</c:v>
                </c:pt>
                <c:pt idx="146">
                  <c:v>58.400000000000006</c:v>
                </c:pt>
                <c:pt idx="147">
                  <c:v>46.800000000000004</c:v>
                </c:pt>
                <c:pt idx="148">
                  <c:v>33.200000000000003</c:v>
                </c:pt>
                <c:pt idx="149">
                  <c:v>18.400000000000002</c:v>
                </c:pt>
                <c:pt idx="150">
                  <c:v>2.8000000000000003</c:v>
                </c:pt>
                <c:pt idx="151">
                  <c:v>0</c:v>
                </c:pt>
                <c:pt idx="301">
                  <c:v>0</c:v>
                </c:pt>
                <c:pt idx="302">
                  <c:v>2.8000000000000003</c:v>
                </c:pt>
                <c:pt idx="303">
                  <c:v>3.1150000000000002</c:v>
                </c:pt>
                <c:pt idx="304">
                  <c:v>4.4000000000000004</c:v>
                </c:pt>
                <c:pt idx="305">
                  <c:v>10</c:v>
                </c:pt>
                <c:pt idx="306">
                  <c:v>10</c:v>
                </c:pt>
                <c:pt idx="307">
                  <c:v>10.5</c:v>
                </c:pt>
                <c:pt idx="308">
                  <c:v>21.6</c:v>
                </c:pt>
                <c:pt idx="309">
                  <c:v>21.6</c:v>
                </c:pt>
                <c:pt idx="310">
                  <c:v>21.6</c:v>
                </c:pt>
                <c:pt idx="311">
                  <c:v>21.900000000000002</c:v>
                </c:pt>
                <c:pt idx="312">
                  <c:v>21.900000000000002</c:v>
                </c:pt>
                <c:pt idx="313">
                  <c:v>21.900000000000002</c:v>
                </c:pt>
                <c:pt idx="314">
                  <c:v>22.700000000000003</c:v>
                </c:pt>
                <c:pt idx="315">
                  <c:v>27.599999999999998</c:v>
                </c:pt>
                <c:pt idx="316">
                  <c:v>27.599999999999998</c:v>
                </c:pt>
                <c:pt idx="317">
                  <c:v>27.599999999999998</c:v>
                </c:pt>
                <c:pt idx="318">
                  <c:v>27.599999999999998</c:v>
                </c:pt>
                <c:pt idx="319">
                  <c:v>27.599999999999998</c:v>
                </c:pt>
                <c:pt idx="320">
                  <c:v>27.599999999999998</c:v>
                </c:pt>
                <c:pt idx="321">
                  <c:v>29.7</c:v>
                </c:pt>
                <c:pt idx="322">
                  <c:v>29.7</c:v>
                </c:pt>
                <c:pt idx="323">
                  <c:v>29.7</c:v>
                </c:pt>
                <c:pt idx="324">
                  <c:v>29.7</c:v>
                </c:pt>
                <c:pt idx="325">
                  <c:v>29.699999999999996</c:v>
                </c:pt>
                <c:pt idx="326">
                  <c:v>29.7</c:v>
                </c:pt>
                <c:pt idx="327">
                  <c:v>35.799999999999997</c:v>
                </c:pt>
                <c:pt idx="328">
                  <c:v>38.4</c:v>
                </c:pt>
                <c:pt idx="329">
                  <c:v>41</c:v>
                </c:pt>
                <c:pt idx="330">
                  <c:v>47.1</c:v>
                </c:pt>
                <c:pt idx="331">
                  <c:v>48.9</c:v>
                </c:pt>
                <c:pt idx="332">
                  <c:v>48.9</c:v>
                </c:pt>
                <c:pt idx="333">
                  <c:v>60.099999999999994</c:v>
                </c:pt>
                <c:pt idx="334">
                  <c:v>60.099999999999994</c:v>
                </c:pt>
                <c:pt idx="335">
                  <c:v>60.099999999999994</c:v>
                </c:pt>
                <c:pt idx="336">
                  <c:v>61.699999999999996</c:v>
                </c:pt>
                <c:pt idx="337">
                  <c:v>61.699999999999996</c:v>
                </c:pt>
                <c:pt idx="338">
                  <c:v>62.099999999999994</c:v>
                </c:pt>
                <c:pt idx="339">
                  <c:v>62.099999999999994</c:v>
                </c:pt>
                <c:pt idx="340">
                  <c:v>62.099999999999987</c:v>
                </c:pt>
                <c:pt idx="341">
                  <c:v>62.099999999999987</c:v>
                </c:pt>
                <c:pt idx="342">
                  <c:v>62.599999999999987</c:v>
                </c:pt>
                <c:pt idx="343">
                  <c:v>71.799999999999983</c:v>
                </c:pt>
                <c:pt idx="344">
                  <c:v>71.799999999999983</c:v>
                </c:pt>
                <c:pt idx="345">
                  <c:v>71.899999999999977</c:v>
                </c:pt>
                <c:pt idx="346">
                  <c:v>72.399999999999977</c:v>
                </c:pt>
                <c:pt idx="347">
                  <c:v>72.399999999999977</c:v>
                </c:pt>
                <c:pt idx="348">
                  <c:v>84.199999999999974</c:v>
                </c:pt>
                <c:pt idx="349">
                  <c:v>97.59999999999998</c:v>
                </c:pt>
                <c:pt idx="350">
                  <c:v>100.89999999999998</c:v>
                </c:pt>
                <c:pt idx="351">
                  <c:v>100.89999999999998</c:v>
                </c:pt>
                <c:pt idx="352">
                  <c:v>100.89999999999998</c:v>
                </c:pt>
                <c:pt idx="353">
                  <c:v>100.99999999999997</c:v>
                </c:pt>
                <c:pt idx="354">
                  <c:v>100.99999999999997</c:v>
                </c:pt>
                <c:pt idx="355">
                  <c:v>103.19999999999996</c:v>
                </c:pt>
                <c:pt idx="356">
                  <c:v>103.19999999999996</c:v>
                </c:pt>
                <c:pt idx="357">
                  <c:v>103.19999999999996</c:v>
                </c:pt>
                <c:pt idx="358">
                  <c:v>103.19999999999996</c:v>
                </c:pt>
                <c:pt idx="359">
                  <c:v>105.49999999999996</c:v>
                </c:pt>
                <c:pt idx="360">
                  <c:v>110.19999999999996</c:v>
                </c:pt>
                <c:pt idx="361">
                  <c:v>118.09999999999997</c:v>
                </c:pt>
                <c:pt idx="362">
                  <c:v>118.09999999999997</c:v>
                </c:pt>
                <c:pt idx="363">
                  <c:v>118.09999999999997</c:v>
                </c:pt>
                <c:pt idx="364">
                  <c:v>118.09999999999997</c:v>
                </c:pt>
                <c:pt idx="365">
                  <c:v>120.29999999999997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73696"/>
        <c:axId val="230183680"/>
      </c:lineChart>
      <c:catAx>
        <c:axId val="2301736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0183680"/>
        <c:crosses val="autoZero"/>
        <c:auto val="1"/>
        <c:lblAlgn val="ctr"/>
        <c:lblOffset val="100"/>
        <c:tickMarkSkip val="18"/>
        <c:noMultiLvlLbl val="0"/>
      </c:catAx>
      <c:valAx>
        <c:axId val="230183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3017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PPTest!$T$7:$T$372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7.9936057773011271E-15</c:v>
                </c:pt>
                <c:pt idx="4">
                  <c:v>3.5527136788005009E-15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-1.1546319456101628E-14</c:v>
                </c:pt>
                <c:pt idx="9">
                  <c:v>-1.3655743202889425E-14</c:v>
                </c:pt>
                <c:pt idx="10">
                  <c:v>-9.7699626167013776E-15</c:v>
                </c:pt>
                <c:pt idx="11">
                  <c:v>-1.2434497875801753E-14</c:v>
                </c:pt>
                <c:pt idx="12">
                  <c:v>0</c:v>
                </c:pt>
                <c:pt idx="13">
                  <c:v>1.1102230246251565E-14</c:v>
                </c:pt>
                <c:pt idx="14">
                  <c:v>9.9920072216264089E-15</c:v>
                </c:pt>
                <c:pt idx="15">
                  <c:v>0</c:v>
                </c:pt>
                <c:pt idx="16">
                  <c:v>0</c:v>
                </c:pt>
                <c:pt idx="17">
                  <c:v>6.6613381477509392E-15</c:v>
                </c:pt>
                <c:pt idx="18">
                  <c:v>0</c:v>
                </c:pt>
                <c:pt idx="19">
                  <c:v>-2.5757174171303632E-14</c:v>
                </c:pt>
                <c:pt idx="20">
                  <c:v>2.5979218776228663E-14</c:v>
                </c:pt>
                <c:pt idx="21">
                  <c:v>2.8421709430404007E-14</c:v>
                </c:pt>
                <c:pt idx="22">
                  <c:v>0</c:v>
                </c:pt>
                <c:pt idx="23">
                  <c:v>2.5979218776228663E-14</c:v>
                </c:pt>
                <c:pt idx="24">
                  <c:v>0</c:v>
                </c:pt>
                <c:pt idx="25">
                  <c:v>-1.8873791418627661E-14</c:v>
                </c:pt>
                <c:pt idx="26">
                  <c:v>-1.3655743202889425E-14</c:v>
                </c:pt>
                <c:pt idx="27">
                  <c:v>0</c:v>
                </c:pt>
                <c:pt idx="28">
                  <c:v>-4.9960036108132044E-15</c:v>
                </c:pt>
                <c:pt idx="29">
                  <c:v>0</c:v>
                </c:pt>
                <c:pt idx="30">
                  <c:v>-1.3655743202889425E-14</c:v>
                </c:pt>
                <c:pt idx="31">
                  <c:v>1.865174681370263E-14</c:v>
                </c:pt>
                <c:pt idx="32">
                  <c:v>0</c:v>
                </c:pt>
                <c:pt idx="33">
                  <c:v>0</c:v>
                </c:pt>
                <c:pt idx="34">
                  <c:v>1.2212453270876722E-14</c:v>
                </c:pt>
                <c:pt idx="35">
                  <c:v>1.2212453270876722E-14</c:v>
                </c:pt>
                <c:pt idx="36">
                  <c:v>0</c:v>
                </c:pt>
                <c:pt idx="37">
                  <c:v>0</c:v>
                </c:pt>
                <c:pt idx="38">
                  <c:v>1.7763568394002505E-14</c:v>
                </c:pt>
                <c:pt idx="39">
                  <c:v>0</c:v>
                </c:pt>
                <c:pt idx="40">
                  <c:v>-4.9960036108132044E-15</c:v>
                </c:pt>
                <c:pt idx="41">
                  <c:v>0</c:v>
                </c:pt>
                <c:pt idx="42">
                  <c:v>0</c:v>
                </c:pt>
                <c:pt idx="43">
                  <c:v>3.9968028886505635E-15</c:v>
                </c:pt>
                <c:pt idx="44">
                  <c:v>1.5543122344752192E-14</c:v>
                </c:pt>
                <c:pt idx="45">
                  <c:v>1.5987211554602254E-14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-4.8849813083506888E-15</c:v>
                </c:pt>
                <c:pt idx="50">
                  <c:v>0</c:v>
                </c:pt>
                <c:pt idx="51">
                  <c:v>7.1054273576010019E-15</c:v>
                </c:pt>
                <c:pt idx="52">
                  <c:v>-1.7763568394002505E-14</c:v>
                </c:pt>
                <c:pt idx="53">
                  <c:v>1.9984014443252818E-14</c:v>
                </c:pt>
                <c:pt idx="54">
                  <c:v>0</c:v>
                </c:pt>
                <c:pt idx="55">
                  <c:v>0</c:v>
                </c:pt>
                <c:pt idx="56">
                  <c:v>-2.5757174171303632E-14</c:v>
                </c:pt>
                <c:pt idx="57">
                  <c:v>-1.9539925233402755E-14</c:v>
                </c:pt>
                <c:pt idx="58">
                  <c:v>-9.9920072216264089E-15</c:v>
                </c:pt>
                <c:pt idx="59">
                  <c:v>-2.5757174171303632E-14</c:v>
                </c:pt>
                <c:pt idx="60">
                  <c:v>9.7699626167013776E-15</c:v>
                </c:pt>
                <c:pt idx="61">
                  <c:v>-2.1316282072803006E-14</c:v>
                </c:pt>
                <c:pt idx="62">
                  <c:v>-7.9936057773011271E-14</c:v>
                </c:pt>
                <c:pt idx="63">
                  <c:v>-1.1546319456101628E-14</c:v>
                </c:pt>
                <c:pt idx="64">
                  <c:v>0</c:v>
                </c:pt>
                <c:pt idx="65">
                  <c:v>-2.2648549702353193E-14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-7.9936057773011271E-14</c:v>
                </c:pt>
                <c:pt idx="76">
                  <c:v>7.815970093361102E-14</c:v>
                </c:pt>
                <c:pt idx="77">
                  <c:v>-6.8389738316909643E-14</c:v>
                </c:pt>
                <c:pt idx="78">
                  <c:v>3.4111602431607935E-14</c:v>
                </c:pt>
                <c:pt idx="79">
                  <c:v>0</c:v>
                </c:pt>
                <c:pt idx="80">
                  <c:v>0</c:v>
                </c:pt>
                <c:pt idx="81">
                  <c:v>1.1324274851176597E-14</c:v>
                </c:pt>
                <c:pt idx="82">
                  <c:v>2.3092638912203256E-14</c:v>
                </c:pt>
                <c:pt idx="83">
                  <c:v>0</c:v>
                </c:pt>
                <c:pt idx="84">
                  <c:v>-1.1324274851176597E-14</c:v>
                </c:pt>
                <c:pt idx="85">
                  <c:v>0</c:v>
                </c:pt>
                <c:pt idx="86">
                  <c:v>1.1546319456101628E-14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-1.1324274851176597E-14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1.865174681370263E-14</c:v>
                </c:pt>
                <c:pt idx="105">
                  <c:v>4.8849813083506888E-14</c:v>
                </c:pt>
                <c:pt idx="106">
                  <c:v>-2.2648549702353193E-14</c:v>
                </c:pt>
                <c:pt idx="107">
                  <c:v>10.97500000000025</c:v>
                </c:pt>
                <c:pt idx="108">
                  <c:v>19.199999999999989</c:v>
                </c:pt>
                <c:pt idx="109">
                  <c:v>15.199999999999989</c:v>
                </c:pt>
                <c:pt idx="110">
                  <c:v>12</c:v>
                </c:pt>
                <c:pt idx="111">
                  <c:v>20</c:v>
                </c:pt>
                <c:pt idx="112">
                  <c:v>22.400000000000034</c:v>
                </c:pt>
                <c:pt idx="113">
                  <c:v>1.1546319456101628E-14</c:v>
                </c:pt>
                <c:pt idx="114">
                  <c:v>3.8999999999999773</c:v>
                </c:pt>
                <c:pt idx="115">
                  <c:v>3.1999999999999886</c:v>
                </c:pt>
                <c:pt idx="116">
                  <c:v>15.199999999999989</c:v>
                </c:pt>
                <c:pt idx="117">
                  <c:v>17.600000000000023</c:v>
                </c:pt>
                <c:pt idx="118">
                  <c:v>7.6000000000000227</c:v>
                </c:pt>
                <c:pt idx="119">
                  <c:v>2.2648549702353193E-14</c:v>
                </c:pt>
                <c:pt idx="120">
                  <c:v>0</c:v>
                </c:pt>
                <c:pt idx="121">
                  <c:v>2.9999999999999432</c:v>
                </c:pt>
                <c:pt idx="122">
                  <c:v>14.800000000000011</c:v>
                </c:pt>
                <c:pt idx="123">
                  <c:v>-1.1324274851176597E-14</c:v>
                </c:pt>
                <c:pt idx="124">
                  <c:v>2.5</c:v>
                </c:pt>
                <c:pt idx="125">
                  <c:v>-1.1546319456101628E-14</c:v>
                </c:pt>
                <c:pt idx="126">
                  <c:v>0</c:v>
                </c:pt>
                <c:pt idx="127">
                  <c:v>2.2759572004815709E-14</c:v>
                </c:pt>
                <c:pt idx="128">
                  <c:v>0</c:v>
                </c:pt>
                <c:pt idx="129">
                  <c:v>2.2759572004815709E-14</c:v>
                </c:pt>
                <c:pt idx="130">
                  <c:v>5.3449999999999882</c:v>
                </c:pt>
                <c:pt idx="131">
                  <c:v>-2.2648549702353193E-14</c:v>
                </c:pt>
                <c:pt idx="132">
                  <c:v>3.2000000000000455</c:v>
                </c:pt>
                <c:pt idx="133">
                  <c:v>11.199999999999989</c:v>
                </c:pt>
                <c:pt idx="134">
                  <c:v>12.800000000000011</c:v>
                </c:pt>
                <c:pt idx="135">
                  <c:v>20.799999999999983</c:v>
                </c:pt>
                <c:pt idx="136">
                  <c:v>15.599999999999994</c:v>
                </c:pt>
                <c:pt idx="137">
                  <c:v>20.400000000000006</c:v>
                </c:pt>
                <c:pt idx="138">
                  <c:v>20.400000000000006</c:v>
                </c:pt>
                <c:pt idx="139">
                  <c:v>28.214999999999996</c:v>
                </c:pt>
                <c:pt idx="140">
                  <c:v>21.599999999999994</c:v>
                </c:pt>
                <c:pt idx="141">
                  <c:v>38.121999999999993</c:v>
                </c:pt>
                <c:pt idx="142">
                  <c:v>18.000000000000014</c:v>
                </c:pt>
                <c:pt idx="143">
                  <c:v>25.599999999999994</c:v>
                </c:pt>
                <c:pt idx="144">
                  <c:v>20.800000000000011</c:v>
                </c:pt>
                <c:pt idx="145">
                  <c:v>4.3999999999999915</c:v>
                </c:pt>
                <c:pt idx="146">
                  <c:v>8</c:v>
                </c:pt>
                <c:pt idx="147">
                  <c:v>18.740000000000002</c:v>
                </c:pt>
                <c:pt idx="148">
                  <c:v>22.525000000000002</c:v>
                </c:pt>
                <c:pt idx="149">
                  <c:v>17.005000000000003</c:v>
                </c:pt>
                <c:pt idx="150">
                  <c:v>18.435000000000002</c:v>
                </c:pt>
                <c:pt idx="151">
                  <c:v>2.8000000000000003</c:v>
                </c:pt>
                <c:pt idx="302">
                  <c:v>4.0250000000000004</c:v>
                </c:pt>
                <c:pt idx="303">
                  <c:v>0</c:v>
                </c:pt>
                <c:pt idx="304">
                  <c:v>3.7549999999999999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-7.2164496600635175E-16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2.886579864025407E-15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1.4432899320127035E-15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5.6898930012039273E-15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5.6898930012039273E-15</c:v>
                </c:pt>
                <c:pt idx="354">
                  <c:v>0</c:v>
                </c:pt>
                <c:pt idx="355">
                  <c:v>1.1546319456101628E-14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196352"/>
        <c:axId val="230197888"/>
      </c:barChart>
      <c:catAx>
        <c:axId val="2301963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0197888"/>
        <c:crosses val="autoZero"/>
        <c:auto val="1"/>
        <c:lblAlgn val="ctr"/>
        <c:lblOffset val="100"/>
        <c:tickMarkSkip val="18"/>
        <c:noMultiLvlLbl val="0"/>
      </c:catAx>
      <c:valAx>
        <c:axId val="230197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30196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PPTest!$Q$7:$Q$372</c:f>
              <c:numCache>
                <c:formatCode>0.000</c:formatCode>
                <c:ptCount val="366"/>
                <c:pt idx="61">
                  <c:v>0.29106079999999995</c:v>
                </c:pt>
                <c:pt idx="62">
                  <c:v>0.28571229698375872</c:v>
                </c:pt>
                <c:pt idx="63">
                  <c:v>0.28279666160849776</c:v>
                </c:pt>
                <c:pt idx="64">
                  <c:v>0.28938354037267083</c:v>
                </c:pt>
                <c:pt idx="65">
                  <c:v>0.28744325153374239</c:v>
                </c:pt>
                <c:pt idx="66">
                  <c:v>0.29329107981220665</c:v>
                </c:pt>
                <c:pt idx="67">
                  <c:v>0.29890430622009578</c:v>
                </c:pt>
                <c:pt idx="68">
                  <c:v>0.29914285714285727</c:v>
                </c:pt>
                <c:pt idx="69">
                  <c:v>0.30130707395498402</c:v>
                </c:pt>
                <c:pt idx="70">
                  <c:v>0.30227903225806463</c:v>
                </c:pt>
                <c:pt idx="71">
                  <c:v>0.30399513381995147</c:v>
                </c:pt>
                <c:pt idx="72">
                  <c:v>0.3102864238410597</c:v>
                </c:pt>
                <c:pt idx="73">
                  <c:v>0.29156231454005943</c:v>
                </c:pt>
                <c:pt idx="74">
                  <c:v>0.29752157456472378</c:v>
                </c:pt>
                <c:pt idx="75">
                  <c:v>0.29004049168474344</c:v>
                </c:pt>
                <c:pt idx="76">
                  <c:v>0.27589057350032969</c:v>
                </c:pt>
                <c:pt idx="77">
                  <c:v>0.27317335058214759</c:v>
                </c:pt>
                <c:pt idx="78">
                  <c:v>0.27306140917905636</c:v>
                </c:pt>
                <c:pt idx="79">
                  <c:v>0.27864511873350933</c:v>
                </c:pt>
                <c:pt idx="80">
                  <c:v>0.28972976680384099</c:v>
                </c:pt>
                <c:pt idx="81">
                  <c:v>0.28877027948193601</c:v>
                </c:pt>
                <c:pt idx="82">
                  <c:v>0.2840780423280424</c:v>
                </c:pt>
                <c:pt idx="83">
                  <c:v>0.28943800539083564</c:v>
                </c:pt>
                <c:pt idx="84">
                  <c:v>0.28880939597315441</c:v>
                </c:pt>
                <c:pt idx="85">
                  <c:v>0.29987874564459938</c:v>
                </c:pt>
                <c:pt idx="86">
                  <c:v>0.29740796703296707</c:v>
                </c:pt>
                <c:pt idx="87">
                  <c:v>0.30155013927576607</c:v>
                </c:pt>
                <c:pt idx="88">
                  <c:v>0.3030272918124563</c:v>
                </c:pt>
                <c:pt idx="89">
                  <c:v>0.30602544169611312</c:v>
                </c:pt>
                <c:pt idx="90">
                  <c:v>0.31152949640287775</c:v>
                </c:pt>
                <c:pt idx="91">
                  <c:v>0.31770066030814387</c:v>
                </c:pt>
                <c:pt idx="92">
                  <c:v>0.32879726651480645</c:v>
                </c:pt>
                <c:pt idx="93">
                  <c:v>0.3336101694915255</c:v>
                </c:pt>
                <c:pt idx="94">
                  <c:v>0.33567906976744194</c:v>
                </c:pt>
                <c:pt idx="95">
                  <c:v>0.33777379095163818</c:v>
                </c:pt>
                <c:pt idx="96">
                  <c:v>0.33777379095163818</c:v>
                </c:pt>
                <c:pt idx="97">
                  <c:v>0.33616563467492272</c:v>
                </c:pt>
                <c:pt idx="98">
                  <c:v>0.34801762820512833</c:v>
                </c:pt>
                <c:pt idx="99">
                  <c:v>0.36193833333333347</c:v>
                </c:pt>
                <c:pt idx="100">
                  <c:v>0.37345313843508188</c:v>
                </c:pt>
                <c:pt idx="101">
                  <c:v>0.38098771929824582</c:v>
                </c:pt>
                <c:pt idx="102">
                  <c:v>0.39305520361990975</c:v>
                </c:pt>
                <c:pt idx="103">
                  <c:v>0.37863644140290875</c:v>
                </c:pt>
                <c:pt idx="104">
                  <c:v>0.38303763900769916</c:v>
                </c:pt>
                <c:pt idx="105">
                  <c:v>0.39760544815465754</c:v>
                </c:pt>
                <c:pt idx="106">
                  <c:v>0.39391247833622206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0.3894907908992416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0.39131513647642679</c:v>
                </c:pt>
                <c:pt idx="120">
                  <c:v>0.39375780274656674</c:v>
                </c:pt>
                <c:pt idx="121">
                  <c:v>0.4</c:v>
                </c:pt>
                <c:pt idx="122">
                  <c:v>0.4</c:v>
                </c:pt>
                <c:pt idx="123">
                  <c:v>0.39641909814323611</c:v>
                </c:pt>
                <c:pt idx="124">
                  <c:v>0.4</c:v>
                </c:pt>
                <c:pt idx="125">
                  <c:v>0.38987012987012992</c:v>
                </c:pt>
                <c:pt idx="126">
                  <c:v>0.39708994708994716</c:v>
                </c:pt>
                <c:pt idx="127">
                  <c:v>0.39604743083003957</c:v>
                </c:pt>
                <c:pt idx="128">
                  <c:v>0.39761904761904765</c:v>
                </c:pt>
                <c:pt idx="129">
                  <c:v>0.39657444005270093</c:v>
                </c:pt>
                <c:pt idx="130">
                  <c:v>0.4</c:v>
                </c:pt>
                <c:pt idx="131">
                  <c:v>0.39581151832460737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302">
                  <c:v>0.4</c:v>
                </c:pt>
                <c:pt idx="303">
                  <c:v>0.19468750000000001</c:v>
                </c:pt>
                <c:pt idx="304">
                  <c:v>0.4</c:v>
                </c:pt>
                <c:pt idx="305">
                  <c:v>0.18518518518518517</c:v>
                </c:pt>
                <c:pt idx="306">
                  <c:v>0.24390243902439024</c:v>
                </c:pt>
                <c:pt idx="307">
                  <c:v>0.23333333333333334</c:v>
                </c:pt>
                <c:pt idx="308">
                  <c:v>0.16615384615384615</c:v>
                </c:pt>
                <c:pt idx="309">
                  <c:v>0.17560975609756099</c:v>
                </c:pt>
                <c:pt idx="310">
                  <c:v>0.17704918032786887</c:v>
                </c:pt>
                <c:pt idx="311">
                  <c:v>0.17661290322580647</c:v>
                </c:pt>
                <c:pt idx="312">
                  <c:v>0.1780487804878049</c:v>
                </c:pt>
                <c:pt idx="313">
                  <c:v>0.17950819672131149</c:v>
                </c:pt>
                <c:pt idx="314">
                  <c:v>0.17734375000000002</c:v>
                </c:pt>
                <c:pt idx="315">
                  <c:v>0.16626506024096385</c:v>
                </c:pt>
                <c:pt idx="316">
                  <c:v>0.17806451612903224</c:v>
                </c:pt>
                <c:pt idx="317">
                  <c:v>0.184</c:v>
                </c:pt>
                <c:pt idx="318">
                  <c:v>0.19166666666666665</c:v>
                </c:pt>
                <c:pt idx="319">
                  <c:v>0.19436619718309858</c:v>
                </c:pt>
                <c:pt idx="320">
                  <c:v>0.19574468085106381</c:v>
                </c:pt>
                <c:pt idx="321">
                  <c:v>0.18917197452229298</c:v>
                </c:pt>
                <c:pt idx="322">
                  <c:v>0.18917197452229298</c:v>
                </c:pt>
                <c:pt idx="323">
                  <c:v>0.19038461538461537</c:v>
                </c:pt>
                <c:pt idx="324">
                  <c:v>0.20342465753424657</c:v>
                </c:pt>
                <c:pt idx="325">
                  <c:v>0.20482758620689653</c:v>
                </c:pt>
                <c:pt idx="326">
                  <c:v>0.20769230769230768</c:v>
                </c:pt>
                <c:pt idx="327">
                  <c:v>0.18842105263157893</c:v>
                </c:pt>
                <c:pt idx="328">
                  <c:v>0.18285714285714286</c:v>
                </c:pt>
                <c:pt idx="329">
                  <c:v>0.17826086956521739</c:v>
                </c:pt>
                <c:pt idx="330">
                  <c:v>0.17003610108303249</c:v>
                </c:pt>
                <c:pt idx="331">
                  <c:v>0.16804123711340205</c:v>
                </c:pt>
                <c:pt idx="332">
                  <c:v>0.17977941176470588</c:v>
                </c:pt>
                <c:pt idx="333">
                  <c:v>0.16787709497206701</c:v>
                </c:pt>
                <c:pt idx="334">
                  <c:v>0.18267477203647414</c:v>
                </c:pt>
                <c:pt idx="335">
                  <c:v>0.18899371069182389</c:v>
                </c:pt>
                <c:pt idx="336">
                  <c:v>0.18696969696969695</c:v>
                </c:pt>
                <c:pt idx="337">
                  <c:v>0.2120274914089347</c:v>
                </c:pt>
                <c:pt idx="338">
                  <c:v>0.21122448979591835</c:v>
                </c:pt>
                <c:pt idx="339">
                  <c:v>0.21122448979591835</c:v>
                </c:pt>
                <c:pt idx="340">
                  <c:v>0.21413793103448273</c:v>
                </c:pt>
                <c:pt idx="341">
                  <c:v>0.21789473684210522</c:v>
                </c:pt>
                <c:pt idx="342">
                  <c:v>0.21660899653979235</c:v>
                </c:pt>
                <c:pt idx="343">
                  <c:v>0.1994444444444444</c:v>
                </c:pt>
                <c:pt idx="344">
                  <c:v>0.1994444444444444</c:v>
                </c:pt>
                <c:pt idx="345">
                  <c:v>0.19916897506925202</c:v>
                </c:pt>
                <c:pt idx="346">
                  <c:v>0.19835616438356157</c:v>
                </c:pt>
                <c:pt idx="347">
                  <c:v>0.2016713091922005</c:v>
                </c:pt>
                <c:pt idx="348">
                  <c:v>0.18711111111111106</c:v>
                </c:pt>
                <c:pt idx="349">
                  <c:v>0.17649186256781191</c:v>
                </c:pt>
                <c:pt idx="350">
                  <c:v>0.17456747404844286</c:v>
                </c:pt>
                <c:pt idx="351">
                  <c:v>0.18180180180180175</c:v>
                </c:pt>
                <c:pt idx="352">
                  <c:v>0.18180180180180175</c:v>
                </c:pt>
                <c:pt idx="353">
                  <c:v>0.18165467625899276</c:v>
                </c:pt>
                <c:pt idx="354">
                  <c:v>0.18397085610200359</c:v>
                </c:pt>
                <c:pt idx="355">
                  <c:v>0.18233215547703174</c:v>
                </c:pt>
                <c:pt idx="356">
                  <c:v>0.18661844484629286</c:v>
                </c:pt>
                <c:pt idx="357">
                  <c:v>0.19146567717996282</c:v>
                </c:pt>
                <c:pt idx="358">
                  <c:v>0.19846153846153838</c:v>
                </c:pt>
                <c:pt idx="359">
                  <c:v>0.19609665427509285</c:v>
                </c:pt>
                <c:pt idx="360">
                  <c:v>0.19198606271776997</c:v>
                </c:pt>
                <c:pt idx="361">
                  <c:v>0.18598425196850388</c:v>
                </c:pt>
                <c:pt idx="362">
                  <c:v>0.18746031746031741</c:v>
                </c:pt>
                <c:pt idx="363">
                  <c:v>0.19488448844884482</c:v>
                </c:pt>
                <c:pt idx="364">
                  <c:v>0.20050933786078093</c:v>
                </c:pt>
                <c:pt idx="365">
                  <c:v>0.19851485148514847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214656"/>
        <c:axId val="230220544"/>
      </c:lineChart>
      <c:catAx>
        <c:axId val="230214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0220544"/>
        <c:crosses val="autoZero"/>
        <c:auto val="1"/>
        <c:lblAlgn val="ctr"/>
        <c:lblOffset val="100"/>
        <c:tickMarkSkip val="18"/>
        <c:noMultiLvlLbl val="0"/>
      </c:catAx>
      <c:valAx>
        <c:axId val="230220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30214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 - March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215332458442694"/>
                  <c:y val="-2.1709317585301837E-2"/>
                </c:manualLayout>
              </c:layout>
              <c:numFmt formatCode="General" sourceLinked="0"/>
            </c:trendlineLbl>
          </c:trendline>
          <c:xVal>
            <c:numRef>
              <c:f>Data!$DR$68:$DR$91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3.1</c:v>
                </c:pt>
                <c:pt idx="2">
                  <c:v>4.2</c:v>
                </c:pt>
                <c:pt idx="3">
                  <c:v>7</c:v>
                </c:pt>
                <c:pt idx="4">
                  <c:v>1.9</c:v>
                </c:pt>
                <c:pt idx="5">
                  <c:v>6.3</c:v>
                </c:pt>
                <c:pt idx="6">
                  <c:v>10.5</c:v>
                </c:pt>
                <c:pt idx="7">
                  <c:v>7.7</c:v>
                </c:pt>
                <c:pt idx="8">
                  <c:v>10</c:v>
                </c:pt>
                <c:pt idx="9">
                  <c:v>12.1</c:v>
                </c:pt>
                <c:pt idx="10">
                  <c:v>11.9</c:v>
                </c:pt>
                <c:pt idx="11">
                  <c:v>10.9</c:v>
                </c:pt>
                <c:pt idx="12">
                  <c:v>9.1999999999999993</c:v>
                </c:pt>
                <c:pt idx="13">
                  <c:v>11.2</c:v>
                </c:pt>
                <c:pt idx="14">
                  <c:v>5.8</c:v>
                </c:pt>
                <c:pt idx="15">
                  <c:v>6.9</c:v>
                </c:pt>
                <c:pt idx="16">
                  <c:v>3.5</c:v>
                </c:pt>
                <c:pt idx="17">
                  <c:v>8.6999999999999993</c:v>
                </c:pt>
                <c:pt idx="18">
                  <c:v>9.4</c:v>
                </c:pt>
                <c:pt idx="19">
                  <c:v>13.4</c:v>
                </c:pt>
                <c:pt idx="20">
                  <c:v>8.5</c:v>
                </c:pt>
                <c:pt idx="21">
                  <c:v>11.1</c:v>
                </c:pt>
                <c:pt idx="22">
                  <c:v>11.4</c:v>
                </c:pt>
                <c:pt idx="23">
                  <c:v>13.2</c:v>
                </c:pt>
              </c:numCache>
            </c:numRef>
          </c:xVal>
          <c:yVal>
            <c:numRef>
              <c:f>Data!$R$68:$R$91</c:f>
              <c:numCache>
                <c:formatCode>General</c:formatCode>
                <c:ptCount val="24"/>
                <c:pt idx="0">
                  <c:v>-0.373</c:v>
                </c:pt>
                <c:pt idx="1">
                  <c:v>-0.29599999999999999</c:v>
                </c:pt>
                <c:pt idx="2">
                  <c:v>-1.2370000000000001</c:v>
                </c:pt>
                <c:pt idx="3">
                  <c:v>-1.617</c:v>
                </c:pt>
                <c:pt idx="4">
                  <c:v>-4.3099999999999996</c:v>
                </c:pt>
                <c:pt idx="5">
                  <c:v>9.4E-2</c:v>
                </c:pt>
                <c:pt idx="6">
                  <c:v>3.3860000000000001</c:v>
                </c:pt>
                <c:pt idx="7">
                  <c:v>0.88200000000000001</c:v>
                </c:pt>
                <c:pt idx="8">
                  <c:v>3.206</c:v>
                </c:pt>
                <c:pt idx="9">
                  <c:v>0.83099999999999996</c:v>
                </c:pt>
                <c:pt idx="10">
                  <c:v>0.78900000000000003</c:v>
                </c:pt>
                <c:pt idx="11">
                  <c:v>3.2949999999999999</c:v>
                </c:pt>
                <c:pt idx="12">
                  <c:v>-1.6459999999999999</c:v>
                </c:pt>
                <c:pt idx="13">
                  <c:v>-0.48899999999999999</c:v>
                </c:pt>
                <c:pt idx="14">
                  <c:v>-1.0249999999999999</c:v>
                </c:pt>
                <c:pt idx="15">
                  <c:v>-1.27</c:v>
                </c:pt>
                <c:pt idx="16">
                  <c:v>-1.4490000000000001</c:v>
                </c:pt>
                <c:pt idx="17">
                  <c:v>-2.0990000000000002</c:v>
                </c:pt>
                <c:pt idx="18">
                  <c:v>0.155</c:v>
                </c:pt>
                <c:pt idx="19">
                  <c:v>5.6669999999999998</c:v>
                </c:pt>
                <c:pt idx="20">
                  <c:v>2.4209999999999998</c:v>
                </c:pt>
                <c:pt idx="21">
                  <c:v>-0.69599999999999995</c:v>
                </c:pt>
                <c:pt idx="22">
                  <c:v>2.0289999999999999</c:v>
                </c:pt>
                <c:pt idx="23">
                  <c:v>0.71299999999999997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204544"/>
        <c:axId val="234206720"/>
      </c:scatterChart>
      <c:valAx>
        <c:axId val="234204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06720"/>
        <c:crosses val="autoZero"/>
        <c:crossBetween val="midCat"/>
      </c:valAx>
      <c:valAx>
        <c:axId val="234206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</a:t>
                </a:r>
                <a:r>
                  <a:rPr lang="en-CA" baseline="0"/>
                  <a:t> (C)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04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2000 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61">
                  <c:v>0.51700000000000002</c:v>
                </c:pt>
                <c:pt idx="62">
                  <c:v>1.08</c:v>
                </c:pt>
                <c:pt idx="63">
                  <c:v>1.173</c:v>
                </c:pt>
                <c:pt idx="64">
                  <c:v>2.3780000000000001</c:v>
                </c:pt>
                <c:pt idx="65">
                  <c:v>1.4119999999999999</c:v>
                </c:pt>
                <c:pt idx="66">
                  <c:v>8.41</c:v>
                </c:pt>
                <c:pt idx="67">
                  <c:v>12.06</c:v>
                </c:pt>
                <c:pt idx="68">
                  <c:v>4.5330000000000004</c:v>
                </c:pt>
                <c:pt idx="69">
                  <c:v>10.37</c:v>
                </c:pt>
                <c:pt idx="70">
                  <c:v>9.6999999999999993</c:v>
                </c:pt>
                <c:pt idx="71">
                  <c:v>9.61</c:v>
                </c:pt>
                <c:pt idx="72">
                  <c:v>11.27</c:v>
                </c:pt>
                <c:pt idx="73">
                  <c:v>2.7320000000000002</c:v>
                </c:pt>
                <c:pt idx="74">
                  <c:v>13.16</c:v>
                </c:pt>
                <c:pt idx="75">
                  <c:v>4.5599999999999996</c:v>
                </c:pt>
                <c:pt idx="76">
                  <c:v>8.06</c:v>
                </c:pt>
                <c:pt idx="77">
                  <c:v>3.3010000000000002</c:v>
                </c:pt>
                <c:pt idx="78">
                  <c:v>12.82</c:v>
                </c:pt>
                <c:pt idx="79">
                  <c:v>10.82</c:v>
                </c:pt>
                <c:pt idx="80">
                  <c:v>17.59</c:v>
                </c:pt>
                <c:pt idx="81">
                  <c:v>4.1529999999999996</c:v>
                </c:pt>
                <c:pt idx="82">
                  <c:v>6.6890000000000001</c:v>
                </c:pt>
                <c:pt idx="83">
                  <c:v>14.24</c:v>
                </c:pt>
                <c:pt idx="84">
                  <c:v>9.64</c:v>
                </c:pt>
                <c:pt idx="85">
                  <c:v>19.03</c:v>
                </c:pt>
                <c:pt idx="86">
                  <c:v>9.0299999999999994</c:v>
                </c:pt>
                <c:pt idx="87">
                  <c:v>11.3</c:v>
                </c:pt>
                <c:pt idx="88">
                  <c:v>16.399999999999999</c:v>
                </c:pt>
                <c:pt idx="89">
                  <c:v>19.59</c:v>
                </c:pt>
                <c:pt idx="90">
                  <c:v>14.52</c:v>
                </c:pt>
                <c:pt idx="91">
                  <c:v>6.319</c:v>
                </c:pt>
                <c:pt idx="92">
                  <c:v>19.93</c:v>
                </c:pt>
                <c:pt idx="93">
                  <c:v>8.0500000000000007</c:v>
                </c:pt>
                <c:pt idx="94">
                  <c:v>10.5</c:v>
                </c:pt>
                <c:pt idx="95">
                  <c:v>11.68</c:v>
                </c:pt>
                <c:pt idx="96">
                  <c:v>12.09</c:v>
                </c:pt>
                <c:pt idx="97">
                  <c:v>18.93</c:v>
                </c:pt>
                <c:pt idx="98">
                  <c:v>21.97</c:v>
                </c:pt>
                <c:pt idx="99">
                  <c:v>22.62</c:v>
                </c:pt>
                <c:pt idx="100">
                  <c:v>23.46</c:v>
                </c:pt>
                <c:pt idx="101">
                  <c:v>14.37</c:v>
                </c:pt>
                <c:pt idx="102">
                  <c:v>16.989999999999998</c:v>
                </c:pt>
                <c:pt idx="103">
                  <c:v>5.2770000000000001</c:v>
                </c:pt>
                <c:pt idx="104">
                  <c:v>2.0510000000000002</c:v>
                </c:pt>
                <c:pt idx="105">
                  <c:v>15.35</c:v>
                </c:pt>
                <c:pt idx="106">
                  <c:v>13.54</c:v>
                </c:pt>
                <c:pt idx="107">
                  <c:v>25.89</c:v>
                </c:pt>
                <c:pt idx="108">
                  <c:v>25.15</c:v>
                </c:pt>
                <c:pt idx="109">
                  <c:v>26.27</c:v>
                </c:pt>
                <c:pt idx="110">
                  <c:v>14.74</c:v>
                </c:pt>
                <c:pt idx="111">
                  <c:v>20.94</c:v>
                </c:pt>
                <c:pt idx="112">
                  <c:v>21.56</c:v>
                </c:pt>
                <c:pt idx="113">
                  <c:v>15.74</c:v>
                </c:pt>
                <c:pt idx="114">
                  <c:v>17.73</c:v>
                </c:pt>
                <c:pt idx="115">
                  <c:v>12.71</c:v>
                </c:pt>
                <c:pt idx="116">
                  <c:v>27.5</c:v>
                </c:pt>
                <c:pt idx="117">
                  <c:v>18.23</c:v>
                </c:pt>
                <c:pt idx="118">
                  <c:v>17.91</c:v>
                </c:pt>
                <c:pt idx="119">
                  <c:v>15.92</c:v>
                </c:pt>
                <c:pt idx="120">
                  <c:v>12.03</c:v>
                </c:pt>
                <c:pt idx="121">
                  <c:v>11.03</c:v>
                </c:pt>
                <c:pt idx="122">
                  <c:v>19.920000000000002</c:v>
                </c:pt>
                <c:pt idx="123">
                  <c:v>8.11</c:v>
                </c:pt>
                <c:pt idx="124">
                  <c:v>14.91</c:v>
                </c:pt>
                <c:pt idx="125">
                  <c:v>6.0759999999999996</c:v>
                </c:pt>
                <c:pt idx="126">
                  <c:v>18.16</c:v>
                </c:pt>
                <c:pt idx="127">
                  <c:v>17.14</c:v>
                </c:pt>
                <c:pt idx="128">
                  <c:v>14.85</c:v>
                </c:pt>
                <c:pt idx="129">
                  <c:v>14.84</c:v>
                </c:pt>
                <c:pt idx="130">
                  <c:v>12.82</c:v>
                </c:pt>
                <c:pt idx="131">
                  <c:v>9.7100000000000009</c:v>
                </c:pt>
                <c:pt idx="132">
                  <c:v>14.88</c:v>
                </c:pt>
                <c:pt idx="133">
                  <c:v>17.11</c:v>
                </c:pt>
                <c:pt idx="134">
                  <c:v>15.43</c:v>
                </c:pt>
                <c:pt idx="135">
                  <c:v>19.28</c:v>
                </c:pt>
                <c:pt idx="136">
                  <c:v>19.57</c:v>
                </c:pt>
                <c:pt idx="137">
                  <c:v>23.36</c:v>
                </c:pt>
                <c:pt idx="138">
                  <c:v>22.05</c:v>
                </c:pt>
                <c:pt idx="139">
                  <c:v>16.12</c:v>
                </c:pt>
                <c:pt idx="140">
                  <c:v>13.32</c:v>
                </c:pt>
                <c:pt idx="141">
                  <c:v>7.81</c:v>
                </c:pt>
                <c:pt idx="142">
                  <c:v>17.7</c:v>
                </c:pt>
                <c:pt idx="143">
                  <c:v>30.09</c:v>
                </c:pt>
                <c:pt idx="144">
                  <c:v>27.54</c:v>
                </c:pt>
                <c:pt idx="145">
                  <c:v>27.14</c:v>
                </c:pt>
                <c:pt idx="146">
                  <c:v>11.08</c:v>
                </c:pt>
                <c:pt idx="148">
                  <c:v>19.46</c:v>
                </c:pt>
                <c:pt idx="149">
                  <c:v>13.9</c:v>
                </c:pt>
                <c:pt idx="150">
                  <c:v>17.98</c:v>
                </c:pt>
                <c:pt idx="151">
                  <c:v>14.62</c:v>
                </c:pt>
                <c:pt idx="262">
                  <c:v>17</c:v>
                </c:pt>
                <c:pt idx="263">
                  <c:v>4.5369999999999999</c:v>
                </c:pt>
                <c:pt idx="264">
                  <c:v>14.5</c:v>
                </c:pt>
                <c:pt idx="265">
                  <c:v>18.649999999999999</c:v>
                </c:pt>
                <c:pt idx="266">
                  <c:v>17.7</c:v>
                </c:pt>
                <c:pt idx="267">
                  <c:v>17.600000000000001</c:v>
                </c:pt>
                <c:pt idx="268">
                  <c:v>17.55</c:v>
                </c:pt>
                <c:pt idx="269">
                  <c:v>17.260000000000002</c:v>
                </c:pt>
                <c:pt idx="270">
                  <c:v>16.690000000000001</c:v>
                </c:pt>
                <c:pt idx="271">
                  <c:v>13.46</c:v>
                </c:pt>
                <c:pt idx="272">
                  <c:v>3.6909999999999998</c:v>
                </c:pt>
                <c:pt idx="273">
                  <c:v>13.02</c:v>
                </c:pt>
                <c:pt idx="274">
                  <c:v>12.92</c:v>
                </c:pt>
                <c:pt idx="275">
                  <c:v>7.29</c:v>
                </c:pt>
                <c:pt idx="276">
                  <c:v>11.51</c:v>
                </c:pt>
                <c:pt idx="277">
                  <c:v>9.7200000000000006</c:v>
                </c:pt>
                <c:pt idx="278">
                  <c:v>15.27</c:v>
                </c:pt>
                <c:pt idx="279">
                  <c:v>14.96</c:v>
                </c:pt>
                <c:pt idx="280">
                  <c:v>14.7</c:v>
                </c:pt>
                <c:pt idx="281">
                  <c:v>8.01</c:v>
                </c:pt>
                <c:pt idx="282">
                  <c:v>8.85</c:v>
                </c:pt>
                <c:pt idx="283">
                  <c:v>8.0399999999999991</c:v>
                </c:pt>
                <c:pt idx="284">
                  <c:v>3.0779999999999998</c:v>
                </c:pt>
                <c:pt idx="285">
                  <c:v>12.36</c:v>
                </c:pt>
                <c:pt idx="286">
                  <c:v>12.82</c:v>
                </c:pt>
                <c:pt idx="287">
                  <c:v>2.6909999999999998</c:v>
                </c:pt>
                <c:pt idx="288">
                  <c:v>7.93</c:v>
                </c:pt>
                <c:pt idx="289">
                  <c:v>2.5</c:v>
                </c:pt>
                <c:pt idx="290">
                  <c:v>4.8250000000000002</c:v>
                </c:pt>
                <c:pt idx="291">
                  <c:v>5.8849999999999998</c:v>
                </c:pt>
                <c:pt idx="292">
                  <c:v>6.9249999999999998</c:v>
                </c:pt>
                <c:pt idx="293">
                  <c:v>4.2359999999999998</c:v>
                </c:pt>
                <c:pt idx="294">
                  <c:v>6.5659999999999998</c:v>
                </c:pt>
                <c:pt idx="295">
                  <c:v>5.37</c:v>
                </c:pt>
                <c:pt idx="296">
                  <c:v>11.2</c:v>
                </c:pt>
                <c:pt idx="297">
                  <c:v>7</c:v>
                </c:pt>
                <c:pt idx="298">
                  <c:v>8.83</c:v>
                </c:pt>
                <c:pt idx="299">
                  <c:v>9.5500000000000007</c:v>
                </c:pt>
                <c:pt idx="300">
                  <c:v>1.2549999999999999</c:v>
                </c:pt>
                <c:pt idx="301">
                  <c:v>1.9159999999999999</c:v>
                </c:pt>
                <c:pt idx="302">
                  <c:v>3.593</c:v>
                </c:pt>
                <c:pt idx="303">
                  <c:v>3.2160000000000002</c:v>
                </c:pt>
                <c:pt idx="304">
                  <c:v>0.48899999999999999</c:v>
                </c:pt>
                <c:pt idx="305">
                  <c:v>2.9</c:v>
                </c:pt>
                <c:pt idx="306">
                  <c:v>5.79</c:v>
                </c:pt>
                <c:pt idx="307">
                  <c:v>2.6110000000000002</c:v>
                </c:pt>
                <c:pt idx="308">
                  <c:v>0.69599999999999995</c:v>
                </c:pt>
                <c:pt idx="309">
                  <c:v>4.3540000000000001</c:v>
                </c:pt>
                <c:pt idx="310">
                  <c:v>4.2140000000000004</c:v>
                </c:pt>
                <c:pt idx="311">
                  <c:v>1.861</c:v>
                </c:pt>
                <c:pt idx="312">
                  <c:v>4.0960000000000001</c:v>
                </c:pt>
                <c:pt idx="313">
                  <c:v>4.6580000000000004</c:v>
                </c:pt>
                <c:pt idx="314">
                  <c:v>3.262</c:v>
                </c:pt>
                <c:pt idx="315">
                  <c:v>2.8039999999999998</c:v>
                </c:pt>
                <c:pt idx="316">
                  <c:v>4.0069999999999997</c:v>
                </c:pt>
                <c:pt idx="317">
                  <c:v>2.1480000000000001</c:v>
                </c:pt>
                <c:pt idx="318">
                  <c:v>3.12</c:v>
                </c:pt>
                <c:pt idx="319">
                  <c:v>1.075</c:v>
                </c:pt>
                <c:pt idx="320">
                  <c:v>0.624</c:v>
                </c:pt>
                <c:pt idx="321">
                  <c:v>2.1659999999999999</c:v>
                </c:pt>
                <c:pt idx="322">
                  <c:v>1.532</c:v>
                </c:pt>
                <c:pt idx="323">
                  <c:v>1.292</c:v>
                </c:pt>
                <c:pt idx="324">
                  <c:v>3.4359999999999999</c:v>
                </c:pt>
                <c:pt idx="325">
                  <c:v>4.8040000000000003</c:v>
                </c:pt>
                <c:pt idx="326">
                  <c:v>5.9370000000000003</c:v>
                </c:pt>
                <c:pt idx="327">
                  <c:v>0.64100000000000001</c:v>
                </c:pt>
                <c:pt idx="328">
                  <c:v>0.47599999999999998</c:v>
                </c:pt>
                <c:pt idx="329">
                  <c:v>0.19600000000000001</c:v>
                </c:pt>
                <c:pt idx="330">
                  <c:v>0.53700000000000003</c:v>
                </c:pt>
                <c:pt idx="331">
                  <c:v>0.191</c:v>
                </c:pt>
                <c:pt idx="332">
                  <c:v>2.6349999999999998</c:v>
                </c:pt>
                <c:pt idx="333">
                  <c:v>0.56999999999999995</c:v>
                </c:pt>
                <c:pt idx="334">
                  <c:v>0.68100000000000005</c:v>
                </c:pt>
                <c:pt idx="335">
                  <c:v>1.0680000000000001</c:v>
                </c:pt>
                <c:pt idx="336">
                  <c:v>1.06</c:v>
                </c:pt>
                <c:pt idx="337">
                  <c:v>1.92</c:v>
                </c:pt>
                <c:pt idx="338">
                  <c:v>2.4049999999999998</c:v>
                </c:pt>
                <c:pt idx="339">
                  <c:v>2.7240000000000002</c:v>
                </c:pt>
                <c:pt idx="340">
                  <c:v>7.59</c:v>
                </c:pt>
                <c:pt idx="341">
                  <c:v>2.6219999999999999</c:v>
                </c:pt>
                <c:pt idx="342">
                  <c:v>1.337</c:v>
                </c:pt>
                <c:pt idx="343">
                  <c:v>0.255</c:v>
                </c:pt>
                <c:pt idx="344">
                  <c:v>0.51200000000000001</c:v>
                </c:pt>
                <c:pt idx="345">
                  <c:v>1.137</c:v>
                </c:pt>
                <c:pt idx="346">
                  <c:v>0.61599999999999999</c:v>
                </c:pt>
                <c:pt idx="347">
                  <c:v>0.69199999999999995</c:v>
                </c:pt>
                <c:pt idx="348">
                  <c:v>0.182</c:v>
                </c:pt>
                <c:pt idx="349">
                  <c:v>0.69399999999999995</c:v>
                </c:pt>
                <c:pt idx="350">
                  <c:v>0.16700000000000001</c:v>
                </c:pt>
                <c:pt idx="351">
                  <c:v>0.16400000000000001</c:v>
                </c:pt>
                <c:pt idx="352">
                  <c:v>0.08</c:v>
                </c:pt>
                <c:pt idx="353">
                  <c:v>0.20399999999999999</c:v>
                </c:pt>
                <c:pt idx="354">
                  <c:v>1.4950000000000001</c:v>
                </c:pt>
                <c:pt idx="355">
                  <c:v>0.22500000000000001</c:v>
                </c:pt>
                <c:pt idx="356">
                  <c:v>0.253</c:v>
                </c:pt>
                <c:pt idx="357">
                  <c:v>1.1559999999999999</c:v>
                </c:pt>
                <c:pt idx="358">
                  <c:v>0.254</c:v>
                </c:pt>
                <c:pt idx="359">
                  <c:v>0.23599999999999999</c:v>
                </c:pt>
                <c:pt idx="360">
                  <c:v>0.11600000000000001</c:v>
                </c:pt>
                <c:pt idx="361">
                  <c:v>0.14699999999999999</c:v>
                </c:pt>
                <c:pt idx="362">
                  <c:v>1.671</c:v>
                </c:pt>
                <c:pt idx="363">
                  <c:v>0.371</c:v>
                </c:pt>
                <c:pt idx="364">
                  <c:v>3.4820000000000002</c:v>
                </c:pt>
                <c:pt idx="365">
                  <c:v>0.36099999999999999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Data!$BM$7:$BM$372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Data!$BO$7:$BO$372</c:f>
              <c:numCache>
                <c:formatCode>0.00</c:formatCode>
                <c:ptCount val="366"/>
                <c:pt idx="61">
                  <c:v>0.51</c:v>
                </c:pt>
                <c:pt idx="62">
                  <c:v>1.06</c:v>
                </c:pt>
                <c:pt idx="63">
                  <c:v>1.1499999999999999</c:v>
                </c:pt>
                <c:pt idx="64">
                  <c:v>2.33</c:v>
                </c:pt>
                <c:pt idx="65">
                  <c:v>1.38</c:v>
                </c:pt>
                <c:pt idx="66">
                  <c:v>8.24</c:v>
                </c:pt>
                <c:pt idx="67">
                  <c:v>11.82</c:v>
                </c:pt>
                <c:pt idx="68">
                  <c:v>4.4400000000000004</c:v>
                </c:pt>
                <c:pt idx="69">
                  <c:v>10.16</c:v>
                </c:pt>
                <c:pt idx="70">
                  <c:v>9.51</c:v>
                </c:pt>
                <c:pt idx="71">
                  <c:v>9.42</c:v>
                </c:pt>
                <c:pt idx="72">
                  <c:v>11.04</c:v>
                </c:pt>
                <c:pt idx="73">
                  <c:v>2.68</c:v>
                </c:pt>
                <c:pt idx="74">
                  <c:v>12.9</c:v>
                </c:pt>
                <c:pt idx="75">
                  <c:v>4.47</c:v>
                </c:pt>
                <c:pt idx="76">
                  <c:v>7.9</c:v>
                </c:pt>
                <c:pt idx="77">
                  <c:v>3.23</c:v>
                </c:pt>
                <c:pt idx="78">
                  <c:v>12.56</c:v>
                </c:pt>
                <c:pt idx="79">
                  <c:v>10.6</c:v>
                </c:pt>
                <c:pt idx="80">
                  <c:v>17.239999999999998</c:v>
                </c:pt>
                <c:pt idx="81">
                  <c:v>4.07</c:v>
                </c:pt>
                <c:pt idx="82">
                  <c:v>6.56</c:v>
                </c:pt>
                <c:pt idx="83">
                  <c:v>13.96</c:v>
                </c:pt>
                <c:pt idx="84">
                  <c:v>9.4499999999999993</c:v>
                </c:pt>
                <c:pt idx="85">
                  <c:v>18.649999999999999</c:v>
                </c:pt>
                <c:pt idx="86">
                  <c:v>8.85</c:v>
                </c:pt>
                <c:pt idx="87">
                  <c:v>11.07</c:v>
                </c:pt>
                <c:pt idx="88">
                  <c:v>16.07</c:v>
                </c:pt>
                <c:pt idx="89">
                  <c:v>19.2</c:v>
                </c:pt>
                <c:pt idx="90">
                  <c:v>14.23</c:v>
                </c:pt>
                <c:pt idx="91">
                  <c:v>6.19</c:v>
                </c:pt>
                <c:pt idx="92">
                  <c:v>19.53</c:v>
                </c:pt>
                <c:pt idx="93">
                  <c:v>7.89</c:v>
                </c:pt>
                <c:pt idx="94">
                  <c:v>10.29</c:v>
                </c:pt>
                <c:pt idx="95">
                  <c:v>11.45</c:v>
                </c:pt>
                <c:pt idx="96">
                  <c:v>11.85</c:v>
                </c:pt>
                <c:pt idx="97">
                  <c:v>18.55</c:v>
                </c:pt>
                <c:pt idx="98">
                  <c:v>21.53</c:v>
                </c:pt>
                <c:pt idx="99">
                  <c:v>22.17</c:v>
                </c:pt>
                <c:pt idx="100">
                  <c:v>22.99</c:v>
                </c:pt>
                <c:pt idx="101">
                  <c:v>14.08</c:v>
                </c:pt>
                <c:pt idx="102">
                  <c:v>16.649999999999999</c:v>
                </c:pt>
                <c:pt idx="103">
                  <c:v>5.17</c:v>
                </c:pt>
                <c:pt idx="104">
                  <c:v>2.0099999999999998</c:v>
                </c:pt>
                <c:pt idx="105">
                  <c:v>15.04</c:v>
                </c:pt>
                <c:pt idx="106">
                  <c:v>13.27</c:v>
                </c:pt>
                <c:pt idx="107">
                  <c:v>25.37</c:v>
                </c:pt>
                <c:pt idx="108">
                  <c:v>24.65</c:v>
                </c:pt>
                <c:pt idx="109">
                  <c:v>25.74</c:v>
                </c:pt>
                <c:pt idx="110">
                  <c:v>14.45</c:v>
                </c:pt>
                <c:pt idx="111">
                  <c:v>20.52</c:v>
                </c:pt>
                <c:pt idx="112">
                  <c:v>21.13</c:v>
                </c:pt>
                <c:pt idx="113">
                  <c:v>15.43</c:v>
                </c:pt>
                <c:pt idx="114">
                  <c:v>17.38</c:v>
                </c:pt>
                <c:pt idx="115">
                  <c:v>12.46</c:v>
                </c:pt>
                <c:pt idx="116">
                  <c:v>26.95</c:v>
                </c:pt>
                <c:pt idx="117">
                  <c:v>17.87</c:v>
                </c:pt>
                <c:pt idx="118">
                  <c:v>17.55</c:v>
                </c:pt>
                <c:pt idx="119">
                  <c:v>15.6</c:v>
                </c:pt>
                <c:pt idx="120">
                  <c:v>11.79</c:v>
                </c:pt>
                <c:pt idx="121">
                  <c:v>10.81</c:v>
                </c:pt>
                <c:pt idx="122">
                  <c:v>19.52</c:v>
                </c:pt>
                <c:pt idx="123">
                  <c:v>7.95</c:v>
                </c:pt>
                <c:pt idx="124">
                  <c:v>14.61</c:v>
                </c:pt>
                <c:pt idx="125">
                  <c:v>5.95</c:v>
                </c:pt>
                <c:pt idx="126">
                  <c:v>17.8</c:v>
                </c:pt>
                <c:pt idx="127">
                  <c:v>16.8</c:v>
                </c:pt>
                <c:pt idx="128">
                  <c:v>14.55</c:v>
                </c:pt>
                <c:pt idx="129">
                  <c:v>14.54</c:v>
                </c:pt>
                <c:pt idx="130">
                  <c:v>12.56</c:v>
                </c:pt>
                <c:pt idx="131">
                  <c:v>9.52</c:v>
                </c:pt>
                <c:pt idx="132">
                  <c:v>14.58</c:v>
                </c:pt>
                <c:pt idx="133">
                  <c:v>16.77</c:v>
                </c:pt>
                <c:pt idx="134">
                  <c:v>15.12</c:v>
                </c:pt>
                <c:pt idx="135">
                  <c:v>18.89</c:v>
                </c:pt>
                <c:pt idx="136">
                  <c:v>19.18</c:v>
                </c:pt>
                <c:pt idx="137">
                  <c:v>22.89</c:v>
                </c:pt>
                <c:pt idx="138">
                  <c:v>21.61</c:v>
                </c:pt>
                <c:pt idx="139">
                  <c:v>15.8</c:v>
                </c:pt>
                <c:pt idx="140">
                  <c:v>13.05</c:v>
                </c:pt>
                <c:pt idx="141">
                  <c:v>7.65</c:v>
                </c:pt>
                <c:pt idx="142">
                  <c:v>17.350000000000001</c:v>
                </c:pt>
                <c:pt idx="143">
                  <c:v>29.49</c:v>
                </c:pt>
                <c:pt idx="144">
                  <c:v>26.99</c:v>
                </c:pt>
                <c:pt idx="145">
                  <c:v>26.6</c:v>
                </c:pt>
                <c:pt idx="146">
                  <c:v>10.86</c:v>
                </c:pt>
                <c:pt idx="147">
                  <c:v>10.36</c:v>
                </c:pt>
                <c:pt idx="148">
                  <c:v>19.07</c:v>
                </c:pt>
                <c:pt idx="149">
                  <c:v>13.62</c:v>
                </c:pt>
                <c:pt idx="150">
                  <c:v>17.62</c:v>
                </c:pt>
                <c:pt idx="151">
                  <c:v>14.33</c:v>
                </c:pt>
                <c:pt idx="262">
                  <c:v>16.66</c:v>
                </c:pt>
                <c:pt idx="263">
                  <c:v>4.45</c:v>
                </c:pt>
                <c:pt idx="264">
                  <c:v>14.21</c:v>
                </c:pt>
                <c:pt idx="265">
                  <c:v>18.28</c:v>
                </c:pt>
                <c:pt idx="266">
                  <c:v>17.350000000000001</c:v>
                </c:pt>
                <c:pt idx="267">
                  <c:v>17.25</c:v>
                </c:pt>
                <c:pt idx="268">
                  <c:v>17.2</c:v>
                </c:pt>
                <c:pt idx="269">
                  <c:v>16.91</c:v>
                </c:pt>
                <c:pt idx="270">
                  <c:v>16.36</c:v>
                </c:pt>
                <c:pt idx="271">
                  <c:v>13.19</c:v>
                </c:pt>
                <c:pt idx="272">
                  <c:v>3.62</c:v>
                </c:pt>
                <c:pt idx="273">
                  <c:v>12.76</c:v>
                </c:pt>
                <c:pt idx="274">
                  <c:v>12.66</c:v>
                </c:pt>
                <c:pt idx="275">
                  <c:v>7.14</c:v>
                </c:pt>
                <c:pt idx="276">
                  <c:v>11.28</c:v>
                </c:pt>
                <c:pt idx="277">
                  <c:v>9.5299999999999994</c:v>
                </c:pt>
                <c:pt idx="278">
                  <c:v>14.96</c:v>
                </c:pt>
                <c:pt idx="279">
                  <c:v>14.66</c:v>
                </c:pt>
                <c:pt idx="280">
                  <c:v>14.41</c:v>
                </c:pt>
                <c:pt idx="281">
                  <c:v>7.85</c:v>
                </c:pt>
                <c:pt idx="282">
                  <c:v>8.67</c:v>
                </c:pt>
                <c:pt idx="283">
                  <c:v>7.88</c:v>
                </c:pt>
                <c:pt idx="284">
                  <c:v>3.02</c:v>
                </c:pt>
                <c:pt idx="285">
                  <c:v>12.11</c:v>
                </c:pt>
                <c:pt idx="286">
                  <c:v>12.56</c:v>
                </c:pt>
                <c:pt idx="287">
                  <c:v>2.64</c:v>
                </c:pt>
                <c:pt idx="288">
                  <c:v>7.77</c:v>
                </c:pt>
                <c:pt idx="289">
                  <c:v>2.4500000000000002</c:v>
                </c:pt>
                <c:pt idx="290">
                  <c:v>4.7300000000000004</c:v>
                </c:pt>
                <c:pt idx="291">
                  <c:v>5.77</c:v>
                </c:pt>
                <c:pt idx="292">
                  <c:v>6.79</c:v>
                </c:pt>
                <c:pt idx="293">
                  <c:v>4.1500000000000004</c:v>
                </c:pt>
                <c:pt idx="294">
                  <c:v>6.43</c:v>
                </c:pt>
                <c:pt idx="295">
                  <c:v>5.26</c:v>
                </c:pt>
                <c:pt idx="296">
                  <c:v>10.98</c:v>
                </c:pt>
                <c:pt idx="297">
                  <c:v>6.86</c:v>
                </c:pt>
                <c:pt idx="298">
                  <c:v>8.65</c:v>
                </c:pt>
                <c:pt idx="299">
                  <c:v>9.36</c:v>
                </c:pt>
                <c:pt idx="300">
                  <c:v>1.23</c:v>
                </c:pt>
                <c:pt idx="301">
                  <c:v>1.88</c:v>
                </c:pt>
                <c:pt idx="302">
                  <c:v>3.52</c:v>
                </c:pt>
                <c:pt idx="303">
                  <c:v>3.15</c:v>
                </c:pt>
                <c:pt idx="304">
                  <c:v>0.48</c:v>
                </c:pt>
                <c:pt idx="305">
                  <c:v>2.84</c:v>
                </c:pt>
                <c:pt idx="306">
                  <c:v>5.67</c:v>
                </c:pt>
                <c:pt idx="307">
                  <c:v>2.56</c:v>
                </c:pt>
                <c:pt idx="308">
                  <c:v>0.68</c:v>
                </c:pt>
                <c:pt idx="309">
                  <c:v>4.2699999999999996</c:v>
                </c:pt>
                <c:pt idx="310">
                  <c:v>4.13</c:v>
                </c:pt>
                <c:pt idx="311">
                  <c:v>1.82</c:v>
                </c:pt>
                <c:pt idx="312">
                  <c:v>4.01</c:v>
                </c:pt>
                <c:pt idx="313">
                  <c:v>4.5599999999999996</c:v>
                </c:pt>
                <c:pt idx="314">
                  <c:v>3.2</c:v>
                </c:pt>
                <c:pt idx="315">
                  <c:v>2.75</c:v>
                </c:pt>
                <c:pt idx="316">
                  <c:v>3.93</c:v>
                </c:pt>
                <c:pt idx="317">
                  <c:v>2.11</c:v>
                </c:pt>
                <c:pt idx="318">
                  <c:v>3.06</c:v>
                </c:pt>
                <c:pt idx="319">
                  <c:v>1.05</c:v>
                </c:pt>
                <c:pt idx="320">
                  <c:v>0.61</c:v>
                </c:pt>
                <c:pt idx="321">
                  <c:v>2.12</c:v>
                </c:pt>
                <c:pt idx="322">
                  <c:v>1.5</c:v>
                </c:pt>
                <c:pt idx="323">
                  <c:v>1.27</c:v>
                </c:pt>
                <c:pt idx="324">
                  <c:v>3.37</c:v>
                </c:pt>
                <c:pt idx="325">
                  <c:v>4.71</c:v>
                </c:pt>
                <c:pt idx="326">
                  <c:v>5.82</c:v>
                </c:pt>
                <c:pt idx="327">
                  <c:v>0.63</c:v>
                </c:pt>
                <c:pt idx="328">
                  <c:v>0.47</c:v>
                </c:pt>
                <c:pt idx="329">
                  <c:v>0.19</c:v>
                </c:pt>
                <c:pt idx="330">
                  <c:v>0.53</c:v>
                </c:pt>
                <c:pt idx="331">
                  <c:v>0.19</c:v>
                </c:pt>
                <c:pt idx="332">
                  <c:v>2.58</c:v>
                </c:pt>
                <c:pt idx="333">
                  <c:v>0.56000000000000005</c:v>
                </c:pt>
                <c:pt idx="334">
                  <c:v>0.67</c:v>
                </c:pt>
                <c:pt idx="335">
                  <c:v>1.05</c:v>
                </c:pt>
                <c:pt idx="336">
                  <c:v>1.04</c:v>
                </c:pt>
                <c:pt idx="337">
                  <c:v>1.88</c:v>
                </c:pt>
                <c:pt idx="338">
                  <c:v>2.36</c:v>
                </c:pt>
                <c:pt idx="339">
                  <c:v>2.67</c:v>
                </c:pt>
                <c:pt idx="340">
                  <c:v>4.67</c:v>
                </c:pt>
                <c:pt idx="341">
                  <c:v>2.57</c:v>
                </c:pt>
                <c:pt idx="342">
                  <c:v>1.31</c:v>
                </c:pt>
                <c:pt idx="343">
                  <c:v>0.25</c:v>
                </c:pt>
                <c:pt idx="344">
                  <c:v>0.5</c:v>
                </c:pt>
                <c:pt idx="345">
                  <c:v>1.1100000000000001</c:v>
                </c:pt>
                <c:pt idx="346">
                  <c:v>0.6</c:v>
                </c:pt>
                <c:pt idx="347">
                  <c:v>0.68</c:v>
                </c:pt>
                <c:pt idx="348">
                  <c:v>0.18</c:v>
                </c:pt>
                <c:pt idx="349">
                  <c:v>0.68</c:v>
                </c:pt>
                <c:pt idx="350">
                  <c:v>0.16</c:v>
                </c:pt>
                <c:pt idx="351">
                  <c:v>0.16</c:v>
                </c:pt>
                <c:pt idx="352">
                  <c:v>0.08</c:v>
                </c:pt>
                <c:pt idx="353">
                  <c:v>0.2</c:v>
                </c:pt>
                <c:pt idx="354">
                  <c:v>1.47</c:v>
                </c:pt>
                <c:pt idx="355">
                  <c:v>0.22</c:v>
                </c:pt>
                <c:pt idx="356">
                  <c:v>0.25</c:v>
                </c:pt>
                <c:pt idx="357">
                  <c:v>1.1299999999999999</c:v>
                </c:pt>
                <c:pt idx="358">
                  <c:v>0.25</c:v>
                </c:pt>
                <c:pt idx="359">
                  <c:v>0.23</c:v>
                </c:pt>
                <c:pt idx="360">
                  <c:v>0.11</c:v>
                </c:pt>
                <c:pt idx="361">
                  <c:v>0.14000000000000001</c:v>
                </c:pt>
                <c:pt idx="362">
                  <c:v>1.64</c:v>
                </c:pt>
                <c:pt idx="363">
                  <c:v>0.36</c:v>
                </c:pt>
                <c:pt idx="364">
                  <c:v>3.41</c:v>
                </c:pt>
                <c:pt idx="365">
                  <c:v>0.35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72480"/>
        <c:axId val="234374272"/>
      </c:lineChart>
      <c:catAx>
        <c:axId val="23437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3742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37427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37248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2000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Data!$BP$7:$BP$372</c:f>
              <c:numCache>
                <c:formatCode>0.00</c:formatCode>
                <c:ptCount val="366"/>
                <c:pt idx="61">
                  <c:v>0.83</c:v>
                </c:pt>
                <c:pt idx="62">
                  <c:v>1.85</c:v>
                </c:pt>
                <c:pt idx="63">
                  <c:v>1.96</c:v>
                </c:pt>
                <c:pt idx="64">
                  <c:v>3.32</c:v>
                </c:pt>
                <c:pt idx="65">
                  <c:v>2.46</c:v>
                </c:pt>
                <c:pt idx="66">
                  <c:v>13.05</c:v>
                </c:pt>
                <c:pt idx="67">
                  <c:v>22.89</c:v>
                </c:pt>
                <c:pt idx="68">
                  <c:v>8.6999999999999993</c:v>
                </c:pt>
                <c:pt idx="69">
                  <c:v>19.989999999999998</c:v>
                </c:pt>
                <c:pt idx="70">
                  <c:v>17.71</c:v>
                </c:pt>
                <c:pt idx="71">
                  <c:v>18.23</c:v>
                </c:pt>
                <c:pt idx="72">
                  <c:v>21.22</c:v>
                </c:pt>
                <c:pt idx="73">
                  <c:v>5.73</c:v>
                </c:pt>
                <c:pt idx="74">
                  <c:v>24.78</c:v>
                </c:pt>
                <c:pt idx="75">
                  <c:v>8.8000000000000007</c:v>
                </c:pt>
                <c:pt idx="76">
                  <c:v>15.43</c:v>
                </c:pt>
                <c:pt idx="77">
                  <c:v>6.44</c:v>
                </c:pt>
                <c:pt idx="78">
                  <c:v>23.98</c:v>
                </c:pt>
                <c:pt idx="79">
                  <c:v>20.65</c:v>
                </c:pt>
                <c:pt idx="80">
                  <c:v>33.119999999999997</c:v>
                </c:pt>
                <c:pt idx="81">
                  <c:v>8.4700000000000006</c:v>
                </c:pt>
                <c:pt idx="82">
                  <c:v>13.04</c:v>
                </c:pt>
                <c:pt idx="83">
                  <c:v>26.68</c:v>
                </c:pt>
                <c:pt idx="84">
                  <c:v>18.23</c:v>
                </c:pt>
                <c:pt idx="85">
                  <c:v>35.86</c:v>
                </c:pt>
                <c:pt idx="86">
                  <c:v>17.59</c:v>
                </c:pt>
                <c:pt idx="87">
                  <c:v>21.4</c:v>
                </c:pt>
                <c:pt idx="88">
                  <c:v>31.13</c:v>
                </c:pt>
                <c:pt idx="89">
                  <c:v>36.049999999999997</c:v>
                </c:pt>
                <c:pt idx="90">
                  <c:v>27.8</c:v>
                </c:pt>
                <c:pt idx="91">
                  <c:v>12.77</c:v>
                </c:pt>
                <c:pt idx="92">
                  <c:v>37.840000000000003</c:v>
                </c:pt>
                <c:pt idx="93">
                  <c:v>15.41</c:v>
                </c:pt>
                <c:pt idx="94">
                  <c:v>19.91</c:v>
                </c:pt>
                <c:pt idx="95">
                  <c:v>22.31</c:v>
                </c:pt>
                <c:pt idx="96">
                  <c:v>21.07</c:v>
                </c:pt>
                <c:pt idx="97">
                  <c:v>36.69</c:v>
                </c:pt>
                <c:pt idx="98">
                  <c:v>41.55</c:v>
                </c:pt>
                <c:pt idx="99">
                  <c:v>42.43</c:v>
                </c:pt>
                <c:pt idx="100">
                  <c:v>43.76</c:v>
                </c:pt>
                <c:pt idx="101">
                  <c:v>27.42</c:v>
                </c:pt>
                <c:pt idx="102">
                  <c:v>32.4</c:v>
                </c:pt>
                <c:pt idx="103">
                  <c:v>10.7</c:v>
                </c:pt>
                <c:pt idx="104">
                  <c:v>3.85</c:v>
                </c:pt>
                <c:pt idx="105">
                  <c:v>28.52</c:v>
                </c:pt>
                <c:pt idx="106">
                  <c:v>26.29</c:v>
                </c:pt>
                <c:pt idx="107">
                  <c:v>44.24</c:v>
                </c:pt>
                <c:pt idx="108">
                  <c:v>46.82</c:v>
                </c:pt>
                <c:pt idx="109">
                  <c:v>48.95</c:v>
                </c:pt>
                <c:pt idx="110">
                  <c:v>27.85</c:v>
                </c:pt>
                <c:pt idx="111">
                  <c:v>39.46</c:v>
                </c:pt>
                <c:pt idx="112">
                  <c:v>40.130000000000003</c:v>
                </c:pt>
                <c:pt idx="113">
                  <c:v>29.06</c:v>
                </c:pt>
                <c:pt idx="114">
                  <c:v>32.880000000000003</c:v>
                </c:pt>
                <c:pt idx="115">
                  <c:v>24.5</c:v>
                </c:pt>
                <c:pt idx="116">
                  <c:v>51.26</c:v>
                </c:pt>
                <c:pt idx="117">
                  <c:v>34.43</c:v>
                </c:pt>
                <c:pt idx="118">
                  <c:v>33.53</c:v>
                </c:pt>
                <c:pt idx="119">
                  <c:v>30.26</c:v>
                </c:pt>
                <c:pt idx="120">
                  <c:v>23.2</c:v>
                </c:pt>
                <c:pt idx="121">
                  <c:v>21.4</c:v>
                </c:pt>
                <c:pt idx="122">
                  <c:v>37.270000000000003</c:v>
                </c:pt>
                <c:pt idx="123">
                  <c:v>15.64</c:v>
                </c:pt>
                <c:pt idx="124">
                  <c:v>27.98</c:v>
                </c:pt>
                <c:pt idx="125">
                  <c:v>11.79</c:v>
                </c:pt>
                <c:pt idx="126">
                  <c:v>34.22</c:v>
                </c:pt>
                <c:pt idx="127">
                  <c:v>32.08</c:v>
                </c:pt>
                <c:pt idx="128">
                  <c:v>28.11</c:v>
                </c:pt>
                <c:pt idx="129">
                  <c:v>26.92</c:v>
                </c:pt>
                <c:pt idx="130">
                  <c:v>23.24</c:v>
                </c:pt>
                <c:pt idx="131">
                  <c:v>18.61</c:v>
                </c:pt>
                <c:pt idx="132">
                  <c:v>28.38</c:v>
                </c:pt>
                <c:pt idx="133">
                  <c:v>32.4</c:v>
                </c:pt>
                <c:pt idx="134">
                  <c:v>29.45</c:v>
                </c:pt>
                <c:pt idx="135">
                  <c:v>36.869999999999997</c:v>
                </c:pt>
                <c:pt idx="136">
                  <c:v>37.03</c:v>
                </c:pt>
                <c:pt idx="137">
                  <c:v>43.66</c:v>
                </c:pt>
                <c:pt idx="138">
                  <c:v>41.42</c:v>
                </c:pt>
                <c:pt idx="139">
                  <c:v>31.25</c:v>
                </c:pt>
                <c:pt idx="140">
                  <c:v>26.04</c:v>
                </c:pt>
                <c:pt idx="141">
                  <c:v>15.54</c:v>
                </c:pt>
                <c:pt idx="142">
                  <c:v>33.15</c:v>
                </c:pt>
                <c:pt idx="143">
                  <c:v>55.4</c:v>
                </c:pt>
                <c:pt idx="144">
                  <c:v>50.71</c:v>
                </c:pt>
                <c:pt idx="145">
                  <c:v>50.5</c:v>
                </c:pt>
                <c:pt idx="146">
                  <c:v>21.78</c:v>
                </c:pt>
                <c:pt idx="147">
                  <c:v>20.92</c:v>
                </c:pt>
                <c:pt idx="148">
                  <c:v>37</c:v>
                </c:pt>
                <c:pt idx="149">
                  <c:v>26.5</c:v>
                </c:pt>
                <c:pt idx="150">
                  <c:v>34.31</c:v>
                </c:pt>
                <c:pt idx="151">
                  <c:v>27.93</c:v>
                </c:pt>
                <c:pt idx="262">
                  <c:v>33.44</c:v>
                </c:pt>
                <c:pt idx="263">
                  <c:v>9.4600000000000009</c:v>
                </c:pt>
                <c:pt idx="264">
                  <c:v>27.79</c:v>
                </c:pt>
                <c:pt idx="265">
                  <c:v>35.17</c:v>
                </c:pt>
                <c:pt idx="266">
                  <c:v>34.72</c:v>
                </c:pt>
                <c:pt idx="267">
                  <c:v>35.19</c:v>
                </c:pt>
                <c:pt idx="268">
                  <c:v>33.340000000000003</c:v>
                </c:pt>
                <c:pt idx="269">
                  <c:v>34.65</c:v>
                </c:pt>
                <c:pt idx="270">
                  <c:v>33.47</c:v>
                </c:pt>
                <c:pt idx="271">
                  <c:v>27.6</c:v>
                </c:pt>
                <c:pt idx="272">
                  <c:v>8.3699999999999992</c:v>
                </c:pt>
                <c:pt idx="273">
                  <c:v>25.81</c:v>
                </c:pt>
                <c:pt idx="274">
                  <c:v>25.43</c:v>
                </c:pt>
                <c:pt idx="275">
                  <c:v>14.56</c:v>
                </c:pt>
                <c:pt idx="276">
                  <c:v>22.56</c:v>
                </c:pt>
                <c:pt idx="277">
                  <c:v>18.89</c:v>
                </c:pt>
                <c:pt idx="278">
                  <c:v>28.56</c:v>
                </c:pt>
                <c:pt idx="279">
                  <c:v>28.79</c:v>
                </c:pt>
                <c:pt idx="280">
                  <c:v>28.75</c:v>
                </c:pt>
                <c:pt idx="281">
                  <c:v>16.62</c:v>
                </c:pt>
                <c:pt idx="282">
                  <c:v>18.3</c:v>
                </c:pt>
                <c:pt idx="283">
                  <c:v>16.98</c:v>
                </c:pt>
                <c:pt idx="284">
                  <c:v>6.67</c:v>
                </c:pt>
                <c:pt idx="285">
                  <c:v>25.18</c:v>
                </c:pt>
                <c:pt idx="286">
                  <c:v>25.92</c:v>
                </c:pt>
                <c:pt idx="287">
                  <c:v>5.84</c:v>
                </c:pt>
                <c:pt idx="288">
                  <c:v>16.399999999999999</c:v>
                </c:pt>
                <c:pt idx="289">
                  <c:v>5.39</c:v>
                </c:pt>
                <c:pt idx="290">
                  <c:v>9.83</c:v>
                </c:pt>
                <c:pt idx="291">
                  <c:v>11.58</c:v>
                </c:pt>
                <c:pt idx="292">
                  <c:v>13.56</c:v>
                </c:pt>
                <c:pt idx="293">
                  <c:v>8.68</c:v>
                </c:pt>
                <c:pt idx="294">
                  <c:v>12.64</c:v>
                </c:pt>
                <c:pt idx="295">
                  <c:v>10.76</c:v>
                </c:pt>
                <c:pt idx="296">
                  <c:v>21.29</c:v>
                </c:pt>
                <c:pt idx="297">
                  <c:v>13.57</c:v>
                </c:pt>
                <c:pt idx="298">
                  <c:v>16.63</c:v>
                </c:pt>
                <c:pt idx="299">
                  <c:v>18.27</c:v>
                </c:pt>
                <c:pt idx="300">
                  <c:v>2.69</c:v>
                </c:pt>
                <c:pt idx="301">
                  <c:v>4.12</c:v>
                </c:pt>
                <c:pt idx="302">
                  <c:v>7.54</c:v>
                </c:pt>
                <c:pt idx="303">
                  <c:v>7.8</c:v>
                </c:pt>
                <c:pt idx="304">
                  <c:v>1.32</c:v>
                </c:pt>
                <c:pt idx="305">
                  <c:v>3.25</c:v>
                </c:pt>
                <c:pt idx="306">
                  <c:v>7.58</c:v>
                </c:pt>
                <c:pt idx="307">
                  <c:v>5.35</c:v>
                </c:pt>
                <c:pt idx="308">
                  <c:v>1.54</c:v>
                </c:pt>
                <c:pt idx="309">
                  <c:v>10.27</c:v>
                </c:pt>
                <c:pt idx="310">
                  <c:v>9.0399999999999991</c:v>
                </c:pt>
                <c:pt idx="311">
                  <c:v>3.73</c:v>
                </c:pt>
                <c:pt idx="312">
                  <c:v>7.83</c:v>
                </c:pt>
                <c:pt idx="313">
                  <c:v>8.7899999999999991</c:v>
                </c:pt>
                <c:pt idx="314">
                  <c:v>6.29</c:v>
                </c:pt>
                <c:pt idx="315">
                  <c:v>5.44</c:v>
                </c:pt>
                <c:pt idx="316">
                  <c:v>8.17</c:v>
                </c:pt>
                <c:pt idx="317">
                  <c:v>4.55</c:v>
                </c:pt>
                <c:pt idx="318">
                  <c:v>6.54</c:v>
                </c:pt>
                <c:pt idx="319">
                  <c:v>2.2599999999999998</c:v>
                </c:pt>
                <c:pt idx="320">
                  <c:v>1.07</c:v>
                </c:pt>
                <c:pt idx="321">
                  <c:v>3.24</c:v>
                </c:pt>
                <c:pt idx="322">
                  <c:v>2.71</c:v>
                </c:pt>
                <c:pt idx="323">
                  <c:v>2.16</c:v>
                </c:pt>
                <c:pt idx="324">
                  <c:v>4.5599999999999996</c:v>
                </c:pt>
                <c:pt idx="325">
                  <c:v>7.82</c:v>
                </c:pt>
                <c:pt idx="326">
                  <c:v>11.4</c:v>
                </c:pt>
                <c:pt idx="327">
                  <c:v>1.19</c:v>
                </c:pt>
                <c:pt idx="328">
                  <c:v>0.95</c:v>
                </c:pt>
                <c:pt idx="329">
                  <c:v>0.38</c:v>
                </c:pt>
                <c:pt idx="330">
                  <c:v>0.96</c:v>
                </c:pt>
                <c:pt idx="331">
                  <c:v>0.27</c:v>
                </c:pt>
                <c:pt idx="332">
                  <c:v>3.77</c:v>
                </c:pt>
                <c:pt idx="333">
                  <c:v>0.95</c:v>
                </c:pt>
                <c:pt idx="334">
                  <c:v>1.17</c:v>
                </c:pt>
                <c:pt idx="335">
                  <c:v>1.69</c:v>
                </c:pt>
                <c:pt idx="336">
                  <c:v>1.42</c:v>
                </c:pt>
                <c:pt idx="337">
                  <c:v>2.2799999999999998</c:v>
                </c:pt>
                <c:pt idx="338">
                  <c:v>2.19</c:v>
                </c:pt>
                <c:pt idx="339">
                  <c:v>2.2400000000000002</c:v>
                </c:pt>
                <c:pt idx="340">
                  <c:v>9.43</c:v>
                </c:pt>
                <c:pt idx="341">
                  <c:v>4.7699999999999996</c:v>
                </c:pt>
                <c:pt idx="342">
                  <c:v>3.23</c:v>
                </c:pt>
                <c:pt idx="343">
                  <c:v>0.42</c:v>
                </c:pt>
                <c:pt idx="344">
                  <c:v>0.92</c:v>
                </c:pt>
                <c:pt idx="345">
                  <c:v>1.87</c:v>
                </c:pt>
                <c:pt idx="346">
                  <c:v>1.0900000000000001</c:v>
                </c:pt>
                <c:pt idx="347">
                  <c:v>1.33</c:v>
                </c:pt>
                <c:pt idx="348">
                  <c:v>0.34</c:v>
                </c:pt>
                <c:pt idx="349">
                  <c:v>1.26</c:v>
                </c:pt>
                <c:pt idx="350">
                  <c:v>0.33</c:v>
                </c:pt>
                <c:pt idx="351">
                  <c:v>0.36</c:v>
                </c:pt>
                <c:pt idx="352">
                  <c:v>0.14000000000000001</c:v>
                </c:pt>
                <c:pt idx="353">
                  <c:v>0.41</c:v>
                </c:pt>
                <c:pt idx="354">
                  <c:v>2.2000000000000002</c:v>
                </c:pt>
                <c:pt idx="355">
                  <c:v>0.48</c:v>
                </c:pt>
                <c:pt idx="356">
                  <c:v>0.52</c:v>
                </c:pt>
                <c:pt idx="357">
                  <c:v>1.66</c:v>
                </c:pt>
                <c:pt idx="358">
                  <c:v>0.52</c:v>
                </c:pt>
                <c:pt idx="359">
                  <c:v>0.46</c:v>
                </c:pt>
                <c:pt idx="360">
                  <c:v>0.21</c:v>
                </c:pt>
                <c:pt idx="361">
                  <c:v>0.26</c:v>
                </c:pt>
                <c:pt idx="362">
                  <c:v>2.36</c:v>
                </c:pt>
                <c:pt idx="363">
                  <c:v>0.72</c:v>
                </c:pt>
                <c:pt idx="364">
                  <c:v>4.28</c:v>
                </c:pt>
                <c:pt idx="365">
                  <c:v>0.81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Data!$BN$7:$BN$372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  <c:pt idx="365">
                  <c:v>9.2919999999999998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Data!$D$7:$D$372</c:f>
              <c:numCache>
                <c:formatCode>General</c:formatCode>
                <c:ptCount val="366"/>
                <c:pt idx="61">
                  <c:v>0.75700000000000001</c:v>
                </c:pt>
                <c:pt idx="62">
                  <c:v>1.6859999999999999</c:v>
                </c:pt>
                <c:pt idx="63">
                  <c:v>1.784</c:v>
                </c:pt>
                <c:pt idx="64">
                  <c:v>3.02</c:v>
                </c:pt>
                <c:pt idx="65">
                  <c:v>2.2349999999999999</c:v>
                </c:pt>
                <c:pt idx="66">
                  <c:v>11.86</c:v>
                </c:pt>
                <c:pt idx="67">
                  <c:v>20.81</c:v>
                </c:pt>
                <c:pt idx="68">
                  <c:v>7.91</c:v>
                </c:pt>
                <c:pt idx="69">
                  <c:v>18.170000000000002</c:v>
                </c:pt>
                <c:pt idx="70">
                  <c:v>16.100000000000001</c:v>
                </c:pt>
                <c:pt idx="71">
                  <c:v>16.57</c:v>
                </c:pt>
                <c:pt idx="72">
                  <c:v>19.29</c:v>
                </c:pt>
                <c:pt idx="73">
                  <c:v>5.2130000000000001</c:v>
                </c:pt>
                <c:pt idx="74">
                  <c:v>22.53</c:v>
                </c:pt>
                <c:pt idx="75">
                  <c:v>8</c:v>
                </c:pt>
                <c:pt idx="76">
                  <c:v>14.03</c:v>
                </c:pt>
                <c:pt idx="77">
                  <c:v>5.8540000000000001</c:v>
                </c:pt>
                <c:pt idx="78">
                  <c:v>21.8</c:v>
                </c:pt>
                <c:pt idx="79">
                  <c:v>18.77</c:v>
                </c:pt>
                <c:pt idx="80">
                  <c:v>30.11</c:v>
                </c:pt>
                <c:pt idx="81">
                  <c:v>7.7</c:v>
                </c:pt>
                <c:pt idx="82">
                  <c:v>11.85</c:v>
                </c:pt>
                <c:pt idx="83">
                  <c:v>24.25</c:v>
                </c:pt>
                <c:pt idx="84">
                  <c:v>16.57</c:v>
                </c:pt>
                <c:pt idx="85">
                  <c:v>32.6</c:v>
                </c:pt>
                <c:pt idx="86">
                  <c:v>15.99</c:v>
                </c:pt>
                <c:pt idx="87">
                  <c:v>19.45</c:v>
                </c:pt>
                <c:pt idx="88">
                  <c:v>28.3</c:v>
                </c:pt>
                <c:pt idx="89">
                  <c:v>32.770000000000003</c:v>
                </c:pt>
                <c:pt idx="90">
                  <c:v>25.27</c:v>
                </c:pt>
                <c:pt idx="91">
                  <c:v>11.61</c:v>
                </c:pt>
                <c:pt idx="92">
                  <c:v>34.4</c:v>
                </c:pt>
                <c:pt idx="93">
                  <c:v>14.01</c:v>
                </c:pt>
                <c:pt idx="94">
                  <c:v>18.100000000000001</c:v>
                </c:pt>
                <c:pt idx="95">
                  <c:v>20.28</c:v>
                </c:pt>
                <c:pt idx="96">
                  <c:v>19.149999999999999</c:v>
                </c:pt>
                <c:pt idx="97">
                  <c:v>33.35</c:v>
                </c:pt>
                <c:pt idx="98">
                  <c:v>37.770000000000003</c:v>
                </c:pt>
                <c:pt idx="99">
                  <c:v>38.57</c:v>
                </c:pt>
                <c:pt idx="100">
                  <c:v>39.78</c:v>
                </c:pt>
                <c:pt idx="101">
                  <c:v>24.93</c:v>
                </c:pt>
                <c:pt idx="102">
                  <c:v>29.45</c:v>
                </c:pt>
                <c:pt idx="103">
                  <c:v>9.73</c:v>
                </c:pt>
                <c:pt idx="104">
                  <c:v>3.496</c:v>
                </c:pt>
                <c:pt idx="105">
                  <c:v>25.93</c:v>
                </c:pt>
                <c:pt idx="106">
                  <c:v>23.9</c:v>
                </c:pt>
                <c:pt idx="107">
                  <c:v>40.22</c:v>
                </c:pt>
                <c:pt idx="108">
                  <c:v>42.56</c:v>
                </c:pt>
                <c:pt idx="109">
                  <c:v>44.5</c:v>
                </c:pt>
                <c:pt idx="110">
                  <c:v>25.32</c:v>
                </c:pt>
                <c:pt idx="111">
                  <c:v>35.869999999999997</c:v>
                </c:pt>
                <c:pt idx="112">
                  <c:v>36.479999999999997</c:v>
                </c:pt>
                <c:pt idx="113">
                  <c:v>26.42</c:v>
                </c:pt>
                <c:pt idx="114">
                  <c:v>29.89</c:v>
                </c:pt>
                <c:pt idx="115">
                  <c:v>22.27</c:v>
                </c:pt>
                <c:pt idx="116">
                  <c:v>46.6</c:v>
                </c:pt>
                <c:pt idx="117">
                  <c:v>31.3</c:v>
                </c:pt>
                <c:pt idx="118">
                  <c:v>30.48</c:v>
                </c:pt>
                <c:pt idx="119">
                  <c:v>27.51</c:v>
                </c:pt>
                <c:pt idx="120">
                  <c:v>21.09</c:v>
                </c:pt>
                <c:pt idx="121">
                  <c:v>19.45</c:v>
                </c:pt>
                <c:pt idx="122">
                  <c:v>33.880000000000003</c:v>
                </c:pt>
                <c:pt idx="123">
                  <c:v>14.22</c:v>
                </c:pt>
                <c:pt idx="124">
                  <c:v>25.44</c:v>
                </c:pt>
                <c:pt idx="125">
                  <c:v>10.72</c:v>
                </c:pt>
                <c:pt idx="126">
                  <c:v>31.11</c:v>
                </c:pt>
                <c:pt idx="127">
                  <c:v>29.16</c:v>
                </c:pt>
                <c:pt idx="128">
                  <c:v>25.55</c:v>
                </c:pt>
                <c:pt idx="129">
                  <c:v>24.47</c:v>
                </c:pt>
                <c:pt idx="130">
                  <c:v>21.13</c:v>
                </c:pt>
                <c:pt idx="131">
                  <c:v>16.920000000000002</c:v>
                </c:pt>
                <c:pt idx="132">
                  <c:v>25.8</c:v>
                </c:pt>
                <c:pt idx="133">
                  <c:v>29.45</c:v>
                </c:pt>
                <c:pt idx="134">
                  <c:v>26.77</c:v>
                </c:pt>
                <c:pt idx="135">
                  <c:v>33.520000000000003</c:v>
                </c:pt>
                <c:pt idx="136">
                  <c:v>33.659999999999997</c:v>
                </c:pt>
                <c:pt idx="137">
                  <c:v>39.69</c:v>
                </c:pt>
                <c:pt idx="138">
                  <c:v>37.65</c:v>
                </c:pt>
                <c:pt idx="139">
                  <c:v>28.41</c:v>
                </c:pt>
                <c:pt idx="140">
                  <c:v>23.67</c:v>
                </c:pt>
                <c:pt idx="141">
                  <c:v>14.13</c:v>
                </c:pt>
                <c:pt idx="142">
                  <c:v>30.14</c:v>
                </c:pt>
                <c:pt idx="143">
                  <c:v>50.36</c:v>
                </c:pt>
                <c:pt idx="144">
                  <c:v>46.1</c:v>
                </c:pt>
                <c:pt idx="145">
                  <c:v>45.91</c:v>
                </c:pt>
                <c:pt idx="146">
                  <c:v>19.8</c:v>
                </c:pt>
                <c:pt idx="147">
                  <c:v>19.02</c:v>
                </c:pt>
                <c:pt idx="148">
                  <c:v>33.64</c:v>
                </c:pt>
                <c:pt idx="149">
                  <c:v>24.09</c:v>
                </c:pt>
                <c:pt idx="150">
                  <c:v>31.19</c:v>
                </c:pt>
                <c:pt idx="151">
                  <c:v>25.39</c:v>
                </c:pt>
                <c:pt idx="262">
                  <c:v>30.4</c:v>
                </c:pt>
                <c:pt idx="263">
                  <c:v>8.6</c:v>
                </c:pt>
                <c:pt idx="264">
                  <c:v>25.26</c:v>
                </c:pt>
                <c:pt idx="265">
                  <c:v>31.97</c:v>
                </c:pt>
                <c:pt idx="266">
                  <c:v>31.56</c:v>
                </c:pt>
                <c:pt idx="267">
                  <c:v>31.99</c:v>
                </c:pt>
                <c:pt idx="268">
                  <c:v>30.31</c:v>
                </c:pt>
                <c:pt idx="269">
                  <c:v>31.5</c:v>
                </c:pt>
                <c:pt idx="270">
                  <c:v>30.43</c:v>
                </c:pt>
                <c:pt idx="271">
                  <c:v>25.09</c:v>
                </c:pt>
                <c:pt idx="272">
                  <c:v>7.61</c:v>
                </c:pt>
                <c:pt idx="273">
                  <c:v>23.46</c:v>
                </c:pt>
                <c:pt idx="274">
                  <c:v>23.12</c:v>
                </c:pt>
                <c:pt idx="275">
                  <c:v>13.24</c:v>
                </c:pt>
                <c:pt idx="276">
                  <c:v>20.51</c:v>
                </c:pt>
                <c:pt idx="277">
                  <c:v>17.170000000000002</c:v>
                </c:pt>
                <c:pt idx="278">
                  <c:v>25.96</c:v>
                </c:pt>
                <c:pt idx="279">
                  <c:v>26.17</c:v>
                </c:pt>
                <c:pt idx="280">
                  <c:v>26.14</c:v>
                </c:pt>
                <c:pt idx="281">
                  <c:v>15.11</c:v>
                </c:pt>
                <c:pt idx="282">
                  <c:v>16.64</c:v>
                </c:pt>
                <c:pt idx="283">
                  <c:v>15.44</c:v>
                </c:pt>
                <c:pt idx="284">
                  <c:v>6.06</c:v>
                </c:pt>
                <c:pt idx="285">
                  <c:v>22.89</c:v>
                </c:pt>
                <c:pt idx="286">
                  <c:v>23.56</c:v>
                </c:pt>
                <c:pt idx="287">
                  <c:v>5.3109999999999999</c:v>
                </c:pt>
                <c:pt idx="288">
                  <c:v>14.91</c:v>
                </c:pt>
                <c:pt idx="289">
                  <c:v>4.8979999999999997</c:v>
                </c:pt>
                <c:pt idx="290">
                  <c:v>8.94</c:v>
                </c:pt>
                <c:pt idx="291">
                  <c:v>10.53</c:v>
                </c:pt>
                <c:pt idx="292">
                  <c:v>12.33</c:v>
                </c:pt>
                <c:pt idx="293">
                  <c:v>7.89</c:v>
                </c:pt>
                <c:pt idx="294">
                  <c:v>11.49</c:v>
                </c:pt>
                <c:pt idx="295">
                  <c:v>9.7799999999999994</c:v>
                </c:pt>
                <c:pt idx="296">
                  <c:v>19.350000000000001</c:v>
                </c:pt>
                <c:pt idx="297">
                  <c:v>12.34</c:v>
                </c:pt>
                <c:pt idx="298">
                  <c:v>15.12</c:v>
                </c:pt>
                <c:pt idx="299">
                  <c:v>16.61</c:v>
                </c:pt>
                <c:pt idx="300">
                  <c:v>2.4489999999999998</c:v>
                </c:pt>
                <c:pt idx="301">
                  <c:v>3.7490000000000001</c:v>
                </c:pt>
                <c:pt idx="302">
                  <c:v>6.8529999999999998</c:v>
                </c:pt>
                <c:pt idx="303">
                  <c:v>7.09</c:v>
                </c:pt>
                <c:pt idx="304">
                  <c:v>1.2030000000000001</c:v>
                </c:pt>
                <c:pt idx="305">
                  <c:v>2.9580000000000002</c:v>
                </c:pt>
                <c:pt idx="306">
                  <c:v>6.8940000000000001</c:v>
                </c:pt>
                <c:pt idx="307">
                  <c:v>4.8650000000000002</c:v>
                </c:pt>
                <c:pt idx="308">
                  <c:v>1.3959999999999999</c:v>
                </c:pt>
                <c:pt idx="309">
                  <c:v>9.34</c:v>
                </c:pt>
                <c:pt idx="310">
                  <c:v>8.2200000000000006</c:v>
                </c:pt>
                <c:pt idx="311">
                  <c:v>3.391</c:v>
                </c:pt>
                <c:pt idx="312">
                  <c:v>7.12</c:v>
                </c:pt>
                <c:pt idx="313">
                  <c:v>7.99</c:v>
                </c:pt>
                <c:pt idx="314">
                  <c:v>5.7169999999999996</c:v>
                </c:pt>
                <c:pt idx="315">
                  <c:v>4.9409999999999998</c:v>
                </c:pt>
                <c:pt idx="316">
                  <c:v>7.43</c:v>
                </c:pt>
                <c:pt idx="317">
                  <c:v>4.133</c:v>
                </c:pt>
                <c:pt idx="318">
                  <c:v>5.944</c:v>
                </c:pt>
                <c:pt idx="319">
                  <c:v>2.0550000000000002</c:v>
                </c:pt>
                <c:pt idx="320">
                  <c:v>0.97499999999999998</c:v>
                </c:pt>
                <c:pt idx="321">
                  <c:v>2.9489999999999998</c:v>
                </c:pt>
                <c:pt idx="322">
                  <c:v>2.464</c:v>
                </c:pt>
                <c:pt idx="323">
                  <c:v>1.9630000000000001</c:v>
                </c:pt>
                <c:pt idx="324">
                  <c:v>4.1479999999999997</c:v>
                </c:pt>
                <c:pt idx="325">
                  <c:v>7.11</c:v>
                </c:pt>
                <c:pt idx="326">
                  <c:v>10.36</c:v>
                </c:pt>
                <c:pt idx="327">
                  <c:v>1.08</c:v>
                </c:pt>
                <c:pt idx="328">
                  <c:v>0.86799999999999999</c:v>
                </c:pt>
                <c:pt idx="329">
                  <c:v>0.34699999999999998</c:v>
                </c:pt>
                <c:pt idx="330">
                  <c:v>0.874</c:v>
                </c:pt>
                <c:pt idx="331">
                  <c:v>0.24399999999999999</c:v>
                </c:pt>
                <c:pt idx="332">
                  <c:v>3.431</c:v>
                </c:pt>
                <c:pt idx="333">
                  <c:v>0.86499999999999999</c:v>
                </c:pt>
                <c:pt idx="334">
                  <c:v>1.0629999999999999</c:v>
                </c:pt>
                <c:pt idx="335">
                  <c:v>1.536</c:v>
                </c:pt>
                <c:pt idx="336">
                  <c:v>1.2869999999999999</c:v>
                </c:pt>
                <c:pt idx="337">
                  <c:v>2.0750000000000002</c:v>
                </c:pt>
                <c:pt idx="338">
                  <c:v>1.9910000000000001</c:v>
                </c:pt>
                <c:pt idx="339">
                  <c:v>2.0390000000000001</c:v>
                </c:pt>
                <c:pt idx="340">
                  <c:v>5.5640000000000001</c:v>
                </c:pt>
                <c:pt idx="341">
                  <c:v>4.3390000000000004</c:v>
                </c:pt>
                <c:pt idx="342">
                  <c:v>2.9350000000000001</c:v>
                </c:pt>
                <c:pt idx="343">
                  <c:v>0.378</c:v>
                </c:pt>
                <c:pt idx="344">
                  <c:v>0.83799999999999997</c:v>
                </c:pt>
                <c:pt idx="345">
                  <c:v>1.7010000000000001</c:v>
                </c:pt>
                <c:pt idx="346">
                  <c:v>0.99099999999999999</c:v>
                </c:pt>
                <c:pt idx="347">
                  <c:v>1.2090000000000001</c:v>
                </c:pt>
                <c:pt idx="348">
                  <c:v>0.308</c:v>
                </c:pt>
                <c:pt idx="349">
                  <c:v>1.1479999999999999</c:v>
                </c:pt>
                <c:pt idx="350">
                  <c:v>0.30299999999999999</c:v>
                </c:pt>
                <c:pt idx="351">
                  <c:v>0.32700000000000001</c:v>
                </c:pt>
                <c:pt idx="352">
                  <c:v>0.126</c:v>
                </c:pt>
                <c:pt idx="353">
                  <c:v>0.372</c:v>
                </c:pt>
                <c:pt idx="354">
                  <c:v>1.9970000000000001</c:v>
                </c:pt>
                <c:pt idx="355">
                  <c:v>0.432</c:v>
                </c:pt>
                <c:pt idx="356">
                  <c:v>0.47399999999999998</c:v>
                </c:pt>
                <c:pt idx="357">
                  <c:v>1.5069999999999999</c:v>
                </c:pt>
                <c:pt idx="358">
                  <c:v>0.47099999999999997</c:v>
                </c:pt>
                <c:pt idx="359">
                  <c:v>0.41899999999999998</c:v>
                </c:pt>
                <c:pt idx="360">
                  <c:v>0.19</c:v>
                </c:pt>
                <c:pt idx="361">
                  <c:v>0.23799999999999999</c:v>
                </c:pt>
                <c:pt idx="362">
                  <c:v>2.149</c:v>
                </c:pt>
                <c:pt idx="363">
                  <c:v>0.65100000000000002</c:v>
                </c:pt>
                <c:pt idx="364">
                  <c:v>3.8919999999999999</c:v>
                </c:pt>
                <c:pt idx="365">
                  <c:v>0.73599999999999999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97056"/>
        <c:axId val="234402944"/>
      </c:lineChart>
      <c:catAx>
        <c:axId val="2343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40294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402944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397056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Minimum Temperatures - 6 m</a:t>
            </a:r>
          </a:p>
        </c:rich>
      </c:tx>
      <c:layout>
        <c:manualLayout>
          <c:xMode val="edge"/>
          <c:yMode val="edge"/>
          <c:x val="0.152561247216035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Data!$R$7:$R$372</c:f>
              <c:numCache>
                <c:formatCode>General</c:formatCode>
                <c:ptCount val="366"/>
                <c:pt idx="0">
                  <c:v>-6.8</c:v>
                </c:pt>
                <c:pt idx="1">
                  <c:v>-5</c:v>
                </c:pt>
                <c:pt idx="2">
                  <c:v>-5.4</c:v>
                </c:pt>
                <c:pt idx="3">
                  <c:v>-5.2</c:v>
                </c:pt>
                <c:pt idx="4">
                  <c:v>-5</c:v>
                </c:pt>
                <c:pt idx="5">
                  <c:v>-5.8</c:v>
                </c:pt>
                <c:pt idx="6">
                  <c:v>-4.8</c:v>
                </c:pt>
                <c:pt idx="7">
                  <c:v>-5.2</c:v>
                </c:pt>
                <c:pt idx="8">
                  <c:v>-4.8</c:v>
                </c:pt>
                <c:pt idx="9">
                  <c:v>-5.6</c:v>
                </c:pt>
                <c:pt idx="10">
                  <c:v>-7.2</c:v>
                </c:pt>
                <c:pt idx="11">
                  <c:v>-6.3</c:v>
                </c:pt>
                <c:pt idx="12">
                  <c:v>-5.4</c:v>
                </c:pt>
                <c:pt idx="13">
                  <c:v>-6.5</c:v>
                </c:pt>
                <c:pt idx="14">
                  <c:v>-5.5</c:v>
                </c:pt>
                <c:pt idx="15">
                  <c:v>-7</c:v>
                </c:pt>
                <c:pt idx="16">
                  <c:v>-5.0999999999999996</c:v>
                </c:pt>
                <c:pt idx="17">
                  <c:v>-5.2</c:v>
                </c:pt>
                <c:pt idx="18">
                  <c:v>-8.1</c:v>
                </c:pt>
                <c:pt idx="19">
                  <c:v>-11.4</c:v>
                </c:pt>
                <c:pt idx="20">
                  <c:v>-7.1</c:v>
                </c:pt>
                <c:pt idx="21">
                  <c:v>-5.6</c:v>
                </c:pt>
                <c:pt idx="22">
                  <c:v>-5.3</c:v>
                </c:pt>
                <c:pt idx="23">
                  <c:v>-5.8</c:v>
                </c:pt>
                <c:pt idx="24">
                  <c:v>-7.6</c:v>
                </c:pt>
                <c:pt idx="25">
                  <c:v>-5.7</c:v>
                </c:pt>
                <c:pt idx="26">
                  <c:v>-4.3</c:v>
                </c:pt>
                <c:pt idx="27">
                  <c:v>-5.2</c:v>
                </c:pt>
                <c:pt idx="28">
                  <c:v>-4.5999999999999996</c:v>
                </c:pt>
                <c:pt idx="29">
                  <c:v>-6.7</c:v>
                </c:pt>
                <c:pt idx="30">
                  <c:v>-4.9000000000000004</c:v>
                </c:pt>
                <c:pt idx="31">
                  <c:v>-5</c:v>
                </c:pt>
                <c:pt idx="32">
                  <c:v>-4.0999999999999996</c:v>
                </c:pt>
                <c:pt idx="33">
                  <c:v>-2.8</c:v>
                </c:pt>
                <c:pt idx="34">
                  <c:v>-6.1</c:v>
                </c:pt>
                <c:pt idx="35">
                  <c:v>-3.3</c:v>
                </c:pt>
                <c:pt idx="36">
                  <c:v>-3.7</c:v>
                </c:pt>
                <c:pt idx="37">
                  <c:v>-3.3</c:v>
                </c:pt>
                <c:pt idx="38">
                  <c:v>-3.5</c:v>
                </c:pt>
                <c:pt idx="39">
                  <c:v>-4.5999999999999996</c:v>
                </c:pt>
                <c:pt idx="40">
                  <c:v>-3.2</c:v>
                </c:pt>
                <c:pt idx="41">
                  <c:v>-3.6</c:v>
                </c:pt>
                <c:pt idx="42">
                  <c:v>-3.4</c:v>
                </c:pt>
                <c:pt idx="43">
                  <c:v>-2.2000000000000002</c:v>
                </c:pt>
                <c:pt idx="44">
                  <c:v>-7.9</c:v>
                </c:pt>
                <c:pt idx="45">
                  <c:v>-4.5999999999999996</c:v>
                </c:pt>
                <c:pt idx="46">
                  <c:v>-3.7</c:v>
                </c:pt>
                <c:pt idx="47">
                  <c:v>-4.0999999999999996</c:v>
                </c:pt>
                <c:pt idx="48">
                  <c:v>-3.7</c:v>
                </c:pt>
                <c:pt idx="49">
                  <c:v>-2.4</c:v>
                </c:pt>
                <c:pt idx="50">
                  <c:v>-0.5</c:v>
                </c:pt>
                <c:pt idx="51">
                  <c:v>-4.4000000000000004</c:v>
                </c:pt>
                <c:pt idx="52">
                  <c:v>-3.5</c:v>
                </c:pt>
                <c:pt idx="53">
                  <c:v>-1.2</c:v>
                </c:pt>
                <c:pt idx="54">
                  <c:v>1.2</c:v>
                </c:pt>
                <c:pt idx="55">
                  <c:v>0.8</c:v>
                </c:pt>
                <c:pt idx="56">
                  <c:v>-1.2</c:v>
                </c:pt>
                <c:pt idx="57">
                  <c:v>-3.9</c:v>
                </c:pt>
                <c:pt idx="58">
                  <c:v>-0.5</c:v>
                </c:pt>
                <c:pt idx="59">
                  <c:v>-1.6</c:v>
                </c:pt>
                <c:pt idx="60">
                  <c:v>-0.7</c:v>
                </c:pt>
                <c:pt idx="61">
                  <c:v>-0.373</c:v>
                </c:pt>
                <c:pt idx="62">
                  <c:v>-0.29599999999999999</c:v>
                </c:pt>
                <c:pt idx="63">
                  <c:v>-1.2370000000000001</c:v>
                </c:pt>
                <c:pt idx="64">
                  <c:v>-1.617</c:v>
                </c:pt>
                <c:pt idx="65">
                  <c:v>-4.3099999999999996</c:v>
                </c:pt>
                <c:pt idx="66">
                  <c:v>9.4E-2</c:v>
                </c:pt>
                <c:pt idx="67">
                  <c:v>3.3860000000000001</c:v>
                </c:pt>
                <c:pt idx="68">
                  <c:v>0.88200000000000001</c:v>
                </c:pt>
                <c:pt idx="69">
                  <c:v>3.206</c:v>
                </c:pt>
                <c:pt idx="70">
                  <c:v>0.83099999999999996</c:v>
                </c:pt>
                <c:pt idx="71">
                  <c:v>0.78900000000000003</c:v>
                </c:pt>
                <c:pt idx="72">
                  <c:v>3.2949999999999999</c:v>
                </c:pt>
                <c:pt idx="73">
                  <c:v>-1.6459999999999999</c:v>
                </c:pt>
                <c:pt idx="74">
                  <c:v>-0.48899999999999999</c:v>
                </c:pt>
                <c:pt idx="75">
                  <c:v>-1.0249999999999999</c:v>
                </c:pt>
                <c:pt idx="76">
                  <c:v>-1.27</c:v>
                </c:pt>
                <c:pt idx="77">
                  <c:v>-1.4490000000000001</c:v>
                </c:pt>
                <c:pt idx="78">
                  <c:v>-2.0990000000000002</c:v>
                </c:pt>
                <c:pt idx="79">
                  <c:v>0.155</c:v>
                </c:pt>
                <c:pt idx="80">
                  <c:v>5.6669999999999998</c:v>
                </c:pt>
                <c:pt idx="81">
                  <c:v>2.4209999999999998</c:v>
                </c:pt>
                <c:pt idx="82">
                  <c:v>-0.69599999999999995</c:v>
                </c:pt>
                <c:pt idx="83">
                  <c:v>2.0289999999999999</c:v>
                </c:pt>
                <c:pt idx="84">
                  <c:v>0.71299999999999997</c:v>
                </c:pt>
                <c:pt idx="85">
                  <c:v>7.08</c:v>
                </c:pt>
                <c:pt idx="86">
                  <c:v>4.3840000000000003</c:v>
                </c:pt>
                <c:pt idx="87">
                  <c:v>2.0859999999999999</c:v>
                </c:pt>
                <c:pt idx="88">
                  <c:v>2.2509999999999999</c:v>
                </c:pt>
                <c:pt idx="89">
                  <c:v>4.4550000000000001</c:v>
                </c:pt>
                <c:pt idx="90">
                  <c:v>6.6660000000000004</c:v>
                </c:pt>
                <c:pt idx="91">
                  <c:v>5.6440000000000001</c:v>
                </c:pt>
                <c:pt idx="92">
                  <c:v>7.93</c:v>
                </c:pt>
                <c:pt idx="93">
                  <c:v>8.91</c:v>
                </c:pt>
                <c:pt idx="94">
                  <c:v>6.0380000000000003</c:v>
                </c:pt>
                <c:pt idx="95">
                  <c:v>0.182</c:v>
                </c:pt>
                <c:pt idx="96">
                  <c:v>-1.3779999999999999</c:v>
                </c:pt>
                <c:pt idx="97">
                  <c:v>4.0659999999999998</c:v>
                </c:pt>
                <c:pt idx="98">
                  <c:v>10.14</c:v>
                </c:pt>
                <c:pt idx="99">
                  <c:v>9.57</c:v>
                </c:pt>
                <c:pt idx="100">
                  <c:v>9.49</c:v>
                </c:pt>
                <c:pt idx="101">
                  <c:v>11.26</c:v>
                </c:pt>
                <c:pt idx="102">
                  <c:v>9.33</c:v>
                </c:pt>
                <c:pt idx="103">
                  <c:v>3.677</c:v>
                </c:pt>
                <c:pt idx="104">
                  <c:v>0.63900000000000001</c:v>
                </c:pt>
                <c:pt idx="105">
                  <c:v>4.2439999999999998</c:v>
                </c:pt>
                <c:pt idx="106">
                  <c:v>5.4790000000000001</c:v>
                </c:pt>
                <c:pt idx="107">
                  <c:v>7.67</c:v>
                </c:pt>
                <c:pt idx="108">
                  <c:v>12.2</c:v>
                </c:pt>
                <c:pt idx="109">
                  <c:v>12.69</c:v>
                </c:pt>
                <c:pt idx="110">
                  <c:v>8.7799999999999994</c:v>
                </c:pt>
                <c:pt idx="111">
                  <c:v>11.99</c:v>
                </c:pt>
                <c:pt idx="112">
                  <c:v>7.72</c:v>
                </c:pt>
                <c:pt idx="113">
                  <c:v>5.7329999999999997</c:v>
                </c:pt>
                <c:pt idx="114">
                  <c:v>3.1429999999999998</c:v>
                </c:pt>
                <c:pt idx="115">
                  <c:v>3.0539999999999998</c:v>
                </c:pt>
                <c:pt idx="116">
                  <c:v>7.57</c:v>
                </c:pt>
                <c:pt idx="117">
                  <c:v>15.87</c:v>
                </c:pt>
                <c:pt idx="118">
                  <c:v>4.55</c:v>
                </c:pt>
                <c:pt idx="119">
                  <c:v>5.9560000000000004</c:v>
                </c:pt>
                <c:pt idx="120">
                  <c:v>9.19</c:v>
                </c:pt>
                <c:pt idx="121">
                  <c:v>7.91</c:v>
                </c:pt>
                <c:pt idx="122">
                  <c:v>11.01</c:v>
                </c:pt>
                <c:pt idx="123">
                  <c:v>5.6669999999999998</c:v>
                </c:pt>
                <c:pt idx="124">
                  <c:v>5.0069999999999997</c:v>
                </c:pt>
                <c:pt idx="125">
                  <c:v>2.7189999999999999</c:v>
                </c:pt>
                <c:pt idx="126">
                  <c:v>5.0970000000000004</c:v>
                </c:pt>
                <c:pt idx="127">
                  <c:v>4.8659999999999997</c:v>
                </c:pt>
                <c:pt idx="128">
                  <c:v>8.64</c:v>
                </c:pt>
                <c:pt idx="129">
                  <c:v>6.1449999999999996</c:v>
                </c:pt>
                <c:pt idx="130">
                  <c:v>2.9870000000000001</c:v>
                </c:pt>
                <c:pt idx="131">
                  <c:v>5.024</c:v>
                </c:pt>
                <c:pt idx="132">
                  <c:v>6.0659999999999998</c:v>
                </c:pt>
                <c:pt idx="133">
                  <c:v>8.5</c:v>
                </c:pt>
                <c:pt idx="134">
                  <c:v>10.54</c:v>
                </c:pt>
                <c:pt idx="135">
                  <c:v>14.4</c:v>
                </c:pt>
                <c:pt idx="136">
                  <c:v>15.86</c:v>
                </c:pt>
                <c:pt idx="137">
                  <c:v>12.23</c:v>
                </c:pt>
                <c:pt idx="138">
                  <c:v>12.13</c:v>
                </c:pt>
                <c:pt idx="139">
                  <c:v>10.25</c:v>
                </c:pt>
                <c:pt idx="140">
                  <c:v>9.6199999999999992</c:v>
                </c:pt>
                <c:pt idx="141">
                  <c:v>11.05</c:v>
                </c:pt>
                <c:pt idx="142">
                  <c:v>8.74</c:v>
                </c:pt>
                <c:pt idx="143">
                  <c:v>8.51</c:v>
                </c:pt>
                <c:pt idx="144">
                  <c:v>9.5</c:v>
                </c:pt>
                <c:pt idx="145">
                  <c:v>11.27</c:v>
                </c:pt>
                <c:pt idx="146">
                  <c:v>8.2100000000000009</c:v>
                </c:pt>
                <c:pt idx="147">
                  <c:v>8.59</c:v>
                </c:pt>
                <c:pt idx="148">
                  <c:v>8.1</c:v>
                </c:pt>
                <c:pt idx="149">
                  <c:v>8.35</c:v>
                </c:pt>
                <c:pt idx="150">
                  <c:v>12.17</c:v>
                </c:pt>
                <c:pt idx="151">
                  <c:v>10.7</c:v>
                </c:pt>
                <c:pt idx="152">
                  <c:v>10.6</c:v>
                </c:pt>
                <c:pt idx="153">
                  <c:v>10.4</c:v>
                </c:pt>
                <c:pt idx="154">
                  <c:v>15.1</c:v>
                </c:pt>
                <c:pt idx="155">
                  <c:v>16.8</c:v>
                </c:pt>
                <c:pt idx="156">
                  <c:v>14.2</c:v>
                </c:pt>
                <c:pt idx="157">
                  <c:v>12</c:v>
                </c:pt>
                <c:pt idx="158">
                  <c:v>12.9</c:v>
                </c:pt>
                <c:pt idx="159">
                  <c:v>9.9</c:v>
                </c:pt>
                <c:pt idx="160">
                  <c:v>11.3</c:v>
                </c:pt>
                <c:pt idx="161">
                  <c:v>7.4</c:v>
                </c:pt>
                <c:pt idx="162">
                  <c:v>9.8000000000000007</c:v>
                </c:pt>
                <c:pt idx="163">
                  <c:v>6.3</c:v>
                </c:pt>
                <c:pt idx="164">
                  <c:v>14.5</c:v>
                </c:pt>
                <c:pt idx="165">
                  <c:v>10</c:v>
                </c:pt>
                <c:pt idx="166">
                  <c:v>9.5</c:v>
                </c:pt>
                <c:pt idx="167">
                  <c:v>15.1</c:v>
                </c:pt>
                <c:pt idx="168">
                  <c:v>15.8</c:v>
                </c:pt>
                <c:pt idx="169">
                  <c:v>11.3</c:v>
                </c:pt>
                <c:pt idx="170">
                  <c:v>13.4</c:v>
                </c:pt>
                <c:pt idx="171">
                  <c:v>13.7</c:v>
                </c:pt>
                <c:pt idx="172">
                  <c:v>13.4</c:v>
                </c:pt>
                <c:pt idx="173">
                  <c:v>13.5</c:v>
                </c:pt>
                <c:pt idx="174">
                  <c:v>16.3</c:v>
                </c:pt>
                <c:pt idx="175">
                  <c:v>12.7</c:v>
                </c:pt>
                <c:pt idx="176">
                  <c:v>17.8</c:v>
                </c:pt>
                <c:pt idx="177">
                  <c:v>20</c:v>
                </c:pt>
                <c:pt idx="178">
                  <c:v>22</c:v>
                </c:pt>
                <c:pt idx="179">
                  <c:v>21.7</c:v>
                </c:pt>
                <c:pt idx="180">
                  <c:v>19</c:v>
                </c:pt>
                <c:pt idx="181">
                  <c:v>17.8</c:v>
                </c:pt>
                <c:pt idx="182">
                  <c:v>14.6</c:v>
                </c:pt>
                <c:pt idx="183">
                  <c:v>9.8000000000000007</c:v>
                </c:pt>
                <c:pt idx="184">
                  <c:v>13.8</c:v>
                </c:pt>
                <c:pt idx="185">
                  <c:v>6.5</c:v>
                </c:pt>
                <c:pt idx="186">
                  <c:v>12.4</c:v>
                </c:pt>
                <c:pt idx="187">
                  <c:v>14.7</c:v>
                </c:pt>
                <c:pt idx="188">
                  <c:v>15.6</c:v>
                </c:pt>
                <c:pt idx="189">
                  <c:v>16</c:v>
                </c:pt>
                <c:pt idx="190">
                  <c:v>13.4</c:v>
                </c:pt>
                <c:pt idx="191">
                  <c:v>13.9</c:v>
                </c:pt>
                <c:pt idx="192">
                  <c:v>17.600000000000001</c:v>
                </c:pt>
                <c:pt idx="193">
                  <c:v>20.7</c:v>
                </c:pt>
                <c:pt idx="194">
                  <c:v>20.6</c:v>
                </c:pt>
                <c:pt idx="195">
                  <c:v>15.5</c:v>
                </c:pt>
                <c:pt idx="196">
                  <c:v>13.5</c:v>
                </c:pt>
                <c:pt idx="197">
                  <c:v>17.5</c:v>
                </c:pt>
                <c:pt idx="198">
                  <c:v>21.4</c:v>
                </c:pt>
                <c:pt idx="199">
                  <c:v>21.7</c:v>
                </c:pt>
                <c:pt idx="200">
                  <c:v>21.8</c:v>
                </c:pt>
                <c:pt idx="201">
                  <c:v>21.4</c:v>
                </c:pt>
                <c:pt idx="202">
                  <c:v>23.3</c:v>
                </c:pt>
                <c:pt idx="203">
                  <c:v>20</c:v>
                </c:pt>
                <c:pt idx="204">
                  <c:v>12.7</c:v>
                </c:pt>
                <c:pt idx="205">
                  <c:v>18.600000000000001</c:v>
                </c:pt>
                <c:pt idx="206">
                  <c:v>16.2</c:v>
                </c:pt>
                <c:pt idx="207">
                  <c:v>18.2</c:v>
                </c:pt>
                <c:pt idx="208">
                  <c:v>15</c:v>
                </c:pt>
                <c:pt idx="209">
                  <c:v>15.8</c:v>
                </c:pt>
                <c:pt idx="210">
                  <c:v>18.600000000000001</c:v>
                </c:pt>
                <c:pt idx="211">
                  <c:v>19.100000000000001</c:v>
                </c:pt>
                <c:pt idx="212">
                  <c:v>18.600000000000001</c:v>
                </c:pt>
                <c:pt idx="213">
                  <c:v>18.2</c:v>
                </c:pt>
                <c:pt idx="214">
                  <c:v>18.899999999999999</c:v>
                </c:pt>
                <c:pt idx="215">
                  <c:v>19.8</c:v>
                </c:pt>
                <c:pt idx="216">
                  <c:v>21.7</c:v>
                </c:pt>
                <c:pt idx="217">
                  <c:v>23.3</c:v>
                </c:pt>
                <c:pt idx="218">
                  <c:v>20.6</c:v>
                </c:pt>
                <c:pt idx="219">
                  <c:v>21.2</c:v>
                </c:pt>
                <c:pt idx="220">
                  <c:v>23</c:v>
                </c:pt>
                <c:pt idx="221">
                  <c:v>22.1</c:v>
                </c:pt>
                <c:pt idx="222">
                  <c:v>20.6</c:v>
                </c:pt>
                <c:pt idx="223">
                  <c:v>16.3</c:v>
                </c:pt>
                <c:pt idx="224">
                  <c:v>17</c:v>
                </c:pt>
                <c:pt idx="225">
                  <c:v>15.1</c:v>
                </c:pt>
                <c:pt idx="226">
                  <c:v>15.9</c:v>
                </c:pt>
                <c:pt idx="227">
                  <c:v>15.9</c:v>
                </c:pt>
                <c:pt idx="228">
                  <c:v>18.8</c:v>
                </c:pt>
                <c:pt idx="229">
                  <c:v>21</c:v>
                </c:pt>
                <c:pt idx="230">
                  <c:v>13.4</c:v>
                </c:pt>
                <c:pt idx="231">
                  <c:v>10</c:v>
                </c:pt>
                <c:pt idx="232">
                  <c:v>10.5</c:v>
                </c:pt>
                <c:pt idx="233">
                  <c:v>15.1</c:v>
                </c:pt>
                <c:pt idx="234">
                  <c:v>20.6</c:v>
                </c:pt>
                <c:pt idx="235">
                  <c:v>21.8</c:v>
                </c:pt>
                <c:pt idx="236">
                  <c:v>17.8</c:v>
                </c:pt>
                <c:pt idx="237">
                  <c:v>18</c:v>
                </c:pt>
                <c:pt idx="238">
                  <c:v>12.1</c:v>
                </c:pt>
                <c:pt idx="239">
                  <c:v>8.6</c:v>
                </c:pt>
                <c:pt idx="240">
                  <c:v>10.8</c:v>
                </c:pt>
                <c:pt idx="241">
                  <c:v>7.9</c:v>
                </c:pt>
                <c:pt idx="242">
                  <c:v>12.5</c:v>
                </c:pt>
                <c:pt idx="243">
                  <c:v>13.3</c:v>
                </c:pt>
                <c:pt idx="244">
                  <c:v>10.8</c:v>
                </c:pt>
                <c:pt idx="245">
                  <c:v>7</c:v>
                </c:pt>
                <c:pt idx="246">
                  <c:v>5.7</c:v>
                </c:pt>
                <c:pt idx="247">
                  <c:v>9.6</c:v>
                </c:pt>
                <c:pt idx="248">
                  <c:v>8.5</c:v>
                </c:pt>
                <c:pt idx="249">
                  <c:v>13.6</c:v>
                </c:pt>
                <c:pt idx="250">
                  <c:v>11.3</c:v>
                </c:pt>
                <c:pt idx="251">
                  <c:v>7.1</c:v>
                </c:pt>
                <c:pt idx="252">
                  <c:v>4.8</c:v>
                </c:pt>
                <c:pt idx="253">
                  <c:v>9.3000000000000007</c:v>
                </c:pt>
                <c:pt idx="254">
                  <c:v>9.5</c:v>
                </c:pt>
                <c:pt idx="255">
                  <c:v>13</c:v>
                </c:pt>
                <c:pt idx="256">
                  <c:v>16.5</c:v>
                </c:pt>
                <c:pt idx="257">
                  <c:v>20.6</c:v>
                </c:pt>
                <c:pt idx="258">
                  <c:v>17.5</c:v>
                </c:pt>
                <c:pt idx="259">
                  <c:v>18.399999999999999</c:v>
                </c:pt>
                <c:pt idx="260">
                  <c:v>15.5</c:v>
                </c:pt>
                <c:pt idx="261">
                  <c:v>11.5</c:v>
                </c:pt>
                <c:pt idx="262">
                  <c:v>10.88</c:v>
                </c:pt>
                <c:pt idx="263">
                  <c:v>6.7679999999999998</c:v>
                </c:pt>
                <c:pt idx="264">
                  <c:v>6.07</c:v>
                </c:pt>
                <c:pt idx="265">
                  <c:v>5.6109999999999998</c:v>
                </c:pt>
                <c:pt idx="266">
                  <c:v>10</c:v>
                </c:pt>
                <c:pt idx="267">
                  <c:v>14.08</c:v>
                </c:pt>
                <c:pt idx="268">
                  <c:v>16.16</c:v>
                </c:pt>
                <c:pt idx="269">
                  <c:v>16.440000000000001</c:v>
                </c:pt>
                <c:pt idx="270">
                  <c:v>17.649999999999999</c:v>
                </c:pt>
                <c:pt idx="271">
                  <c:v>14.57</c:v>
                </c:pt>
                <c:pt idx="272">
                  <c:v>11.01</c:v>
                </c:pt>
                <c:pt idx="273">
                  <c:v>10.5</c:v>
                </c:pt>
                <c:pt idx="274">
                  <c:v>6.4470000000000001</c:v>
                </c:pt>
                <c:pt idx="275">
                  <c:v>3.8759999999999999</c:v>
                </c:pt>
                <c:pt idx="276">
                  <c:v>4.0759999999999996</c:v>
                </c:pt>
                <c:pt idx="277">
                  <c:v>2.2250000000000001</c:v>
                </c:pt>
                <c:pt idx="278">
                  <c:v>4.1059999999999999</c:v>
                </c:pt>
                <c:pt idx="279">
                  <c:v>12.36</c:v>
                </c:pt>
                <c:pt idx="280">
                  <c:v>15.86</c:v>
                </c:pt>
                <c:pt idx="281">
                  <c:v>14.53</c:v>
                </c:pt>
                <c:pt idx="282">
                  <c:v>13.7</c:v>
                </c:pt>
                <c:pt idx="283">
                  <c:v>8.49</c:v>
                </c:pt>
                <c:pt idx="284">
                  <c:v>4.25</c:v>
                </c:pt>
                <c:pt idx="285">
                  <c:v>12.37</c:v>
                </c:pt>
                <c:pt idx="286">
                  <c:v>8.48</c:v>
                </c:pt>
                <c:pt idx="287">
                  <c:v>3.71</c:v>
                </c:pt>
                <c:pt idx="288">
                  <c:v>6.242</c:v>
                </c:pt>
                <c:pt idx="289">
                  <c:v>3.4420000000000002</c:v>
                </c:pt>
                <c:pt idx="290">
                  <c:v>8.83</c:v>
                </c:pt>
                <c:pt idx="291">
                  <c:v>8.6199999999999992</c:v>
                </c:pt>
                <c:pt idx="292">
                  <c:v>3.9889999999999999</c:v>
                </c:pt>
                <c:pt idx="293">
                  <c:v>6.57</c:v>
                </c:pt>
                <c:pt idx="294">
                  <c:v>-0.193</c:v>
                </c:pt>
                <c:pt idx="295">
                  <c:v>1.9830000000000001</c:v>
                </c:pt>
                <c:pt idx="296">
                  <c:v>11.56</c:v>
                </c:pt>
                <c:pt idx="297">
                  <c:v>9.86</c:v>
                </c:pt>
                <c:pt idx="298">
                  <c:v>9.6300000000000008</c:v>
                </c:pt>
                <c:pt idx="299">
                  <c:v>12</c:v>
                </c:pt>
                <c:pt idx="300">
                  <c:v>5.3550000000000004</c:v>
                </c:pt>
                <c:pt idx="301">
                  <c:v>3.47</c:v>
                </c:pt>
                <c:pt idx="302">
                  <c:v>1.3169999999999999</c:v>
                </c:pt>
                <c:pt idx="303">
                  <c:v>2.1480000000000001</c:v>
                </c:pt>
                <c:pt idx="304">
                  <c:v>-0.16200000000000001</c:v>
                </c:pt>
                <c:pt idx="305">
                  <c:v>0.84</c:v>
                </c:pt>
                <c:pt idx="306">
                  <c:v>2.625</c:v>
                </c:pt>
                <c:pt idx="307">
                  <c:v>3.081</c:v>
                </c:pt>
                <c:pt idx="308">
                  <c:v>2.9790000000000001</c:v>
                </c:pt>
                <c:pt idx="309">
                  <c:v>-0.69399999999999995</c:v>
                </c:pt>
                <c:pt idx="310">
                  <c:v>-2.625</c:v>
                </c:pt>
                <c:pt idx="311">
                  <c:v>-2.5880000000000001</c:v>
                </c:pt>
                <c:pt idx="312">
                  <c:v>-1.5109999999999999</c:v>
                </c:pt>
                <c:pt idx="313">
                  <c:v>-2.2749999999999999</c:v>
                </c:pt>
                <c:pt idx="314">
                  <c:v>-6.6779999999999999</c:v>
                </c:pt>
                <c:pt idx="315">
                  <c:v>-8.7200000000000006</c:v>
                </c:pt>
                <c:pt idx="316">
                  <c:v>-4.6440000000000001</c:v>
                </c:pt>
                <c:pt idx="317">
                  <c:v>-6.1859999999999999</c:v>
                </c:pt>
                <c:pt idx="318">
                  <c:v>-7.42</c:v>
                </c:pt>
                <c:pt idx="319">
                  <c:v>-8.06</c:v>
                </c:pt>
                <c:pt idx="320">
                  <c:v>-8.8699999999999992</c:v>
                </c:pt>
                <c:pt idx="321">
                  <c:v>-7.58</c:v>
                </c:pt>
                <c:pt idx="322">
                  <c:v>-0.77</c:v>
                </c:pt>
                <c:pt idx="323">
                  <c:v>-2.3530000000000002</c:v>
                </c:pt>
                <c:pt idx="324">
                  <c:v>0.61899999999999999</c:v>
                </c:pt>
                <c:pt idx="325">
                  <c:v>2.4940000000000002</c:v>
                </c:pt>
                <c:pt idx="326">
                  <c:v>2.1160000000000001</c:v>
                </c:pt>
                <c:pt idx="327">
                  <c:v>-0.97699999999999998</c:v>
                </c:pt>
                <c:pt idx="328">
                  <c:v>-1.3009999999999999</c:v>
                </c:pt>
                <c:pt idx="329">
                  <c:v>-1.6279999999999999</c:v>
                </c:pt>
                <c:pt idx="330">
                  <c:v>-1.1839999999999999</c:v>
                </c:pt>
                <c:pt idx="331">
                  <c:v>-4.08</c:v>
                </c:pt>
                <c:pt idx="332">
                  <c:v>-0.77500000000000002</c:v>
                </c:pt>
                <c:pt idx="333">
                  <c:v>-3.367</c:v>
                </c:pt>
                <c:pt idx="334">
                  <c:v>-1.657</c:v>
                </c:pt>
                <c:pt idx="335">
                  <c:v>0.129</c:v>
                </c:pt>
                <c:pt idx="336">
                  <c:v>0.29699999999999999</c:v>
                </c:pt>
                <c:pt idx="337">
                  <c:v>-0.20599999999999999</c:v>
                </c:pt>
                <c:pt idx="338">
                  <c:v>-1.833</c:v>
                </c:pt>
                <c:pt idx="339">
                  <c:v>-3.0049999999999999</c:v>
                </c:pt>
                <c:pt idx="340">
                  <c:v>1.5469999999999999</c:v>
                </c:pt>
                <c:pt idx="341">
                  <c:v>-5.0149999999999997</c:v>
                </c:pt>
                <c:pt idx="342">
                  <c:v>-4.6210000000000004</c:v>
                </c:pt>
                <c:pt idx="343">
                  <c:v>-8.73</c:v>
                </c:pt>
                <c:pt idx="344">
                  <c:v>-13.17</c:v>
                </c:pt>
                <c:pt idx="345">
                  <c:v>-9.59</c:v>
                </c:pt>
                <c:pt idx="346">
                  <c:v>-14.29</c:v>
                </c:pt>
                <c:pt idx="347">
                  <c:v>-12.65</c:v>
                </c:pt>
                <c:pt idx="348">
                  <c:v>-10.98</c:v>
                </c:pt>
                <c:pt idx="349">
                  <c:v>-13.36</c:v>
                </c:pt>
                <c:pt idx="350">
                  <c:v>-8.43</c:v>
                </c:pt>
                <c:pt idx="351">
                  <c:v>-6.2229999999999999</c:v>
                </c:pt>
                <c:pt idx="352">
                  <c:v>-6.1260000000000003</c:v>
                </c:pt>
                <c:pt idx="353">
                  <c:v>-7.13</c:v>
                </c:pt>
                <c:pt idx="354">
                  <c:v>-6.82</c:v>
                </c:pt>
                <c:pt idx="355">
                  <c:v>-4.601</c:v>
                </c:pt>
                <c:pt idx="356">
                  <c:v>-2.6320000000000001</c:v>
                </c:pt>
                <c:pt idx="357">
                  <c:v>0.63800000000000001</c:v>
                </c:pt>
                <c:pt idx="358">
                  <c:v>-2.13</c:v>
                </c:pt>
                <c:pt idx="359">
                  <c:v>-1.9990000000000001</c:v>
                </c:pt>
                <c:pt idx="360">
                  <c:v>-2.0950000000000002</c:v>
                </c:pt>
                <c:pt idx="361">
                  <c:v>-1.804</c:v>
                </c:pt>
                <c:pt idx="362">
                  <c:v>-3.8119999999999998</c:v>
                </c:pt>
                <c:pt idx="363">
                  <c:v>-3.206</c:v>
                </c:pt>
                <c:pt idx="364">
                  <c:v>1.006</c:v>
                </c:pt>
                <c:pt idx="365">
                  <c:v>-1.4019999999999999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-11.4</c:v>
                </c:pt>
                <c:pt idx="1">
                  <c:v>-10.199999999999999</c:v>
                </c:pt>
                <c:pt idx="2">
                  <c:v>-9.4</c:v>
                </c:pt>
                <c:pt idx="3">
                  <c:v>-8.8000000000000007</c:v>
                </c:pt>
                <c:pt idx="4">
                  <c:v>-9.4</c:v>
                </c:pt>
                <c:pt idx="5">
                  <c:v>-9.1999999999999993</c:v>
                </c:pt>
                <c:pt idx="6">
                  <c:v>-8.8000000000000007</c:v>
                </c:pt>
                <c:pt idx="7">
                  <c:v>-7.6</c:v>
                </c:pt>
                <c:pt idx="8">
                  <c:v>-9</c:v>
                </c:pt>
                <c:pt idx="9">
                  <c:v>-14.4</c:v>
                </c:pt>
                <c:pt idx="10">
                  <c:v>-14.8</c:v>
                </c:pt>
                <c:pt idx="11">
                  <c:v>-13.9</c:v>
                </c:pt>
                <c:pt idx="12">
                  <c:v>-14.2</c:v>
                </c:pt>
                <c:pt idx="13">
                  <c:v>-11.5</c:v>
                </c:pt>
                <c:pt idx="14">
                  <c:v>-12.5</c:v>
                </c:pt>
                <c:pt idx="15">
                  <c:v>-14.6</c:v>
                </c:pt>
                <c:pt idx="16">
                  <c:v>-10.1</c:v>
                </c:pt>
                <c:pt idx="17">
                  <c:v>-14.4</c:v>
                </c:pt>
                <c:pt idx="18">
                  <c:v>-19.7</c:v>
                </c:pt>
                <c:pt idx="19">
                  <c:v>-23</c:v>
                </c:pt>
                <c:pt idx="20">
                  <c:v>-14.9</c:v>
                </c:pt>
                <c:pt idx="21">
                  <c:v>-11.2</c:v>
                </c:pt>
                <c:pt idx="22">
                  <c:v>-11.5</c:v>
                </c:pt>
                <c:pt idx="23">
                  <c:v>-14.4</c:v>
                </c:pt>
                <c:pt idx="24">
                  <c:v>-18.2</c:v>
                </c:pt>
                <c:pt idx="25">
                  <c:v>-10.3</c:v>
                </c:pt>
                <c:pt idx="26">
                  <c:v>-9.3000000000000007</c:v>
                </c:pt>
                <c:pt idx="27">
                  <c:v>-15.4</c:v>
                </c:pt>
                <c:pt idx="28">
                  <c:v>-16.600000000000001</c:v>
                </c:pt>
                <c:pt idx="29">
                  <c:v>-20.7</c:v>
                </c:pt>
                <c:pt idx="30">
                  <c:v>-17.899999999999999</c:v>
                </c:pt>
                <c:pt idx="31">
                  <c:v>-11.8</c:v>
                </c:pt>
                <c:pt idx="32">
                  <c:v>-8.5</c:v>
                </c:pt>
                <c:pt idx="33">
                  <c:v>-10.8</c:v>
                </c:pt>
                <c:pt idx="34">
                  <c:v>-12.7</c:v>
                </c:pt>
                <c:pt idx="35">
                  <c:v>-12.1</c:v>
                </c:pt>
                <c:pt idx="36">
                  <c:v>-11.9</c:v>
                </c:pt>
                <c:pt idx="37">
                  <c:v>-10.3</c:v>
                </c:pt>
                <c:pt idx="38">
                  <c:v>-9.1</c:v>
                </c:pt>
                <c:pt idx="39">
                  <c:v>-7.2</c:v>
                </c:pt>
                <c:pt idx="40">
                  <c:v>-7</c:v>
                </c:pt>
                <c:pt idx="41">
                  <c:v>-9</c:v>
                </c:pt>
                <c:pt idx="42">
                  <c:v>-9.4</c:v>
                </c:pt>
                <c:pt idx="43">
                  <c:v>-14</c:v>
                </c:pt>
                <c:pt idx="44">
                  <c:v>-18.3</c:v>
                </c:pt>
                <c:pt idx="45">
                  <c:v>-11</c:v>
                </c:pt>
                <c:pt idx="46">
                  <c:v>-13.7</c:v>
                </c:pt>
                <c:pt idx="47">
                  <c:v>-18.5</c:v>
                </c:pt>
                <c:pt idx="48">
                  <c:v>-19.5</c:v>
                </c:pt>
                <c:pt idx="49">
                  <c:v>-16.399999999999999</c:v>
                </c:pt>
                <c:pt idx="50">
                  <c:v>-17.7</c:v>
                </c:pt>
                <c:pt idx="51">
                  <c:v>-10.4</c:v>
                </c:pt>
                <c:pt idx="52">
                  <c:v>-7.9</c:v>
                </c:pt>
                <c:pt idx="53">
                  <c:v>-6.6</c:v>
                </c:pt>
                <c:pt idx="54">
                  <c:v>-10</c:v>
                </c:pt>
                <c:pt idx="55">
                  <c:v>-11.6</c:v>
                </c:pt>
                <c:pt idx="56">
                  <c:v>-9.8000000000000007</c:v>
                </c:pt>
                <c:pt idx="57">
                  <c:v>-10.3</c:v>
                </c:pt>
                <c:pt idx="58">
                  <c:v>-7.3</c:v>
                </c:pt>
                <c:pt idx="59">
                  <c:v>-7.2</c:v>
                </c:pt>
                <c:pt idx="60">
                  <c:v>-6.5</c:v>
                </c:pt>
                <c:pt idx="61">
                  <c:v>-6.1130000000000004</c:v>
                </c:pt>
                <c:pt idx="62">
                  <c:v>-6.9539999999999997</c:v>
                </c:pt>
                <c:pt idx="63">
                  <c:v>-7.35</c:v>
                </c:pt>
                <c:pt idx="64">
                  <c:v>-12.54</c:v>
                </c:pt>
                <c:pt idx="65">
                  <c:v>-16.05</c:v>
                </c:pt>
                <c:pt idx="66">
                  <c:v>-18.850000000000001</c:v>
                </c:pt>
                <c:pt idx="67">
                  <c:v>-11.16</c:v>
                </c:pt>
                <c:pt idx="68">
                  <c:v>-2.9769999999999999</c:v>
                </c:pt>
                <c:pt idx="69">
                  <c:v>-3.915</c:v>
                </c:pt>
                <c:pt idx="70">
                  <c:v>-3.863</c:v>
                </c:pt>
                <c:pt idx="71">
                  <c:v>-9.68</c:v>
                </c:pt>
                <c:pt idx="72">
                  <c:v>-5.6749999999999998</c:v>
                </c:pt>
                <c:pt idx="73">
                  <c:v>-4.6150000000000002</c:v>
                </c:pt>
                <c:pt idx="74">
                  <c:v>-6.2910000000000004</c:v>
                </c:pt>
                <c:pt idx="75">
                  <c:v>-4.0289999999999999</c:v>
                </c:pt>
                <c:pt idx="76">
                  <c:v>-5.5389999999999997</c:v>
                </c:pt>
                <c:pt idx="77">
                  <c:v>-4.5049999999999999</c:v>
                </c:pt>
                <c:pt idx="78">
                  <c:v>-12</c:v>
                </c:pt>
                <c:pt idx="79">
                  <c:v>-16.18</c:v>
                </c:pt>
                <c:pt idx="80">
                  <c:v>-4.2430000000000003</c:v>
                </c:pt>
                <c:pt idx="81">
                  <c:v>-2.2309999999999999</c:v>
                </c:pt>
                <c:pt idx="82">
                  <c:v>-4.4619999999999997</c:v>
                </c:pt>
                <c:pt idx="83">
                  <c:v>-5.1639999999999997</c:v>
                </c:pt>
                <c:pt idx="84">
                  <c:v>-10.09</c:v>
                </c:pt>
                <c:pt idx="85">
                  <c:v>-12.62</c:v>
                </c:pt>
                <c:pt idx="86">
                  <c:v>-4.5570000000000004</c:v>
                </c:pt>
                <c:pt idx="87">
                  <c:v>-6.2949999999999999</c:v>
                </c:pt>
                <c:pt idx="88">
                  <c:v>-12.13</c:v>
                </c:pt>
                <c:pt idx="89">
                  <c:v>-14.03</c:v>
                </c:pt>
                <c:pt idx="90">
                  <c:v>-10.98</c:v>
                </c:pt>
                <c:pt idx="91">
                  <c:v>-1.877</c:v>
                </c:pt>
                <c:pt idx="92">
                  <c:v>-2.8730000000000002</c:v>
                </c:pt>
                <c:pt idx="93">
                  <c:v>-3.3359999999999999</c:v>
                </c:pt>
                <c:pt idx="94">
                  <c:v>-3.7679999999999998</c:v>
                </c:pt>
                <c:pt idx="95">
                  <c:v>-4.452</c:v>
                </c:pt>
                <c:pt idx="96">
                  <c:v>-12.92</c:v>
                </c:pt>
                <c:pt idx="97">
                  <c:v>-14.54</c:v>
                </c:pt>
                <c:pt idx="98">
                  <c:v>-4.8339999999999996</c:v>
                </c:pt>
                <c:pt idx="99">
                  <c:v>-5.1829999999999998</c:v>
                </c:pt>
                <c:pt idx="100">
                  <c:v>-6.3490000000000002</c:v>
                </c:pt>
                <c:pt idx="101">
                  <c:v>-5.016</c:v>
                </c:pt>
                <c:pt idx="102">
                  <c:v>-4.8390000000000004</c:v>
                </c:pt>
                <c:pt idx="103">
                  <c:v>-4.9009999999999998</c:v>
                </c:pt>
                <c:pt idx="104">
                  <c:v>-5.6829999999999998</c:v>
                </c:pt>
                <c:pt idx="105">
                  <c:v>-3.0049999999999999</c:v>
                </c:pt>
                <c:pt idx="106">
                  <c:v>-6.5</c:v>
                </c:pt>
                <c:pt idx="107">
                  <c:v>-6.1219999999999999</c:v>
                </c:pt>
                <c:pt idx="108">
                  <c:v>-7.24</c:v>
                </c:pt>
                <c:pt idx="109">
                  <c:v>-5.16</c:v>
                </c:pt>
                <c:pt idx="110">
                  <c:v>-2.9769999999999999</c:v>
                </c:pt>
                <c:pt idx="111">
                  <c:v>-1.726</c:v>
                </c:pt>
                <c:pt idx="112">
                  <c:v>-2.4620000000000002</c:v>
                </c:pt>
                <c:pt idx="113">
                  <c:v>-5.6269999999999998</c:v>
                </c:pt>
                <c:pt idx="114">
                  <c:v>-7.44</c:v>
                </c:pt>
                <c:pt idx="115">
                  <c:v>-7.81</c:v>
                </c:pt>
                <c:pt idx="116">
                  <c:v>-6.1529999999999996</c:v>
                </c:pt>
                <c:pt idx="117">
                  <c:v>2.1579999999999999</c:v>
                </c:pt>
                <c:pt idx="118">
                  <c:v>-3.407</c:v>
                </c:pt>
                <c:pt idx="119">
                  <c:v>-5.9740000000000002</c:v>
                </c:pt>
                <c:pt idx="120">
                  <c:v>-0.372</c:v>
                </c:pt>
                <c:pt idx="121">
                  <c:v>-6.7000000000000004E-2</c:v>
                </c:pt>
                <c:pt idx="122">
                  <c:v>-0.08</c:v>
                </c:pt>
                <c:pt idx="123">
                  <c:v>-4.9219999999999997</c:v>
                </c:pt>
                <c:pt idx="124">
                  <c:v>-7.4</c:v>
                </c:pt>
                <c:pt idx="125">
                  <c:v>-6.76</c:v>
                </c:pt>
                <c:pt idx="126">
                  <c:v>-8.69</c:v>
                </c:pt>
                <c:pt idx="127">
                  <c:v>-9.0299999999999994</c:v>
                </c:pt>
                <c:pt idx="128">
                  <c:v>-7.42</c:v>
                </c:pt>
                <c:pt idx="129">
                  <c:v>-2.1360000000000001</c:v>
                </c:pt>
                <c:pt idx="130">
                  <c:v>-1.369</c:v>
                </c:pt>
                <c:pt idx="131">
                  <c:v>-1.764</c:v>
                </c:pt>
                <c:pt idx="132">
                  <c:v>-2.2069999999999999</c:v>
                </c:pt>
                <c:pt idx="133">
                  <c:v>-1.712</c:v>
                </c:pt>
                <c:pt idx="134">
                  <c:v>-3.1659999999999999</c:v>
                </c:pt>
                <c:pt idx="135">
                  <c:v>-0.76200000000000001</c:v>
                </c:pt>
                <c:pt idx="136">
                  <c:v>-0.74299999999999999</c:v>
                </c:pt>
                <c:pt idx="137">
                  <c:v>-1.077</c:v>
                </c:pt>
                <c:pt idx="138">
                  <c:v>-1.6559999999999999</c:v>
                </c:pt>
                <c:pt idx="139">
                  <c:v>0.39800000000000002</c:v>
                </c:pt>
                <c:pt idx="140">
                  <c:v>-1.0389999999999999</c:v>
                </c:pt>
                <c:pt idx="141">
                  <c:v>3.536</c:v>
                </c:pt>
                <c:pt idx="142">
                  <c:v>-0.67800000000000005</c:v>
                </c:pt>
                <c:pt idx="143">
                  <c:v>-2.4900000000000002</c:v>
                </c:pt>
                <c:pt idx="144">
                  <c:v>-4.0720000000000001</c:v>
                </c:pt>
                <c:pt idx="145">
                  <c:v>-3</c:v>
                </c:pt>
                <c:pt idx="146">
                  <c:v>-2.7069999999999999</c:v>
                </c:pt>
                <c:pt idx="147">
                  <c:v>1.7999999999999999E-2</c:v>
                </c:pt>
                <c:pt idx="148">
                  <c:v>-0.185</c:v>
                </c:pt>
                <c:pt idx="149">
                  <c:v>-1.952</c:v>
                </c:pt>
                <c:pt idx="150">
                  <c:v>-3.2229999999999999</c:v>
                </c:pt>
                <c:pt idx="151">
                  <c:v>-2.2589999999999999</c:v>
                </c:pt>
                <c:pt idx="152">
                  <c:v>-3.6</c:v>
                </c:pt>
                <c:pt idx="153">
                  <c:v>-2.4</c:v>
                </c:pt>
                <c:pt idx="154">
                  <c:v>-2.1</c:v>
                </c:pt>
                <c:pt idx="155">
                  <c:v>-1.8</c:v>
                </c:pt>
                <c:pt idx="156">
                  <c:v>1.8</c:v>
                </c:pt>
                <c:pt idx="157">
                  <c:v>2.2000000000000002</c:v>
                </c:pt>
                <c:pt idx="158">
                  <c:v>3</c:v>
                </c:pt>
                <c:pt idx="159">
                  <c:v>2.5</c:v>
                </c:pt>
                <c:pt idx="160">
                  <c:v>1.4</c:v>
                </c:pt>
                <c:pt idx="161">
                  <c:v>-1.5</c:v>
                </c:pt>
                <c:pt idx="162">
                  <c:v>-2.2000000000000002</c:v>
                </c:pt>
                <c:pt idx="163">
                  <c:v>0.4</c:v>
                </c:pt>
                <c:pt idx="164">
                  <c:v>1.7</c:v>
                </c:pt>
                <c:pt idx="165">
                  <c:v>2.1</c:v>
                </c:pt>
                <c:pt idx="166">
                  <c:v>1.2</c:v>
                </c:pt>
                <c:pt idx="167">
                  <c:v>1</c:v>
                </c:pt>
                <c:pt idx="168">
                  <c:v>3.2</c:v>
                </c:pt>
                <c:pt idx="169">
                  <c:v>1.8</c:v>
                </c:pt>
                <c:pt idx="170">
                  <c:v>-0.2</c:v>
                </c:pt>
                <c:pt idx="171">
                  <c:v>3.2</c:v>
                </c:pt>
                <c:pt idx="172">
                  <c:v>3.1</c:v>
                </c:pt>
                <c:pt idx="173">
                  <c:v>2.7</c:v>
                </c:pt>
                <c:pt idx="174">
                  <c:v>3.1</c:v>
                </c:pt>
                <c:pt idx="175">
                  <c:v>2</c:v>
                </c:pt>
                <c:pt idx="176">
                  <c:v>2.5</c:v>
                </c:pt>
                <c:pt idx="177">
                  <c:v>5.3</c:v>
                </c:pt>
                <c:pt idx="178">
                  <c:v>6.2</c:v>
                </c:pt>
                <c:pt idx="179">
                  <c:v>5.9</c:v>
                </c:pt>
                <c:pt idx="180">
                  <c:v>4.5</c:v>
                </c:pt>
                <c:pt idx="181">
                  <c:v>3.7</c:v>
                </c:pt>
                <c:pt idx="182">
                  <c:v>1.6</c:v>
                </c:pt>
                <c:pt idx="183">
                  <c:v>0.9</c:v>
                </c:pt>
                <c:pt idx="184">
                  <c:v>1.2</c:v>
                </c:pt>
                <c:pt idx="185">
                  <c:v>0.9</c:v>
                </c:pt>
                <c:pt idx="186">
                  <c:v>2.1</c:v>
                </c:pt>
                <c:pt idx="187">
                  <c:v>2.6</c:v>
                </c:pt>
                <c:pt idx="188">
                  <c:v>3.5</c:v>
                </c:pt>
                <c:pt idx="189">
                  <c:v>3.5</c:v>
                </c:pt>
                <c:pt idx="190">
                  <c:v>3.2</c:v>
                </c:pt>
                <c:pt idx="191">
                  <c:v>3.3</c:v>
                </c:pt>
                <c:pt idx="192">
                  <c:v>4</c:v>
                </c:pt>
                <c:pt idx="193">
                  <c:v>4.5</c:v>
                </c:pt>
                <c:pt idx="194">
                  <c:v>5</c:v>
                </c:pt>
                <c:pt idx="195">
                  <c:v>2.6</c:v>
                </c:pt>
                <c:pt idx="196">
                  <c:v>2.7</c:v>
                </c:pt>
                <c:pt idx="197">
                  <c:v>2.9</c:v>
                </c:pt>
                <c:pt idx="198">
                  <c:v>4.5</c:v>
                </c:pt>
                <c:pt idx="199">
                  <c:v>6.7</c:v>
                </c:pt>
                <c:pt idx="200">
                  <c:v>6.5</c:v>
                </c:pt>
                <c:pt idx="201">
                  <c:v>6</c:v>
                </c:pt>
                <c:pt idx="202">
                  <c:v>5.5</c:v>
                </c:pt>
                <c:pt idx="203">
                  <c:v>4.4000000000000004</c:v>
                </c:pt>
                <c:pt idx="204">
                  <c:v>3.9</c:v>
                </c:pt>
                <c:pt idx="205">
                  <c:v>3.6</c:v>
                </c:pt>
                <c:pt idx="206">
                  <c:v>3.4</c:v>
                </c:pt>
                <c:pt idx="207">
                  <c:v>3.4</c:v>
                </c:pt>
                <c:pt idx="208">
                  <c:v>3.2</c:v>
                </c:pt>
                <c:pt idx="209">
                  <c:v>4</c:v>
                </c:pt>
                <c:pt idx="210">
                  <c:v>3.4</c:v>
                </c:pt>
                <c:pt idx="211">
                  <c:v>2.2999999999999998</c:v>
                </c:pt>
                <c:pt idx="212">
                  <c:v>4.4000000000000004</c:v>
                </c:pt>
                <c:pt idx="213">
                  <c:v>5.4</c:v>
                </c:pt>
                <c:pt idx="214">
                  <c:v>5</c:v>
                </c:pt>
                <c:pt idx="215">
                  <c:v>5.3</c:v>
                </c:pt>
                <c:pt idx="216">
                  <c:v>6.4</c:v>
                </c:pt>
                <c:pt idx="217">
                  <c:v>6.4</c:v>
                </c:pt>
                <c:pt idx="218">
                  <c:v>6.8</c:v>
                </c:pt>
                <c:pt idx="219">
                  <c:v>5.6</c:v>
                </c:pt>
                <c:pt idx="220">
                  <c:v>6.3</c:v>
                </c:pt>
                <c:pt idx="221">
                  <c:v>6.2</c:v>
                </c:pt>
                <c:pt idx="222">
                  <c:v>5.0999999999999996</c:v>
                </c:pt>
                <c:pt idx="223">
                  <c:v>3.4</c:v>
                </c:pt>
                <c:pt idx="224">
                  <c:v>2.6</c:v>
                </c:pt>
                <c:pt idx="225">
                  <c:v>3.1</c:v>
                </c:pt>
                <c:pt idx="226">
                  <c:v>2</c:v>
                </c:pt>
                <c:pt idx="227">
                  <c:v>3.9</c:v>
                </c:pt>
                <c:pt idx="228">
                  <c:v>3.7</c:v>
                </c:pt>
                <c:pt idx="229">
                  <c:v>5</c:v>
                </c:pt>
                <c:pt idx="230">
                  <c:v>2</c:v>
                </c:pt>
                <c:pt idx="231">
                  <c:v>1.4</c:v>
                </c:pt>
                <c:pt idx="232">
                  <c:v>1.1000000000000001</c:v>
                </c:pt>
                <c:pt idx="233">
                  <c:v>1.2</c:v>
                </c:pt>
                <c:pt idx="234">
                  <c:v>3.5</c:v>
                </c:pt>
                <c:pt idx="235">
                  <c:v>6</c:v>
                </c:pt>
                <c:pt idx="236">
                  <c:v>6</c:v>
                </c:pt>
                <c:pt idx="237">
                  <c:v>4.5999999999999996</c:v>
                </c:pt>
                <c:pt idx="238">
                  <c:v>1.4</c:v>
                </c:pt>
                <c:pt idx="239">
                  <c:v>0.4</c:v>
                </c:pt>
                <c:pt idx="240">
                  <c:v>-0.4</c:v>
                </c:pt>
                <c:pt idx="241">
                  <c:v>2</c:v>
                </c:pt>
                <c:pt idx="242">
                  <c:v>2.2999999999999998</c:v>
                </c:pt>
                <c:pt idx="243">
                  <c:v>2.1</c:v>
                </c:pt>
                <c:pt idx="244">
                  <c:v>1.8</c:v>
                </c:pt>
                <c:pt idx="245">
                  <c:v>1.4</c:v>
                </c:pt>
                <c:pt idx="246">
                  <c:v>0.9</c:v>
                </c:pt>
                <c:pt idx="247">
                  <c:v>0.6</c:v>
                </c:pt>
                <c:pt idx="248">
                  <c:v>0.4</c:v>
                </c:pt>
                <c:pt idx="249">
                  <c:v>2.8</c:v>
                </c:pt>
                <c:pt idx="250">
                  <c:v>2.5</c:v>
                </c:pt>
                <c:pt idx="251">
                  <c:v>0.3</c:v>
                </c:pt>
                <c:pt idx="252">
                  <c:v>0.4</c:v>
                </c:pt>
                <c:pt idx="253">
                  <c:v>-0.6</c:v>
                </c:pt>
                <c:pt idx="254">
                  <c:v>-0.2</c:v>
                </c:pt>
                <c:pt idx="255">
                  <c:v>2.6</c:v>
                </c:pt>
                <c:pt idx="256">
                  <c:v>2.5</c:v>
                </c:pt>
                <c:pt idx="257">
                  <c:v>4.3</c:v>
                </c:pt>
                <c:pt idx="258">
                  <c:v>5.7</c:v>
                </c:pt>
                <c:pt idx="259">
                  <c:v>4.8</c:v>
                </c:pt>
                <c:pt idx="260">
                  <c:v>4.8</c:v>
                </c:pt>
                <c:pt idx="261">
                  <c:v>2.1</c:v>
                </c:pt>
                <c:pt idx="262">
                  <c:v>-0.186</c:v>
                </c:pt>
                <c:pt idx="263">
                  <c:v>1.522</c:v>
                </c:pt>
                <c:pt idx="264">
                  <c:v>-2.35</c:v>
                </c:pt>
                <c:pt idx="265">
                  <c:v>-6.0490000000000004</c:v>
                </c:pt>
                <c:pt idx="266">
                  <c:v>-6.3929999999999998</c:v>
                </c:pt>
                <c:pt idx="267">
                  <c:v>-4</c:v>
                </c:pt>
                <c:pt idx="268">
                  <c:v>-2.629</c:v>
                </c:pt>
                <c:pt idx="269">
                  <c:v>-2.1909999999999998</c:v>
                </c:pt>
                <c:pt idx="270">
                  <c:v>-1.58</c:v>
                </c:pt>
                <c:pt idx="271">
                  <c:v>-6.2E-2</c:v>
                </c:pt>
                <c:pt idx="272">
                  <c:v>3.9550000000000001</c:v>
                </c:pt>
                <c:pt idx="273">
                  <c:v>-0.32600000000000001</c:v>
                </c:pt>
                <c:pt idx="274">
                  <c:v>-2.085</c:v>
                </c:pt>
                <c:pt idx="275">
                  <c:v>-3.5449999999999999</c:v>
                </c:pt>
                <c:pt idx="276">
                  <c:v>-6.2480000000000002</c:v>
                </c:pt>
                <c:pt idx="277">
                  <c:v>-8.06</c:v>
                </c:pt>
                <c:pt idx="278">
                  <c:v>-10.25</c:v>
                </c:pt>
                <c:pt idx="279">
                  <c:v>-8.6199999999999992</c:v>
                </c:pt>
                <c:pt idx="280">
                  <c:v>-3.0680000000000001</c:v>
                </c:pt>
                <c:pt idx="281">
                  <c:v>-2.2850000000000001</c:v>
                </c:pt>
                <c:pt idx="282">
                  <c:v>1.984</c:v>
                </c:pt>
                <c:pt idx="283">
                  <c:v>-0.87</c:v>
                </c:pt>
                <c:pt idx="284">
                  <c:v>0.53700000000000003</c:v>
                </c:pt>
                <c:pt idx="285">
                  <c:v>-2.1859999999999999</c:v>
                </c:pt>
                <c:pt idx="286">
                  <c:v>-4.1890000000000001</c:v>
                </c:pt>
                <c:pt idx="287">
                  <c:v>-1.71</c:v>
                </c:pt>
                <c:pt idx="288">
                  <c:v>-4.4059999999999997</c:v>
                </c:pt>
                <c:pt idx="289">
                  <c:v>-1.6E-2</c:v>
                </c:pt>
                <c:pt idx="290">
                  <c:v>0.308</c:v>
                </c:pt>
                <c:pt idx="291">
                  <c:v>-2.3149999999999999</c:v>
                </c:pt>
                <c:pt idx="292">
                  <c:v>-5.2889999999999997</c:v>
                </c:pt>
                <c:pt idx="293">
                  <c:v>-1.2390000000000001</c:v>
                </c:pt>
                <c:pt idx="294">
                  <c:v>-8.4</c:v>
                </c:pt>
                <c:pt idx="295">
                  <c:v>-8.16</c:v>
                </c:pt>
                <c:pt idx="296">
                  <c:v>-1.827</c:v>
                </c:pt>
                <c:pt idx="297">
                  <c:v>-2.343</c:v>
                </c:pt>
                <c:pt idx="298">
                  <c:v>-3.8170000000000002</c:v>
                </c:pt>
                <c:pt idx="299">
                  <c:v>-3.657</c:v>
                </c:pt>
                <c:pt idx="300">
                  <c:v>1.7330000000000001</c:v>
                </c:pt>
                <c:pt idx="301">
                  <c:v>-3.6269999999999998</c:v>
                </c:pt>
                <c:pt idx="302">
                  <c:v>-4.2789999999999999</c:v>
                </c:pt>
                <c:pt idx="303">
                  <c:v>-2.7730000000000001</c:v>
                </c:pt>
                <c:pt idx="304">
                  <c:v>-2.0129999999999999</c:v>
                </c:pt>
                <c:pt idx="305">
                  <c:v>-9.7799999999999994</c:v>
                </c:pt>
                <c:pt idx="306">
                  <c:v>-9.69</c:v>
                </c:pt>
                <c:pt idx="307">
                  <c:v>-4.6150000000000002</c:v>
                </c:pt>
                <c:pt idx="308">
                  <c:v>-3.22</c:v>
                </c:pt>
                <c:pt idx="309">
                  <c:v>-12.17</c:v>
                </c:pt>
                <c:pt idx="310">
                  <c:v>-12.12</c:v>
                </c:pt>
                <c:pt idx="311">
                  <c:v>-5.4809999999999999</c:v>
                </c:pt>
                <c:pt idx="312">
                  <c:v>-6.431</c:v>
                </c:pt>
                <c:pt idx="313">
                  <c:v>-12.36</c:v>
                </c:pt>
                <c:pt idx="314">
                  <c:v>-14.56</c:v>
                </c:pt>
                <c:pt idx="315">
                  <c:v>-11.21</c:v>
                </c:pt>
                <c:pt idx="316">
                  <c:v>-9.43</c:v>
                </c:pt>
                <c:pt idx="317">
                  <c:v>-14.96</c:v>
                </c:pt>
                <c:pt idx="318">
                  <c:v>-15.63</c:v>
                </c:pt>
                <c:pt idx="319">
                  <c:v>-9.1300000000000008</c:v>
                </c:pt>
                <c:pt idx="320">
                  <c:v>-9.9</c:v>
                </c:pt>
                <c:pt idx="321">
                  <c:v>-10.26</c:v>
                </c:pt>
                <c:pt idx="322">
                  <c:v>-8.6</c:v>
                </c:pt>
                <c:pt idx="323">
                  <c:v>-11.42</c:v>
                </c:pt>
                <c:pt idx="324">
                  <c:v>-12.38</c:v>
                </c:pt>
                <c:pt idx="325">
                  <c:v>-11.36</c:v>
                </c:pt>
                <c:pt idx="326">
                  <c:v>-13.3</c:v>
                </c:pt>
                <c:pt idx="327">
                  <c:v>-12.59</c:v>
                </c:pt>
                <c:pt idx="328">
                  <c:v>-5.4269999999999996</c:v>
                </c:pt>
                <c:pt idx="329">
                  <c:v>-4.3529999999999998</c:v>
                </c:pt>
                <c:pt idx="330">
                  <c:v>-5.4989999999999997</c:v>
                </c:pt>
                <c:pt idx="331">
                  <c:v>-8.7200000000000006</c:v>
                </c:pt>
                <c:pt idx="332">
                  <c:v>-11.13</c:v>
                </c:pt>
                <c:pt idx="333">
                  <c:v>-6.66</c:v>
                </c:pt>
                <c:pt idx="334">
                  <c:v>-6.556</c:v>
                </c:pt>
                <c:pt idx="335">
                  <c:v>-6.3170000000000002</c:v>
                </c:pt>
                <c:pt idx="336">
                  <c:v>-2.6539999999999999</c:v>
                </c:pt>
                <c:pt idx="337">
                  <c:v>-16.14</c:v>
                </c:pt>
                <c:pt idx="338">
                  <c:v>-16.29</c:v>
                </c:pt>
                <c:pt idx="339">
                  <c:v>-12.19</c:v>
                </c:pt>
                <c:pt idx="340">
                  <c:v>-8.36</c:v>
                </c:pt>
                <c:pt idx="341">
                  <c:v>-14.65</c:v>
                </c:pt>
                <c:pt idx="342">
                  <c:v>-13.3</c:v>
                </c:pt>
                <c:pt idx="343">
                  <c:v>-13.71</c:v>
                </c:pt>
                <c:pt idx="344">
                  <c:v>-18.98</c:v>
                </c:pt>
                <c:pt idx="345">
                  <c:v>-25.5</c:v>
                </c:pt>
                <c:pt idx="346">
                  <c:v>-26.07</c:v>
                </c:pt>
                <c:pt idx="347">
                  <c:v>-24.96</c:v>
                </c:pt>
                <c:pt idx="348">
                  <c:v>-24.43</c:v>
                </c:pt>
                <c:pt idx="349">
                  <c:v>-28.21</c:v>
                </c:pt>
                <c:pt idx="350">
                  <c:v>-24.17</c:v>
                </c:pt>
                <c:pt idx="351">
                  <c:v>-13.03</c:v>
                </c:pt>
                <c:pt idx="352">
                  <c:v>-15.17</c:v>
                </c:pt>
                <c:pt idx="353">
                  <c:v>-11.5</c:v>
                </c:pt>
                <c:pt idx="354">
                  <c:v>-21.71</c:v>
                </c:pt>
                <c:pt idx="355">
                  <c:v>-21.79</c:v>
                </c:pt>
                <c:pt idx="356">
                  <c:v>-7.65</c:v>
                </c:pt>
                <c:pt idx="357">
                  <c:v>-7.05</c:v>
                </c:pt>
                <c:pt idx="358">
                  <c:v>-7.25</c:v>
                </c:pt>
                <c:pt idx="359">
                  <c:v>-8.39</c:v>
                </c:pt>
                <c:pt idx="360">
                  <c:v>-4.024</c:v>
                </c:pt>
                <c:pt idx="361">
                  <c:v>-10.97</c:v>
                </c:pt>
                <c:pt idx="362">
                  <c:v>-16.2</c:v>
                </c:pt>
                <c:pt idx="363">
                  <c:v>-7.93</c:v>
                </c:pt>
                <c:pt idx="364">
                  <c:v>-9.36</c:v>
                </c:pt>
                <c:pt idx="365">
                  <c:v>-11.84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494592"/>
        <c:axId val="234734336"/>
      </c:lineChart>
      <c:catAx>
        <c:axId val="23449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3433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4734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49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75">
                  <c:v>-0.20200000000000001</c:v>
                </c:pt>
                <c:pt idx="76">
                  <c:v>-0.42699999999999999</c:v>
                </c:pt>
                <c:pt idx="77">
                  <c:v>-0.85299999999999998</c:v>
                </c:pt>
                <c:pt idx="78">
                  <c:v>0.55600000000000005</c:v>
                </c:pt>
                <c:pt idx="79">
                  <c:v>0.70299999999999996</c:v>
                </c:pt>
                <c:pt idx="80">
                  <c:v>7.54</c:v>
                </c:pt>
                <c:pt idx="81">
                  <c:v>1.911</c:v>
                </c:pt>
                <c:pt idx="82">
                  <c:v>2.387</c:v>
                </c:pt>
                <c:pt idx="83">
                  <c:v>4.9260000000000002</c:v>
                </c:pt>
                <c:pt idx="84">
                  <c:v>1.964</c:v>
                </c:pt>
                <c:pt idx="85">
                  <c:v>7.78</c:v>
                </c:pt>
                <c:pt idx="86">
                  <c:v>5.1929999999999996</c:v>
                </c:pt>
                <c:pt idx="87">
                  <c:v>3.4260000000000002</c:v>
                </c:pt>
                <c:pt idx="88">
                  <c:v>4.782</c:v>
                </c:pt>
                <c:pt idx="89">
                  <c:v>5.7519999999999998</c:v>
                </c:pt>
                <c:pt idx="90">
                  <c:v>9.76</c:v>
                </c:pt>
                <c:pt idx="91">
                  <c:v>5.7089999999999996</c:v>
                </c:pt>
                <c:pt idx="92">
                  <c:v>9.2899999999999991</c:v>
                </c:pt>
                <c:pt idx="93">
                  <c:v>8.35</c:v>
                </c:pt>
                <c:pt idx="94">
                  <c:v>6.7</c:v>
                </c:pt>
                <c:pt idx="95">
                  <c:v>1.984</c:v>
                </c:pt>
                <c:pt idx="96">
                  <c:v>1.1910000000000001</c:v>
                </c:pt>
                <c:pt idx="97">
                  <c:v>6.9160000000000004</c:v>
                </c:pt>
                <c:pt idx="98">
                  <c:v>12.55</c:v>
                </c:pt>
                <c:pt idx="99">
                  <c:v>10.48</c:v>
                </c:pt>
                <c:pt idx="100">
                  <c:v>9.77</c:v>
                </c:pt>
                <c:pt idx="101">
                  <c:v>11.57</c:v>
                </c:pt>
                <c:pt idx="102">
                  <c:v>10.51</c:v>
                </c:pt>
                <c:pt idx="103">
                  <c:v>3.8570000000000002</c:v>
                </c:pt>
                <c:pt idx="104">
                  <c:v>-0.25900000000000001</c:v>
                </c:pt>
                <c:pt idx="105">
                  <c:v>5.8360000000000003</c:v>
                </c:pt>
                <c:pt idx="106">
                  <c:v>6.9889999999999999</c:v>
                </c:pt>
                <c:pt idx="107">
                  <c:v>8.5500000000000007</c:v>
                </c:pt>
                <c:pt idx="108">
                  <c:v>13.08</c:v>
                </c:pt>
                <c:pt idx="109">
                  <c:v>13.99</c:v>
                </c:pt>
                <c:pt idx="110">
                  <c:v>9.17</c:v>
                </c:pt>
                <c:pt idx="111">
                  <c:v>12.92</c:v>
                </c:pt>
                <c:pt idx="112">
                  <c:v>10.029999999999999</c:v>
                </c:pt>
                <c:pt idx="113">
                  <c:v>7.15</c:v>
                </c:pt>
                <c:pt idx="114">
                  <c:v>5.1660000000000004</c:v>
                </c:pt>
                <c:pt idx="115">
                  <c:v>4.085</c:v>
                </c:pt>
                <c:pt idx="116">
                  <c:v>8.56</c:v>
                </c:pt>
                <c:pt idx="117">
                  <c:v>17.46</c:v>
                </c:pt>
                <c:pt idx="118">
                  <c:v>5.92</c:v>
                </c:pt>
                <c:pt idx="119">
                  <c:v>8.74</c:v>
                </c:pt>
                <c:pt idx="120">
                  <c:v>9.94</c:v>
                </c:pt>
                <c:pt idx="121">
                  <c:v>9.32</c:v>
                </c:pt>
                <c:pt idx="122">
                  <c:v>11.86</c:v>
                </c:pt>
                <c:pt idx="123">
                  <c:v>6.2779999999999996</c:v>
                </c:pt>
                <c:pt idx="124">
                  <c:v>6.8890000000000002</c:v>
                </c:pt>
                <c:pt idx="125">
                  <c:v>4.899</c:v>
                </c:pt>
                <c:pt idx="126">
                  <c:v>7.67</c:v>
                </c:pt>
                <c:pt idx="127">
                  <c:v>6.4450000000000003</c:v>
                </c:pt>
                <c:pt idx="128">
                  <c:v>11.04</c:v>
                </c:pt>
                <c:pt idx="129">
                  <c:v>7.86</c:v>
                </c:pt>
                <c:pt idx="130">
                  <c:v>5.3289999999999997</c:v>
                </c:pt>
                <c:pt idx="131">
                  <c:v>3.3130000000000002</c:v>
                </c:pt>
                <c:pt idx="132">
                  <c:v>8.27</c:v>
                </c:pt>
                <c:pt idx="133">
                  <c:v>9.4</c:v>
                </c:pt>
                <c:pt idx="134">
                  <c:v>11.96</c:v>
                </c:pt>
                <c:pt idx="135">
                  <c:v>15.65</c:v>
                </c:pt>
                <c:pt idx="136">
                  <c:v>16.96</c:v>
                </c:pt>
                <c:pt idx="137">
                  <c:v>14.45</c:v>
                </c:pt>
                <c:pt idx="138">
                  <c:v>13.55</c:v>
                </c:pt>
                <c:pt idx="139">
                  <c:v>12.49</c:v>
                </c:pt>
                <c:pt idx="140">
                  <c:v>10.43</c:v>
                </c:pt>
                <c:pt idx="141">
                  <c:v>11.53</c:v>
                </c:pt>
                <c:pt idx="142">
                  <c:v>9.34</c:v>
                </c:pt>
                <c:pt idx="143">
                  <c:v>9.19</c:v>
                </c:pt>
                <c:pt idx="144">
                  <c:v>11.46</c:v>
                </c:pt>
                <c:pt idx="145">
                  <c:v>13.08</c:v>
                </c:pt>
                <c:pt idx="146">
                  <c:v>9.16</c:v>
                </c:pt>
                <c:pt idx="147">
                  <c:v>11.27</c:v>
                </c:pt>
                <c:pt idx="148">
                  <c:v>10.88</c:v>
                </c:pt>
                <c:pt idx="149">
                  <c:v>9.26</c:v>
                </c:pt>
                <c:pt idx="150">
                  <c:v>15.99</c:v>
                </c:pt>
                <c:pt idx="151">
                  <c:v>12.52</c:v>
                </c:pt>
                <c:pt idx="262">
                  <c:v>14.69</c:v>
                </c:pt>
                <c:pt idx="263">
                  <c:v>7.86</c:v>
                </c:pt>
                <c:pt idx="264">
                  <c:v>8.69</c:v>
                </c:pt>
                <c:pt idx="265">
                  <c:v>8.75</c:v>
                </c:pt>
                <c:pt idx="266">
                  <c:v>12.61</c:v>
                </c:pt>
                <c:pt idx="267">
                  <c:v>16.510000000000002</c:v>
                </c:pt>
                <c:pt idx="268">
                  <c:v>18.600000000000001</c:v>
                </c:pt>
                <c:pt idx="269">
                  <c:v>19.32</c:v>
                </c:pt>
                <c:pt idx="270">
                  <c:v>20.56</c:v>
                </c:pt>
                <c:pt idx="271">
                  <c:v>18.350000000000001</c:v>
                </c:pt>
                <c:pt idx="272">
                  <c:v>12.21</c:v>
                </c:pt>
                <c:pt idx="273">
                  <c:v>13.51</c:v>
                </c:pt>
                <c:pt idx="274">
                  <c:v>9.44</c:v>
                </c:pt>
                <c:pt idx="275">
                  <c:v>6.7460000000000004</c:v>
                </c:pt>
                <c:pt idx="276">
                  <c:v>8.06</c:v>
                </c:pt>
                <c:pt idx="277">
                  <c:v>5.7149999999999999</c:v>
                </c:pt>
                <c:pt idx="278">
                  <c:v>6.0279999999999996</c:v>
                </c:pt>
                <c:pt idx="279">
                  <c:v>14.62</c:v>
                </c:pt>
                <c:pt idx="280">
                  <c:v>18.48</c:v>
                </c:pt>
                <c:pt idx="281">
                  <c:v>17.28</c:v>
                </c:pt>
                <c:pt idx="282">
                  <c:v>15.78</c:v>
                </c:pt>
                <c:pt idx="283">
                  <c:v>10.87</c:v>
                </c:pt>
                <c:pt idx="284">
                  <c:v>5.6029999999999998</c:v>
                </c:pt>
                <c:pt idx="285">
                  <c:v>14.62</c:v>
                </c:pt>
                <c:pt idx="286">
                  <c:v>11.18</c:v>
                </c:pt>
                <c:pt idx="287">
                  <c:v>3.9630000000000001</c:v>
                </c:pt>
                <c:pt idx="288">
                  <c:v>8.8000000000000007</c:v>
                </c:pt>
                <c:pt idx="289">
                  <c:v>5.1230000000000002</c:v>
                </c:pt>
                <c:pt idx="290">
                  <c:v>9.3800000000000008</c:v>
                </c:pt>
                <c:pt idx="291">
                  <c:v>10.08</c:v>
                </c:pt>
                <c:pt idx="292">
                  <c:v>5.3440000000000003</c:v>
                </c:pt>
                <c:pt idx="293">
                  <c:v>7.62</c:v>
                </c:pt>
                <c:pt idx="294">
                  <c:v>2.42</c:v>
                </c:pt>
                <c:pt idx="295">
                  <c:v>3.27</c:v>
                </c:pt>
                <c:pt idx="296">
                  <c:v>12.51</c:v>
                </c:pt>
                <c:pt idx="297">
                  <c:v>11.39</c:v>
                </c:pt>
                <c:pt idx="298">
                  <c:v>11.45</c:v>
                </c:pt>
                <c:pt idx="299">
                  <c:v>14.04</c:v>
                </c:pt>
                <c:pt idx="300">
                  <c:v>5.383</c:v>
                </c:pt>
                <c:pt idx="301">
                  <c:v>3.7269999999999999</c:v>
                </c:pt>
                <c:pt idx="302">
                  <c:v>1.857</c:v>
                </c:pt>
                <c:pt idx="303">
                  <c:v>2.2749999999999999</c:v>
                </c:pt>
                <c:pt idx="304">
                  <c:v>-0.17799999999999999</c:v>
                </c:pt>
                <c:pt idx="305">
                  <c:v>0.35099999999999998</c:v>
                </c:pt>
                <c:pt idx="306">
                  <c:v>3.746</c:v>
                </c:pt>
                <c:pt idx="307">
                  <c:v>3.5990000000000002</c:v>
                </c:pt>
                <c:pt idx="308">
                  <c:v>3.1739999999999999</c:v>
                </c:pt>
                <c:pt idx="309">
                  <c:v>-1.4430000000000001</c:v>
                </c:pt>
                <c:pt idx="310">
                  <c:v>-0.86</c:v>
                </c:pt>
                <c:pt idx="311">
                  <c:v>-1.9359999999999999</c:v>
                </c:pt>
                <c:pt idx="312">
                  <c:v>-1.1080000000000001</c:v>
                </c:pt>
                <c:pt idx="313">
                  <c:v>-1.5409999999999999</c:v>
                </c:pt>
                <c:pt idx="314">
                  <c:v>-5.8840000000000003</c:v>
                </c:pt>
                <c:pt idx="315">
                  <c:v>-8.08</c:v>
                </c:pt>
                <c:pt idx="316">
                  <c:v>-4.2359999999999998</c:v>
                </c:pt>
                <c:pt idx="317">
                  <c:v>-5.4580000000000002</c:v>
                </c:pt>
                <c:pt idx="318">
                  <c:v>-7.11</c:v>
                </c:pt>
                <c:pt idx="319">
                  <c:v>-8.0500000000000007</c:v>
                </c:pt>
                <c:pt idx="320">
                  <c:v>-8.8800000000000008</c:v>
                </c:pt>
                <c:pt idx="321">
                  <c:v>-7.49</c:v>
                </c:pt>
                <c:pt idx="322">
                  <c:v>-0.86499999999999999</c:v>
                </c:pt>
                <c:pt idx="323">
                  <c:v>-2.0550000000000002</c:v>
                </c:pt>
                <c:pt idx="324">
                  <c:v>1.5049999999999999</c:v>
                </c:pt>
                <c:pt idx="325">
                  <c:v>5.2830000000000004</c:v>
                </c:pt>
                <c:pt idx="326">
                  <c:v>3.4180000000000001</c:v>
                </c:pt>
                <c:pt idx="327">
                  <c:v>-1.5940000000000001</c:v>
                </c:pt>
                <c:pt idx="328">
                  <c:v>-1.0780000000000001</c:v>
                </c:pt>
                <c:pt idx="329">
                  <c:v>-0.39800000000000002</c:v>
                </c:pt>
                <c:pt idx="330">
                  <c:v>-8.0000000000000002E-3</c:v>
                </c:pt>
                <c:pt idx="331">
                  <c:v>-4.2</c:v>
                </c:pt>
                <c:pt idx="332">
                  <c:v>0.67100000000000004</c:v>
                </c:pt>
                <c:pt idx="333">
                  <c:v>-3.34</c:v>
                </c:pt>
                <c:pt idx="334">
                  <c:v>-1.8149999999999999</c:v>
                </c:pt>
                <c:pt idx="335">
                  <c:v>1.4E-2</c:v>
                </c:pt>
                <c:pt idx="336">
                  <c:v>1.0880000000000001</c:v>
                </c:pt>
                <c:pt idx="337">
                  <c:v>0.78500000000000003</c:v>
                </c:pt>
                <c:pt idx="338">
                  <c:v>-3.4790000000000001</c:v>
                </c:pt>
                <c:pt idx="339">
                  <c:v>-3.4260000000000002</c:v>
                </c:pt>
                <c:pt idx="340">
                  <c:v>1.7849999999999999</c:v>
                </c:pt>
                <c:pt idx="341">
                  <c:v>-5.1849999999999996</c:v>
                </c:pt>
                <c:pt idx="342">
                  <c:v>-4.6970000000000001</c:v>
                </c:pt>
                <c:pt idx="343">
                  <c:v>-8.99</c:v>
                </c:pt>
                <c:pt idx="344">
                  <c:v>-13.4</c:v>
                </c:pt>
                <c:pt idx="345">
                  <c:v>-15.39</c:v>
                </c:pt>
                <c:pt idx="346">
                  <c:v>-15.84</c:v>
                </c:pt>
                <c:pt idx="347">
                  <c:v>-13.43</c:v>
                </c:pt>
                <c:pt idx="348">
                  <c:v>-11.07</c:v>
                </c:pt>
                <c:pt idx="349">
                  <c:v>-13.53</c:v>
                </c:pt>
                <c:pt idx="350">
                  <c:v>-8.02</c:v>
                </c:pt>
                <c:pt idx="351">
                  <c:v>-6.0140000000000002</c:v>
                </c:pt>
                <c:pt idx="352">
                  <c:v>-5.3609999999999998</c:v>
                </c:pt>
                <c:pt idx="353">
                  <c:v>-7.27</c:v>
                </c:pt>
                <c:pt idx="354">
                  <c:v>-8.08</c:v>
                </c:pt>
                <c:pt idx="355">
                  <c:v>-3.2829999999999999</c:v>
                </c:pt>
                <c:pt idx="356">
                  <c:v>-2.3319999999999999</c:v>
                </c:pt>
                <c:pt idx="357">
                  <c:v>1.744</c:v>
                </c:pt>
                <c:pt idx="358">
                  <c:v>-3.1859999999999999</c:v>
                </c:pt>
                <c:pt idx="359">
                  <c:v>-2.23</c:v>
                </c:pt>
                <c:pt idx="360">
                  <c:v>-1.9319999999999999</c:v>
                </c:pt>
                <c:pt idx="361">
                  <c:v>-2.214</c:v>
                </c:pt>
                <c:pt idx="362">
                  <c:v>-5.1349999999999998</c:v>
                </c:pt>
                <c:pt idx="363">
                  <c:v>-3.9889999999999999</c:v>
                </c:pt>
                <c:pt idx="364">
                  <c:v>3.5670000000000002</c:v>
                </c:pt>
                <c:pt idx="365">
                  <c:v>-2.1259999999999999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75">
                  <c:v>-4.7830000000000004</c:v>
                </c:pt>
                <c:pt idx="76">
                  <c:v>-6.4160000000000004</c:v>
                </c:pt>
                <c:pt idx="77">
                  <c:v>-6.3860000000000001</c:v>
                </c:pt>
                <c:pt idx="78">
                  <c:v>-14.06</c:v>
                </c:pt>
                <c:pt idx="79">
                  <c:v>-17.559999999999999</c:v>
                </c:pt>
                <c:pt idx="80">
                  <c:v>-5.649</c:v>
                </c:pt>
                <c:pt idx="81">
                  <c:v>-5.3179999999999996</c:v>
                </c:pt>
                <c:pt idx="82">
                  <c:v>-6.2969999999999997</c:v>
                </c:pt>
                <c:pt idx="83">
                  <c:v>-6.4160000000000004</c:v>
                </c:pt>
                <c:pt idx="84">
                  <c:v>-11.88</c:v>
                </c:pt>
                <c:pt idx="85">
                  <c:v>-14.11</c:v>
                </c:pt>
                <c:pt idx="86">
                  <c:v>-7.38</c:v>
                </c:pt>
                <c:pt idx="87">
                  <c:v>-8.6</c:v>
                </c:pt>
                <c:pt idx="88">
                  <c:v>-13.82</c:v>
                </c:pt>
                <c:pt idx="89">
                  <c:v>-15.4</c:v>
                </c:pt>
                <c:pt idx="90">
                  <c:v>-12.29</c:v>
                </c:pt>
                <c:pt idx="91">
                  <c:v>-3.234</c:v>
                </c:pt>
                <c:pt idx="92">
                  <c:v>-4.1539999999999999</c:v>
                </c:pt>
                <c:pt idx="93">
                  <c:v>-4.3659999999999997</c:v>
                </c:pt>
                <c:pt idx="94">
                  <c:v>-4.7069999999999999</c:v>
                </c:pt>
                <c:pt idx="95">
                  <c:v>-4.9269999999999996</c:v>
                </c:pt>
                <c:pt idx="96">
                  <c:v>-14.71</c:v>
                </c:pt>
                <c:pt idx="97">
                  <c:v>-16.13</c:v>
                </c:pt>
                <c:pt idx="98">
                  <c:v>-5.6950000000000003</c:v>
                </c:pt>
                <c:pt idx="99">
                  <c:v>-6.1790000000000003</c:v>
                </c:pt>
                <c:pt idx="100">
                  <c:v>-7.43</c:v>
                </c:pt>
                <c:pt idx="101">
                  <c:v>-6.2690000000000001</c:v>
                </c:pt>
                <c:pt idx="102">
                  <c:v>-5.641</c:v>
                </c:pt>
                <c:pt idx="103">
                  <c:v>-5.327</c:v>
                </c:pt>
                <c:pt idx="104">
                  <c:v>-6.2030000000000003</c:v>
                </c:pt>
                <c:pt idx="105">
                  <c:v>-4.0949999999999998</c:v>
                </c:pt>
                <c:pt idx="106">
                  <c:v>-7.5</c:v>
                </c:pt>
                <c:pt idx="107">
                  <c:v>-8.83</c:v>
                </c:pt>
                <c:pt idx="108">
                  <c:v>-8.33</c:v>
                </c:pt>
                <c:pt idx="109">
                  <c:v>-6.3220000000000001</c:v>
                </c:pt>
                <c:pt idx="110">
                  <c:v>-4.2729999999999997</c:v>
                </c:pt>
                <c:pt idx="111">
                  <c:v>-2.593</c:v>
                </c:pt>
                <c:pt idx="112">
                  <c:v>-3.4609999999999999</c:v>
                </c:pt>
                <c:pt idx="113">
                  <c:v>-6.5339999999999998</c:v>
                </c:pt>
                <c:pt idx="114">
                  <c:v>-8.99</c:v>
                </c:pt>
                <c:pt idx="115">
                  <c:v>-9.4700000000000006</c:v>
                </c:pt>
                <c:pt idx="116">
                  <c:v>-7.25</c:v>
                </c:pt>
                <c:pt idx="117">
                  <c:v>0.41099999999999998</c:v>
                </c:pt>
                <c:pt idx="118">
                  <c:v>-4.7370000000000001</c:v>
                </c:pt>
                <c:pt idx="119">
                  <c:v>-6.798</c:v>
                </c:pt>
                <c:pt idx="120">
                  <c:v>-0.88100000000000001</c:v>
                </c:pt>
                <c:pt idx="121">
                  <c:v>-0.86699999999999999</c:v>
                </c:pt>
                <c:pt idx="122">
                  <c:v>-0.76800000000000002</c:v>
                </c:pt>
                <c:pt idx="123">
                  <c:v>-6.1349999999999998</c:v>
                </c:pt>
                <c:pt idx="124">
                  <c:v>-8.1999999999999993</c:v>
                </c:pt>
                <c:pt idx="125">
                  <c:v>-8.9700000000000006</c:v>
                </c:pt>
                <c:pt idx="126">
                  <c:v>-9.7899999999999991</c:v>
                </c:pt>
                <c:pt idx="127">
                  <c:v>-9.74</c:v>
                </c:pt>
                <c:pt idx="128">
                  <c:v>-8.24</c:v>
                </c:pt>
                <c:pt idx="129">
                  <c:v>-3.61</c:v>
                </c:pt>
                <c:pt idx="130">
                  <c:v>-1.9119999999999999</c:v>
                </c:pt>
                <c:pt idx="131">
                  <c:v>-2.1139999999999999</c:v>
                </c:pt>
                <c:pt idx="132">
                  <c:v>-2.9350000000000001</c:v>
                </c:pt>
                <c:pt idx="133">
                  <c:v>-2.68</c:v>
                </c:pt>
                <c:pt idx="134">
                  <c:v>-3.9889999999999999</c:v>
                </c:pt>
                <c:pt idx="135">
                  <c:v>-1.5660000000000001</c:v>
                </c:pt>
                <c:pt idx="136">
                  <c:v>-1.522</c:v>
                </c:pt>
                <c:pt idx="137">
                  <c:v>-1.8580000000000001</c:v>
                </c:pt>
                <c:pt idx="138">
                  <c:v>-2.363</c:v>
                </c:pt>
                <c:pt idx="139">
                  <c:v>-0.248</c:v>
                </c:pt>
                <c:pt idx="140">
                  <c:v>-1.7030000000000001</c:v>
                </c:pt>
                <c:pt idx="141">
                  <c:v>1.1100000000000001</c:v>
                </c:pt>
                <c:pt idx="142">
                  <c:v>-1.464</c:v>
                </c:pt>
                <c:pt idx="143">
                  <c:v>-3.4569999999999999</c:v>
                </c:pt>
                <c:pt idx="144">
                  <c:v>-5.26</c:v>
                </c:pt>
                <c:pt idx="145">
                  <c:v>-3.8210000000000002</c:v>
                </c:pt>
                <c:pt idx="146">
                  <c:v>-3.7240000000000002</c:v>
                </c:pt>
                <c:pt idx="147">
                  <c:v>-1.089</c:v>
                </c:pt>
                <c:pt idx="148">
                  <c:v>-1.3520000000000001</c:v>
                </c:pt>
                <c:pt idx="149">
                  <c:v>-2.569</c:v>
                </c:pt>
                <c:pt idx="150">
                  <c:v>-3.7559999999999998</c:v>
                </c:pt>
                <c:pt idx="151">
                  <c:v>-3.0049999999999999</c:v>
                </c:pt>
                <c:pt idx="262">
                  <c:v>-0.83399999999999996</c:v>
                </c:pt>
                <c:pt idx="263">
                  <c:v>0.88200000000000001</c:v>
                </c:pt>
                <c:pt idx="264">
                  <c:v>-3.694</c:v>
                </c:pt>
                <c:pt idx="265">
                  <c:v>-7.28</c:v>
                </c:pt>
                <c:pt idx="266">
                  <c:v>-7.1</c:v>
                </c:pt>
                <c:pt idx="267">
                  <c:v>-4.8230000000000004</c:v>
                </c:pt>
                <c:pt idx="268">
                  <c:v>-3.496</c:v>
                </c:pt>
                <c:pt idx="269">
                  <c:v>-2.9510000000000001</c:v>
                </c:pt>
                <c:pt idx="270">
                  <c:v>-2.6589999999999998</c:v>
                </c:pt>
                <c:pt idx="271">
                  <c:v>-1.2509999999999999</c:v>
                </c:pt>
                <c:pt idx="272">
                  <c:v>3.653</c:v>
                </c:pt>
                <c:pt idx="273">
                  <c:v>-1.1559999999999999</c:v>
                </c:pt>
                <c:pt idx="274">
                  <c:v>-2.8969999999999998</c:v>
                </c:pt>
                <c:pt idx="275">
                  <c:v>-4.4749999999999996</c:v>
                </c:pt>
                <c:pt idx="276">
                  <c:v>-7.11</c:v>
                </c:pt>
                <c:pt idx="277">
                  <c:v>-8.9700000000000006</c:v>
                </c:pt>
                <c:pt idx="278">
                  <c:v>-11</c:v>
                </c:pt>
                <c:pt idx="279">
                  <c:v>-9.35</c:v>
                </c:pt>
                <c:pt idx="280">
                  <c:v>-4.3090000000000002</c:v>
                </c:pt>
                <c:pt idx="281">
                  <c:v>-3.8740000000000001</c:v>
                </c:pt>
                <c:pt idx="282">
                  <c:v>1.403</c:v>
                </c:pt>
                <c:pt idx="283">
                  <c:v>-1.825</c:v>
                </c:pt>
                <c:pt idx="284">
                  <c:v>0.376</c:v>
                </c:pt>
                <c:pt idx="285">
                  <c:v>-2.9620000000000002</c:v>
                </c:pt>
                <c:pt idx="286">
                  <c:v>-4.95</c:v>
                </c:pt>
                <c:pt idx="287">
                  <c:v>-2.8540000000000001</c:v>
                </c:pt>
                <c:pt idx="288">
                  <c:v>-5.2229999999999999</c:v>
                </c:pt>
                <c:pt idx="289">
                  <c:v>-0.187</c:v>
                </c:pt>
                <c:pt idx="290">
                  <c:v>6.4000000000000001E-2</c:v>
                </c:pt>
                <c:pt idx="291">
                  <c:v>-3.7909999999999999</c:v>
                </c:pt>
                <c:pt idx="292">
                  <c:v>-5.9329999999999998</c:v>
                </c:pt>
                <c:pt idx="293">
                  <c:v>-1.4370000000000001</c:v>
                </c:pt>
                <c:pt idx="294">
                  <c:v>-8.9600000000000009</c:v>
                </c:pt>
                <c:pt idx="295">
                  <c:v>-8.42</c:v>
                </c:pt>
                <c:pt idx="296">
                  <c:v>-2.3519999999999999</c:v>
                </c:pt>
                <c:pt idx="297">
                  <c:v>-3.1829999999999998</c:v>
                </c:pt>
                <c:pt idx="298">
                  <c:v>-4.4470000000000001</c:v>
                </c:pt>
                <c:pt idx="299">
                  <c:v>-4.4210000000000003</c:v>
                </c:pt>
                <c:pt idx="300">
                  <c:v>0.32300000000000001</c:v>
                </c:pt>
                <c:pt idx="301">
                  <c:v>-5.4420000000000002</c:v>
                </c:pt>
                <c:pt idx="302">
                  <c:v>-5.6779999999999999</c:v>
                </c:pt>
                <c:pt idx="303">
                  <c:v>-3.6869999999999998</c:v>
                </c:pt>
                <c:pt idx="304">
                  <c:v>-2.8220000000000001</c:v>
                </c:pt>
                <c:pt idx="305">
                  <c:v>-10.74</c:v>
                </c:pt>
                <c:pt idx="306">
                  <c:v>-10.8</c:v>
                </c:pt>
                <c:pt idx="307">
                  <c:v>-5.2149999999999999</c:v>
                </c:pt>
                <c:pt idx="308">
                  <c:v>-3.746</c:v>
                </c:pt>
                <c:pt idx="309">
                  <c:v>-13.24</c:v>
                </c:pt>
                <c:pt idx="310">
                  <c:v>-13.13</c:v>
                </c:pt>
                <c:pt idx="311">
                  <c:v>-5.7809999999999997</c:v>
                </c:pt>
                <c:pt idx="312">
                  <c:v>-7.09</c:v>
                </c:pt>
                <c:pt idx="313">
                  <c:v>-13.51</c:v>
                </c:pt>
                <c:pt idx="314">
                  <c:v>-15.36</c:v>
                </c:pt>
                <c:pt idx="315">
                  <c:v>-12.76</c:v>
                </c:pt>
                <c:pt idx="316">
                  <c:v>-10.130000000000001</c:v>
                </c:pt>
                <c:pt idx="317">
                  <c:v>-16.13</c:v>
                </c:pt>
                <c:pt idx="318">
                  <c:v>-16.829999999999998</c:v>
                </c:pt>
                <c:pt idx="319">
                  <c:v>-9.3000000000000007</c:v>
                </c:pt>
                <c:pt idx="320">
                  <c:v>-10.210000000000001</c:v>
                </c:pt>
                <c:pt idx="321">
                  <c:v>-10.84</c:v>
                </c:pt>
                <c:pt idx="322">
                  <c:v>-9.99</c:v>
                </c:pt>
                <c:pt idx="323">
                  <c:v>-12.68</c:v>
                </c:pt>
                <c:pt idx="324">
                  <c:v>-13.33</c:v>
                </c:pt>
                <c:pt idx="325">
                  <c:v>-12.56</c:v>
                </c:pt>
                <c:pt idx="326">
                  <c:v>-14.42</c:v>
                </c:pt>
                <c:pt idx="327">
                  <c:v>-14.55</c:v>
                </c:pt>
                <c:pt idx="328">
                  <c:v>-5.8550000000000004</c:v>
                </c:pt>
                <c:pt idx="329">
                  <c:v>-4.9930000000000003</c:v>
                </c:pt>
                <c:pt idx="330">
                  <c:v>-6.9729999999999999</c:v>
                </c:pt>
                <c:pt idx="331">
                  <c:v>-10.15</c:v>
                </c:pt>
                <c:pt idx="332">
                  <c:v>-12.6</c:v>
                </c:pt>
                <c:pt idx="333">
                  <c:v>-7.48</c:v>
                </c:pt>
                <c:pt idx="334">
                  <c:v>-7.85</c:v>
                </c:pt>
                <c:pt idx="335">
                  <c:v>-8.23</c:v>
                </c:pt>
                <c:pt idx="336">
                  <c:v>-2.984</c:v>
                </c:pt>
                <c:pt idx="337">
                  <c:v>-17.739999999999998</c:v>
                </c:pt>
                <c:pt idx="338">
                  <c:v>-17.77</c:v>
                </c:pt>
                <c:pt idx="339">
                  <c:v>-13.46</c:v>
                </c:pt>
                <c:pt idx="340">
                  <c:v>-9.6999999999999993</c:v>
                </c:pt>
                <c:pt idx="341">
                  <c:v>-16.47</c:v>
                </c:pt>
                <c:pt idx="342">
                  <c:v>-13.44</c:v>
                </c:pt>
                <c:pt idx="343">
                  <c:v>-15.22</c:v>
                </c:pt>
                <c:pt idx="344">
                  <c:v>-20.28</c:v>
                </c:pt>
                <c:pt idx="345">
                  <c:v>-27.18</c:v>
                </c:pt>
                <c:pt idx="346">
                  <c:v>-27.14</c:v>
                </c:pt>
                <c:pt idx="347">
                  <c:v>-26.34</c:v>
                </c:pt>
                <c:pt idx="348">
                  <c:v>-25.93</c:v>
                </c:pt>
                <c:pt idx="349">
                  <c:v>-29.62</c:v>
                </c:pt>
                <c:pt idx="350">
                  <c:v>-23.68</c:v>
                </c:pt>
                <c:pt idx="351">
                  <c:v>-14.71</c:v>
                </c:pt>
                <c:pt idx="352">
                  <c:v>-17.309999999999999</c:v>
                </c:pt>
                <c:pt idx="353">
                  <c:v>-13.48</c:v>
                </c:pt>
                <c:pt idx="354">
                  <c:v>-22.91</c:v>
                </c:pt>
                <c:pt idx="355">
                  <c:v>-23.11</c:v>
                </c:pt>
                <c:pt idx="356">
                  <c:v>-7.92</c:v>
                </c:pt>
                <c:pt idx="357">
                  <c:v>-8.2899999999999991</c:v>
                </c:pt>
                <c:pt idx="358">
                  <c:v>-9.44</c:v>
                </c:pt>
                <c:pt idx="359">
                  <c:v>-10.8</c:v>
                </c:pt>
                <c:pt idx="360">
                  <c:v>-4.923</c:v>
                </c:pt>
                <c:pt idx="361">
                  <c:v>-12.38</c:v>
                </c:pt>
                <c:pt idx="362">
                  <c:v>-17.559999999999999</c:v>
                </c:pt>
                <c:pt idx="363">
                  <c:v>-9.7799999999999994</c:v>
                </c:pt>
                <c:pt idx="364">
                  <c:v>-10.74</c:v>
                </c:pt>
                <c:pt idx="365">
                  <c:v>-13.47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15488"/>
        <c:axId val="235217664"/>
      </c:lineChart>
      <c:catAx>
        <c:axId val="23521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1766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521766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15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148">
                  <c:v>13.17</c:v>
                </c:pt>
                <c:pt idx="149">
                  <c:v>11.85</c:v>
                </c:pt>
                <c:pt idx="150">
                  <c:v>18.190000000000001</c:v>
                </c:pt>
                <c:pt idx="151">
                  <c:v>14.05</c:v>
                </c:pt>
                <c:pt idx="262">
                  <c:v>15.29</c:v>
                </c:pt>
                <c:pt idx="263">
                  <c:v>8.24</c:v>
                </c:pt>
                <c:pt idx="264">
                  <c:v>11.11</c:v>
                </c:pt>
                <c:pt idx="265">
                  <c:v>12.29</c:v>
                </c:pt>
                <c:pt idx="266">
                  <c:v>13.66</c:v>
                </c:pt>
                <c:pt idx="267">
                  <c:v>18.25</c:v>
                </c:pt>
                <c:pt idx="268">
                  <c:v>20.79</c:v>
                </c:pt>
                <c:pt idx="269">
                  <c:v>20.78</c:v>
                </c:pt>
                <c:pt idx="270">
                  <c:v>22.28</c:v>
                </c:pt>
                <c:pt idx="271">
                  <c:v>19.25</c:v>
                </c:pt>
                <c:pt idx="272">
                  <c:v>12.02</c:v>
                </c:pt>
                <c:pt idx="273">
                  <c:v>15.51</c:v>
                </c:pt>
                <c:pt idx="274">
                  <c:v>11.19</c:v>
                </c:pt>
                <c:pt idx="275">
                  <c:v>8.91</c:v>
                </c:pt>
                <c:pt idx="276">
                  <c:v>10.31</c:v>
                </c:pt>
                <c:pt idx="277">
                  <c:v>7.85</c:v>
                </c:pt>
                <c:pt idx="278">
                  <c:v>7.33</c:v>
                </c:pt>
                <c:pt idx="279">
                  <c:v>16.89</c:v>
                </c:pt>
                <c:pt idx="280">
                  <c:v>21.35</c:v>
                </c:pt>
                <c:pt idx="281">
                  <c:v>17.96</c:v>
                </c:pt>
                <c:pt idx="282">
                  <c:v>16.579999999999998</c:v>
                </c:pt>
                <c:pt idx="283">
                  <c:v>12.18</c:v>
                </c:pt>
                <c:pt idx="284">
                  <c:v>5.9969999999999999</c:v>
                </c:pt>
                <c:pt idx="285">
                  <c:v>16.559999999999999</c:v>
                </c:pt>
                <c:pt idx="286">
                  <c:v>12.99</c:v>
                </c:pt>
                <c:pt idx="287">
                  <c:v>4.9989999999999997</c:v>
                </c:pt>
                <c:pt idx="288">
                  <c:v>10.55</c:v>
                </c:pt>
                <c:pt idx="289">
                  <c:v>4.9539999999999997</c:v>
                </c:pt>
                <c:pt idx="290">
                  <c:v>9.7200000000000006</c:v>
                </c:pt>
                <c:pt idx="291">
                  <c:v>9.5</c:v>
                </c:pt>
                <c:pt idx="292">
                  <c:v>6.5590000000000002</c:v>
                </c:pt>
                <c:pt idx="293">
                  <c:v>7.83</c:v>
                </c:pt>
                <c:pt idx="294">
                  <c:v>3.91</c:v>
                </c:pt>
                <c:pt idx="295">
                  <c:v>4.915</c:v>
                </c:pt>
                <c:pt idx="296">
                  <c:v>15.66</c:v>
                </c:pt>
                <c:pt idx="297">
                  <c:v>14.55</c:v>
                </c:pt>
                <c:pt idx="298">
                  <c:v>15.24</c:v>
                </c:pt>
                <c:pt idx="299">
                  <c:v>16.97</c:v>
                </c:pt>
                <c:pt idx="300">
                  <c:v>5.2510000000000003</c:v>
                </c:pt>
                <c:pt idx="301">
                  <c:v>3.4889999999999999</c:v>
                </c:pt>
                <c:pt idx="302">
                  <c:v>2.6549999999999998</c:v>
                </c:pt>
                <c:pt idx="303">
                  <c:v>4.0519999999999996</c:v>
                </c:pt>
                <c:pt idx="304">
                  <c:v>-3.5000000000000003E-2</c:v>
                </c:pt>
                <c:pt idx="305">
                  <c:v>1.3580000000000001</c:v>
                </c:pt>
                <c:pt idx="306">
                  <c:v>4.4790000000000001</c:v>
                </c:pt>
                <c:pt idx="307">
                  <c:v>3.08</c:v>
                </c:pt>
                <c:pt idx="308">
                  <c:v>2.9369999999999998</c:v>
                </c:pt>
                <c:pt idx="309">
                  <c:v>3.306</c:v>
                </c:pt>
                <c:pt idx="310">
                  <c:v>3.036</c:v>
                </c:pt>
                <c:pt idx="311">
                  <c:v>-1.306</c:v>
                </c:pt>
                <c:pt idx="312">
                  <c:v>-3.0000000000000001E-3</c:v>
                </c:pt>
                <c:pt idx="313">
                  <c:v>-0.73199999999999998</c:v>
                </c:pt>
                <c:pt idx="314">
                  <c:v>-3.6429999999999998</c:v>
                </c:pt>
                <c:pt idx="315">
                  <c:v>-6.0839999999999996</c:v>
                </c:pt>
                <c:pt idx="316">
                  <c:v>-0.76600000000000001</c:v>
                </c:pt>
                <c:pt idx="317">
                  <c:v>-4.7009999999999996</c:v>
                </c:pt>
                <c:pt idx="318">
                  <c:v>-6.056</c:v>
                </c:pt>
                <c:pt idx="319">
                  <c:v>-7.28</c:v>
                </c:pt>
                <c:pt idx="320">
                  <c:v>-8.49</c:v>
                </c:pt>
                <c:pt idx="321">
                  <c:v>-5.2350000000000003</c:v>
                </c:pt>
                <c:pt idx="322">
                  <c:v>0.94099999999999995</c:v>
                </c:pt>
                <c:pt idx="323">
                  <c:v>-0.77500000000000002</c:v>
                </c:pt>
                <c:pt idx="324">
                  <c:v>1.3169999999999999</c:v>
                </c:pt>
                <c:pt idx="325">
                  <c:v>6.9050000000000002</c:v>
                </c:pt>
                <c:pt idx="326">
                  <c:v>7.27</c:v>
                </c:pt>
                <c:pt idx="327">
                  <c:v>-0.59399999999999997</c:v>
                </c:pt>
                <c:pt idx="328">
                  <c:v>0.109</c:v>
                </c:pt>
                <c:pt idx="329">
                  <c:v>-2.032</c:v>
                </c:pt>
                <c:pt idx="330">
                  <c:v>1.76</c:v>
                </c:pt>
                <c:pt idx="331">
                  <c:v>-4.2519999999999998</c:v>
                </c:pt>
                <c:pt idx="332">
                  <c:v>1.9059999999999999</c:v>
                </c:pt>
                <c:pt idx="333">
                  <c:v>-3.2650000000000001</c:v>
                </c:pt>
                <c:pt idx="334">
                  <c:v>-0.52400000000000002</c:v>
                </c:pt>
                <c:pt idx="335">
                  <c:v>0.56799999999999995</c:v>
                </c:pt>
                <c:pt idx="336">
                  <c:v>2.39</c:v>
                </c:pt>
                <c:pt idx="337">
                  <c:v>2.004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Data!$AK$7:$AK$372</c:f>
              <c:numCache>
                <c:formatCode>General</c:formatCode>
                <c:ptCount val="366"/>
                <c:pt idx="148">
                  <c:v>-1.7290000000000001</c:v>
                </c:pt>
                <c:pt idx="149">
                  <c:v>-2.8</c:v>
                </c:pt>
                <c:pt idx="150">
                  <c:v>-3.9980000000000002</c:v>
                </c:pt>
                <c:pt idx="151">
                  <c:v>-3.2440000000000002</c:v>
                </c:pt>
                <c:pt idx="262">
                  <c:v>-1.2989999999999999</c:v>
                </c:pt>
                <c:pt idx="263">
                  <c:v>0.626</c:v>
                </c:pt>
                <c:pt idx="264">
                  <c:v>-4.5739999999999998</c:v>
                </c:pt>
                <c:pt idx="265">
                  <c:v>-8.0500000000000007</c:v>
                </c:pt>
                <c:pt idx="266">
                  <c:v>-7.59</c:v>
                </c:pt>
                <c:pt idx="267">
                  <c:v>-5.2830000000000004</c:v>
                </c:pt>
                <c:pt idx="268">
                  <c:v>-3.859</c:v>
                </c:pt>
                <c:pt idx="269">
                  <c:v>-3.38</c:v>
                </c:pt>
                <c:pt idx="270">
                  <c:v>-3.0390000000000001</c:v>
                </c:pt>
                <c:pt idx="271">
                  <c:v>-1.6379999999999999</c:v>
                </c:pt>
                <c:pt idx="272">
                  <c:v>3.5510000000000002</c:v>
                </c:pt>
                <c:pt idx="273">
                  <c:v>-1.673</c:v>
                </c:pt>
                <c:pt idx="274">
                  <c:v>-3.4049999999999998</c:v>
                </c:pt>
                <c:pt idx="275">
                  <c:v>-5.5960000000000001</c:v>
                </c:pt>
                <c:pt idx="276">
                  <c:v>-7.71</c:v>
                </c:pt>
                <c:pt idx="277">
                  <c:v>-9.6</c:v>
                </c:pt>
                <c:pt idx="278">
                  <c:v>-11.48</c:v>
                </c:pt>
                <c:pt idx="279">
                  <c:v>-9.86</c:v>
                </c:pt>
                <c:pt idx="280">
                  <c:v>-4.6050000000000004</c:v>
                </c:pt>
                <c:pt idx="281">
                  <c:v>-4.5709999999999997</c:v>
                </c:pt>
                <c:pt idx="282">
                  <c:v>1.1759999999999999</c:v>
                </c:pt>
                <c:pt idx="283">
                  <c:v>-2.246</c:v>
                </c:pt>
                <c:pt idx="284">
                  <c:v>0.46</c:v>
                </c:pt>
                <c:pt idx="285">
                  <c:v>-3.6339999999999999</c:v>
                </c:pt>
                <c:pt idx="286">
                  <c:v>-5.4859999999999998</c:v>
                </c:pt>
                <c:pt idx="287">
                  <c:v>-3.2229999999999999</c:v>
                </c:pt>
                <c:pt idx="288">
                  <c:v>-5.7709999999999999</c:v>
                </c:pt>
                <c:pt idx="289">
                  <c:v>-0.318</c:v>
                </c:pt>
                <c:pt idx="290">
                  <c:v>-5.6000000000000001E-2</c:v>
                </c:pt>
                <c:pt idx="291">
                  <c:v>-4.6790000000000003</c:v>
                </c:pt>
                <c:pt idx="292">
                  <c:v>-6.6459999999999999</c:v>
                </c:pt>
                <c:pt idx="293">
                  <c:v>-1.357</c:v>
                </c:pt>
                <c:pt idx="294">
                  <c:v>-9.39</c:v>
                </c:pt>
                <c:pt idx="295">
                  <c:v>-8.8000000000000007</c:v>
                </c:pt>
                <c:pt idx="296">
                  <c:v>-2.7480000000000002</c:v>
                </c:pt>
                <c:pt idx="297">
                  <c:v>-3.5139999999999998</c:v>
                </c:pt>
                <c:pt idx="298">
                  <c:v>-4.82</c:v>
                </c:pt>
                <c:pt idx="299">
                  <c:v>-4.843</c:v>
                </c:pt>
                <c:pt idx="300">
                  <c:v>0.77500000000000002</c:v>
                </c:pt>
                <c:pt idx="301">
                  <c:v>-6.14</c:v>
                </c:pt>
                <c:pt idx="302">
                  <c:v>-6.2370000000000001</c:v>
                </c:pt>
                <c:pt idx="303">
                  <c:v>-4.2389999999999999</c:v>
                </c:pt>
                <c:pt idx="304">
                  <c:v>-2.73</c:v>
                </c:pt>
                <c:pt idx="305">
                  <c:v>-10.98</c:v>
                </c:pt>
                <c:pt idx="306">
                  <c:v>-10.92</c:v>
                </c:pt>
                <c:pt idx="307">
                  <c:v>-5.633</c:v>
                </c:pt>
                <c:pt idx="308">
                  <c:v>-3.4849999999999999</c:v>
                </c:pt>
                <c:pt idx="309">
                  <c:v>-13.54</c:v>
                </c:pt>
                <c:pt idx="310">
                  <c:v>-13.48</c:v>
                </c:pt>
                <c:pt idx="311">
                  <c:v>-5.9770000000000003</c:v>
                </c:pt>
                <c:pt idx="312">
                  <c:v>-7.78</c:v>
                </c:pt>
                <c:pt idx="313">
                  <c:v>-14.07</c:v>
                </c:pt>
                <c:pt idx="314">
                  <c:v>-15.92</c:v>
                </c:pt>
                <c:pt idx="315">
                  <c:v>-13.51</c:v>
                </c:pt>
                <c:pt idx="316">
                  <c:v>-10.34</c:v>
                </c:pt>
                <c:pt idx="317">
                  <c:v>-16.559999999999999</c:v>
                </c:pt>
                <c:pt idx="318">
                  <c:v>-17.260000000000002</c:v>
                </c:pt>
                <c:pt idx="319">
                  <c:v>-9.2200000000000006</c:v>
                </c:pt>
                <c:pt idx="320">
                  <c:v>-10.09</c:v>
                </c:pt>
                <c:pt idx="321">
                  <c:v>-10.57</c:v>
                </c:pt>
                <c:pt idx="322">
                  <c:v>-11.5</c:v>
                </c:pt>
                <c:pt idx="323">
                  <c:v>-13.21</c:v>
                </c:pt>
                <c:pt idx="324">
                  <c:v>-14.08</c:v>
                </c:pt>
                <c:pt idx="325">
                  <c:v>-12.89</c:v>
                </c:pt>
                <c:pt idx="326">
                  <c:v>-14.87</c:v>
                </c:pt>
                <c:pt idx="327">
                  <c:v>-14.96</c:v>
                </c:pt>
                <c:pt idx="328">
                  <c:v>-5.6159999999999997</c:v>
                </c:pt>
                <c:pt idx="329">
                  <c:v>-5.5880000000000001</c:v>
                </c:pt>
                <c:pt idx="330">
                  <c:v>-7.98</c:v>
                </c:pt>
                <c:pt idx="331">
                  <c:v>-10.91</c:v>
                </c:pt>
                <c:pt idx="332">
                  <c:v>-13.45</c:v>
                </c:pt>
                <c:pt idx="333">
                  <c:v>-7.78</c:v>
                </c:pt>
                <c:pt idx="334">
                  <c:v>-8.7100000000000009</c:v>
                </c:pt>
                <c:pt idx="335">
                  <c:v>-9.08</c:v>
                </c:pt>
                <c:pt idx="336">
                  <c:v>-3.2269999999999999</c:v>
                </c:pt>
                <c:pt idx="337">
                  <c:v>-18.04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97344"/>
        <c:axId val="235499520"/>
      </c:lineChart>
      <c:catAx>
        <c:axId val="235497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49952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549952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497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61">
                  <c:v>-2.4E-2</c:v>
                </c:pt>
                <c:pt idx="62">
                  <c:v>-8.3000000000000004E-2</c:v>
                </c:pt>
                <c:pt idx="63">
                  <c:v>-6.4000000000000001E-2</c:v>
                </c:pt>
                <c:pt idx="64">
                  <c:v>-7.8E-2</c:v>
                </c:pt>
                <c:pt idx="65">
                  <c:v>-4.4999999999999998E-2</c:v>
                </c:pt>
                <c:pt idx="66">
                  <c:v>-0.152</c:v>
                </c:pt>
                <c:pt idx="67">
                  <c:v>-0.121</c:v>
                </c:pt>
                <c:pt idx="68">
                  <c:v>0</c:v>
                </c:pt>
                <c:pt idx="69">
                  <c:v>-7.0000000000000001E-3</c:v>
                </c:pt>
                <c:pt idx="70">
                  <c:v>-0.03</c:v>
                </c:pt>
                <c:pt idx="71">
                  <c:v>-6.0000000000000001E-3</c:v>
                </c:pt>
                <c:pt idx="72">
                  <c:v>1.0999999999999999E-2</c:v>
                </c:pt>
                <c:pt idx="73">
                  <c:v>5.0000000000000001E-3</c:v>
                </c:pt>
                <c:pt idx="74">
                  <c:v>3.5999999999999997E-2</c:v>
                </c:pt>
                <c:pt idx="75">
                  <c:v>4.1000000000000002E-2</c:v>
                </c:pt>
                <c:pt idx="76">
                  <c:v>5.5E-2</c:v>
                </c:pt>
                <c:pt idx="77">
                  <c:v>5.7000000000000002E-2</c:v>
                </c:pt>
                <c:pt idx="78">
                  <c:v>0.113</c:v>
                </c:pt>
                <c:pt idx="79">
                  <c:v>4.9000000000000002E-2</c:v>
                </c:pt>
                <c:pt idx="80">
                  <c:v>7.4999999999999997E-2</c:v>
                </c:pt>
                <c:pt idx="81">
                  <c:v>0.108</c:v>
                </c:pt>
                <c:pt idx="82">
                  <c:v>9.6000000000000002E-2</c:v>
                </c:pt>
                <c:pt idx="83">
                  <c:v>8.5000000000000006E-2</c:v>
                </c:pt>
                <c:pt idx="84">
                  <c:v>8.7999999999999995E-2</c:v>
                </c:pt>
                <c:pt idx="85">
                  <c:v>7.8E-2</c:v>
                </c:pt>
                <c:pt idx="86">
                  <c:v>0.112</c:v>
                </c:pt>
                <c:pt idx="87">
                  <c:v>0.1</c:v>
                </c:pt>
                <c:pt idx="88">
                  <c:v>9.6000000000000002E-2</c:v>
                </c:pt>
                <c:pt idx="89">
                  <c:v>8.1000000000000003E-2</c:v>
                </c:pt>
                <c:pt idx="90">
                  <c:v>8.7999999999999995E-2</c:v>
                </c:pt>
                <c:pt idx="91">
                  <c:v>0.10199999999999999</c:v>
                </c:pt>
                <c:pt idx="92">
                  <c:v>0.107</c:v>
                </c:pt>
                <c:pt idx="93">
                  <c:v>0.104</c:v>
                </c:pt>
                <c:pt idx="94">
                  <c:v>9.0999999999999998E-2</c:v>
                </c:pt>
                <c:pt idx="95">
                  <c:v>0.10199999999999999</c:v>
                </c:pt>
                <c:pt idx="96">
                  <c:v>8.5999999999999993E-2</c:v>
                </c:pt>
                <c:pt idx="97">
                  <c:v>9.4E-2</c:v>
                </c:pt>
                <c:pt idx="98">
                  <c:v>9.4E-2</c:v>
                </c:pt>
                <c:pt idx="99">
                  <c:v>6.5000000000000002E-2</c:v>
                </c:pt>
                <c:pt idx="100">
                  <c:v>3.4000000000000002E-2</c:v>
                </c:pt>
                <c:pt idx="101">
                  <c:v>0.32</c:v>
                </c:pt>
                <c:pt idx="102">
                  <c:v>3.5999999999999997E-2</c:v>
                </c:pt>
                <c:pt idx="103">
                  <c:v>5.5E-2</c:v>
                </c:pt>
                <c:pt idx="104">
                  <c:v>6.4000000000000001E-2</c:v>
                </c:pt>
                <c:pt idx="105">
                  <c:v>5.8999999999999997E-2</c:v>
                </c:pt>
                <c:pt idx="106">
                  <c:v>0.38100000000000001</c:v>
                </c:pt>
                <c:pt idx="107">
                  <c:v>0.16500000000000001</c:v>
                </c:pt>
                <c:pt idx="108">
                  <c:v>0.20499999999999999</c:v>
                </c:pt>
                <c:pt idx="109">
                  <c:v>0.28699999999999998</c:v>
                </c:pt>
                <c:pt idx="110">
                  <c:v>0.26</c:v>
                </c:pt>
                <c:pt idx="111">
                  <c:v>0.44500000000000001</c:v>
                </c:pt>
                <c:pt idx="112">
                  <c:v>0.56000000000000005</c:v>
                </c:pt>
                <c:pt idx="113">
                  <c:v>0.41599999999999998</c:v>
                </c:pt>
                <c:pt idx="114">
                  <c:v>0.35699999999999998</c:v>
                </c:pt>
                <c:pt idx="115">
                  <c:v>0.20899999999999999</c:v>
                </c:pt>
                <c:pt idx="116">
                  <c:v>0.36499999999999999</c:v>
                </c:pt>
                <c:pt idx="117">
                  <c:v>0.54400000000000004</c:v>
                </c:pt>
                <c:pt idx="118">
                  <c:v>0.254</c:v>
                </c:pt>
                <c:pt idx="119">
                  <c:v>0.35199999999999998</c:v>
                </c:pt>
                <c:pt idx="120">
                  <c:v>0.34599999999999997</c:v>
                </c:pt>
                <c:pt idx="121">
                  <c:v>0.38400000000000001</c:v>
                </c:pt>
                <c:pt idx="122">
                  <c:v>0.41499999999999998</c:v>
                </c:pt>
                <c:pt idx="123">
                  <c:v>0.26200000000000001</c:v>
                </c:pt>
                <c:pt idx="124">
                  <c:v>0.27600000000000002</c:v>
                </c:pt>
                <c:pt idx="125">
                  <c:v>0.2</c:v>
                </c:pt>
                <c:pt idx="126">
                  <c:v>0.28199999999999997</c:v>
                </c:pt>
                <c:pt idx="127">
                  <c:v>0.186</c:v>
                </c:pt>
                <c:pt idx="128">
                  <c:v>0.23599999999999999</c:v>
                </c:pt>
                <c:pt idx="129">
                  <c:v>0.20699999999999999</c:v>
                </c:pt>
                <c:pt idx="130">
                  <c:v>0.24099999999999999</c:v>
                </c:pt>
                <c:pt idx="131">
                  <c:v>0.19700000000000001</c:v>
                </c:pt>
                <c:pt idx="132">
                  <c:v>0.29299999999999998</c:v>
                </c:pt>
                <c:pt idx="133">
                  <c:v>0.48899999999999999</c:v>
                </c:pt>
                <c:pt idx="134">
                  <c:v>0.45700000000000002</c:v>
                </c:pt>
                <c:pt idx="135">
                  <c:v>0.45300000000000001</c:v>
                </c:pt>
                <c:pt idx="136">
                  <c:v>0.42199999999999999</c:v>
                </c:pt>
                <c:pt idx="137">
                  <c:v>0.39</c:v>
                </c:pt>
                <c:pt idx="138">
                  <c:v>0.36699999999999999</c:v>
                </c:pt>
                <c:pt idx="139">
                  <c:v>0.36399999999999999</c:v>
                </c:pt>
                <c:pt idx="140">
                  <c:v>0.27800000000000002</c:v>
                </c:pt>
                <c:pt idx="141">
                  <c:v>0.29699999999999999</c:v>
                </c:pt>
                <c:pt idx="142">
                  <c:v>0.35399999999999998</c:v>
                </c:pt>
                <c:pt idx="143">
                  <c:v>0.44700000000000001</c:v>
                </c:pt>
                <c:pt idx="144">
                  <c:v>0.47199999999999998</c:v>
                </c:pt>
                <c:pt idx="145">
                  <c:v>0.52700000000000002</c:v>
                </c:pt>
                <c:pt idx="146">
                  <c:v>0.25</c:v>
                </c:pt>
                <c:pt idx="147">
                  <c:v>0.35499999999999998</c:v>
                </c:pt>
                <c:pt idx="148">
                  <c:v>0.31900000000000001</c:v>
                </c:pt>
                <c:pt idx="149">
                  <c:v>0.28899999999999998</c:v>
                </c:pt>
                <c:pt idx="150">
                  <c:v>1.4670000000000001</c:v>
                </c:pt>
                <c:pt idx="151">
                  <c:v>2.637</c:v>
                </c:pt>
                <c:pt idx="262">
                  <c:v>14.02</c:v>
                </c:pt>
                <c:pt idx="263">
                  <c:v>9.35</c:v>
                </c:pt>
                <c:pt idx="264">
                  <c:v>8.9</c:v>
                </c:pt>
                <c:pt idx="265">
                  <c:v>8.9600000000000009</c:v>
                </c:pt>
                <c:pt idx="266">
                  <c:v>10.66</c:v>
                </c:pt>
                <c:pt idx="267">
                  <c:v>14.42</c:v>
                </c:pt>
                <c:pt idx="268">
                  <c:v>16.57</c:v>
                </c:pt>
                <c:pt idx="269">
                  <c:v>16.649999999999999</c:v>
                </c:pt>
                <c:pt idx="270">
                  <c:v>16.68</c:v>
                </c:pt>
                <c:pt idx="271">
                  <c:v>17.14</c:v>
                </c:pt>
                <c:pt idx="272">
                  <c:v>10.32</c:v>
                </c:pt>
                <c:pt idx="273">
                  <c:v>12.8</c:v>
                </c:pt>
                <c:pt idx="274">
                  <c:v>11.51</c:v>
                </c:pt>
                <c:pt idx="275">
                  <c:v>7.48</c:v>
                </c:pt>
                <c:pt idx="276">
                  <c:v>5.9160000000000004</c:v>
                </c:pt>
                <c:pt idx="277">
                  <c:v>6.0949999999999998</c:v>
                </c:pt>
                <c:pt idx="278">
                  <c:v>4.03</c:v>
                </c:pt>
                <c:pt idx="279">
                  <c:v>7.11</c:v>
                </c:pt>
                <c:pt idx="280">
                  <c:v>10.14</c:v>
                </c:pt>
                <c:pt idx="281">
                  <c:v>12.54</c:v>
                </c:pt>
                <c:pt idx="282">
                  <c:v>13.06</c:v>
                </c:pt>
                <c:pt idx="283">
                  <c:v>10.39</c:v>
                </c:pt>
                <c:pt idx="284">
                  <c:v>7.12</c:v>
                </c:pt>
                <c:pt idx="285">
                  <c:v>11.56</c:v>
                </c:pt>
                <c:pt idx="286">
                  <c:v>8.92</c:v>
                </c:pt>
                <c:pt idx="287">
                  <c:v>5.0759999999999996</c:v>
                </c:pt>
                <c:pt idx="288">
                  <c:v>6.3869999999999996</c:v>
                </c:pt>
                <c:pt idx="289">
                  <c:v>4.0279999999999996</c:v>
                </c:pt>
                <c:pt idx="290">
                  <c:v>9.35</c:v>
                </c:pt>
                <c:pt idx="291">
                  <c:v>9.82</c:v>
                </c:pt>
                <c:pt idx="292">
                  <c:v>3.2</c:v>
                </c:pt>
                <c:pt idx="293">
                  <c:v>7.7</c:v>
                </c:pt>
                <c:pt idx="294">
                  <c:v>1.788</c:v>
                </c:pt>
                <c:pt idx="295">
                  <c:v>1.133</c:v>
                </c:pt>
                <c:pt idx="296">
                  <c:v>9.41</c:v>
                </c:pt>
                <c:pt idx="297">
                  <c:v>8.7100000000000009</c:v>
                </c:pt>
                <c:pt idx="298">
                  <c:v>6.5529999999999999</c:v>
                </c:pt>
                <c:pt idx="299">
                  <c:v>8.43</c:v>
                </c:pt>
                <c:pt idx="300">
                  <c:v>4.6559999999999997</c:v>
                </c:pt>
                <c:pt idx="301">
                  <c:v>3.6619999999999999</c:v>
                </c:pt>
                <c:pt idx="302">
                  <c:v>2.0209999999999999</c:v>
                </c:pt>
                <c:pt idx="303">
                  <c:v>3.8820000000000001</c:v>
                </c:pt>
                <c:pt idx="304">
                  <c:v>0.60799999999999998</c:v>
                </c:pt>
                <c:pt idx="305">
                  <c:v>0.61199999999999999</c:v>
                </c:pt>
                <c:pt idx="306">
                  <c:v>0.1</c:v>
                </c:pt>
                <c:pt idx="307">
                  <c:v>0.20300000000000001</c:v>
                </c:pt>
                <c:pt idx="308">
                  <c:v>0.27</c:v>
                </c:pt>
                <c:pt idx="309">
                  <c:v>0.34599999999999997</c:v>
                </c:pt>
                <c:pt idx="310">
                  <c:v>-0.46500000000000002</c:v>
                </c:pt>
                <c:pt idx="311">
                  <c:v>-0.39100000000000001</c:v>
                </c:pt>
                <c:pt idx="312">
                  <c:v>-0.78800000000000003</c:v>
                </c:pt>
                <c:pt idx="313">
                  <c:v>-1.5029999999999999</c:v>
                </c:pt>
                <c:pt idx="314">
                  <c:v>-1.4630000000000001</c:v>
                </c:pt>
                <c:pt idx="315">
                  <c:v>-1.573</c:v>
                </c:pt>
                <c:pt idx="316">
                  <c:v>-1.0620000000000001</c:v>
                </c:pt>
                <c:pt idx="317">
                  <c:v>-1.4750000000000001</c:v>
                </c:pt>
                <c:pt idx="318">
                  <c:v>-1.712</c:v>
                </c:pt>
                <c:pt idx="319">
                  <c:v>-1.9750000000000001</c:v>
                </c:pt>
                <c:pt idx="320">
                  <c:v>-2.1110000000000002</c:v>
                </c:pt>
                <c:pt idx="321">
                  <c:v>-1.984</c:v>
                </c:pt>
                <c:pt idx="322">
                  <c:v>-0.6</c:v>
                </c:pt>
                <c:pt idx="323">
                  <c:v>-0.621</c:v>
                </c:pt>
                <c:pt idx="324">
                  <c:v>-0.98299999999999998</c:v>
                </c:pt>
                <c:pt idx="325">
                  <c:v>-1.1439999999999999</c:v>
                </c:pt>
                <c:pt idx="326">
                  <c:v>-1.577</c:v>
                </c:pt>
                <c:pt idx="327">
                  <c:v>-0.98899999999999999</c:v>
                </c:pt>
                <c:pt idx="328">
                  <c:v>-0.499</c:v>
                </c:pt>
                <c:pt idx="329">
                  <c:v>-0.50700000000000001</c:v>
                </c:pt>
                <c:pt idx="330">
                  <c:v>-0.36299999999999999</c:v>
                </c:pt>
                <c:pt idx="331">
                  <c:v>-0.61</c:v>
                </c:pt>
                <c:pt idx="332">
                  <c:v>-1.6359999999999999</c:v>
                </c:pt>
                <c:pt idx="333">
                  <c:v>-0.89</c:v>
                </c:pt>
                <c:pt idx="334">
                  <c:v>-0.57999999999999996</c:v>
                </c:pt>
                <c:pt idx="335">
                  <c:v>-0.45</c:v>
                </c:pt>
                <c:pt idx="336">
                  <c:v>-0.22500000000000001</c:v>
                </c:pt>
                <c:pt idx="337">
                  <c:v>-0.26</c:v>
                </c:pt>
                <c:pt idx="338">
                  <c:v>-1.51</c:v>
                </c:pt>
                <c:pt idx="339">
                  <c:v>-0.97499999999999998</c:v>
                </c:pt>
                <c:pt idx="340">
                  <c:v>-0.68899999999999995</c:v>
                </c:pt>
                <c:pt idx="341">
                  <c:v>-0.96599999999999997</c:v>
                </c:pt>
                <c:pt idx="342">
                  <c:v>-1.4119999999999999</c:v>
                </c:pt>
                <c:pt idx="343">
                  <c:v>-1.528</c:v>
                </c:pt>
                <c:pt idx="344">
                  <c:v>-2.8170000000000002</c:v>
                </c:pt>
                <c:pt idx="345">
                  <c:v>-4.6619999999999999</c:v>
                </c:pt>
                <c:pt idx="346">
                  <c:v>-5.3840000000000003</c:v>
                </c:pt>
                <c:pt idx="347">
                  <c:v>-5.1509999999999998</c:v>
                </c:pt>
                <c:pt idx="348">
                  <c:v>-3.4009999999999998</c:v>
                </c:pt>
                <c:pt idx="349">
                  <c:v>-3.6269999999999998</c:v>
                </c:pt>
                <c:pt idx="350">
                  <c:v>-2.5979999999999999</c:v>
                </c:pt>
                <c:pt idx="351">
                  <c:v>-1.915</c:v>
                </c:pt>
                <c:pt idx="352">
                  <c:v>-1.5209999999999999</c:v>
                </c:pt>
                <c:pt idx="353">
                  <c:v>-1.45</c:v>
                </c:pt>
                <c:pt idx="354">
                  <c:v>-1.8520000000000001</c:v>
                </c:pt>
                <c:pt idx="355">
                  <c:v>-1.859</c:v>
                </c:pt>
                <c:pt idx="356">
                  <c:v>-1.157</c:v>
                </c:pt>
                <c:pt idx="357">
                  <c:v>-0.79300000000000004</c:v>
                </c:pt>
                <c:pt idx="358">
                  <c:v>-0.62</c:v>
                </c:pt>
                <c:pt idx="359">
                  <c:v>-0.57799999999999996</c:v>
                </c:pt>
                <c:pt idx="360">
                  <c:v>-0.495</c:v>
                </c:pt>
                <c:pt idx="361">
                  <c:v>-0.46600000000000003</c:v>
                </c:pt>
                <c:pt idx="362">
                  <c:v>-0.89200000000000002</c:v>
                </c:pt>
                <c:pt idx="363">
                  <c:v>-0.75800000000000001</c:v>
                </c:pt>
                <c:pt idx="364">
                  <c:v>-0.438</c:v>
                </c:pt>
                <c:pt idx="365">
                  <c:v>-0.68799999999999994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Data!$AL$7:$AL$372</c:f>
              <c:numCache>
                <c:formatCode>General</c:formatCode>
                <c:ptCount val="366"/>
                <c:pt idx="61">
                  <c:v>-0.13100000000000001</c:v>
                </c:pt>
                <c:pt idx="62">
                  <c:v>-0.222</c:v>
                </c:pt>
                <c:pt idx="63">
                  <c:v>-0.13700000000000001</c:v>
                </c:pt>
                <c:pt idx="64">
                  <c:v>-0.20300000000000001</c:v>
                </c:pt>
                <c:pt idx="65">
                  <c:v>-0.17799999999999999</c:v>
                </c:pt>
                <c:pt idx="66">
                  <c:v>-0.57399999999999995</c:v>
                </c:pt>
                <c:pt idx="67">
                  <c:v>-0.46800000000000003</c:v>
                </c:pt>
                <c:pt idx="68">
                  <c:v>-0.16400000000000001</c:v>
                </c:pt>
                <c:pt idx="69">
                  <c:v>-0.21199999999999999</c:v>
                </c:pt>
                <c:pt idx="70">
                  <c:v>-0.14199999999999999</c:v>
                </c:pt>
                <c:pt idx="71">
                  <c:v>-0.158</c:v>
                </c:pt>
                <c:pt idx="72">
                  <c:v>-0.17</c:v>
                </c:pt>
                <c:pt idx="73">
                  <c:v>-0.21299999999999999</c:v>
                </c:pt>
                <c:pt idx="74">
                  <c:v>-0.08</c:v>
                </c:pt>
                <c:pt idx="75">
                  <c:v>-7.1999999999999995E-2</c:v>
                </c:pt>
                <c:pt idx="76">
                  <c:v>5.0000000000000001E-3</c:v>
                </c:pt>
                <c:pt idx="77">
                  <c:v>-0.08</c:v>
                </c:pt>
                <c:pt idx="78">
                  <c:v>-0.04</c:v>
                </c:pt>
                <c:pt idx="79">
                  <c:v>-0.111</c:v>
                </c:pt>
                <c:pt idx="80">
                  <c:v>7.0000000000000001E-3</c:v>
                </c:pt>
                <c:pt idx="81">
                  <c:v>-4.0000000000000001E-3</c:v>
                </c:pt>
                <c:pt idx="82">
                  <c:v>0.05</c:v>
                </c:pt>
                <c:pt idx="83">
                  <c:v>1.9E-2</c:v>
                </c:pt>
                <c:pt idx="84">
                  <c:v>1.4E-2</c:v>
                </c:pt>
                <c:pt idx="85">
                  <c:v>-0.02</c:v>
                </c:pt>
                <c:pt idx="86">
                  <c:v>0.03</c:v>
                </c:pt>
                <c:pt idx="87">
                  <c:v>5.0999999999999997E-2</c:v>
                </c:pt>
                <c:pt idx="88">
                  <c:v>1.7000000000000001E-2</c:v>
                </c:pt>
                <c:pt idx="89">
                  <c:v>-2.5000000000000001E-2</c:v>
                </c:pt>
                <c:pt idx="90">
                  <c:v>-2.4E-2</c:v>
                </c:pt>
                <c:pt idx="91">
                  <c:v>3.5999999999999997E-2</c:v>
                </c:pt>
                <c:pt idx="92">
                  <c:v>3.6999999999999998E-2</c:v>
                </c:pt>
                <c:pt idx="93">
                  <c:v>3.5000000000000003E-2</c:v>
                </c:pt>
                <c:pt idx="94">
                  <c:v>3.7999999999999999E-2</c:v>
                </c:pt>
                <c:pt idx="95">
                  <c:v>3.2000000000000001E-2</c:v>
                </c:pt>
                <c:pt idx="96">
                  <c:v>0.03</c:v>
                </c:pt>
                <c:pt idx="97">
                  <c:v>1.6E-2</c:v>
                </c:pt>
                <c:pt idx="98">
                  <c:v>2.9000000000000001E-2</c:v>
                </c:pt>
                <c:pt idx="99">
                  <c:v>-5.0000000000000001E-3</c:v>
                </c:pt>
                <c:pt idx="100">
                  <c:v>-4.9000000000000002E-2</c:v>
                </c:pt>
                <c:pt idx="101">
                  <c:v>-7.3999999999999996E-2</c:v>
                </c:pt>
                <c:pt idx="102">
                  <c:v>-0.08</c:v>
                </c:pt>
                <c:pt idx="103">
                  <c:v>0</c:v>
                </c:pt>
                <c:pt idx="104">
                  <c:v>-8.9999999999999993E-3</c:v>
                </c:pt>
                <c:pt idx="105">
                  <c:v>-2.1000000000000001E-2</c:v>
                </c:pt>
                <c:pt idx="106">
                  <c:v>-0.04</c:v>
                </c:pt>
                <c:pt idx="107">
                  <c:v>-6.6000000000000003E-2</c:v>
                </c:pt>
                <c:pt idx="108">
                  <c:v>-9.6000000000000002E-2</c:v>
                </c:pt>
                <c:pt idx="109">
                  <c:v>-8.6999999999999994E-2</c:v>
                </c:pt>
                <c:pt idx="110">
                  <c:v>-5.7000000000000002E-2</c:v>
                </c:pt>
                <c:pt idx="111">
                  <c:v>7.4999999999999997E-2</c:v>
                </c:pt>
                <c:pt idx="112">
                  <c:v>0.187</c:v>
                </c:pt>
                <c:pt idx="113">
                  <c:v>0.13500000000000001</c:v>
                </c:pt>
                <c:pt idx="114">
                  <c:v>5.0999999999999997E-2</c:v>
                </c:pt>
                <c:pt idx="115">
                  <c:v>-1.0999999999999999E-2</c:v>
                </c:pt>
                <c:pt idx="116">
                  <c:v>-0.10100000000000001</c:v>
                </c:pt>
                <c:pt idx="117">
                  <c:v>5.7000000000000002E-2</c:v>
                </c:pt>
                <c:pt idx="118">
                  <c:v>7.9000000000000001E-2</c:v>
                </c:pt>
                <c:pt idx="119">
                  <c:v>6.0000000000000001E-3</c:v>
                </c:pt>
                <c:pt idx="120">
                  <c:v>2.9000000000000001E-2</c:v>
                </c:pt>
                <c:pt idx="121">
                  <c:v>3.4000000000000002E-2</c:v>
                </c:pt>
                <c:pt idx="122">
                  <c:v>0.126</c:v>
                </c:pt>
                <c:pt idx="123">
                  <c:v>6.0000000000000001E-3</c:v>
                </c:pt>
                <c:pt idx="124">
                  <c:v>-0.11799999999999999</c:v>
                </c:pt>
                <c:pt idx="125">
                  <c:v>-7.0000000000000001E-3</c:v>
                </c:pt>
                <c:pt idx="126">
                  <c:v>-9.6000000000000002E-2</c:v>
                </c:pt>
                <c:pt idx="127">
                  <c:v>-0.183</c:v>
                </c:pt>
                <c:pt idx="128">
                  <c:v>-0.185</c:v>
                </c:pt>
                <c:pt idx="129">
                  <c:v>-0.18099999999999999</c:v>
                </c:pt>
                <c:pt idx="130">
                  <c:v>2.5999999999999999E-2</c:v>
                </c:pt>
                <c:pt idx="131">
                  <c:v>3.4000000000000002E-2</c:v>
                </c:pt>
                <c:pt idx="132">
                  <c:v>-3.5999999999999997E-2</c:v>
                </c:pt>
                <c:pt idx="133">
                  <c:v>7.8E-2</c:v>
                </c:pt>
                <c:pt idx="134">
                  <c:v>8.3000000000000004E-2</c:v>
                </c:pt>
                <c:pt idx="135">
                  <c:v>7.2999999999999995E-2</c:v>
                </c:pt>
                <c:pt idx="136">
                  <c:v>-1.6E-2</c:v>
                </c:pt>
                <c:pt idx="137">
                  <c:v>-6.8000000000000005E-2</c:v>
                </c:pt>
                <c:pt idx="138">
                  <c:v>-3.9E-2</c:v>
                </c:pt>
                <c:pt idx="139">
                  <c:v>-1.9E-2</c:v>
                </c:pt>
                <c:pt idx="140">
                  <c:v>-4.3999999999999997E-2</c:v>
                </c:pt>
                <c:pt idx="141">
                  <c:v>4.2000000000000003E-2</c:v>
                </c:pt>
                <c:pt idx="142">
                  <c:v>-5.1999999999999998E-2</c:v>
                </c:pt>
                <c:pt idx="143">
                  <c:v>-6.0000000000000001E-3</c:v>
                </c:pt>
                <c:pt idx="144">
                  <c:v>-0.14199999999999999</c:v>
                </c:pt>
                <c:pt idx="145">
                  <c:v>-0.17299999999999999</c:v>
                </c:pt>
                <c:pt idx="146">
                  <c:v>-8.3000000000000004E-2</c:v>
                </c:pt>
                <c:pt idx="147">
                  <c:v>-0.1</c:v>
                </c:pt>
                <c:pt idx="148">
                  <c:v>-7.1999999999999995E-2</c:v>
                </c:pt>
                <c:pt idx="149">
                  <c:v>-5.8000000000000003E-2</c:v>
                </c:pt>
                <c:pt idx="150">
                  <c:v>-0.11899999999999999</c:v>
                </c:pt>
                <c:pt idx="151">
                  <c:v>-0.53300000000000003</c:v>
                </c:pt>
                <c:pt idx="262">
                  <c:v>1.28</c:v>
                </c:pt>
                <c:pt idx="263">
                  <c:v>2.42</c:v>
                </c:pt>
                <c:pt idx="264">
                  <c:v>-3.052</c:v>
                </c:pt>
                <c:pt idx="265">
                  <c:v>-5.4169999999999998</c:v>
                </c:pt>
                <c:pt idx="266">
                  <c:v>-4.8470000000000004</c:v>
                </c:pt>
                <c:pt idx="267">
                  <c:v>-3.4009999999999998</c:v>
                </c:pt>
                <c:pt idx="268">
                  <c:v>-2.661</c:v>
                </c:pt>
                <c:pt idx="269">
                  <c:v>-2.4449999999999998</c:v>
                </c:pt>
                <c:pt idx="270">
                  <c:v>-1.7130000000000001</c:v>
                </c:pt>
                <c:pt idx="271">
                  <c:v>-0.89400000000000002</c:v>
                </c:pt>
                <c:pt idx="272">
                  <c:v>4.12</c:v>
                </c:pt>
                <c:pt idx="273">
                  <c:v>0.56100000000000005</c:v>
                </c:pt>
                <c:pt idx="274">
                  <c:v>-1.31</c:v>
                </c:pt>
                <c:pt idx="275">
                  <c:v>-3.4239999999999999</c:v>
                </c:pt>
                <c:pt idx="276">
                  <c:v>-5.077</c:v>
                </c:pt>
                <c:pt idx="277">
                  <c:v>-6.1970000000000001</c:v>
                </c:pt>
                <c:pt idx="278">
                  <c:v>-7.9</c:v>
                </c:pt>
                <c:pt idx="279">
                  <c:v>-7.02</c:v>
                </c:pt>
                <c:pt idx="280">
                  <c:v>-4.2670000000000003</c:v>
                </c:pt>
                <c:pt idx="281">
                  <c:v>-3.5710000000000002</c:v>
                </c:pt>
                <c:pt idx="282">
                  <c:v>0.86399999999999999</c:v>
                </c:pt>
                <c:pt idx="283">
                  <c:v>-1.6220000000000001</c:v>
                </c:pt>
                <c:pt idx="284">
                  <c:v>2.1429999999999998</c:v>
                </c:pt>
                <c:pt idx="285">
                  <c:v>-2.6429999999999998</c:v>
                </c:pt>
                <c:pt idx="286">
                  <c:v>-4.2759999999999998</c:v>
                </c:pt>
                <c:pt idx="287">
                  <c:v>-1.9590000000000001</c:v>
                </c:pt>
                <c:pt idx="288">
                  <c:v>-3.5979999999999999</c:v>
                </c:pt>
                <c:pt idx="289">
                  <c:v>0.34899999999999998</c:v>
                </c:pt>
                <c:pt idx="290">
                  <c:v>0.53900000000000003</c:v>
                </c:pt>
                <c:pt idx="291">
                  <c:v>-3.0350000000000001</c:v>
                </c:pt>
                <c:pt idx="292">
                  <c:v>-4.6109999999999998</c:v>
                </c:pt>
                <c:pt idx="293">
                  <c:v>0.19800000000000001</c:v>
                </c:pt>
                <c:pt idx="294">
                  <c:v>-4.7770000000000001</c:v>
                </c:pt>
                <c:pt idx="295">
                  <c:v>-4.4950000000000001</c:v>
                </c:pt>
                <c:pt idx="296">
                  <c:v>-0.95499999999999996</c:v>
                </c:pt>
                <c:pt idx="297">
                  <c:v>-1.5660000000000001</c:v>
                </c:pt>
                <c:pt idx="298">
                  <c:v>-2.7210000000000001</c:v>
                </c:pt>
                <c:pt idx="299">
                  <c:v>-3.06</c:v>
                </c:pt>
                <c:pt idx="300">
                  <c:v>0.53800000000000003</c:v>
                </c:pt>
                <c:pt idx="301">
                  <c:v>-2.7</c:v>
                </c:pt>
                <c:pt idx="302">
                  <c:v>-3.238</c:v>
                </c:pt>
                <c:pt idx="303">
                  <c:v>-2.4940000000000002</c:v>
                </c:pt>
                <c:pt idx="304">
                  <c:v>-2.294</c:v>
                </c:pt>
                <c:pt idx="305">
                  <c:v>-3.8460000000000001</c:v>
                </c:pt>
                <c:pt idx="306">
                  <c:v>-4.2409999999999997</c:v>
                </c:pt>
                <c:pt idx="307">
                  <c:v>-2.5680000000000001</c:v>
                </c:pt>
                <c:pt idx="308">
                  <c:v>-0.11799999999999999</c:v>
                </c:pt>
                <c:pt idx="309">
                  <c:v>-3.6709999999999998</c:v>
                </c:pt>
                <c:pt idx="310">
                  <c:v>-4.1680000000000001</c:v>
                </c:pt>
                <c:pt idx="311">
                  <c:v>-1.7230000000000001</c:v>
                </c:pt>
                <c:pt idx="312">
                  <c:v>-2.2519999999999998</c:v>
                </c:pt>
                <c:pt idx="313">
                  <c:v>-4.9240000000000004</c:v>
                </c:pt>
                <c:pt idx="314">
                  <c:v>-5.681</c:v>
                </c:pt>
                <c:pt idx="315">
                  <c:v>-3.5049999999999999</c:v>
                </c:pt>
                <c:pt idx="316">
                  <c:v>-2.9430000000000001</c:v>
                </c:pt>
                <c:pt idx="317">
                  <c:v>-6.6740000000000004</c:v>
                </c:pt>
                <c:pt idx="318">
                  <c:v>-7.34</c:v>
                </c:pt>
                <c:pt idx="319">
                  <c:v>-2.84</c:v>
                </c:pt>
                <c:pt idx="320">
                  <c:v>-3.0310000000000001</c:v>
                </c:pt>
                <c:pt idx="321">
                  <c:v>-3.6339999999999999</c:v>
                </c:pt>
                <c:pt idx="322">
                  <c:v>-2.9929999999999999</c:v>
                </c:pt>
                <c:pt idx="323">
                  <c:v>-4.9130000000000003</c:v>
                </c:pt>
                <c:pt idx="324">
                  <c:v>-5.5750000000000002</c:v>
                </c:pt>
                <c:pt idx="325">
                  <c:v>-4.9939999999999998</c:v>
                </c:pt>
                <c:pt idx="326">
                  <c:v>-6.7480000000000002</c:v>
                </c:pt>
                <c:pt idx="327">
                  <c:v>-6.6390000000000002</c:v>
                </c:pt>
                <c:pt idx="328">
                  <c:v>-1.0389999999999999</c:v>
                </c:pt>
                <c:pt idx="329">
                  <c:v>-0.84799999999999998</c:v>
                </c:pt>
                <c:pt idx="330">
                  <c:v>-1.254</c:v>
                </c:pt>
                <c:pt idx="331">
                  <c:v>-2.09</c:v>
                </c:pt>
                <c:pt idx="332">
                  <c:v>-3.4630000000000001</c:v>
                </c:pt>
                <c:pt idx="333">
                  <c:v>-2.2970000000000002</c:v>
                </c:pt>
                <c:pt idx="334">
                  <c:v>-1.377</c:v>
                </c:pt>
                <c:pt idx="335">
                  <c:v>-1.36</c:v>
                </c:pt>
                <c:pt idx="336">
                  <c:v>-0.60499999999999998</c:v>
                </c:pt>
                <c:pt idx="337">
                  <c:v>-4.1449999999999996</c:v>
                </c:pt>
                <c:pt idx="338">
                  <c:v>-4.5940000000000003</c:v>
                </c:pt>
                <c:pt idx="339">
                  <c:v>-3.0030000000000001</c:v>
                </c:pt>
                <c:pt idx="340">
                  <c:v>-1.8480000000000001</c:v>
                </c:pt>
                <c:pt idx="341">
                  <c:v>-3.6389999999999998</c:v>
                </c:pt>
                <c:pt idx="342">
                  <c:v>-3.6629999999999998</c:v>
                </c:pt>
                <c:pt idx="343">
                  <c:v>-3.1160000000000001</c:v>
                </c:pt>
                <c:pt idx="344">
                  <c:v>-5.2750000000000004</c:v>
                </c:pt>
                <c:pt idx="345">
                  <c:v>-8.9499999999999993</c:v>
                </c:pt>
                <c:pt idx="346">
                  <c:v>-9.17</c:v>
                </c:pt>
                <c:pt idx="347">
                  <c:v>-8.4499999999999993</c:v>
                </c:pt>
                <c:pt idx="348">
                  <c:v>-8.4700000000000006</c:v>
                </c:pt>
                <c:pt idx="349">
                  <c:v>-10.65</c:v>
                </c:pt>
                <c:pt idx="350">
                  <c:v>-9.02</c:v>
                </c:pt>
                <c:pt idx="351">
                  <c:v>-2.8039999999999998</c:v>
                </c:pt>
                <c:pt idx="352">
                  <c:v>-2.8340000000000001</c:v>
                </c:pt>
                <c:pt idx="353">
                  <c:v>-1.9610000000000001</c:v>
                </c:pt>
                <c:pt idx="354">
                  <c:v>-4.54</c:v>
                </c:pt>
                <c:pt idx="355">
                  <c:v>-4.96</c:v>
                </c:pt>
                <c:pt idx="356">
                  <c:v>-1.9590000000000001</c:v>
                </c:pt>
                <c:pt idx="357">
                  <c:v>-1.2809999999999999</c:v>
                </c:pt>
                <c:pt idx="358">
                  <c:v>-1.0369999999999999</c:v>
                </c:pt>
                <c:pt idx="359">
                  <c:v>-1.0640000000000001</c:v>
                </c:pt>
                <c:pt idx="360">
                  <c:v>-0.71099999999999997</c:v>
                </c:pt>
                <c:pt idx="361">
                  <c:v>-0.997</c:v>
                </c:pt>
                <c:pt idx="362">
                  <c:v>-2.0289999999999999</c:v>
                </c:pt>
                <c:pt idx="363">
                  <c:v>-1.216</c:v>
                </c:pt>
                <c:pt idx="364">
                  <c:v>-1.1779999999999999</c:v>
                </c:pt>
                <c:pt idx="365">
                  <c:v>-1.3480000000000001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65216"/>
        <c:axId val="235867136"/>
      </c:lineChart>
      <c:catAx>
        <c:axId val="235865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86713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586713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865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 Maximum and Minimum Relative Humidity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61">
                  <c:v>107.9</c:v>
                </c:pt>
                <c:pt idx="62">
                  <c:v>108.9</c:v>
                </c:pt>
                <c:pt idx="63">
                  <c:v>109.1</c:v>
                </c:pt>
                <c:pt idx="64">
                  <c:v>108.2</c:v>
                </c:pt>
                <c:pt idx="65">
                  <c:v>107.6</c:v>
                </c:pt>
                <c:pt idx="66">
                  <c:v>106.4</c:v>
                </c:pt>
                <c:pt idx="67">
                  <c:v>105</c:v>
                </c:pt>
                <c:pt idx="68">
                  <c:v>109.3</c:v>
                </c:pt>
                <c:pt idx="69">
                  <c:v>108.6</c:v>
                </c:pt>
                <c:pt idx="70">
                  <c:v>107.6</c:v>
                </c:pt>
                <c:pt idx="71">
                  <c:v>106.9</c:v>
                </c:pt>
                <c:pt idx="72">
                  <c:v>108</c:v>
                </c:pt>
                <c:pt idx="73">
                  <c:v>108.9</c:v>
                </c:pt>
                <c:pt idx="74">
                  <c:v>108.3</c:v>
                </c:pt>
                <c:pt idx="75">
                  <c:v>109</c:v>
                </c:pt>
                <c:pt idx="76">
                  <c:v>108.5</c:v>
                </c:pt>
                <c:pt idx="77">
                  <c:v>108.3</c:v>
                </c:pt>
                <c:pt idx="78">
                  <c:v>108.2</c:v>
                </c:pt>
                <c:pt idx="79">
                  <c:v>106.3</c:v>
                </c:pt>
                <c:pt idx="80">
                  <c:v>106.9</c:v>
                </c:pt>
                <c:pt idx="81">
                  <c:v>109.6</c:v>
                </c:pt>
                <c:pt idx="82">
                  <c:v>108.9</c:v>
                </c:pt>
                <c:pt idx="83">
                  <c:v>108.5</c:v>
                </c:pt>
                <c:pt idx="84">
                  <c:v>108.5</c:v>
                </c:pt>
                <c:pt idx="85">
                  <c:v>108.5</c:v>
                </c:pt>
                <c:pt idx="86">
                  <c:v>109.4</c:v>
                </c:pt>
                <c:pt idx="87">
                  <c:v>108.8</c:v>
                </c:pt>
                <c:pt idx="88">
                  <c:v>108.3</c:v>
                </c:pt>
                <c:pt idx="89">
                  <c:v>106.2</c:v>
                </c:pt>
                <c:pt idx="90">
                  <c:v>106.6</c:v>
                </c:pt>
                <c:pt idx="91">
                  <c:v>105.6</c:v>
                </c:pt>
                <c:pt idx="92">
                  <c:v>104.7</c:v>
                </c:pt>
                <c:pt idx="93">
                  <c:v>106.3</c:v>
                </c:pt>
                <c:pt idx="94">
                  <c:v>108.8</c:v>
                </c:pt>
                <c:pt idx="95">
                  <c:v>106.5</c:v>
                </c:pt>
                <c:pt idx="96">
                  <c:v>107.9</c:v>
                </c:pt>
                <c:pt idx="97">
                  <c:v>104.8</c:v>
                </c:pt>
                <c:pt idx="98">
                  <c:v>105.3</c:v>
                </c:pt>
                <c:pt idx="99">
                  <c:v>105.6</c:v>
                </c:pt>
                <c:pt idx="100">
                  <c:v>91.4</c:v>
                </c:pt>
                <c:pt idx="101">
                  <c:v>108.6</c:v>
                </c:pt>
                <c:pt idx="102">
                  <c:v>108.5</c:v>
                </c:pt>
                <c:pt idx="103">
                  <c:v>109.3</c:v>
                </c:pt>
                <c:pt idx="104">
                  <c:v>109.4</c:v>
                </c:pt>
                <c:pt idx="105">
                  <c:v>110</c:v>
                </c:pt>
                <c:pt idx="106">
                  <c:v>109.9</c:v>
                </c:pt>
                <c:pt idx="107">
                  <c:v>109.6</c:v>
                </c:pt>
                <c:pt idx="108">
                  <c:v>104</c:v>
                </c:pt>
                <c:pt idx="109">
                  <c:v>99.2</c:v>
                </c:pt>
                <c:pt idx="110">
                  <c:v>104.6</c:v>
                </c:pt>
                <c:pt idx="111">
                  <c:v>107</c:v>
                </c:pt>
                <c:pt idx="112">
                  <c:v>109.4</c:v>
                </c:pt>
                <c:pt idx="113">
                  <c:v>108.4</c:v>
                </c:pt>
                <c:pt idx="114">
                  <c:v>108.1</c:v>
                </c:pt>
                <c:pt idx="115">
                  <c:v>105.8</c:v>
                </c:pt>
                <c:pt idx="116">
                  <c:v>105.6</c:v>
                </c:pt>
                <c:pt idx="117">
                  <c:v>109.5</c:v>
                </c:pt>
                <c:pt idx="118">
                  <c:v>110.2</c:v>
                </c:pt>
                <c:pt idx="119">
                  <c:v>106.2</c:v>
                </c:pt>
                <c:pt idx="120">
                  <c:v>105.4</c:v>
                </c:pt>
                <c:pt idx="121">
                  <c:v>109.7</c:v>
                </c:pt>
                <c:pt idx="122">
                  <c:v>108.1</c:v>
                </c:pt>
                <c:pt idx="123">
                  <c:v>109.7</c:v>
                </c:pt>
                <c:pt idx="124">
                  <c:v>108.4</c:v>
                </c:pt>
                <c:pt idx="125">
                  <c:v>109.1</c:v>
                </c:pt>
                <c:pt idx="126">
                  <c:v>108</c:v>
                </c:pt>
                <c:pt idx="127">
                  <c:v>107.2</c:v>
                </c:pt>
                <c:pt idx="128">
                  <c:v>109.9</c:v>
                </c:pt>
                <c:pt idx="129">
                  <c:v>110.3</c:v>
                </c:pt>
                <c:pt idx="130">
                  <c:v>109.4</c:v>
                </c:pt>
                <c:pt idx="131">
                  <c:v>109.8</c:v>
                </c:pt>
                <c:pt idx="132">
                  <c:v>110</c:v>
                </c:pt>
                <c:pt idx="133">
                  <c:v>108.6</c:v>
                </c:pt>
                <c:pt idx="134">
                  <c:v>103.8</c:v>
                </c:pt>
                <c:pt idx="135">
                  <c:v>102.4</c:v>
                </c:pt>
                <c:pt idx="136">
                  <c:v>105.6</c:v>
                </c:pt>
                <c:pt idx="137">
                  <c:v>107.2</c:v>
                </c:pt>
                <c:pt idx="138">
                  <c:v>108.2</c:v>
                </c:pt>
                <c:pt idx="139">
                  <c:v>107.9</c:v>
                </c:pt>
                <c:pt idx="140">
                  <c:v>108.3</c:v>
                </c:pt>
                <c:pt idx="141">
                  <c:v>108</c:v>
                </c:pt>
                <c:pt idx="142">
                  <c:v>106.3</c:v>
                </c:pt>
                <c:pt idx="143">
                  <c:v>93</c:v>
                </c:pt>
                <c:pt idx="144">
                  <c:v>98.8</c:v>
                </c:pt>
                <c:pt idx="145">
                  <c:v>100.5</c:v>
                </c:pt>
                <c:pt idx="146">
                  <c:v>108.2</c:v>
                </c:pt>
                <c:pt idx="147">
                  <c:v>108.3</c:v>
                </c:pt>
                <c:pt idx="148">
                  <c:v>108.6</c:v>
                </c:pt>
                <c:pt idx="149">
                  <c:v>109.5</c:v>
                </c:pt>
                <c:pt idx="150">
                  <c:v>109.1</c:v>
                </c:pt>
                <c:pt idx="151">
                  <c:v>104.7</c:v>
                </c:pt>
                <c:pt idx="262">
                  <c:v>110.2</c:v>
                </c:pt>
                <c:pt idx="263">
                  <c:v>109.1</c:v>
                </c:pt>
                <c:pt idx="264">
                  <c:v>108.9</c:v>
                </c:pt>
                <c:pt idx="265">
                  <c:v>101.1</c:v>
                </c:pt>
                <c:pt idx="266">
                  <c:v>105.6</c:v>
                </c:pt>
                <c:pt idx="267">
                  <c:v>106.6</c:v>
                </c:pt>
                <c:pt idx="268">
                  <c:v>108.6</c:v>
                </c:pt>
                <c:pt idx="269">
                  <c:v>108.7</c:v>
                </c:pt>
                <c:pt idx="270">
                  <c:v>108</c:v>
                </c:pt>
                <c:pt idx="271">
                  <c:v>105</c:v>
                </c:pt>
                <c:pt idx="272">
                  <c:v>109.3</c:v>
                </c:pt>
                <c:pt idx="273">
                  <c:v>108.9</c:v>
                </c:pt>
                <c:pt idx="274">
                  <c:v>109.4</c:v>
                </c:pt>
                <c:pt idx="275">
                  <c:v>109.4</c:v>
                </c:pt>
                <c:pt idx="276">
                  <c:v>109.3</c:v>
                </c:pt>
                <c:pt idx="277">
                  <c:v>108.4</c:v>
                </c:pt>
                <c:pt idx="278">
                  <c:v>106.7</c:v>
                </c:pt>
                <c:pt idx="279">
                  <c:v>98.9</c:v>
                </c:pt>
                <c:pt idx="280">
                  <c:v>82</c:v>
                </c:pt>
                <c:pt idx="281">
                  <c:v>93</c:v>
                </c:pt>
                <c:pt idx="282">
                  <c:v>98.9</c:v>
                </c:pt>
                <c:pt idx="283">
                  <c:v>109</c:v>
                </c:pt>
                <c:pt idx="284">
                  <c:v>110.5</c:v>
                </c:pt>
                <c:pt idx="285">
                  <c:v>110.9</c:v>
                </c:pt>
                <c:pt idx="286">
                  <c:v>108.5</c:v>
                </c:pt>
                <c:pt idx="287">
                  <c:v>110.2</c:v>
                </c:pt>
                <c:pt idx="288">
                  <c:v>109.9</c:v>
                </c:pt>
                <c:pt idx="289">
                  <c:v>110.1</c:v>
                </c:pt>
                <c:pt idx="290">
                  <c:v>109.9</c:v>
                </c:pt>
                <c:pt idx="291">
                  <c:v>108.8</c:v>
                </c:pt>
                <c:pt idx="292">
                  <c:v>109.4</c:v>
                </c:pt>
                <c:pt idx="293">
                  <c:v>110.1</c:v>
                </c:pt>
                <c:pt idx="294">
                  <c:v>110</c:v>
                </c:pt>
                <c:pt idx="295">
                  <c:v>108.4</c:v>
                </c:pt>
                <c:pt idx="296">
                  <c:v>107.6</c:v>
                </c:pt>
                <c:pt idx="297">
                  <c:v>106.9</c:v>
                </c:pt>
                <c:pt idx="298">
                  <c:v>108.1</c:v>
                </c:pt>
                <c:pt idx="299">
                  <c:v>108.7</c:v>
                </c:pt>
                <c:pt idx="300">
                  <c:v>107.2</c:v>
                </c:pt>
                <c:pt idx="301">
                  <c:v>110.3</c:v>
                </c:pt>
                <c:pt idx="302">
                  <c:v>110.3</c:v>
                </c:pt>
                <c:pt idx="303">
                  <c:v>110.1</c:v>
                </c:pt>
                <c:pt idx="304">
                  <c:v>110.2</c:v>
                </c:pt>
                <c:pt idx="305">
                  <c:v>109.7</c:v>
                </c:pt>
                <c:pt idx="306">
                  <c:v>108.9</c:v>
                </c:pt>
                <c:pt idx="307">
                  <c:v>108.6</c:v>
                </c:pt>
                <c:pt idx="308">
                  <c:v>109.8</c:v>
                </c:pt>
                <c:pt idx="309">
                  <c:v>109</c:v>
                </c:pt>
                <c:pt idx="310">
                  <c:v>108.1</c:v>
                </c:pt>
                <c:pt idx="311">
                  <c:v>107.9</c:v>
                </c:pt>
                <c:pt idx="312">
                  <c:v>106.3</c:v>
                </c:pt>
                <c:pt idx="313">
                  <c:v>106.2</c:v>
                </c:pt>
                <c:pt idx="314">
                  <c:v>107.8</c:v>
                </c:pt>
                <c:pt idx="315">
                  <c:v>106.5</c:v>
                </c:pt>
                <c:pt idx="316">
                  <c:v>107.3</c:v>
                </c:pt>
                <c:pt idx="317">
                  <c:v>107.7</c:v>
                </c:pt>
                <c:pt idx="318">
                  <c:v>107.2</c:v>
                </c:pt>
                <c:pt idx="319">
                  <c:v>107</c:v>
                </c:pt>
                <c:pt idx="320">
                  <c:v>106.4</c:v>
                </c:pt>
                <c:pt idx="321">
                  <c:v>106.8</c:v>
                </c:pt>
                <c:pt idx="322">
                  <c:v>108.1</c:v>
                </c:pt>
                <c:pt idx="323">
                  <c:v>108.4</c:v>
                </c:pt>
                <c:pt idx="324">
                  <c:v>108.8</c:v>
                </c:pt>
                <c:pt idx="325">
                  <c:v>108.9</c:v>
                </c:pt>
                <c:pt idx="326">
                  <c:v>108.1</c:v>
                </c:pt>
                <c:pt idx="327">
                  <c:v>109</c:v>
                </c:pt>
                <c:pt idx="328">
                  <c:v>108.9</c:v>
                </c:pt>
                <c:pt idx="329">
                  <c:v>108.3</c:v>
                </c:pt>
                <c:pt idx="330">
                  <c:v>108</c:v>
                </c:pt>
                <c:pt idx="331">
                  <c:v>108.6</c:v>
                </c:pt>
                <c:pt idx="332">
                  <c:v>107.1</c:v>
                </c:pt>
                <c:pt idx="333">
                  <c:v>108.3</c:v>
                </c:pt>
                <c:pt idx="334">
                  <c:v>109.3</c:v>
                </c:pt>
                <c:pt idx="335">
                  <c:v>109.1</c:v>
                </c:pt>
                <c:pt idx="336">
                  <c:v>109.4</c:v>
                </c:pt>
                <c:pt idx="337">
                  <c:v>109.4</c:v>
                </c:pt>
                <c:pt idx="338">
                  <c:v>108.2</c:v>
                </c:pt>
                <c:pt idx="339">
                  <c:v>108.7</c:v>
                </c:pt>
                <c:pt idx="340">
                  <c:v>109.4</c:v>
                </c:pt>
                <c:pt idx="341">
                  <c:v>109.8</c:v>
                </c:pt>
                <c:pt idx="342">
                  <c:v>108.3</c:v>
                </c:pt>
                <c:pt idx="343">
                  <c:v>106.5</c:v>
                </c:pt>
                <c:pt idx="344">
                  <c:v>103.9</c:v>
                </c:pt>
                <c:pt idx="345">
                  <c:v>103.8</c:v>
                </c:pt>
                <c:pt idx="346">
                  <c:v>101.3</c:v>
                </c:pt>
                <c:pt idx="347">
                  <c:v>100.4</c:v>
                </c:pt>
                <c:pt idx="348">
                  <c:v>106</c:v>
                </c:pt>
                <c:pt idx="349">
                  <c:v>103.7</c:v>
                </c:pt>
                <c:pt idx="350">
                  <c:v>107.1</c:v>
                </c:pt>
                <c:pt idx="351">
                  <c:v>107.5</c:v>
                </c:pt>
                <c:pt idx="352">
                  <c:v>107.8</c:v>
                </c:pt>
                <c:pt idx="353">
                  <c:v>107.4</c:v>
                </c:pt>
                <c:pt idx="354">
                  <c:v>104.2</c:v>
                </c:pt>
                <c:pt idx="355">
                  <c:v>107.5</c:v>
                </c:pt>
                <c:pt idx="356">
                  <c:v>108.3</c:v>
                </c:pt>
                <c:pt idx="357">
                  <c:v>108.8</c:v>
                </c:pt>
                <c:pt idx="358">
                  <c:v>109.1</c:v>
                </c:pt>
                <c:pt idx="359">
                  <c:v>109.5</c:v>
                </c:pt>
                <c:pt idx="360">
                  <c:v>109.3</c:v>
                </c:pt>
                <c:pt idx="361">
                  <c:v>109.3</c:v>
                </c:pt>
                <c:pt idx="362">
                  <c:v>107.2</c:v>
                </c:pt>
                <c:pt idx="363">
                  <c:v>108.2</c:v>
                </c:pt>
                <c:pt idx="364">
                  <c:v>108.9</c:v>
                </c:pt>
                <c:pt idx="365">
                  <c:v>109.4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61">
                  <c:v>97.4</c:v>
                </c:pt>
                <c:pt idx="62">
                  <c:v>92</c:v>
                </c:pt>
                <c:pt idx="63">
                  <c:v>99.2</c:v>
                </c:pt>
                <c:pt idx="64">
                  <c:v>75</c:v>
                </c:pt>
                <c:pt idx="65">
                  <c:v>99.9</c:v>
                </c:pt>
                <c:pt idx="66">
                  <c:v>43.95</c:v>
                </c:pt>
                <c:pt idx="67">
                  <c:v>49.08</c:v>
                </c:pt>
                <c:pt idx="68">
                  <c:v>85.2</c:v>
                </c:pt>
                <c:pt idx="69">
                  <c:v>66.239999999999995</c:v>
                </c:pt>
                <c:pt idx="70">
                  <c:v>59.8</c:v>
                </c:pt>
                <c:pt idx="71">
                  <c:v>62.65</c:v>
                </c:pt>
                <c:pt idx="72">
                  <c:v>58.44</c:v>
                </c:pt>
                <c:pt idx="73">
                  <c:v>104.8</c:v>
                </c:pt>
                <c:pt idx="74">
                  <c:v>97.5</c:v>
                </c:pt>
                <c:pt idx="75">
                  <c:v>108</c:v>
                </c:pt>
                <c:pt idx="76">
                  <c:v>104.6</c:v>
                </c:pt>
                <c:pt idx="77">
                  <c:v>98.7</c:v>
                </c:pt>
                <c:pt idx="78">
                  <c:v>74</c:v>
                </c:pt>
                <c:pt idx="79">
                  <c:v>70.3</c:v>
                </c:pt>
                <c:pt idx="80">
                  <c:v>60.01</c:v>
                </c:pt>
                <c:pt idx="81">
                  <c:v>80.2</c:v>
                </c:pt>
                <c:pt idx="82">
                  <c:v>103.6</c:v>
                </c:pt>
                <c:pt idx="83">
                  <c:v>59.86</c:v>
                </c:pt>
                <c:pt idx="84">
                  <c:v>79.900000000000006</c:v>
                </c:pt>
                <c:pt idx="85">
                  <c:v>46.85</c:v>
                </c:pt>
                <c:pt idx="86">
                  <c:v>62.24</c:v>
                </c:pt>
                <c:pt idx="87">
                  <c:v>67.8</c:v>
                </c:pt>
                <c:pt idx="88">
                  <c:v>52.95</c:v>
                </c:pt>
                <c:pt idx="89">
                  <c:v>38.92</c:v>
                </c:pt>
                <c:pt idx="90">
                  <c:v>44.28</c:v>
                </c:pt>
                <c:pt idx="91">
                  <c:v>75.3</c:v>
                </c:pt>
                <c:pt idx="92">
                  <c:v>35.99</c:v>
                </c:pt>
                <c:pt idx="93">
                  <c:v>51.11</c:v>
                </c:pt>
                <c:pt idx="94">
                  <c:v>56.8</c:v>
                </c:pt>
                <c:pt idx="95">
                  <c:v>69.89</c:v>
                </c:pt>
                <c:pt idx="96">
                  <c:v>86.4</c:v>
                </c:pt>
                <c:pt idx="97">
                  <c:v>48.07</c:v>
                </c:pt>
                <c:pt idx="98">
                  <c:v>43.25</c:v>
                </c:pt>
                <c:pt idx="99">
                  <c:v>33.89</c:v>
                </c:pt>
                <c:pt idx="100">
                  <c:v>33.15</c:v>
                </c:pt>
                <c:pt idx="101">
                  <c:v>32.28</c:v>
                </c:pt>
                <c:pt idx="102">
                  <c:v>44.26</c:v>
                </c:pt>
                <c:pt idx="103">
                  <c:v>98.4</c:v>
                </c:pt>
                <c:pt idx="104">
                  <c:v>105.5</c:v>
                </c:pt>
                <c:pt idx="105">
                  <c:v>74.099999999999994</c:v>
                </c:pt>
                <c:pt idx="106">
                  <c:v>69.260000000000005</c:v>
                </c:pt>
                <c:pt idx="107">
                  <c:v>34.69</c:v>
                </c:pt>
                <c:pt idx="108">
                  <c:v>26.75</c:v>
                </c:pt>
                <c:pt idx="109">
                  <c:v>34.14</c:v>
                </c:pt>
                <c:pt idx="110">
                  <c:v>68.290000000000006</c:v>
                </c:pt>
                <c:pt idx="111">
                  <c:v>50.1</c:v>
                </c:pt>
                <c:pt idx="112">
                  <c:v>29.86</c:v>
                </c:pt>
                <c:pt idx="113">
                  <c:v>37.94</c:v>
                </c:pt>
                <c:pt idx="114">
                  <c:v>46.94</c:v>
                </c:pt>
                <c:pt idx="115">
                  <c:v>62.27</c:v>
                </c:pt>
                <c:pt idx="116">
                  <c:v>42.51</c:v>
                </c:pt>
                <c:pt idx="117">
                  <c:v>34.57</c:v>
                </c:pt>
                <c:pt idx="118">
                  <c:v>63.56</c:v>
                </c:pt>
                <c:pt idx="119">
                  <c:v>43.62</c:v>
                </c:pt>
                <c:pt idx="120">
                  <c:v>56.81</c:v>
                </c:pt>
                <c:pt idx="121">
                  <c:v>68.13</c:v>
                </c:pt>
                <c:pt idx="122">
                  <c:v>44.82</c:v>
                </c:pt>
                <c:pt idx="123">
                  <c:v>71.3</c:v>
                </c:pt>
                <c:pt idx="124">
                  <c:v>71.400000000000006</c:v>
                </c:pt>
                <c:pt idx="125">
                  <c:v>78.8</c:v>
                </c:pt>
                <c:pt idx="126">
                  <c:v>38.81</c:v>
                </c:pt>
                <c:pt idx="127">
                  <c:v>51.48</c:v>
                </c:pt>
                <c:pt idx="128">
                  <c:v>44.63</c:v>
                </c:pt>
                <c:pt idx="129">
                  <c:v>59.41</c:v>
                </c:pt>
                <c:pt idx="130">
                  <c:v>82.2</c:v>
                </c:pt>
                <c:pt idx="131">
                  <c:v>85.2</c:v>
                </c:pt>
                <c:pt idx="132">
                  <c:v>77.8</c:v>
                </c:pt>
                <c:pt idx="133">
                  <c:v>61.49</c:v>
                </c:pt>
                <c:pt idx="134">
                  <c:v>40.89</c:v>
                </c:pt>
                <c:pt idx="135">
                  <c:v>40.869999999999997</c:v>
                </c:pt>
                <c:pt idx="136">
                  <c:v>38.76</c:v>
                </c:pt>
                <c:pt idx="137">
                  <c:v>51.62</c:v>
                </c:pt>
                <c:pt idx="138">
                  <c:v>43.98</c:v>
                </c:pt>
                <c:pt idx="139">
                  <c:v>72.900000000000006</c:v>
                </c:pt>
                <c:pt idx="140">
                  <c:v>65.260000000000005</c:v>
                </c:pt>
                <c:pt idx="141">
                  <c:v>73.7</c:v>
                </c:pt>
                <c:pt idx="142">
                  <c:v>55.92</c:v>
                </c:pt>
                <c:pt idx="143">
                  <c:v>33.369999999999997</c:v>
                </c:pt>
                <c:pt idx="144">
                  <c:v>34.65</c:v>
                </c:pt>
                <c:pt idx="145">
                  <c:v>26.18</c:v>
                </c:pt>
                <c:pt idx="146">
                  <c:v>47.05</c:v>
                </c:pt>
                <c:pt idx="147">
                  <c:v>78</c:v>
                </c:pt>
                <c:pt idx="148">
                  <c:v>59.51</c:v>
                </c:pt>
                <c:pt idx="149">
                  <c:v>73.599999999999994</c:v>
                </c:pt>
                <c:pt idx="150">
                  <c:v>41.75</c:v>
                </c:pt>
                <c:pt idx="151">
                  <c:v>40.67</c:v>
                </c:pt>
                <c:pt idx="262">
                  <c:v>58.03</c:v>
                </c:pt>
                <c:pt idx="263">
                  <c:v>90</c:v>
                </c:pt>
                <c:pt idx="264">
                  <c:v>45.37</c:v>
                </c:pt>
                <c:pt idx="265">
                  <c:v>34.75</c:v>
                </c:pt>
                <c:pt idx="266">
                  <c:v>35.1</c:v>
                </c:pt>
                <c:pt idx="267">
                  <c:v>44.13</c:v>
                </c:pt>
                <c:pt idx="268">
                  <c:v>41.36</c:v>
                </c:pt>
                <c:pt idx="269">
                  <c:v>36.950000000000003</c:v>
                </c:pt>
                <c:pt idx="270">
                  <c:v>28.06</c:v>
                </c:pt>
                <c:pt idx="271">
                  <c:v>35.89</c:v>
                </c:pt>
                <c:pt idx="272">
                  <c:v>74.400000000000006</c:v>
                </c:pt>
                <c:pt idx="273">
                  <c:v>63.65</c:v>
                </c:pt>
                <c:pt idx="274">
                  <c:v>59.19</c:v>
                </c:pt>
                <c:pt idx="275">
                  <c:v>75.400000000000006</c:v>
                </c:pt>
                <c:pt idx="276">
                  <c:v>54.41</c:v>
                </c:pt>
                <c:pt idx="277">
                  <c:v>53.55</c:v>
                </c:pt>
                <c:pt idx="278">
                  <c:v>33.93</c:v>
                </c:pt>
                <c:pt idx="279">
                  <c:v>17.98</c:v>
                </c:pt>
                <c:pt idx="280">
                  <c:v>9.09</c:v>
                </c:pt>
                <c:pt idx="281">
                  <c:v>33.03</c:v>
                </c:pt>
                <c:pt idx="282">
                  <c:v>40.46</c:v>
                </c:pt>
                <c:pt idx="283">
                  <c:v>59.96</c:v>
                </c:pt>
                <c:pt idx="284">
                  <c:v>103.1</c:v>
                </c:pt>
                <c:pt idx="285">
                  <c:v>44.99</c:v>
                </c:pt>
                <c:pt idx="286">
                  <c:v>64.94</c:v>
                </c:pt>
                <c:pt idx="287">
                  <c:v>99.7</c:v>
                </c:pt>
                <c:pt idx="288">
                  <c:v>70.7</c:v>
                </c:pt>
                <c:pt idx="289">
                  <c:v>78.099999999999994</c:v>
                </c:pt>
                <c:pt idx="290">
                  <c:v>68.38</c:v>
                </c:pt>
                <c:pt idx="291">
                  <c:v>68.45</c:v>
                </c:pt>
                <c:pt idx="292">
                  <c:v>51.47</c:v>
                </c:pt>
                <c:pt idx="293">
                  <c:v>92.6</c:v>
                </c:pt>
                <c:pt idx="294">
                  <c:v>81.5</c:v>
                </c:pt>
                <c:pt idx="295">
                  <c:v>77.3</c:v>
                </c:pt>
                <c:pt idx="296">
                  <c:v>54.9</c:v>
                </c:pt>
                <c:pt idx="297">
                  <c:v>52.18</c:v>
                </c:pt>
                <c:pt idx="298">
                  <c:v>52.65</c:v>
                </c:pt>
                <c:pt idx="299">
                  <c:v>51.35</c:v>
                </c:pt>
                <c:pt idx="300">
                  <c:v>92.4</c:v>
                </c:pt>
                <c:pt idx="301">
                  <c:v>97.9</c:v>
                </c:pt>
                <c:pt idx="302">
                  <c:v>102.6</c:v>
                </c:pt>
                <c:pt idx="303">
                  <c:v>95.3</c:v>
                </c:pt>
                <c:pt idx="304">
                  <c:v>96</c:v>
                </c:pt>
                <c:pt idx="305">
                  <c:v>92.2</c:v>
                </c:pt>
                <c:pt idx="306">
                  <c:v>79.3</c:v>
                </c:pt>
                <c:pt idx="307">
                  <c:v>100.2</c:v>
                </c:pt>
                <c:pt idx="308">
                  <c:v>100.5</c:v>
                </c:pt>
                <c:pt idx="309">
                  <c:v>104.3</c:v>
                </c:pt>
                <c:pt idx="310">
                  <c:v>102.7</c:v>
                </c:pt>
                <c:pt idx="311">
                  <c:v>99.6</c:v>
                </c:pt>
                <c:pt idx="312">
                  <c:v>83.6</c:v>
                </c:pt>
                <c:pt idx="313">
                  <c:v>64.59</c:v>
                </c:pt>
                <c:pt idx="314">
                  <c:v>87.6</c:v>
                </c:pt>
                <c:pt idx="315">
                  <c:v>104.5</c:v>
                </c:pt>
                <c:pt idx="316">
                  <c:v>102.5</c:v>
                </c:pt>
                <c:pt idx="317">
                  <c:v>102</c:v>
                </c:pt>
                <c:pt idx="318">
                  <c:v>101.7</c:v>
                </c:pt>
                <c:pt idx="319">
                  <c:v>106</c:v>
                </c:pt>
                <c:pt idx="320">
                  <c:v>105.6</c:v>
                </c:pt>
                <c:pt idx="321">
                  <c:v>104.6</c:v>
                </c:pt>
                <c:pt idx="322">
                  <c:v>105.5</c:v>
                </c:pt>
                <c:pt idx="323">
                  <c:v>103.6</c:v>
                </c:pt>
                <c:pt idx="324">
                  <c:v>93.3</c:v>
                </c:pt>
                <c:pt idx="325">
                  <c:v>89.3</c:v>
                </c:pt>
                <c:pt idx="326">
                  <c:v>77.3</c:v>
                </c:pt>
                <c:pt idx="327">
                  <c:v>99.6</c:v>
                </c:pt>
                <c:pt idx="328">
                  <c:v>97</c:v>
                </c:pt>
                <c:pt idx="329">
                  <c:v>87.6</c:v>
                </c:pt>
                <c:pt idx="330">
                  <c:v>86.7</c:v>
                </c:pt>
                <c:pt idx="331">
                  <c:v>106.2</c:v>
                </c:pt>
                <c:pt idx="332">
                  <c:v>70.099999999999994</c:v>
                </c:pt>
                <c:pt idx="333">
                  <c:v>69.959999999999994</c:v>
                </c:pt>
                <c:pt idx="334">
                  <c:v>104.2</c:v>
                </c:pt>
                <c:pt idx="335">
                  <c:v>83.5</c:v>
                </c:pt>
                <c:pt idx="336">
                  <c:v>86.6</c:v>
                </c:pt>
                <c:pt idx="337">
                  <c:v>95.3</c:v>
                </c:pt>
                <c:pt idx="338">
                  <c:v>92.5</c:v>
                </c:pt>
                <c:pt idx="339">
                  <c:v>94.8</c:v>
                </c:pt>
                <c:pt idx="340">
                  <c:v>83.2</c:v>
                </c:pt>
                <c:pt idx="341">
                  <c:v>102.6</c:v>
                </c:pt>
                <c:pt idx="342">
                  <c:v>103.5</c:v>
                </c:pt>
                <c:pt idx="343">
                  <c:v>103.5</c:v>
                </c:pt>
                <c:pt idx="344">
                  <c:v>99.7</c:v>
                </c:pt>
                <c:pt idx="345">
                  <c:v>94.8</c:v>
                </c:pt>
                <c:pt idx="346">
                  <c:v>93.6</c:v>
                </c:pt>
                <c:pt idx="347">
                  <c:v>91.3</c:v>
                </c:pt>
                <c:pt idx="348">
                  <c:v>94.3</c:v>
                </c:pt>
                <c:pt idx="349">
                  <c:v>88</c:v>
                </c:pt>
                <c:pt idx="350">
                  <c:v>96.9</c:v>
                </c:pt>
                <c:pt idx="351">
                  <c:v>102.9</c:v>
                </c:pt>
                <c:pt idx="352">
                  <c:v>101.4</c:v>
                </c:pt>
                <c:pt idx="353">
                  <c:v>103.8</c:v>
                </c:pt>
                <c:pt idx="354">
                  <c:v>83.7</c:v>
                </c:pt>
                <c:pt idx="355">
                  <c:v>96</c:v>
                </c:pt>
                <c:pt idx="356">
                  <c:v>101</c:v>
                </c:pt>
                <c:pt idx="357">
                  <c:v>84.1</c:v>
                </c:pt>
                <c:pt idx="358">
                  <c:v>103.9</c:v>
                </c:pt>
                <c:pt idx="359">
                  <c:v>94.9</c:v>
                </c:pt>
                <c:pt idx="360">
                  <c:v>107.7</c:v>
                </c:pt>
                <c:pt idx="361">
                  <c:v>105.5</c:v>
                </c:pt>
                <c:pt idx="362">
                  <c:v>99.5</c:v>
                </c:pt>
                <c:pt idx="363">
                  <c:v>100</c:v>
                </c:pt>
                <c:pt idx="364">
                  <c:v>81.099999999999994</c:v>
                </c:pt>
                <c:pt idx="365">
                  <c:v>102.3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921792"/>
        <c:axId val="235923328"/>
      </c:lineChart>
      <c:catAx>
        <c:axId val="23592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592332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5923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5921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 Corrected Maximum and Minimum Relative Humidity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Data!$BR$7:$BR$372</c:f>
              <c:numCache>
                <c:formatCode>General</c:formatCode>
                <c:ptCount val="366"/>
                <c:pt idx="61">
                  <c:v>95.9</c:v>
                </c:pt>
                <c:pt idx="62">
                  <c:v>97.5</c:v>
                </c:pt>
                <c:pt idx="63">
                  <c:v>97.8</c:v>
                </c:pt>
                <c:pt idx="64">
                  <c:v>96.3</c:v>
                </c:pt>
                <c:pt idx="65">
                  <c:v>95.4</c:v>
                </c:pt>
                <c:pt idx="66">
                  <c:v>93.5</c:v>
                </c:pt>
                <c:pt idx="67">
                  <c:v>91.3</c:v>
                </c:pt>
                <c:pt idx="68">
                  <c:v>98.1</c:v>
                </c:pt>
                <c:pt idx="69">
                  <c:v>97</c:v>
                </c:pt>
                <c:pt idx="70">
                  <c:v>95.4</c:v>
                </c:pt>
                <c:pt idx="71">
                  <c:v>94.3</c:v>
                </c:pt>
                <c:pt idx="72">
                  <c:v>96</c:v>
                </c:pt>
                <c:pt idx="73">
                  <c:v>97.5</c:v>
                </c:pt>
                <c:pt idx="74">
                  <c:v>96.5</c:v>
                </c:pt>
                <c:pt idx="75">
                  <c:v>97.6</c:v>
                </c:pt>
                <c:pt idx="76">
                  <c:v>96.8</c:v>
                </c:pt>
                <c:pt idx="77">
                  <c:v>96.5</c:v>
                </c:pt>
                <c:pt idx="78">
                  <c:v>96.3</c:v>
                </c:pt>
                <c:pt idx="79">
                  <c:v>93.3</c:v>
                </c:pt>
                <c:pt idx="80">
                  <c:v>94.3</c:v>
                </c:pt>
                <c:pt idx="81">
                  <c:v>98.6</c:v>
                </c:pt>
                <c:pt idx="82">
                  <c:v>97.5</c:v>
                </c:pt>
                <c:pt idx="83">
                  <c:v>96.8</c:v>
                </c:pt>
                <c:pt idx="84">
                  <c:v>96.8</c:v>
                </c:pt>
                <c:pt idx="85">
                  <c:v>96.8</c:v>
                </c:pt>
                <c:pt idx="86">
                  <c:v>98.2</c:v>
                </c:pt>
                <c:pt idx="87">
                  <c:v>97.3</c:v>
                </c:pt>
                <c:pt idx="88">
                  <c:v>96.5</c:v>
                </c:pt>
                <c:pt idx="89">
                  <c:v>93.2</c:v>
                </c:pt>
                <c:pt idx="90">
                  <c:v>93.8</c:v>
                </c:pt>
                <c:pt idx="91">
                  <c:v>92.2</c:v>
                </c:pt>
                <c:pt idx="92">
                  <c:v>90.8</c:v>
                </c:pt>
                <c:pt idx="93">
                  <c:v>93.3</c:v>
                </c:pt>
                <c:pt idx="94">
                  <c:v>97.3</c:v>
                </c:pt>
                <c:pt idx="95">
                  <c:v>93.6</c:v>
                </c:pt>
                <c:pt idx="96">
                  <c:v>95.9</c:v>
                </c:pt>
                <c:pt idx="97">
                  <c:v>90.9</c:v>
                </c:pt>
                <c:pt idx="98">
                  <c:v>91.7</c:v>
                </c:pt>
                <c:pt idx="99">
                  <c:v>92.2</c:v>
                </c:pt>
                <c:pt idx="100">
                  <c:v>74.400000000000006</c:v>
                </c:pt>
                <c:pt idx="101">
                  <c:v>97</c:v>
                </c:pt>
                <c:pt idx="102">
                  <c:v>96.8</c:v>
                </c:pt>
                <c:pt idx="103">
                  <c:v>98.1</c:v>
                </c:pt>
                <c:pt idx="104">
                  <c:v>98.2</c:v>
                </c:pt>
                <c:pt idx="105">
                  <c:v>99.2</c:v>
                </c:pt>
                <c:pt idx="106">
                  <c:v>99</c:v>
                </c:pt>
                <c:pt idx="107">
                  <c:v>98.6</c:v>
                </c:pt>
                <c:pt idx="108">
                  <c:v>89.7</c:v>
                </c:pt>
                <c:pt idx="109">
                  <c:v>82</c:v>
                </c:pt>
                <c:pt idx="110">
                  <c:v>90.6</c:v>
                </c:pt>
                <c:pt idx="111">
                  <c:v>94.4</c:v>
                </c:pt>
                <c:pt idx="112">
                  <c:v>98.2</c:v>
                </c:pt>
                <c:pt idx="113">
                  <c:v>96.7</c:v>
                </c:pt>
                <c:pt idx="114">
                  <c:v>96.2</c:v>
                </c:pt>
                <c:pt idx="115">
                  <c:v>92.5</c:v>
                </c:pt>
                <c:pt idx="116">
                  <c:v>92.2</c:v>
                </c:pt>
                <c:pt idx="117">
                  <c:v>98.4</c:v>
                </c:pt>
                <c:pt idx="118">
                  <c:v>100</c:v>
                </c:pt>
                <c:pt idx="119">
                  <c:v>93.2</c:v>
                </c:pt>
                <c:pt idx="120">
                  <c:v>91.9</c:v>
                </c:pt>
                <c:pt idx="121">
                  <c:v>98.7</c:v>
                </c:pt>
                <c:pt idx="122">
                  <c:v>96.2</c:v>
                </c:pt>
                <c:pt idx="123">
                  <c:v>98.7</c:v>
                </c:pt>
                <c:pt idx="124">
                  <c:v>96.7</c:v>
                </c:pt>
                <c:pt idx="125">
                  <c:v>97.8</c:v>
                </c:pt>
                <c:pt idx="126">
                  <c:v>96</c:v>
                </c:pt>
                <c:pt idx="127">
                  <c:v>94.7</c:v>
                </c:pt>
                <c:pt idx="128">
                  <c:v>99</c:v>
                </c:pt>
                <c:pt idx="129">
                  <c:v>100</c:v>
                </c:pt>
                <c:pt idx="130">
                  <c:v>98.2</c:v>
                </c:pt>
                <c:pt idx="131">
                  <c:v>98.9</c:v>
                </c:pt>
                <c:pt idx="132">
                  <c:v>99.2</c:v>
                </c:pt>
                <c:pt idx="133">
                  <c:v>97</c:v>
                </c:pt>
                <c:pt idx="134">
                  <c:v>89.3</c:v>
                </c:pt>
                <c:pt idx="135">
                  <c:v>87.1</c:v>
                </c:pt>
                <c:pt idx="136">
                  <c:v>92.2</c:v>
                </c:pt>
                <c:pt idx="137">
                  <c:v>94.7</c:v>
                </c:pt>
                <c:pt idx="138">
                  <c:v>96.3</c:v>
                </c:pt>
                <c:pt idx="139">
                  <c:v>95.9</c:v>
                </c:pt>
                <c:pt idx="140">
                  <c:v>96.5</c:v>
                </c:pt>
                <c:pt idx="141">
                  <c:v>96</c:v>
                </c:pt>
                <c:pt idx="142">
                  <c:v>93.3</c:v>
                </c:pt>
                <c:pt idx="143">
                  <c:v>75.8</c:v>
                </c:pt>
                <c:pt idx="144">
                  <c:v>80.900000000000006</c:v>
                </c:pt>
                <c:pt idx="145">
                  <c:v>84.1</c:v>
                </c:pt>
                <c:pt idx="146">
                  <c:v>96.3</c:v>
                </c:pt>
                <c:pt idx="147">
                  <c:v>96.5</c:v>
                </c:pt>
                <c:pt idx="148">
                  <c:v>97</c:v>
                </c:pt>
                <c:pt idx="149">
                  <c:v>98.4</c:v>
                </c:pt>
                <c:pt idx="150">
                  <c:v>97.8</c:v>
                </c:pt>
                <c:pt idx="151">
                  <c:v>90.8</c:v>
                </c:pt>
                <c:pt idx="262">
                  <c:v>100</c:v>
                </c:pt>
                <c:pt idx="263">
                  <c:v>97.8</c:v>
                </c:pt>
                <c:pt idx="264">
                  <c:v>97.5</c:v>
                </c:pt>
                <c:pt idx="265">
                  <c:v>85</c:v>
                </c:pt>
                <c:pt idx="266">
                  <c:v>92.2</c:v>
                </c:pt>
                <c:pt idx="267">
                  <c:v>93.8</c:v>
                </c:pt>
                <c:pt idx="268">
                  <c:v>97</c:v>
                </c:pt>
                <c:pt idx="269">
                  <c:v>97.1</c:v>
                </c:pt>
                <c:pt idx="270">
                  <c:v>96</c:v>
                </c:pt>
                <c:pt idx="271">
                  <c:v>91.3</c:v>
                </c:pt>
                <c:pt idx="272">
                  <c:v>98.1</c:v>
                </c:pt>
                <c:pt idx="273">
                  <c:v>97.5</c:v>
                </c:pt>
                <c:pt idx="274">
                  <c:v>98.2</c:v>
                </c:pt>
                <c:pt idx="275">
                  <c:v>98.2</c:v>
                </c:pt>
                <c:pt idx="276">
                  <c:v>98.1</c:v>
                </c:pt>
                <c:pt idx="277">
                  <c:v>96.7</c:v>
                </c:pt>
                <c:pt idx="278">
                  <c:v>94</c:v>
                </c:pt>
                <c:pt idx="279">
                  <c:v>81</c:v>
                </c:pt>
                <c:pt idx="280">
                  <c:v>66.2</c:v>
                </c:pt>
                <c:pt idx="281">
                  <c:v>75.8</c:v>
                </c:pt>
                <c:pt idx="282">
                  <c:v>81</c:v>
                </c:pt>
                <c:pt idx="283">
                  <c:v>97.6</c:v>
                </c:pt>
                <c:pt idx="284">
                  <c:v>100</c:v>
                </c:pt>
                <c:pt idx="285">
                  <c:v>100</c:v>
                </c:pt>
                <c:pt idx="286">
                  <c:v>96.8</c:v>
                </c:pt>
                <c:pt idx="287">
                  <c:v>100</c:v>
                </c:pt>
                <c:pt idx="288">
                  <c:v>99</c:v>
                </c:pt>
                <c:pt idx="289">
                  <c:v>100</c:v>
                </c:pt>
                <c:pt idx="290">
                  <c:v>99</c:v>
                </c:pt>
                <c:pt idx="291">
                  <c:v>97.3</c:v>
                </c:pt>
                <c:pt idx="292">
                  <c:v>98.2</c:v>
                </c:pt>
                <c:pt idx="293">
                  <c:v>100</c:v>
                </c:pt>
                <c:pt idx="294">
                  <c:v>99.2</c:v>
                </c:pt>
                <c:pt idx="295">
                  <c:v>96.7</c:v>
                </c:pt>
                <c:pt idx="296">
                  <c:v>95.4</c:v>
                </c:pt>
                <c:pt idx="297">
                  <c:v>94.3</c:v>
                </c:pt>
                <c:pt idx="298">
                  <c:v>96.2</c:v>
                </c:pt>
                <c:pt idx="299">
                  <c:v>97.1</c:v>
                </c:pt>
                <c:pt idx="300">
                  <c:v>94.7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98.7</c:v>
                </c:pt>
                <c:pt idx="306">
                  <c:v>97.5</c:v>
                </c:pt>
                <c:pt idx="307">
                  <c:v>97</c:v>
                </c:pt>
                <c:pt idx="308">
                  <c:v>98.9</c:v>
                </c:pt>
                <c:pt idx="309">
                  <c:v>97.6</c:v>
                </c:pt>
                <c:pt idx="310">
                  <c:v>96.2</c:v>
                </c:pt>
                <c:pt idx="311">
                  <c:v>95.9</c:v>
                </c:pt>
                <c:pt idx="312">
                  <c:v>93.3</c:v>
                </c:pt>
                <c:pt idx="313">
                  <c:v>93.2</c:v>
                </c:pt>
                <c:pt idx="314">
                  <c:v>95.7</c:v>
                </c:pt>
                <c:pt idx="315">
                  <c:v>93.6</c:v>
                </c:pt>
                <c:pt idx="316">
                  <c:v>94.9</c:v>
                </c:pt>
                <c:pt idx="317">
                  <c:v>95.5</c:v>
                </c:pt>
                <c:pt idx="318">
                  <c:v>94.7</c:v>
                </c:pt>
                <c:pt idx="319">
                  <c:v>94.4</c:v>
                </c:pt>
                <c:pt idx="320">
                  <c:v>93.5</c:v>
                </c:pt>
                <c:pt idx="321">
                  <c:v>94.1</c:v>
                </c:pt>
                <c:pt idx="322">
                  <c:v>96.2</c:v>
                </c:pt>
                <c:pt idx="323">
                  <c:v>96.7</c:v>
                </c:pt>
                <c:pt idx="324">
                  <c:v>97.3</c:v>
                </c:pt>
                <c:pt idx="325">
                  <c:v>97.5</c:v>
                </c:pt>
                <c:pt idx="326">
                  <c:v>96.2</c:v>
                </c:pt>
                <c:pt idx="327">
                  <c:v>97.6</c:v>
                </c:pt>
                <c:pt idx="328">
                  <c:v>97.5</c:v>
                </c:pt>
                <c:pt idx="329">
                  <c:v>96.5</c:v>
                </c:pt>
                <c:pt idx="330">
                  <c:v>96</c:v>
                </c:pt>
                <c:pt idx="331">
                  <c:v>97</c:v>
                </c:pt>
                <c:pt idx="332">
                  <c:v>94.6</c:v>
                </c:pt>
                <c:pt idx="333">
                  <c:v>96.5</c:v>
                </c:pt>
                <c:pt idx="334">
                  <c:v>98.1</c:v>
                </c:pt>
                <c:pt idx="335">
                  <c:v>97.8</c:v>
                </c:pt>
                <c:pt idx="336">
                  <c:v>98.2</c:v>
                </c:pt>
                <c:pt idx="337">
                  <c:v>98.2</c:v>
                </c:pt>
                <c:pt idx="338">
                  <c:v>96.3</c:v>
                </c:pt>
                <c:pt idx="339">
                  <c:v>97.1</c:v>
                </c:pt>
                <c:pt idx="340">
                  <c:v>98.2</c:v>
                </c:pt>
                <c:pt idx="341">
                  <c:v>98.9</c:v>
                </c:pt>
                <c:pt idx="342">
                  <c:v>96.5</c:v>
                </c:pt>
                <c:pt idx="343">
                  <c:v>93.6</c:v>
                </c:pt>
                <c:pt idx="344">
                  <c:v>89.5</c:v>
                </c:pt>
                <c:pt idx="345">
                  <c:v>89.3</c:v>
                </c:pt>
                <c:pt idx="346">
                  <c:v>85.4</c:v>
                </c:pt>
                <c:pt idx="347">
                  <c:v>83.9</c:v>
                </c:pt>
                <c:pt idx="348">
                  <c:v>92.8</c:v>
                </c:pt>
                <c:pt idx="349">
                  <c:v>89.2</c:v>
                </c:pt>
                <c:pt idx="350">
                  <c:v>94.6</c:v>
                </c:pt>
                <c:pt idx="351">
                  <c:v>95.2</c:v>
                </c:pt>
                <c:pt idx="352">
                  <c:v>95.7</c:v>
                </c:pt>
                <c:pt idx="353">
                  <c:v>95.1</c:v>
                </c:pt>
                <c:pt idx="354">
                  <c:v>90</c:v>
                </c:pt>
                <c:pt idx="355">
                  <c:v>95.2</c:v>
                </c:pt>
                <c:pt idx="356">
                  <c:v>96.5</c:v>
                </c:pt>
                <c:pt idx="357">
                  <c:v>97.3</c:v>
                </c:pt>
                <c:pt idx="358">
                  <c:v>97.8</c:v>
                </c:pt>
                <c:pt idx="359">
                  <c:v>98.4</c:v>
                </c:pt>
                <c:pt idx="360">
                  <c:v>98.1</c:v>
                </c:pt>
                <c:pt idx="361">
                  <c:v>98.1</c:v>
                </c:pt>
                <c:pt idx="362">
                  <c:v>94.7</c:v>
                </c:pt>
                <c:pt idx="363">
                  <c:v>96.3</c:v>
                </c:pt>
                <c:pt idx="364">
                  <c:v>97.5</c:v>
                </c:pt>
                <c:pt idx="365">
                  <c:v>98.2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Data!$BT$7:$BT$372</c:f>
              <c:numCache>
                <c:formatCode>General</c:formatCode>
                <c:ptCount val="366"/>
                <c:pt idx="61">
                  <c:v>79.7</c:v>
                </c:pt>
                <c:pt idx="62">
                  <c:v>75</c:v>
                </c:pt>
                <c:pt idx="63">
                  <c:v>82</c:v>
                </c:pt>
                <c:pt idx="64">
                  <c:v>60</c:v>
                </c:pt>
                <c:pt idx="65">
                  <c:v>83.1</c:v>
                </c:pt>
                <c:pt idx="66">
                  <c:v>32.700000000000003</c:v>
                </c:pt>
                <c:pt idx="67">
                  <c:v>37.200000000000003</c:v>
                </c:pt>
                <c:pt idx="68">
                  <c:v>69</c:v>
                </c:pt>
                <c:pt idx="69">
                  <c:v>52.3</c:v>
                </c:pt>
                <c:pt idx="70">
                  <c:v>46.6</c:v>
                </c:pt>
                <c:pt idx="71">
                  <c:v>49.1</c:v>
                </c:pt>
                <c:pt idx="72">
                  <c:v>45.4</c:v>
                </c:pt>
                <c:pt idx="73">
                  <c:v>90.9</c:v>
                </c:pt>
                <c:pt idx="74">
                  <c:v>79.8</c:v>
                </c:pt>
                <c:pt idx="75">
                  <c:v>96</c:v>
                </c:pt>
                <c:pt idx="76">
                  <c:v>90.6</c:v>
                </c:pt>
                <c:pt idx="77">
                  <c:v>80.900000000000006</c:v>
                </c:pt>
                <c:pt idx="78">
                  <c:v>59.1</c:v>
                </c:pt>
                <c:pt idx="79">
                  <c:v>55.9</c:v>
                </c:pt>
                <c:pt idx="80">
                  <c:v>46.8</c:v>
                </c:pt>
                <c:pt idx="81">
                  <c:v>64.599999999999994</c:v>
                </c:pt>
                <c:pt idx="82">
                  <c:v>89</c:v>
                </c:pt>
                <c:pt idx="83">
                  <c:v>46.7</c:v>
                </c:pt>
                <c:pt idx="84">
                  <c:v>64.3</c:v>
                </c:pt>
                <c:pt idx="85">
                  <c:v>35.200000000000003</c:v>
                </c:pt>
                <c:pt idx="86">
                  <c:v>48.8</c:v>
                </c:pt>
                <c:pt idx="87">
                  <c:v>53.7</c:v>
                </c:pt>
                <c:pt idx="88">
                  <c:v>40.6</c:v>
                </c:pt>
                <c:pt idx="89">
                  <c:v>28.2</c:v>
                </c:pt>
                <c:pt idx="90">
                  <c:v>33</c:v>
                </c:pt>
                <c:pt idx="91">
                  <c:v>60.3</c:v>
                </c:pt>
                <c:pt idx="92">
                  <c:v>25.7</c:v>
                </c:pt>
                <c:pt idx="93">
                  <c:v>39</c:v>
                </c:pt>
                <c:pt idx="94">
                  <c:v>44</c:v>
                </c:pt>
                <c:pt idx="95">
                  <c:v>55.5</c:v>
                </c:pt>
                <c:pt idx="96">
                  <c:v>70</c:v>
                </c:pt>
                <c:pt idx="97">
                  <c:v>36.299999999999997</c:v>
                </c:pt>
                <c:pt idx="98">
                  <c:v>32.1</c:v>
                </c:pt>
                <c:pt idx="99">
                  <c:v>23.8</c:v>
                </c:pt>
                <c:pt idx="100">
                  <c:v>23.2</c:v>
                </c:pt>
                <c:pt idx="101">
                  <c:v>22.4</c:v>
                </c:pt>
                <c:pt idx="102">
                  <c:v>32.9</c:v>
                </c:pt>
                <c:pt idx="103">
                  <c:v>80.599999999999994</c:v>
                </c:pt>
                <c:pt idx="104">
                  <c:v>92</c:v>
                </c:pt>
                <c:pt idx="105">
                  <c:v>59.2</c:v>
                </c:pt>
                <c:pt idx="106">
                  <c:v>54.9</c:v>
                </c:pt>
                <c:pt idx="107">
                  <c:v>24.5</c:v>
                </c:pt>
                <c:pt idx="108">
                  <c:v>17.5</c:v>
                </c:pt>
                <c:pt idx="109">
                  <c:v>24</c:v>
                </c:pt>
                <c:pt idx="110">
                  <c:v>54.1</c:v>
                </c:pt>
                <c:pt idx="111">
                  <c:v>38.1</c:v>
                </c:pt>
                <c:pt idx="112">
                  <c:v>20.3</c:v>
                </c:pt>
                <c:pt idx="113">
                  <c:v>27.4</c:v>
                </c:pt>
                <c:pt idx="114">
                  <c:v>35.299999999999997</c:v>
                </c:pt>
                <c:pt idx="115">
                  <c:v>48.8</c:v>
                </c:pt>
                <c:pt idx="116">
                  <c:v>31.4</c:v>
                </c:pt>
                <c:pt idx="117">
                  <c:v>24.4</c:v>
                </c:pt>
                <c:pt idx="118">
                  <c:v>49.9</c:v>
                </c:pt>
                <c:pt idx="119">
                  <c:v>32.4</c:v>
                </c:pt>
                <c:pt idx="120">
                  <c:v>44</c:v>
                </c:pt>
                <c:pt idx="121">
                  <c:v>54</c:v>
                </c:pt>
                <c:pt idx="122">
                  <c:v>33.4</c:v>
                </c:pt>
                <c:pt idx="123">
                  <c:v>56.7</c:v>
                </c:pt>
                <c:pt idx="124">
                  <c:v>56.8</c:v>
                </c:pt>
                <c:pt idx="125">
                  <c:v>63.3</c:v>
                </c:pt>
                <c:pt idx="126">
                  <c:v>28.2</c:v>
                </c:pt>
                <c:pt idx="127">
                  <c:v>39.299999999999997</c:v>
                </c:pt>
                <c:pt idx="128">
                  <c:v>33.299999999999997</c:v>
                </c:pt>
                <c:pt idx="129">
                  <c:v>46.3</c:v>
                </c:pt>
                <c:pt idx="130">
                  <c:v>66.3</c:v>
                </c:pt>
                <c:pt idx="131">
                  <c:v>69</c:v>
                </c:pt>
                <c:pt idx="132">
                  <c:v>62.5</c:v>
                </c:pt>
                <c:pt idx="133">
                  <c:v>48.1</c:v>
                </c:pt>
                <c:pt idx="134">
                  <c:v>30</c:v>
                </c:pt>
                <c:pt idx="135">
                  <c:v>30</c:v>
                </c:pt>
                <c:pt idx="136">
                  <c:v>28.1</c:v>
                </c:pt>
                <c:pt idx="137">
                  <c:v>39.4</c:v>
                </c:pt>
                <c:pt idx="138">
                  <c:v>32.700000000000003</c:v>
                </c:pt>
                <c:pt idx="139">
                  <c:v>58.2</c:v>
                </c:pt>
                <c:pt idx="140">
                  <c:v>51.4</c:v>
                </c:pt>
                <c:pt idx="141">
                  <c:v>58.9</c:v>
                </c:pt>
                <c:pt idx="142">
                  <c:v>43.2</c:v>
                </c:pt>
                <c:pt idx="143">
                  <c:v>23.4</c:v>
                </c:pt>
                <c:pt idx="144">
                  <c:v>24.5</c:v>
                </c:pt>
                <c:pt idx="145">
                  <c:v>17</c:v>
                </c:pt>
                <c:pt idx="146">
                  <c:v>35.4</c:v>
                </c:pt>
                <c:pt idx="147">
                  <c:v>62.6</c:v>
                </c:pt>
                <c:pt idx="148">
                  <c:v>46.4</c:v>
                </c:pt>
                <c:pt idx="149">
                  <c:v>58.8</c:v>
                </c:pt>
                <c:pt idx="150">
                  <c:v>30.7</c:v>
                </c:pt>
                <c:pt idx="151">
                  <c:v>29.8</c:v>
                </c:pt>
                <c:pt idx="158">
                  <c:v>47</c:v>
                </c:pt>
                <c:pt idx="159">
                  <c:v>76</c:v>
                </c:pt>
                <c:pt idx="160">
                  <c:v>50</c:v>
                </c:pt>
                <c:pt idx="161">
                  <c:v>64</c:v>
                </c:pt>
                <c:pt idx="162">
                  <c:v>37</c:v>
                </c:pt>
                <c:pt idx="163">
                  <c:v>66</c:v>
                </c:pt>
                <c:pt idx="164">
                  <c:v>61</c:v>
                </c:pt>
                <c:pt idx="165">
                  <c:v>72</c:v>
                </c:pt>
                <c:pt idx="166">
                  <c:v>48</c:v>
                </c:pt>
                <c:pt idx="167">
                  <c:v>31</c:v>
                </c:pt>
                <c:pt idx="168">
                  <c:v>35</c:v>
                </c:pt>
                <c:pt idx="169">
                  <c:v>48</c:v>
                </c:pt>
                <c:pt idx="170">
                  <c:v>31</c:v>
                </c:pt>
                <c:pt idx="171">
                  <c:v>48</c:v>
                </c:pt>
                <c:pt idx="172">
                  <c:v>52</c:v>
                </c:pt>
                <c:pt idx="173">
                  <c:v>37</c:v>
                </c:pt>
                <c:pt idx="174">
                  <c:v>31</c:v>
                </c:pt>
                <c:pt idx="175">
                  <c:v>49</c:v>
                </c:pt>
                <c:pt idx="176">
                  <c:v>29</c:v>
                </c:pt>
                <c:pt idx="177">
                  <c:v>21</c:v>
                </c:pt>
                <c:pt idx="178">
                  <c:v>19</c:v>
                </c:pt>
                <c:pt idx="179">
                  <c:v>23</c:v>
                </c:pt>
                <c:pt idx="180">
                  <c:v>26</c:v>
                </c:pt>
                <c:pt idx="181">
                  <c:v>34</c:v>
                </c:pt>
                <c:pt idx="182">
                  <c:v>41</c:v>
                </c:pt>
                <c:pt idx="183">
                  <c:v>52</c:v>
                </c:pt>
                <c:pt idx="184">
                  <c:v>40</c:v>
                </c:pt>
                <c:pt idx="185">
                  <c:v>82</c:v>
                </c:pt>
                <c:pt idx="186">
                  <c:v>54</c:v>
                </c:pt>
                <c:pt idx="187">
                  <c:v>42</c:v>
                </c:pt>
                <c:pt idx="188">
                  <c:v>50</c:v>
                </c:pt>
                <c:pt idx="189">
                  <c:v>39</c:v>
                </c:pt>
                <c:pt idx="190">
                  <c:v>62</c:v>
                </c:pt>
                <c:pt idx="191">
                  <c:v>63</c:v>
                </c:pt>
                <c:pt idx="192">
                  <c:v>37</c:v>
                </c:pt>
                <c:pt idx="193">
                  <c:v>25</c:v>
                </c:pt>
                <c:pt idx="194">
                  <c:v>27</c:v>
                </c:pt>
                <c:pt idx="195">
                  <c:v>31</c:v>
                </c:pt>
                <c:pt idx="196">
                  <c:v>42</c:v>
                </c:pt>
                <c:pt idx="197">
                  <c:v>31</c:v>
                </c:pt>
                <c:pt idx="198">
                  <c:v>22</c:v>
                </c:pt>
                <c:pt idx="199">
                  <c:v>22</c:v>
                </c:pt>
                <c:pt idx="200">
                  <c:v>28</c:v>
                </c:pt>
                <c:pt idx="201">
                  <c:v>38</c:v>
                </c:pt>
                <c:pt idx="202">
                  <c:v>26</c:v>
                </c:pt>
                <c:pt idx="203">
                  <c:v>39</c:v>
                </c:pt>
                <c:pt idx="204">
                  <c:v>69</c:v>
                </c:pt>
                <c:pt idx="205">
                  <c:v>43</c:v>
                </c:pt>
                <c:pt idx="206">
                  <c:v>51</c:v>
                </c:pt>
                <c:pt idx="207">
                  <c:v>43</c:v>
                </c:pt>
                <c:pt idx="208">
                  <c:v>60</c:v>
                </c:pt>
                <c:pt idx="209">
                  <c:v>53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31</c:v>
                </c:pt>
                <c:pt idx="214">
                  <c:v>33</c:v>
                </c:pt>
                <c:pt idx="215">
                  <c:v>43</c:v>
                </c:pt>
                <c:pt idx="216">
                  <c:v>32</c:v>
                </c:pt>
                <c:pt idx="217">
                  <c:v>31</c:v>
                </c:pt>
                <c:pt idx="218">
                  <c:v>35</c:v>
                </c:pt>
                <c:pt idx="219">
                  <c:v>30</c:v>
                </c:pt>
                <c:pt idx="220">
                  <c:v>31</c:v>
                </c:pt>
                <c:pt idx="221">
                  <c:v>25</c:v>
                </c:pt>
                <c:pt idx="222">
                  <c:v>28</c:v>
                </c:pt>
                <c:pt idx="223">
                  <c:v>37</c:v>
                </c:pt>
                <c:pt idx="224">
                  <c:v>31</c:v>
                </c:pt>
                <c:pt idx="225">
                  <c:v>43</c:v>
                </c:pt>
                <c:pt idx="226">
                  <c:v>26</c:v>
                </c:pt>
                <c:pt idx="227">
                  <c:v>35</c:v>
                </c:pt>
                <c:pt idx="228">
                  <c:v>23</c:v>
                </c:pt>
                <c:pt idx="229">
                  <c:v>20</c:v>
                </c:pt>
                <c:pt idx="230">
                  <c:v>31</c:v>
                </c:pt>
                <c:pt idx="231">
                  <c:v>56</c:v>
                </c:pt>
                <c:pt idx="232">
                  <c:v>53</c:v>
                </c:pt>
                <c:pt idx="233">
                  <c:v>37</c:v>
                </c:pt>
                <c:pt idx="234">
                  <c:v>25</c:v>
                </c:pt>
                <c:pt idx="235">
                  <c:v>26</c:v>
                </c:pt>
                <c:pt idx="236">
                  <c:v>36</c:v>
                </c:pt>
                <c:pt idx="237">
                  <c:v>36</c:v>
                </c:pt>
                <c:pt idx="238">
                  <c:v>48</c:v>
                </c:pt>
                <c:pt idx="239">
                  <c:v>54</c:v>
                </c:pt>
                <c:pt idx="240">
                  <c:v>46</c:v>
                </c:pt>
                <c:pt idx="241">
                  <c:v>59</c:v>
                </c:pt>
                <c:pt idx="242">
                  <c:v>46</c:v>
                </c:pt>
                <c:pt idx="243">
                  <c:v>45</c:v>
                </c:pt>
                <c:pt idx="244">
                  <c:v>54</c:v>
                </c:pt>
                <c:pt idx="245">
                  <c:v>82</c:v>
                </c:pt>
                <c:pt idx="246">
                  <c:v>82</c:v>
                </c:pt>
                <c:pt idx="247">
                  <c:v>59</c:v>
                </c:pt>
                <c:pt idx="248">
                  <c:v>73</c:v>
                </c:pt>
                <c:pt idx="249">
                  <c:v>39</c:v>
                </c:pt>
                <c:pt idx="250">
                  <c:v>56</c:v>
                </c:pt>
                <c:pt idx="251">
                  <c:v>64</c:v>
                </c:pt>
                <c:pt idx="252">
                  <c:v>74</c:v>
                </c:pt>
                <c:pt idx="253">
                  <c:v>44</c:v>
                </c:pt>
                <c:pt idx="254">
                  <c:v>54</c:v>
                </c:pt>
                <c:pt idx="255">
                  <c:v>54</c:v>
                </c:pt>
                <c:pt idx="256">
                  <c:v>40</c:v>
                </c:pt>
                <c:pt idx="257">
                  <c:v>30</c:v>
                </c:pt>
                <c:pt idx="258">
                  <c:v>44</c:v>
                </c:pt>
                <c:pt idx="259">
                  <c:v>47</c:v>
                </c:pt>
                <c:pt idx="260">
                  <c:v>55</c:v>
                </c:pt>
                <c:pt idx="261">
                  <c:v>63</c:v>
                </c:pt>
                <c:pt idx="262">
                  <c:v>45.1</c:v>
                </c:pt>
                <c:pt idx="263">
                  <c:v>73.2</c:v>
                </c:pt>
                <c:pt idx="264">
                  <c:v>33.9</c:v>
                </c:pt>
                <c:pt idx="265">
                  <c:v>24.6</c:v>
                </c:pt>
                <c:pt idx="266">
                  <c:v>24.9</c:v>
                </c:pt>
                <c:pt idx="267">
                  <c:v>32.799999999999997</c:v>
                </c:pt>
                <c:pt idx="268">
                  <c:v>30.4</c:v>
                </c:pt>
                <c:pt idx="269">
                  <c:v>26.5</c:v>
                </c:pt>
                <c:pt idx="270">
                  <c:v>18.7</c:v>
                </c:pt>
                <c:pt idx="271">
                  <c:v>25.6</c:v>
                </c:pt>
                <c:pt idx="272">
                  <c:v>59.5</c:v>
                </c:pt>
                <c:pt idx="273">
                  <c:v>50</c:v>
                </c:pt>
                <c:pt idx="274">
                  <c:v>46.1</c:v>
                </c:pt>
                <c:pt idx="275">
                  <c:v>60.4</c:v>
                </c:pt>
                <c:pt idx="276">
                  <c:v>41.9</c:v>
                </c:pt>
                <c:pt idx="277">
                  <c:v>41.1</c:v>
                </c:pt>
                <c:pt idx="278">
                  <c:v>23.9</c:v>
                </c:pt>
                <c:pt idx="279">
                  <c:v>23.5</c:v>
                </c:pt>
                <c:pt idx="280">
                  <c:v>23.5</c:v>
                </c:pt>
                <c:pt idx="281">
                  <c:v>23.1</c:v>
                </c:pt>
                <c:pt idx="282">
                  <c:v>29.6</c:v>
                </c:pt>
                <c:pt idx="283">
                  <c:v>46.8</c:v>
                </c:pt>
                <c:pt idx="284">
                  <c:v>88.2</c:v>
                </c:pt>
                <c:pt idx="285">
                  <c:v>33.6</c:v>
                </c:pt>
                <c:pt idx="286">
                  <c:v>51.1</c:v>
                </c:pt>
                <c:pt idx="287">
                  <c:v>82.8</c:v>
                </c:pt>
                <c:pt idx="288">
                  <c:v>56.2</c:v>
                </c:pt>
                <c:pt idx="289">
                  <c:v>62.7</c:v>
                </c:pt>
                <c:pt idx="290">
                  <c:v>54.2</c:v>
                </c:pt>
                <c:pt idx="291">
                  <c:v>54.2</c:v>
                </c:pt>
                <c:pt idx="292">
                  <c:v>39.299999999999997</c:v>
                </c:pt>
                <c:pt idx="293">
                  <c:v>75.5</c:v>
                </c:pt>
                <c:pt idx="294">
                  <c:v>65.7</c:v>
                </c:pt>
                <c:pt idx="295">
                  <c:v>62</c:v>
                </c:pt>
                <c:pt idx="296">
                  <c:v>42.3</c:v>
                </c:pt>
                <c:pt idx="297">
                  <c:v>39.9</c:v>
                </c:pt>
                <c:pt idx="298">
                  <c:v>40.299999999999997</c:v>
                </c:pt>
                <c:pt idx="299">
                  <c:v>39.200000000000003</c:v>
                </c:pt>
                <c:pt idx="300">
                  <c:v>75.3</c:v>
                </c:pt>
                <c:pt idx="301">
                  <c:v>80.2</c:v>
                </c:pt>
                <c:pt idx="302">
                  <c:v>87.4</c:v>
                </c:pt>
                <c:pt idx="303">
                  <c:v>77.900000000000006</c:v>
                </c:pt>
                <c:pt idx="304">
                  <c:v>78.5</c:v>
                </c:pt>
                <c:pt idx="305">
                  <c:v>75.099999999999994</c:v>
                </c:pt>
                <c:pt idx="306">
                  <c:v>63.8</c:v>
                </c:pt>
                <c:pt idx="307">
                  <c:v>83.6</c:v>
                </c:pt>
                <c:pt idx="308">
                  <c:v>84.1</c:v>
                </c:pt>
                <c:pt idx="309">
                  <c:v>90.1</c:v>
                </c:pt>
                <c:pt idx="310">
                  <c:v>87.6</c:v>
                </c:pt>
                <c:pt idx="311">
                  <c:v>82.7</c:v>
                </c:pt>
                <c:pt idx="312">
                  <c:v>67.599999999999994</c:v>
                </c:pt>
                <c:pt idx="313">
                  <c:v>50.8</c:v>
                </c:pt>
                <c:pt idx="314">
                  <c:v>71.099999999999994</c:v>
                </c:pt>
                <c:pt idx="315">
                  <c:v>90.5</c:v>
                </c:pt>
                <c:pt idx="316">
                  <c:v>87.3</c:v>
                </c:pt>
                <c:pt idx="317">
                  <c:v>86.5</c:v>
                </c:pt>
                <c:pt idx="318">
                  <c:v>86</c:v>
                </c:pt>
                <c:pt idx="319">
                  <c:v>92.8</c:v>
                </c:pt>
                <c:pt idx="320">
                  <c:v>92.2</c:v>
                </c:pt>
                <c:pt idx="321">
                  <c:v>90.6</c:v>
                </c:pt>
                <c:pt idx="322">
                  <c:v>92</c:v>
                </c:pt>
                <c:pt idx="323">
                  <c:v>89</c:v>
                </c:pt>
                <c:pt idx="324">
                  <c:v>76.099999999999994</c:v>
                </c:pt>
                <c:pt idx="325">
                  <c:v>72.599999999999994</c:v>
                </c:pt>
                <c:pt idx="326">
                  <c:v>62</c:v>
                </c:pt>
                <c:pt idx="327">
                  <c:v>82.7</c:v>
                </c:pt>
                <c:pt idx="328">
                  <c:v>79.400000000000006</c:v>
                </c:pt>
                <c:pt idx="329">
                  <c:v>71.099999999999994</c:v>
                </c:pt>
                <c:pt idx="330">
                  <c:v>70.3</c:v>
                </c:pt>
                <c:pt idx="331">
                  <c:v>93.2</c:v>
                </c:pt>
                <c:pt idx="332">
                  <c:v>55.7</c:v>
                </c:pt>
                <c:pt idx="333">
                  <c:v>55.6</c:v>
                </c:pt>
                <c:pt idx="334">
                  <c:v>90</c:v>
                </c:pt>
                <c:pt idx="335">
                  <c:v>67.5</c:v>
                </c:pt>
                <c:pt idx="336">
                  <c:v>70.2</c:v>
                </c:pt>
                <c:pt idx="337">
                  <c:v>77.900000000000006</c:v>
                </c:pt>
                <c:pt idx="338">
                  <c:v>75.400000000000006</c:v>
                </c:pt>
                <c:pt idx="339">
                  <c:v>77.400000000000006</c:v>
                </c:pt>
                <c:pt idx="340">
                  <c:v>67.2</c:v>
                </c:pt>
                <c:pt idx="341">
                  <c:v>87.4</c:v>
                </c:pt>
                <c:pt idx="342">
                  <c:v>88.9</c:v>
                </c:pt>
                <c:pt idx="343">
                  <c:v>88.9</c:v>
                </c:pt>
                <c:pt idx="344">
                  <c:v>82.8</c:v>
                </c:pt>
                <c:pt idx="345">
                  <c:v>77.400000000000006</c:v>
                </c:pt>
                <c:pt idx="346">
                  <c:v>76.400000000000006</c:v>
                </c:pt>
                <c:pt idx="347">
                  <c:v>74.3</c:v>
                </c:pt>
                <c:pt idx="348">
                  <c:v>77</c:v>
                </c:pt>
                <c:pt idx="349">
                  <c:v>71.400000000000006</c:v>
                </c:pt>
                <c:pt idx="350">
                  <c:v>79.3</c:v>
                </c:pt>
                <c:pt idx="351">
                  <c:v>87.9</c:v>
                </c:pt>
                <c:pt idx="352">
                  <c:v>85.5</c:v>
                </c:pt>
                <c:pt idx="353">
                  <c:v>89.3</c:v>
                </c:pt>
                <c:pt idx="354">
                  <c:v>67.7</c:v>
                </c:pt>
                <c:pt idx="355">
                  <c:v>78.5</c:v>
                </c:pt>
                <c:pt idx="356">
                  <c:v>84.9</c:v>
                </c:pt>
                <c:pt idx="357">
                  <c:v>68</c:v>
                </c:pt>
                <c:pt idx="358">
                  <c:v>89.5</c:v>
                </c:pt>
                <c:pt idx="359">
                  <c:v>77.5</c:v>
                </c:pt>
                <c:pt idx="360">
                  <c:v>95.5</c:v>
                </c:pt>
                <c:pt idx="361">
                  <c:v>92</c:v>
                </c:pt>
                <c:pt idx="362">
                  <c:v>82.5</c:v>
                </c:pt>
                <c:pt idx="363">
                  <c:v>83.3</c:v>
                </c:pt>
                <c:pt idx="364">
                  <c:v>65.400000000000006</c:v>
                </c:pt>
                <c:pt idx="365">
                  <c:v>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30368"/>
        <c:axId val="236340352"/>
      </c:lineChart>
      <c:catAx>
        <c:axId val="23633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3403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34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Relative Humidity (%)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330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Data!$AA$7:$AA$372</c:f>
              <c:numCache>
                <c:formatCode>General</c:formatCode>
                <c:ptCount val="366"/>
                <c:pt idx="61">
                  <c:v>-5.8000000000000003E-2</c:v>
                </c:pt>
                <c:pt idx="62">
                  <c:v>-0.112</c:v>
                </c:pt>
                <c:pt idx="63">
                  <c:v>-0.108</c:v>
                </c:pt>
                <c:pt idx="64">
                  <c:v>-7.1999999999999995E-2</c:v>
                </c:pt>
                <c:pt idx="65">
                  <c:v>-6.3E-2</c:v>
                </c:pt>
                <c:pt idx="66">
                  <c:v>-8.2000000000000003E-2</c:v>
                </c:pt>
                <c:pt idx="67">
                  <c:v>-8.4000000000000005E-2</c:v>
                </c:pt>
                <c:pt idx="68">
                  <c:v>-8.5999999999999993E-2</c:v>
                </c:pt>
                <c:pt idx="69">
                  <c:v>-0.08</c:v>
                </c:pt>
                <c:pt idx="70">
                  <c:v>-0.108</c:v>
                </c:pt>
                <c:pt idx="71">
                  <c:v>-7.8E-2</c:v>
                </c:pt>
                <c:pt idx="72">
                  <c:v>-8.5000000000000006E-2</c:v>
                </c:pt>
                <c:pt idx="73">
                  <c:v>-8.6999999999999994E-2</c:v>
                </c:pt>
                <c:pt idx="74">
                  <c:v>-9.6000000000000002E-2</c:v>
                </c:pt>
                <c:pt idx="75">
                  <c:v>-8.5000000000000006E-2</c:v>
                </c:pt>
                <c:pt idx="76">
                  <c:v>-0.09</c:v>
                </c:pt>
                <c:pt idx="77">
                  <c:v>-0.09</c:v>
                </c:pt>
                <c:pt idx="78">
                  <c:v>-8.2000000000000003E-2</c:v>
                </c:pt>
                <c:pt idx="79">
                  <c:v>-0.09</c:v>
                </c:pt>
                <c:pt idx="80">
                  <c:v>-6.7000000000000004E-2</c:v>
                </c:pt>
                <c:pt idx="81">
                  <c:v>-5.2999999999999999E-2</c:v>
                </c:pt>
                <c:pt idx="82">
                  <c:v>-6.8000000000000005E-2</c:v>
                </c:pt>
                <c:pt idx="83">
                  <c:v>-6.9000000000000006E-2</c:v>
                </c:pt>
                <c:pt idx="84">
                  <c:v>-6.6000000000000003E-2</c:v>
                </c:pt>
                <c:pt idx="85">
                  <c:v>-6.7000000000000004E-2</c:v>
                </c:pt>
                <c:pt idx="86">
                  <c:v>-6.0999999999999999E-2</c:v>
                </c:pt>
                <c:pt idx="87">
                  <c:v>-0.06</c:v>
                </c:pt>
                <c:pt idx="88">
                  <c:v>-5.3999999999999999E-2</c:v>
                </c:pt>
                <c:pt idx="89">
                  <c:v>-6.4000000000000001E-2</c:v>
                </c:pt>
                <c:pt idx="90">
                  <c:v>-0.05</c:v>
                </c:pt>
                <c:pt idx="91">
                  <c:v>-3.7999999999999999E-2</c:v>
                </c:pt>
                <c:pt idx="92">
                  <c:v>-2.9000000000000001E-2</c:v>
                </c:pt>
                <c:pt idx="93">
                  <c:v>-0.01</c:v>
                </c:pt>
                <c:pt idx="94">
                  <c:v>-3.5999999999999997E-2</c:v>
                </c:pt>
                <c:pt idx="95">
                  <c:v>-1.2999999999999999E-2</c:v>
                </c:pt>
                <c:pt idx="96">
                  <c:v>-3.4000000000000002E-2</c:v>
                </c:pt>
                <c:pt idx="97">
                  <c:v>-3.4000000000000002E-2</c:v>
                </c:pt>
                <c:pt idx="98">
                  <c:v>-3.1E-2</c:v>
                </c:pt>
                <c:pt idx="99">
                  <c:v>-8.0000000000000002E-3</c:v>
                </c:pt>
                <c:pt idx="100">
                  <c:v>-8.0000000000000002E-3</c:v>
                </c:pt>
                <c:pt idx="101">
                  <c:v>-3.7999999999999999E-2</c:v>
                </c:pt>
                <c:pt idx="102">
                  <c:v>-2.4E-2</c:v>
                </c:pt>
                <c:pt idx="103">
                  <c:v>-3.3000000000000002E-2</c:v>
                </c:pt>
                <c:pt idx="104">
                  <c:v>-5.5E-2</c:v>
                </c:pt>
                <c:pt idx="105">
                  <c:v>-4.7E-2</c:v>
                </c:pt>
                <c:pt idx="106">
                  <c:v>-0.05</c:v>
                </c:pt>
                <c:pt idx="107">
                  <c:v>6.0000000000000001E-3</c:v>
                </c:pt>
                <c:pt idx="108">
                  <c:v>6.6000000000000003E-2</c:v>
                </c:pt>
                <c:pt idx="109">
                  <c:v>0.108</c:v>
                </c:pt>
                <c:pt idx="110">
                  <c:v>2.3E-2</c:v>
                </c:pt>
                <c:pt idx="111">
                  <c:v>0.14599999999999999</c:v>
                </c:pt>
                <c:pt idx="112">
                  <c:v>0.14599999999999999</c:v>
                </c:pt>
                <c:pt idx="113">
                  <c:v>4.5999999999999999E-2</c:v>
                </c:pt>
                <c:pt idx="114">
                  <c:v>6.8000000000000005E-2</c:v>
                </c:pt>
                <c:pt idx="115">
                  <c:v>1.2999999999999999E-2</c:v>
                </c:pt>
                <c:pt idx="116">
                  <c:v>0.14699999999999999</c:v>
                </c:pt>
                <c:pt idx="117">
                  <c:v>0.19400000000000001</c:v>
                </c:pt>
                <c:pt idx="118">
                  <c:v>0</c:v>
                </c:pt>
                <c:pt idx="119">
                  <c:v>7.3999999999999996E-2</c:v>
                </c:pt>
                <c:pt idx="120">
                  <c:v>0.122</c:v>
                </c:pt>
                <c:pt idx="121">
                  <c:v>7.2999999999999995E-2</c:v>
                </c:pt>
                <c:pt idx="122">
                  <c:v>0.13800000000000001</c:v>
                </c:pt>
                <c:pt idx="123">
                  <c:v>1.0999999999999999E-2</c:v>
                </c:pt>
                <c:pt idx="124">
                  <c:v>4.2000000000000003E-2</c:v>
                </c:pt>
                <c:pt idx="125">
                  <c:v>-3.4000000000000002E-2</c:v>
                </c:pt>
                <c:pt idx="126">
                  <c:v>8.7999999999999995E-2</c:v>
                </c:pt>
                <c:pt idx="127">
                  <c:v>4.8000000000000001E-2</c:v>
                </c:pt>
                <c:pt idx="128">
                  <c:v>0.11</c:v>
                </c:pt>
                <c:pt idx="129">
                  <c:v>6.8000000000000005E-2</c:v>
                </c:pt>
                <c:pt idx="130">
                  <c:v>1.2999999999999999E-2</c:v>
                </c:pt>
                <c:pt idx="131">
                  <c:v>5.0000000000000001E-3</c:v>
                </c:pt>
                <c:pt idx="132">
                  <c:v>9.6000000000000002E-2</c:v>
                </c:pt>
                <c:pt idx="133">
                  <c:v>0.13</c:v>
                </c:pt>
                <c:pt idx="134">
                  <c:v>0.157</c:v>
                </c:pt>
                <c:pt idx="135">
                  <c:v>0.215</c:v>
                </c:pt>
                <c:pt idx="136">
                  <c:v>0.215</c:v>
                </c:pt>
                <c:pt idx="137">
                  <c:v>0.187</c:v>
                </c:pt>
                <c:pt idx="138">
                  <c:v>0.19</c:v>
                </c:pt>
                <c:pt idx="139">
                  <c:v>0.154</c:v>
                </c:pt>
                <c:pt idx="140">
                  <c:v>0.129</c:v>
                </c:pt>
                <c:pt idx="141">
                  <c:v>0.11700000000000001</c:v>
                </c:pt>
                <c:pt idx="142">
                  <c:v>0.30199999999999999</c:v>
                </c:pt>
                <c:pt idx="143">
                  <c:v>1.397</c:v>
                </c:pt>
                <c:pt idx="144">
                  <c:v>2.8180000000000001</c:v>
                </c:pt>
                <c:pt idx="145">
                  <c:v>4.1639999999999997</c:v>
                </c:pt>
                <c:pt idx="146">
                  <c:v>2.4249999999999998</c:v>
                </c:pt>
                <c:pt idx="147">
                  <c:v>4.0620000000000003</c:v>
                </c:pt>
                <c:pt idx="148">
                  <c:v>6.5570000000000004</c:v>
                </c:pt>
                <c:pt idx="149">
                  <c:v>6.2309999999999999</c:v>
                </c:pt>
                <c:pt idx="150">
                  <c:v>8.2100000000000009</c:v>
                </c:pt>
                <c:pt idx="151">
                  <c:v>6.4130000000000003</c:v>
                </c:pt>
                <c:pt idx="262">
                  <c:v>11.55</c:v>
                </c:pt>
                <c:pt idx="263">
                  <c:v>8.1999999999999993</c:v>
                </c:pt>
                <c:pt idx="264">
                  <c:v>8.86</c:v>
                </c:pt>
                <c:pt idx="265">
                  <c:v>8.11</c:v>
                </c:pt>
                <c:pt idx="266">
                  <c:v>8.1</c:v>
                </c:pt>
                <c:pt idx="267">
                  <c:v>9.33</c:v>
                </c:pt>
                <c:pt idx="268">
                  <c:v>10.07</c:v>
                </c:pt>
                <c:pt idx="269">
                  <c:v>10.27</c:v>
                </c:pt>
                <c:pt idx="270">
                  <c:v>10.3</c:v>
                </c:pt>
                <c:pt idx="271">
                  <c:v>9.1199999999999992</c:v>
                </c:pt>
                <c:pt idx="272">
                  <c:v>7.73</c:v>
                </c:pt>
                <c:pt idx="273">
                  <c:v>10.29</c:v>
                </c:pt>
                <c:pt idx="274">
                  <c:v>8.34</c:v>
                </c:pt>
                <c:pt idx="275">
                  <c:v>6.3949999999999996</c:v>
                </c:pt>
                <c:pt idx="276">
                  <c:v>5.83</c:v>
                </c:pt>
                <c:pt idx="277">
                  <c:v>4.9960000000000004</c:v>
                </c:pt>
                <c:pt idx="278">
                  <c:v>3.0680000000000001</c:v>
                </c:pt>
                <c:pt idx="279">
                  <c:v>4.4320000000000004</c:v>
                </c:pt>
                <c:pt idx="280">
                  <c:v>7.14</c:v>
                </c:pt>
                <c:pt idx="281">
                  <c:v>6.3630000000000004</c:v>
                </c:pt>
                <c:pt idx="282">
                  <c:v>7.14</c:v>
                </c:pt>
                <c:pt idx="283">
                  <c:v>6.7619999999999996</c:v>
                </c:pt>
                <c:pt idx="284">
                  <c:v>5.4829999999999997</c:v>
                </c:pt>
                <c:pt idx="285">
                  <c:v>8.01</c:v>
                </c:pt>
                <c:pt idx="286">
                  <c:v>6.77</c:v>
                </c:pt>
                <c:pt idx="287">
                  <c:v>4.3600000000000003</c:v>
                </c:pt>
                <c:pt idx="288">
                  <c:v>4.3899999999999997</c:v>
                </c:pt>
                <c:pt idx="289">
                  <c:v>3.7559999999999998</c:v>
                </c:pt>
                <c:pt idx="290">
                  <c:v>5.3620000000000001</c:v>
                </c:pt>
                <c:pt idx="291">
                  <c:v>5.3360000000000003</c:v>
                </c:pt>
                <c:pt idx="292">
                  <c:v>3.2679999999999998</c:v>
                </c:pt>
                <c:pt idx="293">
                  <c:v>4.8079999999999998</c:v>
                </c:pt>
                <c:pt idx="294">
                  <c:v>2.8090000000000002</c:v>
                </c:pt>
                <c:pt idx="295">
                  <c:v>1.6990000000000001</c:v>
                </c:pt>
                <c:pt idx="296">
                  <c:v>5.8570000000000002</c:v>
                </c:pt>
                <c:pt idx="297">
                  <c:v>5.093</c:v>
                </c:pt>
                <c:pt idx="298">
                  <c:v>4.88</c:v>
                </c:pt>
                <c:pt idx="299">
                  <c:v>5.1719999999999997</c:v>
                </c:pt>
                <c:pt idx="300">
                  <c:v>3.617</c:v>
                </c:pt>
                <c:pt idx="301">
                  <c:v>3.2490000000000001</c:v>
                </c:pt>
                <c:pt idx="302">
                  <c:v>1.917</c:v>
                </c:pt>
                <c:pt idx="303">
                  <c:v>2.9689999999999999</c:v>
                </c:pt>
                <c:pt idx="304">
                  <c:v>1.581</c:v>
                </c:pt>
                <c:pt idx="305">
                  <c:v>1.4330000000000001</c:v>
                </c:pt>
                <c:pt idx="306">
                  <c:v>1.216</c:v>
                </c:pt>
                <c:pt idx="307">
                  <c:v>0.91600000000000004</c:v>
                </c:pt>
                <c:pt idx="308">
                  <c:v>0.84399999999999997</c:v>
                </c:pt>
                <c:pt idx="309">
                  <c:v>1.07</c:v>
                </c:pt>
                <c:pt idx="310">
                  <c:v>1.38</c:v>
                </c:pt>
                <c:pt idx="311">
                  <c:v>0.627</c:v>
                </c:pt>
                <c:pt idx="312">
                  <c:v>0.56299999999999994</c:v>
                </c:pt>
                <c:pt idx="313">
                  <c:v>0.64900000000000002</c:v>
                </c:pt>
                <c:pt idx="314">
                  <c:v>0.65600000000000003</c:v>
                </c:pt>
                <c:pt idx="315">
                  <c:v>0.26300000000000001</c:v>
                </c:pt>
                <c:pt idx="316">
                  <c:v>0.15</c:v>
                </c:pt>
                <c:pt idx="317">
                  <c:v>3.4000000000000002E-2</c:v>
                </c:pt>
                <c:pt idx="318">
                  <c:v>0.107</c:v>
                </c:pt>
                <c:pt idx="319">
                  <c:v>-0.14599999999999999</c:v>
                </c:pt>
                <c:pt idx="320">
                  <c:v>-0.21199999999999999</c:v>
                </c:pt>
                <c:pt idx="321">
                  <c:v>-0.218</c:v>
                </c:pt>
                <c:pt idx="322">
                  <c:v>1.7000000000000001E-2</c:v>
                </c:pt>
                <c:pt idx="323">
                  <c:v>-9.6000000000000002E-2</c:v>
                </c:pt>
                <c:pt idx="324">
                  <c:v>-2.3E-2</c:v>
                </c:pt>
                <c:pt idx="325">
                  <c:v>3.3000000000000002E-2</c:v>
                </c:pt>
                <c:pt idx="326">
                  <c:v>-8.4000000000000005E-2</c:v>
                </c:pt>
                <c:pt idx="327">
                  <c:v>-0.21299999999999999</c:v>
                </c:pt>
                <c:pt idx="328">
                  <c:v>-0.112</c:v>
                </c:pt>
                <c:pt idx="329">
                  <c:v>-0.20100000000000001</c:v>
                </c:pt>
                <c:pt idx="330">
                  <c:v>-3.1E-2</c:v>
                </c:pt>
                <c:pt idx="331">
                  <c:v>-0.23</c:v>
                </c:pt>
                <c:pt idx="332">
                  <c:v>-0.14699999999999999</c:v>
                </c:pt>
                <c:pt idx="333">
                  <c:v>-0.246</c:v>
                </c:pt>
                <c:pt idx="334">
                  <c:v>-0.125</c:v>
                </c:pt>
                <c:pt idx="335">
                  <c:v>-9.2999999999999999E-2</c:v>
                </c:pt>
                <c:pt idx="336">
                  <c:v>-3.9E-2</c:v>
                </c:pt>
                <c:pt idx="337">
                  <c:v>-0.09</c:v>
                </c:pt>
                <c:pt idx="338">
                  <c:v>-2.8000000000000001E-2</c:v>
                </c:pt>
                <c:pt idx="339">
                  <c:v>8.9999999999999993E-3</c:v>
                </c:pt>
                <c:pt idx="340">
                  <c:v>0.14699999999999999</c:v>
                </c:pt>
                <c:pt idx="341">
                  <c:v>-7.2999999999999995E-2</c:v>
                </c:pt>
                <c:pt idx="342">
                  <c:v>-0.28299999999999997</c:v>
                </c:pt>
                <c:pt idx="343">
                  <c:v>-0.36899999999999999</c:v>
                </c:pt>
                <c:pt idx="344">
                  <c:v>-0.504</c:v>
                </c:pt>
                <c:pt idx="345">
                  <c:v>-0.61499999999999999</c:v>
                </c:pt>
                <c:pt idx="346">
                  <c:v>-0.74399999999999999</c:v>
                </c:pt>
                <c:pt idx="347">
                  <c:v>-0.85599999999999998</c:v>
                </c:pt>
                <c:pt idx="348">
                  <c:v>-0.82699999999999996</c:v>
                </c:pt>
                <c:pt idx="349">
                  <c:v>-0.85299999999999998</c:v>
                </c:pt>
                <c:pt idx="350">
                  <c:v>-0.82699999999999996</c:v>
                </c:pt>
                <c:pt idx="351">
                  <c:v>-0.70499999999999996</c:v>
                </c:pt>
                <c:pt idx="352">
                  <c:v>-0.65400000000000003</c:v>
                </c:pt>
                <c:pt idx="353">
                  <c:v>-0.60699999999999998</c:v>
                </c:pt>
                <c:pt idx="354">
                  <c:v>-0.65700000000000003</c:v>
                </c:pt>
                <c:pt idx="355">
                  <c:v>-0.80300000000000005</c:v>
                </c:pt>
                <c:pt idx="356">
                  <c:v>-0.55400000000000005</c:v>
                </c:pt>
                <c:pt idx="357">
                  <c:v>-0.33900000000000002</c:v>
                </c:pt>
                <c:pt idx="358">
                  <c:v>-0.374</c:v>
                </c:pt>
                <c:pt idx="359">
                  <c:v>-0.28499999999999998</c:v>
                </c:pt>
                <c:pt idx="360">
                  <c:v>-0.33200000000000002</c:v>
                </c:pt>
                <c:pt idx="361">
                  <c:v>-0.318</c:v>
                </c:pt>
                <c:pt idx="362">
                  <c:v>-0.28499999999999998</c:v>
                </c:pt>
                <c:pt idx="363">
                  <c:v>-0.42499999999999999</c:v>
                </c:pt>
                <c:pt idx="364">
                  <c:v>-0.20899999999999999</c:v>
                </c:pt>
                <c:pt idx="365">
                  <c:v>-0.40799999999999997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Data!$AO$7:$AO$372</c:f>
              <c:numCache>
                <c:formatCode>General</c:formatCode>
                <c:ptCount val="366"/>
                <c:pt idx="61">
                  <c:v>-0.16</c:v>
                </c:pt>
                <c:pt idx="62">
                  <c:v>-0.20799999999999999</c:v>
                </c:pt>
                <c:pt idx="63">
                  <c:v>-0.17199999999999999</c:v>
                </c:pt>
                <c:pt idx="64">
                  <c:v>-0.251</c:v>
                </c:pt>
                <c:pt idx="65">
                  <c:v>-0.20100000000000001</c:v>
                </c:pt>
                <c:pt idx="66">
                  <c:v>-0.26100000000000001</c:v>
                </c:pt>
                <c:pt idx="67">
                  <c:v>-0.23100000000000001</c:v>
                </c:pt>
                <c:pt idx="68">
                  <c:v>-0.18099999999999999</c:v>
                </c:pt>
                <c:pt idx="69">
                  <c:v>-0.221</c:v>
                </c:pt>
                <c:pt idx="70">
                  <c:v>-0.17399999999999999</c:v>
                </c:pt>
                <c:pt idx="71">
                  <c:v>-0.216</c:v>
                </c:pt>
                <c:pt idx="72">
                  <c:v>-0.21</c:v>
                </c:pt>
                <c:pt idx="73">
                  <c:v>-0.158</c:v>
                </c:pt>
                <c:pt idx="74">
                  <c:v>-0.153</c:v>
                </c:pt>
                <c:pt idx="75">
                  <c:v>-0.17599999999999999</c:v>
                </c:pt>
                <c:pt idx="76">
                  <c:v>-0.13300000000000001</c:v>
                </c:pt>
                <c:pt idx="77">
                  <c:v>-0.127</c:v>
                </c:pt>
                <c:pt idx="78">
                  <c:v>-0.126</c:v>
                </c:pt>
                <c:pt idx="79">
                  <c:v>-0.14000000000000001</c:v>
                </c:pt>
                <c:pt idx="80">
                  <c:v>-0.14399999999999999</c:v>
                </c:pt>
                <c:pt idx="81">
                  <c:v>-0.121</c:v>
                </c:pt>
                <c:pt idx="82">
                  <c:v>-0.108</c:v>
                </c:pt>
                <c:pt idx="83">
                  <c:v>-0.104</c:v>
                </c:pt>
                <c:pt idx="84">
                  <c:v>-0.10299999999999999</c:v>
                </c:pt>
                <c:pt idx="85">
                  <c:v>-0.113</c:v>
                </c:pt>
                <c:pt idx="86">
                  <c:v>-0.104</c:v>
                </c:pt>
                <c:pt idx="87">
                  <c:v>-9.7000000000000003E-2</c:v>
                </c:pt>
                <c:pt idx="88">
                  <c:v>-9.1999999999999998E-2</c:v>
                </c:pt>
                <c:pt idx="89">
                  <c:v>-0.115</c:v>
                </c:pt>
                <c:pt idx="90">
                  <c:v>-0.127</c:v>
                </c:pt>
                <c:pt idx="91">
                  <c:v>-9.8000000000000004E-2</c:v>
                </c:pt>
                <c:pt idx="92">
                  <c:v>-7.5999999999999998E-2</c:v>
                </c:pt>
                <c:pt idx="93">
                  <c:v>-6.3E-2</c:v>
                </c:pt>
                <c:pt idx="94">
                  <c:v>-7.8E-2</c:v>
                </c:pt>
                <c:pt idx="95">
                  <c:v>-7.2999999999999995E-2</c:v>
                </c:pt>
                <c:pt idx="96">
                  <c:v>-7.8E-2</c:v>
                </c:pt>
                <c:pt idx="97">
                  <c:v>-8.3000000000000004E-2</c:v>
                </c:pt>
                <c:pt idx="98">
                  <c:v>-7.4999999999999997E-2</c:v>
                </c:pt>
                <c:pt idx="99">
                  <c:v>-9.1999999999999998E-2</c:v>
                </c:pt>
                <c:pt idx="100">
                  <c:v>-9.5000000000000001E-2</c:v>
                </c:pt>
                <c:pt idx="101">
                  <c:v>-0.109</c:v>
                </c:pt>
                <c:pt idx="102">
                  <c:v>-0.10199999999999999</c:v>
                </c:pt>
                <c:pt idx="103">
                  <c:v>-9.6000000000000002E-2</c:v>
                </c:pt>
                <c:pt idx="104">
                  <c:v>-0.112</c:v>
                </c:pt>
                <c:pt idx="105">
                  <c:v>-0.107</c:v>
                </c:pt>
                <c:pt idx="106">
                  <c:v>-0.14000000000000001</c:v>
                </c:pt>
                <c:pt idx="107">
                  <c:v>-0.14399999999999999</c:v>
                </c:pt>
                <c:pt idx="108">
                  <c:v>-0.188</c:v>
                </c:pt>
                <c:pt idx="109">
                  <c:v>-0.21099999999999999</c:v>
                </c:pt>
                <c:pt idx="110">
                  <c:v>-0.16400000000000001</c:v>
                </c:pt>
                <c:pt idx="111">
                  <c:v>-0.19</c:v>
                </c:pt>
                <c:pt idx="112">
                  <c:v>-0.17199999999999999</c:v>
                </c:pt>
                <c:pt idx="113">
                  <c:v>-0.23799999999999999</c:v>
                </c:pt>
                <c:pt idx="114">
                  <c:v>-0.20699999999999999</c:v>
                </c:pt>
                <c:pt idx="115">
                  <c:v>-0.20699999999999999</c:v>
                </c:pt>
                <c:pt idx="116">
                  <c:v>-0.251</c:v>
                </c:pt>
                <c:pt idx="117">
                  <c:v>-0.13400000000000001</c:v>
                </c:pt>
                <c:pt idx="118">
                  <c:v>-0.18099999999999999</c:v>
                </c:pt>
                <c:pt idx="119">
                  <c:v>-0.25</c:v>
                </c:pt>
                <c:pt idx="120">
                  <c:v>-0.14399999999999999</c:v>
                </c:pt>
                <c:pt idx="121">
                  <c:v>-0.14599999999999999</c:v>
                </c:pt>
                <c:pt idx="122">
                  <c:v>-0.159</c:v>
                </c:pt>
                <c:pt idx="123">
                  <c:v>-0.187</c:v>
                </c:pt>
                <c:pt idx="124">
                  <c:v>-0.27600000000000002</c:v>
                </c:pt>
                <c:pt idx="125">
                  <c:v>-0.22800000000000001</c:v>
                </c:pt>
                <c:pt idx="126">
                  <c:v>-0.252</c:v>
                </c:pt>
                <c:pt idx="127">
                  <c:v>-0.27100000000000002</c:v>
                </c:pt>
                <c:pt idx="128">
                  <c:v>-0.27200000000000002</c:v>
                </c:pt>
                <c:pt idx="129">
                  <c:v>-0.248</c:v>
                </c:pt>
                <c:pt idx="130">
                  <c:v>-0.16200000000000001</c:v>
                </c:pt>
                <c:pt idx="131">
                  <c:v>-0.17100000000000001</c:v>
                </c:pt>
                <c:pt idx="132">
                  <c:v>-0.187</c:v>
                </c:pt>
                <c:pt idx="133">
                  <c:v>-0.186</c:v>
                </c:pt>
                <c:pt idx="134">
                  <c:v>-0.23300000000000001</c:v>
                </c:pt>
                <c:pt idx="135">
                  <c:v>-0.17299999999999999</c:v>
                </c:pt>
                <c:pt idx="136">
                  <c:v>-0.21199999999999999</c:v>
                </c:pt>
                <c:pt idx="137">
                  <c:v>-0.21</c:v>
                </c:pt>
                <c:pt idx="138">
                  <c:v>-0.20799999999999999</c:v>
                </c:pt>
                <c:pt idx="139">
                  <c:v>-0.18099999999999999</c:v>
                </c:pt>
                <c:pt idx="140">
                  <c:v>-0.19900000000000001</c:v>
                </c:pt>
                <c:pt idx="141">
                  <c:v>-7.4999999999999997E-2</c:v>
                </c:pt>
                <c:pt idx="142">
                  <c:v>-0.17399999999999999</c:v>
                </c:pt>
                <c:pt idx="143">
                  <c:v>-7.2999999999999995E-2</c:v>
                </c:pt>
                <c:pt idx="144">
                  <c:v>-6.9000000000000006E-2</c:v>
                </c:pt>
                <c:pt idx="145">
                  <c:v>0.128</c:v>
                </c:pt>
                <c:pt idx="146">
                  <c:v>0.442</c:v>
                </c:pt>
                <c:pt idx="147">
                  <c:v>0.67800000000000005</c:v>
                </c:pt>
                <c:pt idx="148">
                  <c:v>0.64200000000000002</c:v>
                </c:pt>
                <c:pt idx="149">
                  <c:v>1.9610000000000001</c:v>
                </c:pt>
                <c:pt idx="150">
                  <c:v>1.0580000000000001</c:v>
                </c:pt>
                <c:pt idx="151">
                  <c:v>1.302</c:v>
                </c:pt>
                <c:pt idx="262">
                  <c:v>6.3970000000000002</c:v>
                </c:pt>
                <c:pt idx="263">
                  <c:v>6.2859999999999996</c:v>
                </c:pt>
                <c:pt idx="264">
                  <c:v>4.6399999999999997</c:v>
                </c:pt>
                <c:pt idx="265">
                  <c:v>3.363</c:v>
                </c:pt>
                <c:pt idx="266">
                  <c:v>2.7549999999999999</c:v>
                </c:pt>
                <c:pt idx="267">
                  <c:v>2.9159999999999999</c:v>
                </c:pt>
                <c:pt idx="268">
                  <c:v>3.2050000000000001</c:v>
                </c:pt>
                <c:pt idx="269">
                  <c:v>3.476</c:v>
                </c:pt>
                <c:pt idx="270">
                  <c:v>3.714</c:v>
                </c:pt>
                <c:pt idx="271">
                  <c:v>4.3550000000000004</c:v>
                </c:pt>
                <c:pt idx="272">
                  <c:v>5.98</c:v>
                </c:pt>
                <c:pt idx="273">
                  <c:v>5.827</c:v>
                </c:pt>
                <c:pt idx="274">
                  <c:v>4.4340000000000002</c:v>
                </c:pt>
                <c:pt idx="275">
                  <c:v>3.5590000000000002</c:v>
                </c:pt>
                <c:pt idx="276">
                  <c:v>2.42</c:v>
                </c:pt>
                <c:pt idx="277">
                  <c:v>2.3319999999999999</c:v>
                </c:pt>
                <c:pt idx="278">
                  <c:v>1.482</c:v>
                </c:pt>
                <c:pt idx="279">
                  <c:v>1.147</c:v>
                </c:pt>
                <c:pt idx="280">
                  <c:v>1.536</c:v>
                </c:pt>
                <c:pt idx="281">
                  <c:v>1.9550000000000001</c:v>
                </c:pt>
                <c:pt idx="282">
                  <c:v>3.5310000000000001</c:v>
                </c:pt>
                <c:pt idx="283">
                  <c:v>3.448</c:v>
                </c:pt>
                <c:pt idx="284">
                  <c:v>4.1849999999999996</c:v>
                </c:pt>
                <c:pt idx="285">
                  <c:v>3.56</c:v>
                </c:pt>
                <c:pt idx="286">
                  <c:v>2.2669999999999999</c:v>
                </c:pt>
                <c:pt idx="287">
                  <c:v>2.77</c:v>
                </c:pt>
                <c:pt idx="288">
                  <c:v>2.0009999999999999</c:v>
                </c:pt>
                <c:pt idx="289">
                  <c:v>2.5739999999999998</c:v>
                </c:pt>
                <c:pt idx="290">
                  <c:v>2.649</c:v>
                </c:pt>
                <c:pt idx="291">
                  <c:v>2.7040000000000002</c:v>
                </c:pt>
                <c:pt idx="292">
                  <c:v>1.897</c:v>
                </c:pt>
                <c:pt idx="293">
                  <c:v>2.274</c:v>
                </c:pt>
                <c:pt idx="294">
                  <c:v>1.581</c:v>
                </c:pt>
                <c:pt idx="295">
                  <c:v>1.1160000000000001</c:v>
                </c:pt>
                <c:pt idx="296">
                  <c:v>1.089</c:v>
                </c:pt>
                <c:pt idx="297">
                  <c:v>1.7969999999999999</c:v>
                </c:pt>
                <c:pt idx="298">
                  <c:v>1.5569999999999999</c:v>
                </c:pt>
                <c:pt idx="299">
                  <c:v>1.3440000000000001</c:v>
                </c:pt>
                <c:pt idx="300">
                  <c:v>2.67</c:v>
                </c:pt>
                <c:pt idx="301">
                  <c:v>1.867</c:v>
                </c:pt>
                <c:pt idx="302">
                  <c:v>1.4870000000000001</c:v>
                </c:pt>
                <c:pt idx="303">
                  <c:v>1.3839999999999999</c:v>
                </c:pt>
                <c:pt idx="304">
                  <c:v>1.1559999999999999</c:v>
                </c:pt>
                <c:pt idx="305">
                  <c:v>0.81599999999999995</c:v>
                </c:pt>
                <c:pt idx="306">
                  <c:v>0.45700000000000002</c:v>
                </c:pt>
                <c:pt idx="307">
                  <c:v>0.61199999999999999</c:v>
                </c:pt>
                <c:pt idx="308">
                  <c:v>0.69399999999999995</c:v>
                </c:pt>
                <c:pt idx="309">
                  <c:v>0.42299999999999999</c:v>
                </c:pt>
                <c:pt idx="310">
                  <c:v>0.436</c:v>
                </c:pt>
                <c:pt idx="311">
                  <c:v>0.312</c:v>
                </c:pt>
                <c:pt idx="312">
                  <c:v>0.29199999999999998</c:v>
                </c:pt>
                <c:pt idx="313">
                  <c:v>0.13</c:v>
                </c:pt>
                <c:pt idx="314">
                  <c:v>0.09</c:v>
                </c:pt>
                <c:pt idx="315">
                  <c:v>-0.184</c:v>
                </c:pt>
                <c:pt idx="316">
                  <c:v>-0.312</c:v>
                </c:pt>
                <c:pt idx="317">
                  <c:v>-0.34699999999999998</c:v>
                </c:pt>
                <c:pt idx="318">
                  <c:v>-0.254</c:v>
                </c:pt>
                <c:pt idx="319">
                  <c:v>-0.26800000000000002</c:v>
                </c:pt>
                <c:pt idx="320">
                  <c:v>-0.34200000000000003</c:v>
                </c:pt>
                <c:pt idx="321">
                  <c:v>-0.38200000000000001</c:v>
                </c:pt>
                <c:pt idx="322">
                  <c:v>-0.64300000000000002</c:v>
                </c:pt>
                <c:pt idx="323">
                  <c:v>-0.57799999999999996</c:v>
                </c:pt>
                <c:pt idx="324">
                  <c:v>-0.622</c:v>
                </c:pt>
                <c:pt idx="325">
                  <c:v>-0.63</c:v>
                </c:pt>
                <c:pt idx="326">
                  <c:v>-0.86799999999999999</c:v>
                </c:pt>
                <c:pt idx="327">
                  <c:v>-0.65400000000000003</c:v>
                </c:pt>
                <c:pt idx="328">
                  <c:v>-0.434</c:v>
                </c:pt>
                <c:pt idx="329">
                  <c:v>-0.38200000000000001</c:v>
                </c:pt>
                <c:pt idx="330">
                  <c:v>-0.54200000000000004</c:v>
                </c:pt>
                <c:pt idx="331">
                  <c:v>-0.49299999999999999</c:v>
                </c:pt>
                <c:pt idx="332">
                  <c:v>-1.0129999999999999</c:v>
                </c:pt>
                <c:pt idx="333">
                  <c:v>-0.40600000000000003</c:v>
                </c:pt>
                <c:pt idx="334">
                  <c:v>-0.52900000000000003</c:v>
                </c:pt>
                <c:pt idx="335">
                  <c:v>-0.501</c:v>
                </c:pt>
                <c:pt idx="336">
                  <c:v>-0.34300000000000003</c:v>
                </c:pt>
                <c:pt idx="337">
                  <c:v>-0.77800000000000002</c:v>
                </c:pt>
                <c:pt idx="338">
                  <c:v>-0.57499999999999996</c:v>
                </c:pt>
                <c:pt idx="339">
                  <c:v>-0.66300000000000003</c:v>
                </c:pt>
                <c:pt idx="340">
                  <c:v>-0.84899999999999998</c:v>
                </c:pt>
                <c:pt idx="341">
                  <c:v>-0.83499999999999996</c:v>
                </c:pt>
                <c:pt idx="342">
                  <c:v>-0.57399999999999995</c:v>
                </c:pt>
                <c:pt idx="343">
                  <c:v>-0.70799999999999996</c:v>
                </c:pt>
                <c:pt idx="344">
                  <c:v>-0.94699999999999995</c:v>
                </c:pt>
                <c:pt idx="345">
                  <c:v>-1.3819999999999999</c:v>
                </c:pt>
                <c:pt idx="346">
                  <c:v>-1.486</c:v>
                </c:pt>
                <c:pt idx="347">
                  <c:v>-1.5249999999999999</c:v>
                </c:pt>
                <c:pt idx="348">
                  <c:v>-1.5569999999999999</c:v>
                </c:pt>
                <c:pt idx="349">
                  <c:v>-2.0750000000000002</c:v>
                </c:pt>
                <c:pt idx="350">
                  <c:v>-1.6519999999999999</c:v>
                </c:pt>
                <c:pt idx="351">
                  <c:v>-1.0549999999999999</c:v>
                </c:pt>
                <c:pt idx="352">
                  <c:v>-1.0089999999999999</c:v>
                </c:pt>
                <c:pt idx="353">
                  <c:v>-0.96199999999999997</c:v>
                </c:pt>
                <c:pt idx="354">
                  <c:v>-1.4410000000000001</c:v>
                </c:pt>
                <c:pt idx="355">
                  <c:v>-1.5129999999999999</c:v>
                </c:pt>
                <c:pt idx="356">
                  <c:v>-0.9</c:v>
                </c:pt>
                <c:pt idx="357">
                  <c:v>-0.71199999999999997</c:v>
                </c:pt>
                <c:pt idx="358">
                  <c:v>-0.74099999999999999</c:v>
                </c:pt>
                <c:pt idx="359">
                  <c:v>-0.75800000000000001</c:v>
                </c:pt>
                <c:pt idx="360">
                  <c:v>-0.495</c:v>
                </c:pt>
                <c:pt idx="361">
                  <c:v>-0.81499999999999995</c:v>
                </c:pt>
                <c:pt idx="362">
                  <c:v>-0.79600000000000004</c:v>
                </c:pt>
                <c:pt idx="363">
                  <c:v>-0.748</c:v>
                </c:pt>
                <c:pt idx="364">
                  <c:v>-0.93899999999999995</c:v>
                </c:pt>
                <c:pt idx="365">
                  <c:v>-0.76800000000000002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407808"/>
        <c:axId val="236422272"/>
      </c:lineChart>
      <c:catAx>
        <c:axId val="23640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2227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6422272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078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Data!$AB$7:$AB$372</c:f>
              <c:numCache>
                <c:formatCode>General</c:formatCode>
                <c:ptCount val="366"/>
                <c:pt idx="61">
                  <c:v>0.35599999999999998</c:v>
                </c:pt>
                <c:pt idx="62">
                  <c:v>0.313</c:v>
                </c:pt>
                <c:pt idx="63">
                  <c:v>0.30299999999999999</c:v>
                </c:pt>
                <c:pt idx="64">
                  <c:v>0.34499999999999997</c:v>
                </c:pt>
                <c:pt idx="65">
                  <c:v>0.35699999999999998</c:v>
                </c:pt>
                <c:pt idx="66">
                  <c:v>0.33300000000000002</c:v>
                </c:pt>
                <c:pt idx="67">
                  <c:v>0.33300000000000002</c:v>
                </c:pt>
                <c:pt idx="68">
                  <c:v>0.32</c:v>
                </c:pt>
                <c:pt idx="69">
                  <c:v>0.33900000000000002</c:v>
                </c:pt>
                <c:pt idx="70">
                  <c:v>0.307</c:v>
                </c:pt>
                <c:pt idx="71">
                  <c:v>0.34</c:v>
                </c:pt>
                <c:pt idx="72">
                  <c:v>0.315</c:v>
                </c:pt>
                <c:pt idx="73">
                  <c:v>0.317</c:v>
                </c:pt>
                <c:pt idx="74">
                  <c:v>0.315</c:v>
                </c:pt>
                <c:pt idx="75">
                  <c:v>0.30399999999999999</c:v>
                </c:pt>
                <c:pt idx="76">
                  <c:v>0.30599999999999999</c:v>
                </c:pt>
                <c:pt idx="77">
                  <c:v>0.315</c:v>
                </c:pt>
                <c:pt idx="78">
                  <c:v>0.314</c:v>
                </c:pt>
                <c:pt idx="79">
                  <c:v>0.311</c:v>
                </c:pt>
                <c:pt idx="80">
                  <c:v>0.32500000000000001</c:v>
                </c:pt>
                <c:pt idx="81">
                  <c:v>0.33800000000000002</c:v>
                </c:pt>
                <c:pt idx="82">
                  <c:v>0.32400000000000001</c:v>
                </c:pt>
                <c:pt idx="83">
                  <c:v>0.32200000000000001</c:v>
                </c:pt>
                <c:pt idx="84">
                  <c:v>0.32600000000000001</c:v>
                </c:pt>
                <c:pt idx="85">
                  <c:v>0.32200000000000001</c:v>
                </c:pt>
                <c:pt idx="86">
                  <c:v>0.33100000000000002</c:v>
                </c:pt>
                <c:pt idx="87">
                  <c:v>0.33200000000000002</c:v>
                </c:pt>
                <c:pt idx="88">
                  <c:v>0.33600000000000002</c:v>
                </c:pt>
                <c:pt idx="89">
                  <c:v>0.33300000000000002</c:v>
                </c:pt>
                <c:pt idx="90">
                  <c:v>0.33100000000000002</c:v>
                </c:pt>
                <c:pt idx="91">
                  <c:v>0.33600000000000002</c:v>
                </c:pt>
                <c:pt idx="92">
                  <c:v>0.34499999999999997</c:v>
                </c:pt>
                <c:pt idx="93">
                  <c:v>0.35799999999999998</c:v>
                </c:pt>
                <c:pt idx="94">
                  <c:v>0.33300000000000002</c:v>
                </c:pt>
                <c:pt idx="95">
                  <c:v>0.35599999999999998</c:v>
                </c:pt>
                <c:pt idx="96">
                  <c:v>0.33800000000000002</c:v>
                </c:pt>
                <c:pt idx="97">
                  <c:v>0.33200000000000002</c:v>
                </c:pt>
                <c:pt idx="98">
                  <c:v>0.33100000000000002</c:v>
                </c:pt>
                <c:pt idx="99">
                  <c:v>0.34899999999999998</c:v>
                </c:pt>
                <c:pt idx="100">
                  <c:v>0.317</c:v>
                </c:pt>
                <c:pt idx="101">
                  <c:v>0.27</c:v>
                </c:pt>
                <c:pt idx="102">
                  <c:v>0.23499999999999999</c:v>
                </c:pt>
                <c:pt idx="103">
                  <c:v>0.189</c:v>
                </c:pt>
                <c:pt idx="104">
                  <c:v>0.14399999999999999</c:v>
                </c:pt>
                <c:pt idx="105">
                  <c:v>0.13700000000000001</c:v>
                </c:pt>
                <c:pt idx="106">
                  <c:v>0.14499999999999999</c:v>
                </c:pt>
                <c:pt idx="107">
                  <c:v>0.19</c:v>
                </c:pt>
                <c:pt idx="108">
                  <c:v>0.252</c:v>
                </c:pt>
                <c:pt idx="109">
                  <c:v>0.3</c:v>
                </c:pt>
                <c:pt idx="110">
                  <c:v>0.20100000000000001</c:v>
                </c:pt>
                <c:pt idx="111">
                  <c:v>0.29599999999999999</c:v>
                </c:pt>
                <c:pt idx="112">
                  <c:v>0.29899999999999999</c:v>
                </c:pt>
                <c:pt idx="113">
                  <c:v>0.16600000000000001</c:v>
                </c:pt>
                <c:pt idx="114">
                  <c:v>0.193</c:v>
                </c:pt>
                <c:pt idx="115">
                  <c:v>0.123</c:v>
                </c:pt>
                <c:pt idx="116">
                  <c:v>0.29699999999999999</c:v>
                </c:pt>
                <c:pt idx="117">
                  <c:v>0.35599999999999998</c:v>
                </c:pt>
                <c:pt idx="118">
                  <c:v>0.127</c:v>
                </c:pt>
                <c:pt idx="119">
                  <c:v>0.18</c:v>
                </c:pt>
                <c:pt idx="120">
                  <c:v>0.221</c:v>
                </c:pt>
                <c:pt idx="121">
                  <c:v>0.17499999999999999</c:v>
                </c:pt>
                <c:pt idx="122">
                  <c:v>0.24399999999999999</c:v>
                </c:pt>
                <c:pt idx="123">
                  <c:v>0.11899999999999999</c:v>
                </c:pt>
                <c:pt idx="124">
                  <c:v>0.126</c:v>
                </c:pt>
                <c:pt idx="125">
                  <c:v>5.8000000000000003E-2</c:v>
                </c:pt>
                <c:pt idx="126">
                  <c:v>0.186</c:v>
                </c:pt>
                <c:pt idx="127">
                  <c:v>0.152</c:v>
                </c:pt>
                <c:pt idx="128">
                  <c:v>0.215</c:v>
                </c:pt>
                <c:pt idx="129">
                  <c:v>0.2</c:v>
                </c:pt>
                <c:pt idx="130">
                  <c:v>0.15</c:v>
                </c:pt>
                <c:pt idx="131">
                  <c:v>0.14299999999999999</c:v>
                </c:pt>
                <c:pt idx="132">
                  <c:v>0.23100000000000001</c:v>
                </c:pt>
                <c:pt idx="133">
                  <c:v>0.26100000000000001</c:v>
                </c:pt>
                <c:pt idx="134">
                  <c:v>0.27500000000000002</c:v>
                </c:pt>
                <c:pt idx="135">
                  <c:v>0.315</c:v>
                </c:pt>
                <c:pt idx="136">
                  <c:v>0.307</c:v>
                </c:pt>
                <c:pt idx="137">
                  <c:v>0.27400000000000002</c:v>
                </c:pt>
                <c:pt idx="138">
                  <c:v>0.254</c:v>
                </c:pt>
                <c:pt idx="139">
                  <c:v>0.224</c:v>
                </c:pt>
                <c:pt idx="140">
                  <c:v>0.191</c:v>
                </c:pt>
                <c:pt idx="141">
                  <c:v>0.192</c:v>
                </c:pt>
                <c:pt idx="142">
                  <c:v>0.29799999999999999</c:v>
                </c:pt>
                <c:pt idx="143">
                  <c:v>0.78600000000000003</c:v>
                </c:pt>
                <c:pt idx="144">
                  <c:v>1.0089999999999999</c:v>
                </c:pt>
                <c:pt idx="145">
                  <c:v>1.6120000000000001</c:v>
                </c:pt>
                <c:pt idx="146">
                  <c:v>1.615</c:v>
                </c:pt>
                <c:pt idx="147">
                  <c:v>1.577</c:v>
                </c:pt>
                <c:pt idx="148">
                  <c:v>2.02</c:v>
                </c:pt>
                <c:pt idx="149">
                  <c:v>2.3929999999999998</c:v>
                </c:pt>
                <c:pt idx="150">
                  <c:v>2.556</c:v>
                </c:pt>
                <c:pt idx="151">
                  <c:v>2.5369999999999999</c:v>
                </c:pt>
                <c:pt idx="262">
                  <c:v>8.84</c:v>
                </c:pt>
                <c:pt idx="263">
                  <c:v>8.49</c:v>
                </c:pt>
                <c:pt idx="264">
                  <c:v>7.81</c:v>
                </c:pt>
                <c:pt idx="265">
                  <c:v>7.29</c:v>
                </c:pt>
                <c:pt idx="266">
                  <c:v>6.6</c:v>
                </c:pt>
                <c:pt idx="267">
                  <c:v>6.4269999999999996</c:v>
                </c:pt>
                <c:pt idx="268">
                  <c:v>6.6180000000000003</c:v>
                </c:pt>
                <c:pt idx="269">
                  <c:v>6.81</c:v>
                </c:pt>
                <c:pt idx="270">
                  <c:v>7.06</c:v>
                </c:pt>
                <c:pt idx="271">
                  <c:v>6.923</c:v>
                </c:pt>
                <c:pt idx="272">
                  <c:v>6.7309999999999999</c:v>
                </c:pt>
                <c:pt idx="273">
                  <c:v>7.06</c:v>
                </c:pt>
                <c:pt idx="274">
                  <c:v>6.9729999999999999</c:v>
                </c:pt>
                <c:pt idx="275">
                  <c:v>6.3929999999999998</c:v>
                </c:pt>
                <c:pt idx="276">
                  <c:v>5.7949999999999999</c:v>
                </c:pt>
                <c:pt idx="277">
                  <c:v>5.4249999999999998</c:v>
                </c:pt>
                <c:pt idx="278">
                  <c:v>4.9610000000000003</c:v>
                </c:pt>
                <c:pt idx="279">
                  <c:v>4.5789999999999997</c:v>
                </c:pt>
                <c:pt idx="280">
                  <c:v>4.6970000000000001</c:v>
                </c:pt>
                <c:pt idx="281">
                  <c:v>4.8170000000000002</c:v>
                </c:pt>
                <c:pt idx="282">
                  <c:v>5.15</c:v>
                </c:pt>
                <c:pt idx="283">
                  <c:v>5.4370000000000003</c:v>
                </c:pt>
                <c:pt idx="284">
                  <c:v>5.1929999999999996</c:v>
                </c:pt>
                <c:pt idx="285">
                  <c:v>5.3029999999999999</c:v>
                </c:pt>
                <c:pt idx="286">
                  <c:v>5.32</c:v>
                </c:pt>
                <c:pt idx="287">
                  <c:v>4.8630000000000004</c:v>
                </c:pt>
                <c:pt idx="288">
                  <c:v>4.5190000000000001</c:v>
                </c:pt>
                <c:pt idx="289">
                  <c:v>4.2960000000000003</c:v>
                </c:pt>
                <c:pt idx="290">
                  <c:v>4.3959999999999999</c:v>
                </c:pt>
                <c:pt idx="291">
                  <c:v>4.84</c:v>
                </c:pt>
                <c:pt idx="292">
                  <c:v>4.41</c:v>
                </c:pt>
                <c:pt idx="293">
                  <c:v>3.89</c:v>
                </c:pt>
                <c:pt idx="294">
                  <c:v>3.915</c:v>
                </c:pt>
                <c:pt idx="295">
                  <c:v>3.577</c:v>
                </c:pt>
                <c:pt idx="296">
                  <c:v>3.3210000000000002</c:v>
                </c:pt>
                <c:pt idx="297">
                  <c:v>3.8610000000000002</c:v>
                </c:pt>
                <c:pt idx="298">
                  <c:v>3.7290000000000001</c:v>
                </c:pt>
                <c:pt idx="299">
                  <c:v>3.714</c:v>
                </c:pt>
                <c:pt idx="300">
                  <c:v>3.4409999999999998</c:v>
                </c:pt>
                <c:pt idx="301">
                  <c:v>3.3570000000000002</c:v>
                </c:pt>
                <c:pt idx="302">
                  <c:v>3.1240000000000001</c:v>
                </c:pt>
                <c:pt idx="303">
                  <c:v>2.7189999999999999</c:v>
                </c:pt>
                <c:pt idx="304">
                  <c:v>2.6419999999999999</c:v>
                </c:pt>
                <c:pt idx="305">
                  <c:v>2.5169999999999999</c:v>
                </c:pt>
                <c:pt idx="306">
                  <c:v>2.4169999999999998</c:v>
                </c:pt>
                <c:pt idx="307">
                  <c:v>1.944</c:v>
                </c:pt>
                <c:pt idx="308">
                  <c:v>1.8169999999999999</c:v>
                </c:pt>
                <c:pt idx="309">
                  <c:v>1.861</c:v>
                </c:pt>
                <c:pt idx="310">
                  <c:v>2.2789999999999999</c:v>
                </c:pt>
                <c:pt idx="311">
                  <c:v>1.5580000000000001</c:v>
                </c:pt>
                <c:pt idx="312">
                  <c:v>1.4750000000000001</c:v>
                </c:pt>
                <c:pt idx="313">
                  <c:v>1.534</c:v>
                </c:pt>
                <c:pt idx="314">
                  <c:v>1.609</c:v>
                </c:pt>
                <c:pt idx="315">
                  <c:v>1.284</c:v>
                </c:pt>
                <c:pt idx="316">
                  <c:v>1.181</c:v>
                </c:pt>
                <c:pt idx="317">
                  <c:v>1.0369999999999999</c:v>
                </c:pt>
                <c:pt idx="318">
                  <c:v>1.1180000000000001</c:v>
                </c:pt>
                <c:pt idx="319">
                  <c:v>0.875</c:v>
                </c:pt>
                <c:pt idx="320">
                  <c:v>0.81100000000000005</c:v>
                </c:pt>
                <c:pt idx="321">
                  <c:v>0.81499999999999995</c:v>
                </c:pt>
                <c:pt idx="322">
                  <c:v>0.96799999999999997</c:v>
                </c:pt>
                <c:pt idx="323">
                  <c:v>0.8</c:v>
                </c:pt>
                <c:pt idx="324">
                  <c:v>0.89800000000000002</c:v>
                </c:pt>
                <c:pt idx="325">
                  <c:v>1.052</c:v>
                </c:pt>
                <c:pt idx="326">
                  <c:v>0.90900000000000003</c:v>
                </c:pt>
                <c:pt idx="327">
                  <c:v>0.84399999999999997</c:v>
                </c:pt>
                <c:pt idx="328">
                  <c:v>0.69299999999999995</c:v>
                </c:pt>
                <c:pt idx="329">
                  <c:v>0.56499999999999995</c:v>
                </c:pt>
                <c:pt idx="330">
                  <c:v>0.76400000000000001</c:v>
                </c:pt>
                <c:pt idx="331">
                  <c:v>0.51200000000000001</c:v>
                </c:pt>
                <c:pt idx="332">
                  <c:v>0.72399999999999998</c:v>
                </c:pt>
                <c:pt idx="333">
                  <c:v>0.51800000000000002</c:v>
                </c:pt>
                <c:pt idx="334">
                  <c:v>0.56699999999999995</c:v>
                </c:pt>
                <c:pt idx="335">
                  <c:v>0.58099999999999996</c:v>
                </c:pt>
                <c:pt idx="336">
                  <c:v>0.63200000000000001</c:v>
                </c:pt>
                <c:pt idx="337">
                  <c:v>0.59099999999999997</c:v>
                </c:pt>
                <c:pt idx="338">
                  <c:v>0.747</c:v>
                </c:pt>
                <c:pt idx="339">
                  <c:v>0.72299999999999998</c:v>
                </c:pt>
                <c:pt idx="340">
                  <c:v>0.79900000000000004</c:v>
                </c:pt>
                <c:pt idx="341">
                  <c:v>0.58599999999999997</c:v>
                </c:pt>
                <c:pt idx="342">
                  <c:v>0.44900000000000001</c:v>
                </c:pt>
                <c:pt idx="343">
                  <c:v>0.32400000000000001</c:v>
                </c:pt>
                <c:pt idx="344">
                  <c:v>0.34100000000000003</c:v>
                </c:pt>
                <c:pt idx="345">
                  <c:v>0.44400000000000001</c:v>
                </c:pt>
                <c:pt idx="346">
                  <c:v>0.33800000000000002</c:v>
                </c:pt>
                <c:pt idx="347">
                  <c:v>0.192</c:v>
                </c:pt>
                <c:pt idx="348">
                  <c:v>0.24299999999999999</c:v>
                </c:pt>
                <c:pt idx="349">
                  <c:v>0</c:v>
                </c:pt>
                <c:pt idx="350">
                  <c:v>1.7000000000000001E-2</c:v>
                </c:pt>
                <c:pt idx="351">
                  <c:v>-4.4999999999999998E-2</c:v>
                </c:pt>
                <c:pt idx="352">
                  <c:v>-4.0000000000000001E-3</c:v>
                </c:pt>
                <c:pt idx="353">
                  <c:v>-8.4000000000000005E-2</c:v>
                </c:pt>
                <c:pt idx="354">
                  <c:v>0.11700000000000001</c:v>
                </c:pt>
                <c:pt idx="355">
                  <c:v>-4.8000000000000001E-2</c:v>
                </c:pt>
                <c:pt idx="356">
                  <c:v>-0.129</c:v>
                </c:pt>
                <c:pt idx="357">
                  <c:v>1.2999999999999999E-2</c:v>
                </c:pt>
                <c:pt idx="358">
                  <c:v>-9.4E-2</c:v>
                </c:pt>
                <c:pt idx="359">
                  <c:v>2.3E-2</c:v>
                </c:pt>
                <c:pt idx="360">
                  <c:v>-0.10100000000000001</c:v>
                </c:pt>
                <c:pt idx="361">
                  <c:v>-7.9000000000000001E-2</c:v>
                </c:pt>
                <c:pt idx="362">
                  <c:v>0.13200000000000001</c:v>
                </c:pt>
                <c:pt idx="363">
                  <c:v>-9.6000000000000002E-2</c:v>
                </c:pt>
                <c:pt idx="364">
                  <c:v>8.4000000000000005E-2</c:v>
                </c:pt>
                <c:pt idx="365">
                  <c:v>-2.7E-2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Data!$AP$7:$AP$372</c:f>
              <c:numCache>
                <c:formatCode>General</c:formatCode>
                <c:ptCount val="366"/>
                <c:pt idx="61">
                  <c:v>0.25600000000000001</c:v>
                </c:pt>
                <c:pt idx="62">
                  <c:v>0.184</c:v>
                </c:pt>
                <c:pt idx="63">
                  <c:v>0.22800000000000001</c:v>
                </c:pt>
                <c:pt idx="64">
                  <c:v>0.109</c:v>
                </c:pt>
                <c:pt idx="65">
                  <c:v>0.19600000000000001</c:v>
                </c:pt>
                <c:pt idx="66">
                  <c:v>6.5000000000000002E-2</c:v>
                </c:pt>
                <c:pt idx="67">
                  <c:v>0.13</c:v>
                </c:pt>
                <c:pt idx="68">
                  <c:v>0.20599999999999999</c:v>
                </c:pt>
                <c:pt idx="69">
                  <c:v>0.16</c:v>
                </c:pt>
                <c:pt idx="70">
                  <c:v>0.21299999999999999</c:v>
                </c:pt>
                <c:pt idx="71">
                  <c:v>0.159</c:v>
                </c:pt>
                <c:pt idx="72">
                  <c:v>0.16600000000000001</c:v>
                </c:pt>
                <c:pt idx="73">
                  <c:v>0.245</c:v>
                </c:pt>
                <c:pt idx="74">
                  <c:v>0.247</c:v>
                </c:pt>
                <c:pt idx="75">
                  <c:v>0.193</c:v>
                </c:pt>
                <c:pt idx="76">
                  <c:v>0.27</c:v>
                </c:pt>
                <c:pt idx="77">
                  <c:v>0.27400000000000002</c:v>
                </c:pt>
                <c:pt idx="78">
                  <c:v>0.27500000000000002</c:v>
                </c:pt>
                <c:pt idx="79">
                  <c:v>0.25800000000000001</c:v>
                </c:pt>
                <c:pt idx="80">
                  <c:v>0.248</c:v>
                </c:pt>
                <c:pt idx="81">
                  <c:v>0.27800000000000002</c:v>
                </c:pt>
                <c:pt idx="82">
                  <c:v>0.29099999999999998</c:v>
                </c:pt>
                <c:pt idx="83">
                  <c:v>0.28799999999999998</c:v>
                </c:pt>
                <c:pt idx="84">
                  <c:v>0.28899999999999998</c:v>
                </c:pt>
                <c:pt idx="85">
                  <c:v>0.28199999999999997</c:v>
                </c:pt>
                <c:pt idx="86">
                  <c:v>0.29199999999999998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0.27200000000000002</c:v>
                </c:pt>
                <c:pt idx="90">
                  <c:v>0.26400000000000001</c:v>
                </c:pt>
                <c:pt idx="91">
                  <c:v>0.28599999999999998</c:v>
                </c:pt>
                <c:pt idx="92">
                  <c:v>0.29199999999999998</c:v>
                </c:pt>
                <c:pt idx="93">
                  <c:v>0.30599999999999999</c:v>
                </c:pt>
                <c:pt idx="94">
                  <c:v>0.29599999999999999</c:v>
                </c:pt>
                <c:pt idx="95">
                  <c:v>0.29499999999999998</c:v>
                </c:pt>
                <c:pt idx="96">
                  <c:v>0.29599999999999999</c:v>
                </c:pt>
                <c:pt idx="97">
                  <c:v>0.28699999999999998</c:v>
                </c:pt>
                <c:pt idx="98">
                  <c:v>0.28299999999999997</c:v>
                </c:pt>
                <c:pt idx="99">
                  <c:v>0.26300000000000001</c:v>
                </c:pt>
                <c:pt idx="100">
                  <c:v>0.23400000000000001</c:v>
                </c:pt>
                <c:pt idx="101">
                  <c:v>0.184</c:v>
                </c:pt>
                <c:pt idx="102">
                  <c:v>0.156</c:v>
                </c:pt>
                <c:pt idx="103">
                  <c:v>0.11899999999999999</c:v>
                </c:pt>
                <c:pt idx="104">
                  <c:v>8.5999999999999993E-2</c:v>
                </c:pt>
                <c:pt idx="105">
                  <c:v>7.3999999999999996E-2</c:v>
                </c:pt>
                <c:pt idx="106">
                  <c:v>4.7E-2</c:v>
                </c:pt>
                <c:pt idx="107">
                  <c:v>5.1999999999999998E-2</c:v>
                </c:pt>
                <c:pt idx="108">
                  <c:v>-1.0999999999999999E-2</c:v>
                </c:pt>
                <c:pt idx="109">
                  <c:v>-5.1999999999999998E-2</c:v>
                </c:pt>
                <c:pt idx="110">
                  <c:v>2E-3</c:v>
                </c:pt>
                <c:pt idx="111">
                  <c:v>-5.5E-2</c:v>
                </c:pt>
                <c:pt idx="112">
                  <c:v>-4.5999999999999999E-2</c:v>
                </c:pt>
                <c:pt idx="113">
                  <c:v>-0.15</c:v>
                </c:pt>
                <c:pt idx="114">
                  <c:v>-0.10299999999999999</c:v>
                </c:pt>
                <c:pt idx="115">
                  <c:v>-0.124</c:v>
                </c:pt>
                <c:pt idx="116">
                  <c:v>-0.158</c:v>
                </c:pt>
                <c:pt idx="117">
                  <c:v>-2E-3</c:v>
                </c:pt>
                <c:pt idx="118">
                  <c:v>-0.11799999999999999</c:v>
                </c:pt>
                <c:pt idx="119">
                  <c:v>-0.185</c:v>
                </c:pt>
                <c:pt idx="120">
                  <c:v>-4.1000000000000002E-2</c:v>
                </c:pt>
                <c:pt idx="121">
                  <c:v>-3.9E-2</c:v>
                </c:pt>
                <c:pt idx="122">
                  <c:v>-6.0999999999999999E-2</c:v>
                </c:pt>
                <c:pt idx="123">
                  <c:v>-0.14199999999999999</c:v>
                </c:pt>
                <c:pt idx="124">
                  <c:v>-0.246</c:v>
                </c:pt>
                <c:pt idx="125">
                  <c:v>-0.16800000000000001</c:v>
                </c:pt>
                <c:pt idx="126">
                  <c:v>-0.219</c:v>
                </c:pt>
                <c:pt idx="127">
                  <c:v>-0.27100000000000002</c:v>
                </c:pt>
                <c:pt idx="128">
                  <c:v>-0.23699999999999999</c:v>
                </c:pt>
                <c:pt idx="129">
                  <c:v>-0.161</c:v>
                </c:pt>
                <c:pt idx="130">
                  <c:v>-5.8999999999999997E-2</c:v>
                </c:pt>
                <c:pt idx="131">
                  <c:v>-5.3999999999999999E-2</c:v>
                </c:pt>
                <c:pt idx="132">
                  <c:v>-8.4000000000000005E-2</c:v>
                </c:pt>
                <c:pt idx="133">
                  <c:v>-9.4E-2</c:v>
                </c:pt>
                <c:pt idx="134">
                  <c:v>-0.154</c:v>
                </c:pt>
                <c:pt idx="135">
                  <c:v>-0.06</c:v>
                </c:pt>
                <c:pt idx="136">
                  <c:v>-0.20499999999999999</c:v>
                </c:pt>
                <c:pt idx="137">
                  <c:v>-0.223</c:v>
                </c:pt>
                <c:pt idx="138">
                  <c:v>-0.14599999999999999</c:v>
                </c:pt>
                <c:pt idx="139">
                  <c:v>-0.123</c:v>
                </c:pt>
                <c:pt idx="140">
                  <c:v>-0.16200000000000001</c:v>
                </c:pt>
                <c:pt idx="141">
                  <c:v>-2.1999999999999999E-2</c:v>
                </c:pt>
                <c:pt idx="142">
                  <c:v>-0.10299999999999999</c:v>
                </c:pt>
                <c:pt idx="143">
                  <c:v>0.108</c:v>
                </c:pt>
                <c:pt idx="144">
                  <c:v>0.39800000000000002</c:v>
                </c:pt>
                <c:pt idx="145">
                  <c:v>0.65100000000000002</c:v>
                </c:pt>
                <c:pt idx="146">
                  <c:v>1.155</c:v>
                </c:pt>
                <c:pt idx="147">
                  <c:v>1.05</c:v>
                </c:pt>
                <c:pt idx="148">
                  <c:v>1.1910000000000001</c:v>
                </c:pt>
                <c:pt idx="149">
                  <c:v>1.9</c:v>
                </c:pt>
                <c:pt idx="150">
                  <c:v>1.87</c:v>
                </c:pt>
                <c:pt idx="151">
                  <c:v>2.0979999999999999</c:v>
                </c:pt>
                <c:pt idx="262">
                  <c:v>7.88</c:v>
                </c:pt>
                <c:pt idx="263">
                  <c:v>7.75</c:v>
                </c:pt>
                <c:pt idx="264">
                  <c:v>6.9779999999999998</c:v>
                </c:pt>
                <c:pt idx="265">
                  <c:v>6.0270000000000001</c:v>
                </c:pt>
                <c:pt idx="266">
                  <c:v>5.4539999999999997</c:v>
                </c:pt>
                <c:pt idx="267">
                  <c:v>5.3250000000000002</c:v>
                </c:pt>
                <c:pt idx="268">
                  <c:v>5.4470000000000001</c:v>
                </c:pt>
                <c:pt idx="269">
                  <c:v>5.6539999999999999</c:v>
                </c:pt>
                <c:pt idx="270">
                  <c:v>5.77</c:v>
                </c:pt>
                <c:pt idx="271">
                  <c:v>5.9530000000000003</c:v>
                </c:pt>
                <c:pt idx="272">
                  <c:v>6.3760000000000003</c:v>
                </c:pt>
                <c:pt idx="273">
                  <c:v>6.3849999999999998</c:v>
                </c:pt>
                <c:pt idx="274">
                  <c:v>6.04</c:v>
                </c:pt>
                <c:pt idx="275">
                  <c:v>5.548</c:v>
                </c:pt>
                <c:pt idx="276">
                  <c:v>4.843</c:v>
                </c:pt>
                <c:pt idx="277">
                  <c:v>4.5259999999999998</c:v>
                </c:pt>
                <c:pt idx="278">
                  <c:v>3.6440000000000001</c:v>
                </c:pt>
                <c:pt idx="279">
                  <c:v>3.2010000000000001</c:v>
                </c:pt>
                <c:pt idx="280">
                  <c:v>3.3809999999999998</c:v>
                </c:pt>
                <c:pt idx="281">
                  <c:v>3.89</c:v>
                </c:pt>
                <c:pt idx="282">
                  <c:v>4.3049999999999997</c:v>
                </c:pt>
                <c:pt idx="283">
                  <c:v>4.6509999999999998</c:v>
                </c:pt>
                <c:pt idx="284">
                  <c:v>4.8810000000000002</c:v>
                </c:pt>
                <c:pt idx="285">
                  <c:v>4.5270000000000001</c:v>
                </c:pt>
                <c:pt idx="286">
                  <c:v>4.1890000000000001</c:v>
                </c:pt>
                <c:pt idx="287">
                  <c:v>4.1550000000000002</c:v>
                </c:pt>
                <c:pt idx="288">
                  <c:v>3.8330000000000002</c:v>
                </c:pt>
                <c:pt idx="289">
                  <c:v>3.9340000000000002</c:v>
                </c:pt>
                <c:pt idx="290">
                  <c:v>3.91</c:v>
                </c:pt>
                <c:pt idx="291">
                  <c:v>4.1360000000000001</c:v>
                </c:pt>
                <c:pt idx="292">
                  <c:v>3.6259999999999999</c:v>
                </c:pt>
                <c:pt idx="293">
                  <c:v>3.629</c:v>
                </c:pt>
                <c:pt idx="294">
                  <c:v>3.2040000000000002</c:v>
                </c:pt>
                <c:pt idx="295">
                  <c:v>2.78</c:v>
                </c:pt>
                <c:pt idx="296">
                  <c:v>2.496</c:v>
                </c:pt>
                <c:pt idx="297">
                  <c:v>2.931</c:v>
                </c:pt>
                <c:pt idx="298">
                  <c:v>2.66</c:v>
                </c:pt>
                <c:pt idx="299">
                  <c:v>2.7080000000000002</c:v>
                </c:pt>
                <c:pt idx="300">
                  <c:v>3.262</c:v>
                </c:pt>
                <c:pt idx="301">
                  <c:v>2.9319999999999999</c:v>
                </c:pt>
                <c:pt idx="302">
                  <c:v>2.54</c:v>
                </c:pt>
                <c:pt idx="303">
                  <c:v>2.2490000000000001</c:v>
                </c:pt>
                <c:pt idx="304">
                  <c:v>2.2360000000000002</c:v>
                </c:pt>
                <c:pt idx="305">
                  <c:v>1.835</c:v>
                </c:pt>
                <c:pt idx="306">
                  <c:v>1.675</c:v>
                </c:pt>
                <c:pt idx="307">
                  <c:v>1.712</c:v>
                </c:pt>
                <c:pt idx="308">
                  <c:v>1.573</c:v>
                </c:pt>
                <c:pt idx="309">
                  <c:v>1.2949999999999999</c:v>
                </c:pt>
                <c:pt idx="310">
                  <c:v>1.423</c:v>
                </c:pt>
                <c:pt idx="311">
                  <c:v>1.2609999999999999</c:v>
                </c:pt>
                <c:pt idx="312">
                  <c:v>1.19</c:v>
                </c:pt>
                <c:pt idx="313">
                  <c:v>1.0720000000000001</c:v>
                </c:pt>
                <c:pt idx="314">
                  <c:v>1.107</c:v>
                </c:pt>
                <c:pt idx="315">
                  <c:v>0.88400000000000001</c:v>
                </c:pt>
                <c:pt idx="316">
                  <c:v>0.73199999999999998</c:v>
                </c:pt>
                <c:pt idx="317">
                  <c:v>0.66600000000000004</c:v>
                </c:pt>
                <c:pt idx="318">
                  <c:v>0.76700000000000002</c:v>
                </c:pt>
                <c:pt idx="319">
                  <c:v>0.751</c:v>
                </c:pt>
                <c:pt idx="320">
                  <c:v>0.70599999999999996</c:v>
                </c:pt>
                <c:pt idx="321">
                  <c:v>0.64600000000000002</c:v>
                </c:pt>
                <c:pt idx="322">
                  <c:v>0.32800000000000001</c:v>
                </c:pt>
                <c:pt idx="323">
                  <c:v>0.33400000000000002</c:v>
                </c:pt>
                <c:pt idx="324">
                  <c:v>0.29699999999999999</c:v>
                </c:pt>
                <c:pt idx="325">
                  <c:v>0.26</c:v>
                </c:pt>
                <c:pt idx="326">
                  <c:v>0.05</c:v>
                </c:pt>
                <c:pt idx="327">
                  <c:v>0.30299999999999999</c:v>
                </c:pt>
                <c:pt idx="328">
                  <c:v>0.40300000000000002</c:v>
                </c:pt>
                <c:pt idx="329">
                  <c:v>0.372</c:v>
                </c:pt>
                <c:pt idx="330">
                  <c:v>0.23</c:v>
                </c:pt>
                <c:pt idx="331">
                  <c:v>0.28000000000000003</c:v>
                </c:pt>
                <c:pt idx="332">
                  <c:v>-0.192</c:v>
                </c:pt>
                <c:pt idx="333">
                  <c:v>0.36099999999999999</c:v>
                </c:pt>
                <c:pt idx="334">
                  <c:v>0.193</c:v>
                </c:pt>
                <c:pt idx="335">
                  <c:v>0.19600000000000001</c:v>
                </c:pt>
                <c:pt idx="336">
                  <c:v>0.29299999999999998</c:v>
                </c:pt>
                <c:pt idx="337">
                  <c:v>-9.9000000000000005E-2</c:v>
                </c:pt>
                <c:pt idx="338">
                  <c:v>0.214</c:v>
                </c:pt>
                <c:pt idx="339">
                  <c:v>6.8000000000000005E-2</c:v>
                </c:pt>
                <c:pt idx="340">
                  <c:v>-0.17100000000000001</c:v>
                </c:pt>
                <c:pt idx="341">
                  <c:v>-9.7000000000000003E-2</c:v>
                </c:pt>
                <c:pt idx="342">
                  <c:v>0.13</c:v>
                </c:pt>
                <c:pt idx="343">
                  <c:v>0.108</c:v>
                </c:pt>
                <c:pt idx="344">
                  <c:v>8.9999999999999993E-3</c:v>
                </c:pt>
                <c:pt idx="345">
                  <c:v>-0.30299999999999999</c:v>
                </c:pt>
                <c:pt idx="346">
                  <c:v>-0.30299999999999999</c:v>
                </c:pt>
                <c:pt idx="347">
                  <c:v>-0.45600000000000002</c:v>
                </c:pt>
                <c:pt idx="348">
                  <c:v>-0.42799999999999999</c:v>
                </c:pt>
                <c:pt idx="349">
                  <c:v>-0.71299999999999997</c:v>
                </c:pt>
                <c:pt idx="350">
                  <c:v>-0.32800000000000001</c:v>
                </c:pt>
                <c:pt idx="351">
                  <c:v>-0.41599999999999998</c:v>
                </c:pt>
                <c:pt idx="352">
                  <c:v>-0.30299999999999999</c:v>
                </c:pt>
                <c:pt idx="353">
                  <c:v>-0.40400000000000003</c:v>
                </c:pt>
                <c:pt idx="354">
                  <c:v>-0.60399999999999998</c:v>
                </c:pt>
                <c:pt idx="355">
                  <c:v>-0.57799999999999996</c:v>
                </c:pt>
                <c:pt idx="356">
                  <c:v>-0.38100000000000001</c:v>
                </c:pt>
                <c:pt idx="357">
                  <c:v>-0.33400000000000002</c:v>
                </c:pt>
                <c:pt idx="358">
                  <c:v>-0.44600000000000001</c:v>
                </c:pt>
                <c:pt idx="359">
                  <c:v>-0.439</c:v>
                </c:pt>
                <c:pt idx="360">
                  <c:v>-0.23100000000000001</c:v>
                </c:pt>
                <c:pt idx="361">
                  <c:v>-0.54200000000000004</c:v>
                </c:pt>
                <c:pt idx="362">
                  <c:v>-0.36299999999999999</c:v>
                </c:pt>
                <c:pt idx="363">
                  <c:v>-0.41899999999999998</c:v>
                </c:pt>
                <c:pt idx="364">
                  <c:v>-0.59799999999999998</c:v>
                </c:pt>
                <c:pt idx="365">
                  <c:v>-0.35899999999999999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435712"/>
        <c:axId val="236650880"/>
      </c:lineChart>
      <c:catAx>
        <c:axId val="23643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5088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665088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3571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Data!$AC$7:$AC$372</c:f>
              <c:numCache>
                <c:formatCode>General</c:formatCode>
                <c:ptCount val="366"/>
                <c:pt idx="61">
                  <c:v>0.97799999999999998</c:v>
                </c:pt>
                <c:pt idx="62">
                  <c:v>0.94199999999999995</c:v>
                </c:pt>
                <c:pt idx="63">
                  <c:v>0.92900000000000005</c:v>
                </c:pt>
                <c:pt idx="64">
                  <c:v>0.96699999999999997</c:v>
                </c:pt>
                <c:pt idx="65">
                  <c:v>0.97799999999999998</c:v>
                </c:pt>
                <c:pt idx="66">
                  <c:v>0.94499999999999995</c:v>
                </c:pt>
                <c:pt idx="67">
                  <c:v>0.94</c:v>
                </c:pt>
                <c:pt idx="68">
                  <c:v>0.91800000000000004</c:v>
                </c:pt>
                <c:pt idx="69">
                  <c:v>0.93400000000000005</c:v>
                </c:pt>
                <c:pt idx="70">
                  <c:v>0.90300000000000002</c:v>
                </c:pt>
                <c:pt idx="71">
                  <c:v>0.94799999999999995</c:v>
                </c:pt>
                <c:pt idx="72">
                  <c:v>0.90800000000000003</c:v>
                </c:pt>
                <c:pt idx="73">
                  <c:v>0.90400000000000003</c:v>
                </c:pt>
                <c:pt idx="74">
                  <c:v>0.89700000000000002</c:v>
                </c:pt>
                <c:pt idx="75">
                  <c:v>0.88700000000000001</c:v>
                </c:pt>
                <c:pt idx="76">
                  <c:v>0.88900000000000001</c:v>
                </c:pt>
                <c:pt idx="77">
                  <c:v>0.88900000000000001</c:v>
                </c:pt>
                <c:pt idx="78">
                  <c:v>0.89</c:v>
                </c:pt>
                <c:pt idx="79">
                  <c:v>0.88300000000000001</c:v>
                </c:pt>
                <c:pt idx="80">
                  <c:v>0.9</c:v>
                </c:pt>
                <c:pt idx="81">
                  <c:v>0.90200000000000002</c:v>
                </c:pt>
                <c:pt idx="82">
                  <c:v>0.88200000000000001</c:v>
                </c:pt>
                <c:pt idx="83">
                  <c:v>0.88300000000000001</c:v>
                </c:pt>
                <c:pt idx="84">
                  <c:v>0.88</c:v>
                </c:pt>
                <c:pt idx="85">
                  <c:v>0.878</c:v>
                </c:pt>
                <c:pt idx="86">
                  <c:v>0.877</c:v>
                </c:pt>
                <c:pt idx="87">
                  <c:v>0.88100000000000001</c:v>
                </c:pt>
                <c:pt idx="88">
                  <c:v>0.88300000000000001</c:v>
                </c:pt>
                <c:pt idx="89">
                  <c:v>0.876</c:v>
                </c:pt>
                <c:pt idx="90">
                  <c:v>0.871</c:v>
                </c:pt>
                <c:pt idx="91">
                  <c:v>0.877</c:v>
                </c:pt>
                <c:pt idx="92">
                  <c:v>0.88500000000000001</c:v>
                </c:pt>
                <c:pt idx="93">
                  <c:v>0.89900000000000002</c:v>
                </c:pt>
                <c:pt idx="94">
                  <c:v>0.86299999999999999</c:v>
                </c:pt>
                <c:pt idx="95">
                  <c:v>0.874</c:v>
                </c:pt>
                <c:pt idx="96">
                  <c:v>0.84799999999999998</c:v>
                </c:pt>
                <c:pt idx="97">
                  <c:v>0.83399999999999996</c:v>
                </c:pt>
                <c:pt idx="98">
                  <c:v>0.81699999999999995</c:v>
                </c:pt>
                <c:pt idx="99">
                  <c:v>0.82099999999999995</c:v>
                </c:pt>
                <c:pt idx="100">
                  <c:v>0.79300000000000004</c:v>
                </c:pt>
                <c:pt idx="101">
                  <c:v>0.74399999999999999</c:v>
                </c:pt>
                <c:pt idx="102">
                  <c:v>0.68300000000000005</c:v>
                </c:pt>
                <c:pt idx="103">
                  <c:v>0.61299999999999999</c:v>
                </c:pt>
                <c:pt idx="104">
                  <c:v>0.53500000000000003</c:v>
                </c:pt>
                <c:pt idx="105">
                  <c:v>0.505</c:v>
                </c:pt>
                <c:pt idx="106">
                  <c:v>0.50800000000000001</c:v>
                </c:pt>
                <c:pt idx="107">
                  <c:v>0.54300000000000004</c:v>
                </c:pt>
                <c:pt idx="108">
                  <c:v>0.61099999999999999</c:v>
                </c:pt>
                <c:pt idx="109">
                  <c:v>0.65200000000000002</c:v>
                </c:pt>
                <c:pt idx="110">
                  <c:v>0.53600000000000003</c:v>
                </c:pt>
                <c:pt idx="111">
                  <c:v>0.64100000000000001</c:v>
                </c:pt>
                <c:pt idx="112">
                  <c:v>0.66900000000000004</c:v>
                </c:pt>
                <c:pt idx="113">
                  <c:v>0.53800000000000003</c:v>
                </c:pt>
                <c:pt idx="114">
                  <c:v>0.56100000000000005</c:v>
                </c:pt>
                <c:pt idx="115">
                  <c:v>0.47</c:v>
                </c:pt>
                <c:pt idx="116">
                  <c:v>0.62</c:v>
                </c:pt>
                <c:pt idx="117">
                  <c:v>0.66500000000000004</c:v>
                </c:pt>
                <c:pt idx="118">
                  <c:v>0.47699999999999998</c:v>
                </c:pt>
                <c:pt idx="119">
                  <c:v>0.54400000000000004</c:v>
                </c:pt>
                <c:pt idx="120">
                  <c:v>0.57099999999999995</c:v>
                </c:pt>
                <c:pt idx="121">
                  <c:v>0.53100000000000003</c:v>
                </c:pt>
                <c:pt idx="122">
                  <c:v>0.59399999999999997</c:v>
                </c:pt>
                <c:pt idx="123">
                  <c:v>0.48599999999999999</c:v>
                </c:pt>
                <c:pt idx="124">
                  <c:v>0.503</c:v>
                </c:pt>
                <c:pt idx="125">
                  <c:v>0.39800000000000002</c:v>
                </c:pt>
                <c:pt idx="126">
                  <c:v>0.5</c:v>
                </c:pt>
                <c:pt idx="127">
                  <c:v>0.46200000000000002</c:v>
                </c:pt>
                <c:pt idx="128">
                  <c:v>0.51600000000000001</c:v>
                </c:pt>
                <c:pt idx="129">
                  <c:v>0.49199999999999999</c:v>
                </c:pt>
                <c:pt idx="130">
                  <c:v>0.436</c:v>
                </c:pt>
                <c:pt idx="131">
                  <c:v>0.41199999999999998</c:v>
                </c:pt>
                <c:pt idx="132">
                  <c:v>0.51100000000000001</c:v>
                </c:pt>
                <c:pt idx="133">
                  <c:v>0.55100000000000005</c:v>
                </c:pt>
                <c:pt idx="134">
                  <c:v>0.59199999999999997</c:v>
                </c:pt>
                <c:pt idx="135">
                  <c:v>0.64800000000000002</c:v>
                </c:pt>
                <c:pt idx="136">
                  <c:v>0.67500000000000004</c:v>
                </c:pt>
                <c:pt idx="137">
                  <c:v>0.63100000000000001</c:v>
                </c:pt>
                <c:pt idx="138">
                  <c:v>0.58899999999999997</c:v>
                </c:pt>
                <c:pt idx="139">
                  <c:v>0.56799999999999995</c:v>
                </c:pt>
                <c:pt idx="140">
                  <c:v>0.51300000000000001</c:v>
                </c:pt>
                <c:pt idx="141">
                  <c:v>0.501</c:v>
                </c:pt>
                <c:pt idx="142">
                  <c:v>0.52400000000000002</c:v>
                </c:pt>
                <c:pt idx="143">
                  <c:v>0.57399999999999995</c:v>
                </c:pt>
                <c:pt idx="144">
                  <c:v>0.65400000000000003</c:v>
                </c:pt>
                <c:pt idx="145">
                  <c:v>0.746</c:v>
                </c:pt>
                <c:pt idx="146">
                  <c:v>0.69899999999999995</c:v>
                </c:pt>
                <c:pt idx="147">
                  <c:v>0.75600000000000001</c:v>
                </c:pt>
                <c:pt idx="148">
                  <c:v>0.88600000000000001</c:v>
                </c:pt>
                <c:pt idx="149">
                  <c:v>0.93</c:v>
                </c:pt>
                <c:pt idx="150">
                  <c:v>1.147</c:v>
                </c:pt>
                <c:pt idx="151">
                  <c:v>1.254</c:v>
                </c:pt>
                <c:pt idx="262">
                  <c:v>8.3699999999999992</c:v>
                </c:pt>
                <c:pt idx="263">
                  <c:v>8.2799999999999994</c:v>
                </c:pt>
                <c:pt idx="264">
                  <c:v>8.35</c:v>
                </c:pt>
                <c:pt idx="265">
                  <c:v>8.2100000000000009</c:v>
                </c:pt>
                <c:pt idx="266">
                  <c:v>8.17</c:v>
                </c:pt>
                <c:pt idx="267">
                  <c:v>7.85</c:v>
                </c:pt>
                <c:pt idx="268">
                  <c:v>7.56</c:v>
                </c:pt>
                <c:pt idx="269">
                  <c:v>7.34</c:v>
                </c:pt>
                <c:pt idx="270">
                  <c:v>7.34</c:v>
                </c:pt>
                <c:pt idx="271">
                  <c:v>6.9480000000000004</c:v>
                </c:pt>
                <c:pt idx="272">
                  <c:v>6.5679999999999996</c:v>
                </c:pt>
                <c:pt idx="273">
                  <c:v>6.827</c:v>
                </c:pt>
                <c:pt idx="274">
                  <c:v>6.81</c:v>
                </c:pt>
                <c:pt idx="275">
                  <c:v>6.7530000000000001</c:v>
                </c:pt>
                <c:pt idx="276">
                  <c:v>6.7320000000000002</c:v>
                </c:pt>
                <c:pt idx="277">
                  <c:v>6.6029999999999998</c:v>
                </c:pt>
                <c:pt idx="278">
                  <c:v>6.3470000000000004</c:v>
                </c:pt>
                <c:pt idx="279">
                  <c:v>6.3120000000000003</c:v>
                </c:pt>
                <c:pt idx="280">
                  <c:v>6.2009999999999996</c:v>
                </c:pt>
                <c:pt idx="281">
                  <c:v>5.7389999999999999</c:v>
                </c:pt>
                <c:pt idx="282">
                  <c:v>5.4669999999999996</c:v>
                </c:pt>
                <c:pt idx="283">
                  <c:v>5.3360000000000003</c:v>
                </c:pt>
                <c:pt idx="284">
                  <c:v>5.0250000000000004</c:v>
                </c:pt>
                <c:pt idx="285">
                  <c:v>5.3360000000000003</c:v>
                </c:pt>
                <c:pt idx="286">
                  <c:v>5.4660000000000002</c:v>
                </c:pt>
                <c:pt idx="287">
                  <c:v>5.0650000000000004</c:v>
                </c:pt>
                <c:pt idx="288">
                  <c:v>5.2510000000000003</c:v>
                </c:pt>
                <c:pt idx="289">
                  <c:v>5.0620000000000003</c:v>
                </c:pt>
                <c:pt idx="290">
                  <c:v>5.0579999999999998</c:v>
                </c:pt>
                <c:pt idx="291">
                  <c:v>5.0869999999999997</c:v>
                </c:pt>
                <c:pt idx="292">
                  <c:v>4.9059999999999997</c:v>
                </c:pt>
                <c:pt idx="293">
                  <c:v>4.7789999999999999</c:v>
                </c:pt>
                <c:pt idx="294">
                  <c:v>4.5970000000000004</c:v>
                </c:pt>
                <c:pt idx="295">
                  <c:v>4.6369999999999996</c:v>
                </c:pt>
                <c:pt idx="296">
                  <c:v>4.5629999999999997</c:v>
                </c:pt>
                <c:pt idx="297">
                  <c:v>4.5839999999999996</c:v>
                </c:pt>
                <c:pt idx="298">
                  <c:v>4.3719999999999999</c:v>
                </c:pt>
                <c:pt idx="299">
                  <c:v>4.3789999999999996</c:v>
                </c:pt>
                <c:pt idx="300">
                  <c:v>3.802</c:v>
                </c:pt>
                <c:pt idx="301">
                  <c:v>3.6829999999999998</c:v>
                </c:pt>
                <c:pt idx="302">
                  <c:v>3.714</c:v>
                </c:pt>
                <c:pt idx="303">
                  <c:v>3.6259999999999999</c:v>
                </c:pt>
                <c:pt idx="304">
                  <c:v>3.4</c:v>
                </c:pt>
                <c:pt idx="305">
                  <c:v>3.4910000000000001</c:v>
                </c:pt>
                <c:pt idx="306">
                  <c:v>3.5030000000000001</c:v>
                </c:pt>
                <c:pt idx="307">
                  <c:v>3.1349999999999998</c:v>
                </c:pt>
                <c:pt idx="308">
                  <c:v>2.972</c:v>
                </c:pt>
                <c:pt idx="309">
                  <c:v>2.883</c:v>
                </c:pt>
                <c:pt idx="310">
                  <c:v>3.26</c:v>
                </c:pt>
                <c:pt idx="311">
                  <c:v>2.5920000000000001</c:v>
                </c:pt>
                <c:pt idx="312">
                  <c:v>2.4830000000000001</c:v>
                </c:pt>
                <c:pt idx="313">
                  <c:v>2.552</c:v>
                </c:pt>
                <c:pt idx="314">
                  <c:v>2.64</c:v>
                </c:pt>
                <c:pt idx="315">
                  <c:v>2.3660000000000001</c:v>
                </c:pt>
                <c:pt idx="316">
                  <c:v>2.302</c:v>
                </c:pt>
                <c:pt idx="317">
                  <c:v>2.1800000000000002</c:v>
                </c:pt>
                <c:pt idx="318">
                  <c:v>2.2629999999999999</c:v>
                </c:pt>
                <c:pt idx="319">
                  <c:v>2.04</c:v>
                </c:pt>
                <c:pt idx="320">
                  <c:v>1.9950000000000001</c:v>
                </c:pt>
                <c:pt idx="321">
                  <c:v>2.0169999999999999</c:v>
                </c:pt>
                <c:pt idx="322">
                  <c:v>2.16</c:v>
                </c:pt>
                <c:pt idx="323">
                  <c:v>2.0099999999999998</c:v>
                </c:pt>
                <c:pt idx="324">
                  <c:v>2.093</c:v>
                </c:pt>
                <c:pt idx="325">
                  <c:v>2.1669999999999998</c:v>
                </c:pt>
                <c:pt idx="326">
                  <c:v>2.149</c:v>
                </c:pt>
                <c:pt idx="327">
                  <c:v>2.0470000000000002</c:v>
                </c:pt>
                <c:pt idx="328">
                  <c:v>1.897</c:v>
                </c:pt>
                <c:pt idx="329">
                  <c:v>1.772</c:v>
                </c:pt>
                <c:pt idx="330">
                  <c:v>1.9119999999999999</c:v>
                </c:pt>
                <c:pt idx="331">
                  <c:v>1.6830000000000001</c:v>
                </c:pt>
                <c:pt idx="332">
                  <c:v>1.863</c:v>
                </c:pt>
                <c:pt idx="333">
                  <c:v>1.6850000000000001</c:v>
                </c:pt>
                <c:pt idx="334">
                  <c:v>1.7130000000000001</c:v>
                </c:pt>
                <c:pt idx="335">
                  <c:v>1.7210000000000001</c:v>
                </c:pt>
                <c:pt idx="336">
                  <c:v>1.736</c:v>
                </c:pt>
                <c:pt idx="337">
                  <c:v>1.645</c:v>
                </c:pt>
                <c:pt idx="338">
                  <c:v>1.8819999999999999</c:v>
                </c:pt>
                <c:pt idx="339">
                  <c:v>1.8620000000000001</c:v>
                </c:pt>
                <c:pt idx="340">
                  <c:v>1.8979999999999999</c:v>
                </c:pt>
                <c:pt idx="341">
                  <c:v>1.7090000000000001</c:v>
                </c:pt>
                <c:pt idx="342">
                  <c:v>1.573</c:v>
                </c:pt>
                <c:pt idx="343">
                  <c:v>1.47</c:v>
                </c:pt>
                <c:pt idx="344">
                  <c:v>1.4650000000000001</c:v>
                </c:pt>
                <c:pt idx="345">
                  <c:v>1.512</c:v>
                </c:pt>
                <c:pt idx="346">
                  <c:v>1.536</c:v>
                </c:pt>
                <c:pt idx="347">
                  <c:v>1.4390000000000001</c:v>
                </c:pt>
                <c:pt idx="348">
                  <c:v>1.546</c:v>
                </c:pt>
                <c:pt idx="349">
                  <c:v>1.339</c:v>
                </c:pt>
                <c:pt idx="350">
                  <c:v>1.4259999999999999</c:v>
                </c:pt>
                <c:pt idx="351">
                  <c:v>1.349</c:v>
                </c:pt>
                <c:pt idx="352">
                  <c:v>1.381</c:v>
                </c:pt>
                <c:pt idx="353">
                  <c:v>1.2669999999999999</c:v>
                </c:pt>
                <c:pt idx="354">
                  <c:v>1.504</c:v>
                </c:pt>
                <c:pt idx="355">
                  <c:v>1.4219999999999999</c:v>
                </c:pt>
                <c:pt idx="356">
                  <c:v>1.224</c:v>
                </c:pt>
                <c:pt idx="357">
                  <c:v>1.306</c:v>
                </c:pt>
                <c:pt idx="358">
                  <c:v>1.1679999999999999</c:v>
                </c:pt>
                <c:pt idx="359">
                  <c:v>1.256</c:v>
                </c:pt>
                <c:pt idx="360">
                  <c:v>1.109</c:v>
                </c:pt>
                <c:pt idx="361">
                  <c:v>1.089</c:v>
                </c:pt>
                <c:pt idx="362">
                  <c:v>1.3360000000000001</c:v>
                </c:pt>
                <c:pt idx="363">
                  <c:v>1.119</c:v>
                </c:pt>
                <c:pt idx="364">
                  <c:v>1.2749999999999999</c:v>
                </c:pt>
                <c:pt idx="365">
                  <c:v>1.1759999999999999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Data!$AQ$7:$AQ$372</c:f>
              <c:numCache>
                <c:formatCode>General</c:formatCode>
                <c:ptCount val="366"/>
                <c:pt idx="61">
                  <c:v>0.872</c:v>
                </c:pt>
                <c:pt idx="62">
                  <c:v>0.79400000000000004</c:v>
                </c:pt>
                <c:pt idx="63">
                  <c:v>0.83399999999999996</c:v>
                </c:pt>
                <c:pt idx="64">
                  <c:v>0.69699999999999995</c:v>
                </c:pt>
                <c:pt idx="65">
                  <c:v>0.8</c:v>
                </c:pt>
                <c:pt idx="66">
                  <c:v>0.64900000000000002</c:v>
                </c:pt>
                <c:pt idx="67">
                  <c:v>0.71499999999999997</c:v>
                </c:pt>
                <c:pt idx="68">
                  <c:v>0.79700000000000004</c:v>
                </c:pt>
                <c:pt idx="69">
                  <c:v>0.74099999999999999</c:v>
                </c:pt>
                <c:pt idx="70">
                  <c:v>0.79800000000000004</c:v>
                </c:pt>
                <c:pt idx="71">
                  <c:v>0.73699999999999999</c:v>
                </c:pt>
                <c:pt idx="72">
                  <c:v>0.73699999999999999</c:v>
                </c:pt>
                <c:pt idx="73">
                  <c:v>0.82799999999999996</c:v>
                </c:pt>
                <c:pt idx="74">
                  <c:v>0.82599999999999996</c:v>
                </c:pt>
                <c:pt idx="75">
                  <c:v>0.75700000000000001</c:v>
                </c:pt>
                <c:pt idx="76">
                  <c:v>0.84599999999999997</c:v>
                </c:pt>
                <c:pt idx="77">
                  <c:v>0.84899999999999998</c:v>
                </c:pt>
                <c:pt idx="78">
                  <c:v>0.85</c:v>
                </c:pt>
                <c:pt idx="79">
                  <c:v>0.82599999999999996</c:v>
                </c:pt>
                <c:pt idx="80">
                  <c:v>0.81299999999999994</c:v>
                </c:pt>
                <c:pt idx="81">
                  <c:v>0.84199999999999997</c:v>
                </c:pt>
                <c:pt idx="82">
                  <c:v>0.85399999999999998</c:v>
                </c:pt>
                <c:pt idx="83">
                  <c:v>0.84599999999999997</c:v>
                </c:pt>
                <c:pt idx="84">
                  <c:v>0.84299999999999997</c:v>
                </c:pt>
                <c:pt idx="85">
                  <c:v>0.83399999999999996</c:v>
                </c:pt>
                <c:pt idx="86">
                  <c:v>0.83799999999999997</c:v>
                </c:pt>
                <c:pt idx="87">
                  <c:v>0.84499999999999997</c:v>
                </c:pt>
                <c:pt idx="88">
                  <c:v>0.84399999999999997</c:v>
                </c:pt>
                <c:pt idx="89">
                  <c:v>0.81499999999999995</c:v>
                </c:pt>
                <c:pt idx="90">
                  <c:v>0.80600000000000005</c:v>
                </c:pt>
                <c:pt idx="91">
                  <c:v>0.82699999999999996</c:v>
                </c:pt>
                <c:pt idx="92">
                  <c:v>0.83699999999999997</c:v>
                </c:pt>
                <c:pt idx="93">
                  <c:v>0.83499999999999996</c:v>
                </c:pt>
                <c:pt idx="94">
                  <c:v>0.83</c:v>
                </c:pt>
                <c:pt idx="95">
                  <c:v>0.81799999999999995</c:v>
                </c:pt>
                <c:pt idx="96">
                  <c:v>0.79400000000000004</c:v>
                </c:pt>
                <c:pt idx="97">
                  <c:v>0.78200000000000003</c:v>
                </c:pt>
                <c:pt idx="98">
                  <c:v>0.76600000000000001</c:v>
                </c:pt>
                <c:pt idx="99">
                  <c:v>0.73899999999999999</c:v>
                </c:pt>
                <c:pt idx="100">
                  <c:v>0.70299999999999996</c:v>
                </c:pt>
                <c:pt idx="101">
                  <c:v>0.64200000000000002</c:v>
                </c:pt>
                <c:pt idx="102">
                  <c:v>0.58699999999999997</c:v>
                </c:pt>
                <c:pt idx="103">
                  <c:v>0.51800000000000002</c:v>
                </c:pt>
                <c:pt idx="104">
                  <c:v>0.46600000000000003</c:v>
                </c:pt>
                <c:pt idx="105">
                  <c:v>0.434</c:v>
                </c:pt>
                <c:pt idx="106">
                  <c:v>0.39800000000000002</c:v>
                </c:pt>
                <c:pt idx="107">
                  <c:v>0.39800000000000002</c:v>
                </c:pt>
                <c:pt idx="108">
                  <c:v>0.32300000000000001</c:v>
                </c:pt>
                <c:pt idx="109">
                  <c:v>0.27</c:v>
                </c:pt>
                <c:pt idx="110">
                  <c:v>0.32700000000000001</c:v>
                </c:pt>
                <c:pt idx="111">
                  <c:v>0.26700000000000002</c:v>
                </c:pt>
                <c:pt idx="112">
                  <c:v>0.32</c:v>
                </c:pt>
                <c:pt idx="113">
                  <c:v>0.2</c:v>
                </c:pt>
                <c:pt idx="114">
                  <c:v>0.245</c:v>
                </c:pt>
                <c:pt idx="115">
                  <c:v>0.22</c:v>
                </c:pt>
                <c:pt idx="116">
                  <c:v>0.14099999999999999</c:v>
                </c:pt>
                <c:pt idx="117">
                  <c:v>0.28100000000000003</c:v>
                </c:pt>
                <c:pt idx="118">
                  <c:v>0.27600000000000002</c:v>
                </c:pt>
                <c:pt idx="119">
                  <c:v>0.158</c:v>
                </c:pt>
                <c:pt idx="120">
                  <c:v>0.307</c:v>
                </c:pt>
                <c:pt idx="121">
                  <c:v>0.30299999999999999</c:v>
                </c:pt>
                <c:pt idx="122">
                  <c:v>0.27300000000000002</c:v>
                </c:pt>
                <c:pt idx="123">
                  <c:v>0.26800000000000002</c:v>
                </c:pt>
                <c:pt idx="124">
                  <c:v>9.2999999999999999E-2</c:v>
                </c:pt>
                <c:pt idx="125">
                  <c:v>0.17499999999999999</c:v>
                </c:pt>
                <c:pt idx="126">
                  <c:v>0.104</c:v>
                </c:pt>
                <c:pt idx="127">
                  <c:v>2.1000000000000001E-2</c:v>
                </c:pt>
                <c:pt idx="128">
                  <c:v>3.9E-2</c:v>
                </c:pt>
                <c:pt idx="129">
                  <c:v>7.8E-2</c:v>
                </c:pt>
                <c:pt idx="130">
                  <c:v>0.217</c:v>
                </c:pt>
                <c:pt idx="131">
                  <c:v>0.218</c:v>
                </c:pt>
                <c:pt idx="132">
                  <c:v>0.21199999999999999</c:v>
                </c:pt>
                <c:pt idx="133">
                  <c:v>0.217</c:v>
                </c:pt>
                <c:pt idx="134">
                  <c:v>0.13400000000000001</c:v>
                </c:pt>
                <c:pt idx="135">
                  <c:v>0.251</c:v>
                </c:pt>
                <c:pt idx="136">
                  <c:v>0.14799999999999999</c:v>
                </c:pt>
                <c:pt idx="137">
                  <c:v>0.122</c:v>
                </c:pt>
                <c:pt idx="138">
                  <c:v>0.186</c:v>
                </c:pt>
                <c:pt idx="139">
                  <c:v>0.20699999999999999</c:v>
                </c:pt>
                <c:pt idx="140">
                  <c:v>0.16</c:v>
                </c:pt>
                <c:pt idx="141">
                  <c:v>0.28799999999999998</c:v>
                </c:pt>
                <c:pt idx="142">
                  <c:v>0.13200000000000001</c:v>
                </c:pt>
                <c:pt idx="143">
                  <c:v>0.16600000000000001</c:v>
                </c:pt>
                <c:pt idx="144">
                  <c:v>1.2E-2</c:v>
                </c:pt>
                <c:pt idx="145">
                  <c:v>0.108</c:v>
                </c:pt>
                <c:pt idx="146">
                  <c:v>0.29299999999999998</c:v>
                </c:pt>
                <c:pt idx="147">
                  <c:v>0.38400000000000001</c:v>
                </c:pt>
                <c:pt idx="148">
                  <c:v>0.4</c:v>
                </c:pt>
                <c:pt idx="149">
                  <c:v>0.60099999999999998</c:v>
                </c:pt>
                <c:pt idx="150">
                  <c:v>0.52100000000000002</c:v>
                </c:pt>
                <c:pt idx="151">
                  <c:v>0.64400000000000002</c:v>
                </c:pt>
                <c:pt idx="262">
                  <c:v>7.69</c:v>
                </c:pt>
                <c:pt idx="263">
                  <c:v>7.87</c:v>
                </c:pt>
                <c:pt idx="264">
                  <c:v>7.51</c:v>
                </c:pt>
                <c:pt idx="265">
                  <c:v>7.25</c:v>
                </c:pt>
                <c:pt idx="266">
                  <c:v>6.9</c:v>
                </c:pt>
                <c:pt idx="267">
                  <c:v>6.51</c:v>
                </c:pt>
                <c:pt idx="268">
                  <c:v>6.1689999999999996</c:v>
                </c:pt>
                <c:pt idx="269">
                  <c:v>5.9589999999999996</c:v>
                </c:pt>
                <c:pt idx="270">
                  <c:v>5.8070000000000004</c:v>
                </c:pt>
                <c:pt idx="271">
                  <c:v>5.9729999999999999</c:v>
                </c:pt>
                <c:pt idx="272">
                  <c:v>6.1980000000000004</c:v>
                </c:pt>
                <c:pt idx="273">
                  <c:v>5.9080000000000004</c:v>
                </c:pt>
                <c:pt idx="274">
                  <c:v>5.992</c:v>
                </c:pt>
                <c:pt idx="275">
                  <c:v>6.0529999999999999</c:v>
                </c:pt>
                <c:pt idx="276">
                  <c:v>5.8689999999999998</c:v>
                </c:pt>
                <c:pt idx="277">
                  <c:v>5.6630000000000003</c:v>
                </c:pt>
                <c:pt idx="278">
                  <c:v>5.2889999999999997</c:v>
                </c:pt>
                <c:pt idx="279">
                  <c:v>4.9450000000000003</c:v>
                </c:pt>
                <c:pt idx="280">
                  <c:v>4.5049999999999999</c:v>
                </c:pt>
                <c:pt idx="281">
                  <c:v>4.6550000000000002</c:v>
                </c:pt>
                <c:pt idx="282">
                  <c:v>4.6479999999999997</c:v>
                </c:pt>
                <c:pt idx="283">
                  <c:v>4.4480000000000004</c:v>
                </c:pt>
                <c:pt idx="284">
                  <c:v>4.7080000000000002</c:v>
                </c:pt>
                <c:pt idx="285">
                  <c:v>4.4029999999999996</c:v>
                </c:pt>
                <c:pt idx="286">
                  <c:v>4.4089999999999998</c:v>
                </c:pt>
                <c:pt idx="287">
                  <c:v>4.617</c:v>
                </c:pt>
                <c:pt idx="288">
                  <c:v>4.6429999999999998</c:v>
                </c:pt>
                <c:pt idx="289">
                  <c:v>4.6459999999999999</c:v>
                </c:pt>
                <c:pt idx="290">
                  <c:v>4.6150000000000002</c:v>
                </c:pt>
                <c:pt idx="291">
                  <c:v>4.28</c:v>
                </c:pt>
                <c:pt idx="292">
                  <c:v>4.2910000000000004</c:v>
                </c:pt>
                <c:pt idx="293">
                  <c:v>4.2949999999999999</c:v>
                </c:pt>
                <c:pt idx="294">
                  <c:v>3.9950000000000001</c:v>
                </c:pt>
                <c:pt idx="295">
                  <c:v>4.09</c:v>
                </c:pt>
                <c:pt idx="296">
                  <c:v>3.5579999999999998</c:v>
                </c:pt>
                <c:pt idx="297">
                  <c:v>3.5979999999999999</c:v>
                </c:pt>
                <c:pt idx="298">
                  <c:v>3.3029999999999999</c:v>
                </c:pt>
                <c:pt idx="299">
                  <c:v>3.3380000000000001</c:v>
                </c:pt>
                <c:pt idx="300">
                  <c:v>3.5379999999999998</c:v>
                </c:pt>
                <c:pt idx="301">
                  <c:v>3.327</c:v>
                </c:pt>
                <c:pt idx="302">
                  <c:v>3.3959999999999999</c:v>
                </c:pt>
                <c:pt idx="303">
                  <c:v>3.14</c:v>
                </c:pt>
                <c:pt idx="304">
                  <c:v>3.2109999999999999</c:v>
                </c:pt>
                <c:pt idx="305">
                  <c:v>2.8969999999999998</c:v>
                </c:pt>
                <c:pt idx="306">
                  <c:v>2.8279999999999998</c:v>
                </c:pt>
                <c:pt idx="307">
                  <c:v>2.8650000000000002</c:v>
                </c:pt>
                <c:pt idx="308">
                  <c:v>2.6619999999999999</c:v>
                </c:pt>
                <c:pt idx="309">
                  <c:v>2.3029999999999999</c:v>
                </c:pt>
                <c:pt idx="310">
                  <c:v>2.4329999999999998</c:v>
                </c:pt>
                <c:pt idx="311">
                  <c:v>2.29</c:v>
                </c:pt>
                <c:pt idx="312">
                  <c:v>2.2090000000000001</c:v>
                </c:pt>
                <c:pt idx="313">
                  <c:v>2.0920000000000001</c:v>
                </c:pt>
                <c:pt idx="314">
                  <c:v>2.1509999999999998</c:v>
                </c:pt>
                <c:pt idx="315">
                  <c:v>1.996</c:v>
                </c:pt>
                <c:pt idx="316">
                  <c:v>1.865</c:v>
                </c:pt>
                <c:pt idx="317">
                  <c:v>1.8080000000000001</c:v>
                </c:pt>
                <c:pt idx="318">
                  <c:v>1.92</c:v>
                </c:pt>
                <c:pt idx="319">
                  <c:v>1.9239999999999999</c:v>
                </c:pt>
                <c:pt idx="320">
                  <c:v>1.893</c:v>
                </c:pt>
                <c:pt idx="321">
                  <c:v>1.84</c:v>
                </c:pt>
                <c:pt idx="322">
                  <c:v>1.5309999999999999</c:v>
                </c:pt>
                <c:pt idx="323">
                  <c:v>1.528</c:v>
                </c:pt>
                <c:pt idx="324">
                  <c:v>1.4870000000000001</c:v>
                </c:pt>
                <c:pt idx="325">
                  <c:v>1.4630000000000001</c:v>
                </c:pt>
                <c:pt idx="326">
                  <c:v>1.2669999999999999</c:v>
                </c:pt>
                <c:pt idx="327">
                  <c:v>1.5129999999999999</c:v>
                </c:pt>
                <c:pt idx="328">
                  <c:v>1.623</c:v>
                </c:pt>
                <c:pt idx="329">
                  <c:v>1.575</c:v>
                </c:pt>
                <c:pt idx="330">
                  <c:v>1.4319999999999999</c:v>
                </c:pt>
                <c:pt idx="331">
                  <c:v>1.4470000000000001</c:v>
                </c:pt>
                <c:pt idx="332">
                  <c:v>0.98199999999999998</c:v>
                </c:pt>
                <c:pt idx="333">
                  <c:v>1.5369999999999999</c:v>
                </c:pt>
                <c:pt idx="334">
                  <c:v>1.355</c:v>
                </c:pt>
                <c:pt idx="335">
                  <c:v>1.3520000000000001</c:v>
                </c:pt>
                <c:pt idx="336">
                  <c:v>1.448</c:v>
                </c:pt>
                <c:pt idx="337">
                  <c:v>1.024</c:v>
                </c:pt>
                <c:pt idx="338">
                  <c:v>1.341</c:v>
                </c:pt>
                <c:pt idx="339">
                  <c:v>1.2030000000000001</c:v>
                </c:pt>
                <c:pt idx="340">
                  <c:v>0.95799999999999996</c:v>
                </c:pt>
                <c:pt idx="341">
                  <c:v>1.0269999999999999</c:v>
                </c:pt>
                <c:pt idx="342">
                  <c:v>1.2589999999999999</c:v>
                </c:pt>
                <c:pt idx="343">
                  <c:v>1.246</c:v>
                </c:pt>
                <c:pt idx="344">
                  <c:v>1.149</c:v>
                </c:pt>
                <c:pt idx="345">
                  <c:v>0.84599999999999997</c:v>
                </c:pt>
                <c:pt idx="346">
                  <c:v>0.90100000000000002</c:v>
                </c:pt>
                <c:pt idx="347">
                  <c:v>0.80600000000000005</c:v>
                </c:pt>
                <c:pt idx="348">
                  <c:v>0.84699999999999998</c:v>
                </c:pt>
                <c:pt idx="349">
                  <c:v>0.65400000000000003</c:v>
                </c:pt>
                <c:pt idx="350">
                  <c:v>1.0720000000000001</c:v>
                </c:pt>
                <c:pt idx="351">
                  <c:v>0.94599999999999995</c:v>
                </c:pt>
                <c:pt idx="352">
                  <c:v>1.0720000000000001</c:v>
                </c:pt>
                <c:pt idx="353">
                  <c:v>0.93600000000000005</c:v>
                </c:pt>
                <c:pt idx="354">
                  <c:v>0.78800000000000003</c:v>
                </c:pt>
                <c:pt idx="355">
                  <c:v>0.83699999999999997</c:v>
                </c:pt>
                <c:pt idx="356">
                  <c:v>1.0149999999999999</c:v>
                </c:pt>
                <c:pt idx="357">
                  <c:v>0.96499999999999997</c:v>
                </c:pt>
                <c:pt idx="358">
                  <c:v>0.79100000000000004</c:v>
                </c:pt>
                <c:pt idx="359">
                  <c:v>0.79800000000000004</c:v>
                </c:pt>
                <c:pt idx="360">
                  <c:v>0.98</c:v>
                </c:pt>
                <c:pt idx="361">
                  <c:v>0.627</c:v>
                </c:pt>
                <c:pt idx="362">
                  <c:v>0.83499999999999996</c:v>
                </c:pt>
                <c:pt idx="363">
                  <c:v>0.78500000000000003</c:v>
                </c:pt>
                <c:pt idx="364">
                  <c:v>0.58199999999999996</c:v>
                </c:pt>
                <c:pt idx="365">
                  <c:v>0.83499999999999996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01184"/>
        <c:axId val="236703104"/>
      </c:lineChart>
      <c:catAx>
        <c:axId val="23670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03104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3670310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0118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Data!$P$7:$P$372</c:f>
              <c:numCache>
                <c:formatCode>General</c:formatCode>
                <c:ptCount val="366"/>
                <c:pt idx="61" formatCode="0.0">
                  <c:v>1.1246666666666667</c:v>
                </c:pt>
                <c:pt idx="62" formatCode="0.0">
                  <c:v>1.4796666666666667</c:v>
                </c:pt>
                <c:pt idx="63" formatCode="0.0">
                  <c:v>1.2806666666666666</c:v>
                </c:pt>
                <c:pt idx="64" formatCode="0.0">
                  <c:v>1.1933333333333334</c:v>
                </c:pt>
                <c:pt idx="65" formatCode="0.0">
                  <c:v>1.3643333333333332</c:v>
                </c:pt>
                <c:pt idx="66" formatCode="0.0">
                  <c:v>1.593</c:v>
                </c:pt>
                <c:pt idx="67" formatCode="0.0">
                  <c:v>1.5543333333333333</c:v>
                </c:pt>
                <c:pt idx="68" formatCode="0.0">
                  <c:v>1.3613333333333333</c:v>
                </c:pt>
                <c:pt idx="69" formatCode="0.0">
                  <c:v>1.4576666666666667</c:v>
                </c:pt>
                <c:pt idx="70" formatCode="0.0">
                  <c:v>2.460666666666667</c:v>
                </c:pt>
                <c:pt idx="71" formatCode="0.0">
                  <c:v>1.4673333333333334</c:v>
                </c:pt>
                <c:pt idx="72" formatCode="0.0">
                  <c:v>1.413</c:v>
                </c:pt>
                <c:pt idx="73" formatCode="0.0">
                  <c:v>2.6413333333333333</c:v>
                </c:pt>
                <c:pt idx="74" formatCode="0.0">
                  <c:v>1.5793333333333333</c:v>
                </c:pt>
                <c:pt idx="75" formatCode="0.0">
                  <c:v>2.5939999999999999</c:v>
                </c:pt>
                <c:pt idx="76" formatCode="0.0">
                  <c:v>2.3513333333333333</c:v>
                </c:pt>
                <c:pt idx="77" formatCode="0.0">
                  <c:v>2.4283333333333332</c:v>
                </c:pt>
                <c:pt idx="78" formatCode="0.0">
                  <c:v>2.654666666666667</c:v>
                </c:pt>
                <c:pt idx="79" formatCode="0.0">
                  <c:v>1.5449999999999999</c:v>
                </c:pt>
                <c:pt idx="80" formatCode="0.0">
                  <c:v>2.1536666666666666</c:v>
                </c:pt>
                <c:pt idx="81" formatCode="0.0">
                  <c:v>2.0236666666666663</c:v>
                </c:pt>
                <c:pt idx="82" formatCode="0.0">
                  <c:v>2.0326666666666666</c:v>
                </c:pt>
                <c:pt idx="83" formatCode="0.0">
                  <c:v>1.3546666666666667</c:v>
                </c:pt>
                <c:pt idx="84" formatCode="0.0">
                  <c:v>2.0539999999999998</c:v>
                </c:pt>
                <c:pt idx="85" formatCode="0.0">
                  <c:v>1.7910000000000001</c:v>
                </c:pt>
                <c:pt idx="86" formatCode="0.0">
                  <c:v>1.5666666666666667</c:v>
                </c:pt>
                <c:pt idx="87" formatCode="0.0">
                  <c:v>1.5996666666666666</c:v>
                </c:pt>
                <c:pt idx="88" formatCode="0.0">
                  <c:v>1.8446666666666667</c:v>
                </c:pt>
                <c:pt idx="89" formatCode="0.0">
                  <c:v>2.0226666666666668</c:v>
                </c:pt>
                <c:pt idx="90" formatCode="0.0">
                  <c:v>1.7080000000000002</c:v>
                </c:pt>
                <c:pt idx="91" formatCode="0.0">
                  <c:v>2.4026666666666667</c:v>
                </c:pt>
                <c:pt idx="92" formatCode="0.0">
                  <c:v>1.7886666666666668</c:v>
                </c:pt>
                <c:pt idx="93" formatCode="0.0">
                  <c:v>1.9133333333333333</c:v>
                </c:pt>
                <c:pt idx="94" formatCode="0.0">
                  <c:v>3.2946666666666671</c:v>
                </c:pt>
                <c:pt idx="95" formatCode="0.0">
                  <c:v>2.9413333333333331</c:v>
                </c:pt>
                <c:pt idx="96" formatCode="0.0">
                  <c:v>1.8636666666666668</c:v>
                </c:pt>
                <c:pt idx="97" formatCode="0.0">
                  <c:v>1.5669999999999999</c:v>
                </c:pt>
                <c:pt idx="98" formatCode="0.0">
                  <c:v>1.7646666666666668</c:v>
                </c:pt>
                <c:pt idx="99" formatCode="0.0">
                  <c:v>2.5830000000000002</c:v>
                </c:pt>
                <c:pt idx="100" formatCode="0.0">
                  <c:v>1.9663333333333333</c:v>
                </c:pt>
                <c:pt idx="101" formatCode="0.0">
                  <c:v>1.7343333333333335</c:v>
                </c:pt>
                <c:pt idx="102" formatCode="0.0">
                  <c:v>1.7310000000000001</c:v>
                </c:pt>
                <c:pt idx="103" formatCode="0.0">
                  <c:v>1.4359999999999999</c:v>
                </c:pt>
                <c:pt idx="104" formatCode="0.0">
                  <c:v>1.3333333333333333</c:v>
                </c:pt>
                <c:pt idx="105" formatCode="0.0">
                  <c:v>1.2146666666666666</c:v>
                </c:pt>
                <c:pt idx="106" formatCode="0.0">
                  <c:v>1.4890000000000001</c:v>
                </c:pt>
                <c:pt idx="107" formatCode="0.0">
                  <c:v>1.6260000000000001</c:v>
                </c:pt>
                <c:pt idx="108" formatCode="0.0">
                  <c:v>2.1040000000000001</c:v>
                </c:pt>
                <c:pt idx="109" formatCode="0.0">
                  <c:v>1.8393333333333333</c:v>
                </c:pt>
                <c:pt idx="110" formatCode="0.0">
                  <c:v>1.7393333333333334</c:v>
                </c:pt>
                <c:pt idx="111" formatCode="0.0">
                  <c:v>2.019333333333333</c:v>
                </c:pt>
                <c:pt idx="112" formatCode="0.0">
                  <c:v>2.7613333333333334</c:v>
                </c:pt>
                <c:pt idx="113" formatCode="0.0">
                  <c:v>1.8070000000000002</c:v>
                </c:pt>
                <c:pt idx="114" formatCode="0.0">
                  <c:v>2.0676666666666668</c:v>
                </c:pt>
                <c:pt idx="115" formatCode="0.0">
                  <c:v>1.5716666666666668</c:v>
                </c:pt>
                <c:pt idx="116" formatCode="0.0">
                  <c:v>1.8029999999999999</c:v>
                </c:pt>
                <c:pt idx="117" formatCode="0.0">
                  <c:v>2.3446666666666665</c:v>
                </c:pt>
                <c:pt idx="118" formatCode="0.0">
                  <c:v>2.1883333333333335</c:v>
                </c:pt>
                <c:pt idx="119" formatCode="0.0">
                  <c:v>1.5286666666666668</c:v>
                </c:pt>
                <c:pt idx="120" formatCode="0.0">
                  <c:v>1.6736666666666666</c:v>
                </c:pt>
                <c:pt idx="121" formatCode="0.0">
                  <c:v>1.641</c:v>
                </c:pt>
                <c:pt idx="122" formatCode="0.0">
                  <c:v>1.8936666666666666</c:v>
                </c:pt>
                <c:pt idx="123" formatCode="0.0">
                  <c:v>1.7653333333333334</c:v>
                </c:pt>
                <c:pt idx="124" formatCode="0.0">
                  <c:v>1.5469999999999999</c:v>
                </c:pt>
                <c:pt idx="125" formatCode="0.0">
                  <c:v>1.2486666666666666</c:v>
                </c:pt>
                <c:pt idx="126" formatCode="0.0">
                  <c:v>1.4216666666666666</c:v>
                </c:pt>
                <c:pt idx="127" formatCode="0.0">
                  <c:v>1.7470000000000001</c:v>
                </c:pt>
                <c:pt idx="128" formatCode="0.0">
                  <c:v>1.65</c:v>
                </c:pt>
                <c:pt idx="129" formatCode="0.0">
                  <c:v>1.349</c:v>
                </c:pt>
                <c:pt idx="130" formatCode="0.0">
                  <c:v>1.7176666666666669</c:v>
                </c:pt>
                <c:pt idx="131" formatCode="0.0">
                  <c:v>1.0753333333333333</c:v>
                </c:pt>
                <c:pt idx="132" formatCode="0.0">
                  <c:v>1.319</c:v>
                </c:pt>
                <c:pt idx="133" formatCode="0.0">
                  <c:v>1.6933333333333334</c:v>
                </c:pt>
                <c:pt idx="134" formatCode="0.0">
                  <c:v>1.7303333333333333</c:v>
                </c:pt>
                <c:pt idx="135" formatCode="0.0">
                  <c:v>1.6156666666666666</c:v>
                </c:pt>
                <c:pt idx="136" formatCode="0.0">
                  <c:v>1.5396666666666667</c:v>
                </c:pt>
                <c:pt idx="137" formatCode="0.0">
                  <c:v>1.861</c:v>
                </c:pt>
                <c:pt idx="138" formatCode="0.0">
                  <c:v>1.6106666666666667</c:v>
                </c:pt>
                <c:pt idx="139" formatCode="0.0">
                  <c:v>1.6036666666666666</c:v>
                </c:pt>
                <c:pt idx="140" formatCode="0.0">
                  <c:v>1.7073333333333334</c:v>
                </c:pt>
                <c:pt idx="141" formatCode="0.0">
                  <c:v>3.0246666666666666</c:v>
                </c:pt>
                <c:pt idx="142" formatCode="0.0">
                  <c:v>1.9126666666666667</c:v>
                </c:pt>
                <c:pt idx="143" formatCode="0.0">
                  <c:v>2.5653333333333332</c:v>
                </c:pt>
                <c:pt idx="144" formatCode="0.0">
                  <c:v>2.1153333333333331</c:v>
                </c:pt>
                <c:pt idx="145" formatCode="0.0">
                  <c:v>2.0523333333333333</c:v>
                </c:pt>
                <c:pt idx="146" formatCode="0.0">
                  <c:v>1.6423333333333334</c:v>
                </c:pt>
                <c:pt idx="147" formatCode="0.0">
                  <c:v>1.7723333333333333</c:v>
                </c:pt>
                <c:pt idx="148" formatCode="0.0">
                  <c:v>1.7123333333333335</c:v>
                </c:pt>
                <c:pt idx="149" formatCode="0.0">
                  <c:v>1.2546666666666666</c:v>
                </c:pt>
                <c:pt idx="150" formatCode="0.0">
                  <c:v>2.1716666666666669</c:v>
                </c:pt>
                <c:pt idx="151" formatCode="0.0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Data!$AD$7:$AD$372</c:f>
              <c:numCache>
                <c:formatCode>General</c:formatCode>
                <c:ptCount val="366"/>
                <c:pt idx="61" formatCode="0.0">
                  <c:v>3.8880000000000003</c:v>
                </c:pt>
                <c:pt idx="62" formatCode="0.0">
                  <c:v>5.4080000000000004</c:v>
                </c:pt>
                <c:pt idx="63" formatCode="0.0">
                  <c:v>3.4613333333333336</c:v>
                </c:pt>
                <c:pt idx="64" formatCode="0.0">
                  <c:v>3.3013333333333335</c:v>
                </c:pt>
                <c:pt idx="65" formatCode="0.0">
                  <c:v>3.3813333333333335</c:v>
                </c:pt>
                <c:pt idx="66" formatCode="0.0">
                  <c:v>4.3413333333333339</c:v>
                </c:pt>
                <c:pt idx="67" formatCode="0.0">
                  <c:v>5.2746666666666666</c:v>
                </c:pt>
                <c:pt idx="68" formatCode="0.0">
                  <c:v>4.1013333333333337</c:v>
                </c:pt>
                <c:pt idx="69" formatCode="0.0">
                  <c:v>5.3280000000000003</c:v>
                </c:pt>
                <c:pt idx="70" formatCode="0.0">
                  <c:v>7.088000000000001</c:v>
                </c:pt>
                <c:pt idx="71" formatCode="0.0">
                  <c:v>4.2080000000000002</c:v>
                </c:pt>
                <c:pt idx="72" formatCode="0.0">
                  <c:v>4.5546666666666669</c:v>
                </c:pt>
                <c:pt idx="73" formatCode="0.0">
                  <c:v>7.5679999999999996</c:v>
                </c:pt>
                <c:pt idx="74" formatCode="0.0">
                  <c:v>3.7013333333333338</c:v>
                </c:pt>
                <c:pt idx="75" formatCode="0.0">
                  <c:v>6.9546666666666663</c:v>
                </c:pt>
                <c:pt idx="76" formatCode="0.0">
                  <c:v>6.0213333333333345</c:v>
                </c:pt>
                <c:pt idx="77" formatCode="0.0">
                  <c:v>8.4746666666666659</c:v>
                </c:pt>
                <c:pt idx="78" formatCode="0.0">
                  <c:v>6.9013333333333335</c:v>
                </c:pt>
                <c:pt idx="79" formatCode="0.0">
                  <c:v>4.714666666666667</c:v>
                </c:pt>
                <c:pt idx="80" formatCode="0.0">
                  <c:v>6.2346666666666666</c:v>
                </c:pt>
                <c:pt idx="81" formatCode="0.0">
                  <c:v>6.8479999999999999</c:v>
                </c:pt>
                <c:pt idx="82" formatCode="0.0">
                  <c:v>4.9813333333333336</c:v>
                </c:pt>
                <c:pt idx="83" formatCode="0.0">
                  <c:v>6.3946666666666667</c:v>
                </c:pt>
                <c:pt idx="84" formatCode="0.0">
                  <c:v>5.2213333333333338</c:v>
                </c:pt>
                <c:pt idx="85" formatCode="0.0">
                  <c:v>5.1146666666666665</c:v>
                </c:pt>
                <c:pt idx="86" formatCode="0.0">
                  <c:v>6.3680000000000003</c:v>
                </c:pt>
                <c:pt idx="87" formatCode="0.0">
                  <c:v>4.4480000000000004</c:v>
                </c:pt>
                <c:pt idx="88" formatCode="0.0">
                  <c:v>5.2480000000000002</c:v>
                </c:pt>
                <c:pt idx="89" formatCode="0.0">
                  <c:v>5.1146666666666665</c:v>
                </c:pt>
                <c:pt idx="90" formatCode="0.0">
                  <c:v>4.7680000000000007</c:v>
                </c:pt>
                <c:pt idx="91" formatCode="0.0">
                  <c:v>7.6480000000000006</c:v>
                </c:pt>
                <c:pt idx="92" formatCode="0.0">
                  <c:v>5.2480000000000002</c:v>
                </c:pt>
                <c:pt idx="93" formatCode="0.0">
                  <c:v>7.381333333333334</c:v>
                </c:pt>
                <c:pt idx="94" formatCode="0.0">
                  <c:v>8.8746666666666663</c:v>
                </c:pt>
                <c:pt idx="95" formatCode="0.0">
                  <c:v>7.1946666666666674</c:v>
                </c:pt>
                <c:pt idx="96" formatCode="0.0">
                  <c:v>5.9680000000000009</c:v>
                </c:pt>
                <c:pt idx="97" formatCode="0.0">
                  <c:v>5.381333333333334</c:v>
                </c:pt>
                <c:pt idx="98" formatCode="0.0">
                  <c:v>4.7413333333333334</c:v>
                </c:pt>
                <c:pt idx="99" formatCode="0.0">
                  <c:v>7.674666666666667</c:v>
                </c:pt>
                <c:pt idx="100" formatCode="0.0">
                  <c:v>5.1946666666666665</c:v>
                </c:pt>
                <c:pt idx="101" formatCode="0.0">
                  <c:v>5.0880000000000001</c:v>
                </c:pt>
                <c:pt idx="102" formatCode="0.0">
                  <c:v>4.9013333333333335</c:v>
                </c:pt>
                <c:pt idx="103" formatCode="0.0">
                  <c:v>3.7813333333333334</c:v>
                </c:pt>
                <c:pt idx="104" formatCode="0.0">
                  <c:v>4.1013333333333337</c:v>
                </c:pt>
                <c:pt idx="105" formatCode="0.0">
                  <c:v>3.4880000000000004</c:v>
                </c:pt>
                <c:pt idx="106" formatCode="0.0">
                  <c:v>4.6080000000000005</c:v>
                </c:pt>
                <c:pt idx="107" formatCode="0.0">
                  <c:v>4.3946666666666667</c:v>
                </c:pt>
                <c:pt idx="108" formatCode="0.0">
                  <c:v>5.2480000000000002</c:v>
                </c:pt>
                <c:pt idx="109" formatCode="0.0">
                  <c:v>4.6080000000000005</c:v>
                </c:pt>
                <c:pt idx="110" formatCode="0.0">
                  <c:v>4.9280000000000008</c:v>
                </c:pt>
                <c:pt idx="111" formatCode="0.0">
                  <c:v>7.1946666666666674</c:v>
                </c:pt>
                <c:pt idx="112" formatCode="0.0">
                  <c:v>7.7013333333333343</c:v>
                </c:pt>
                <c:pt idx="113" formatCode="0.0">
                  <c:v>7.008</c:v>
                </c:pt>
                <c:pt idx="114" formatCode="0.0">
                  <c:v>4.7680000000000007</c:v>
                </c:pt>
                <c:pt idx="115" formatCode="0.0">
                  <c:v>5.8080000000000007</c:v>
                </c:pt>
                <c:pt idx="116" formatCode="0.0">
                  <c:v>6.2346666666666666</c:v>
                </c:pt>
                <c:pt idx="117" formatCode="0.0">
                  <c:v>7.1946666666666674</c:v>
                </c:pt>
                <c:pt idx="118" formatCode="0.0">
                  <c:v>7.2213333333333338</c:v>
                </c:pt>
                <c:pt idx="119" formatCode="0.0">
                  <c:v>7.008</c:v>
                </c:pt>
                <c:pt idx="120" formatCode="0.0">
                  <c:v>5.8613333333333344</c:v>
                </c:pt>
                <c:pt idx="121" formatCode="0.0">
                  <c:v>4.6613333333333333</c:v>
                </c:pt>
                <c:pt idx="122" formatCode="0.0">
                  <c:v>5.6213333333333342</c:v>
                </c:pt>
                <c:pt idx="123" formatCode="0.0">
                  <c:v>6.8213333333333335</c:v>
                </c:pt>
                <c:pt idx="124" formatCode="0.0">
                  <c:v>5.3013333333333339</c:v>
                </c:pt>
                <c:pt idx="125" formatCode="0.0">
                  <c:v>4.6346666666666669</c:v>
                </c:pt>
                <c:pt idx="126" formatCode="0.0">
                  <c:v>4.3146666666666667</c:v>
                </c:pt>
                <c:pt idx="127" formatCode="0.0">
                  <c:v>3.9946666666666668</c:v>
                </c:pt>
                <c:pt idx="128" formatCode="0.0">
                  <c:v>4.6346666666666669</c:v>
                </c:pt>
                <c:pt idx="129" formatCode="0.0">
                  <c:v>5.9680000000000009</c:v>
                </c:pt>
                <c:pt idx="130" formatCode="0.0">
                  <c:v>4.5546666666666669</c:v>
                </c:pt>
                <c:pt idx="131" formatCode="0.0">
                  <c:v>4.2613333333333339</c:v>
                </c:pt>
                <c:pt idx="132" formatCode="0.0">
                  <c:v>4.2880000000000003</c:v>
                </c:pt>
                <c:pt idx="133" formatCode="0.0">
                  <c:v>4.6613333333333333</c:v>
                </c:pt>
                <c:pt idx="134" formatCode="0.0">
                  <c:v>6.048</c:v>
                </c:pt>
                <c:pt idx="135" formatCode="0.0">
                  <c:v>4.0746666666666664</c:v>
                </c:pt>
                <c:pt idx="136" formatCode="0.0">
                  <c:v>3.6213333333333337</c:v>
                </c:pt>
                <c:pt idx="137" formatCode="0.0">
                  <c:v>5.2213333333333338</c:v>
                </c:pt>
                <c:pt idx="138" formatCode="0.0">
                  <c:v>4.7680000000000007</c:v>
                </c:pt>
                <c:pt idx="139" formatCode="0.0">
                  <c:v>4.9280000000000008</c:v>
                </c:pt>
                <c:pt idx="140" formatCode="0.0">
                  <c:v>5.2480000000000002</c:v>
                </c:pt>
                <c:pt idx="141" formatCode="0.0">
                  <c:v>8.1280000000000001</c:v>
                </c:pt>
                <c:pt idx="142" formatCode="0.0">
                  <c:v>5.9946666666666673</c:v>
                </c:pt>
                <c:pt idx="143" formatCode="0.0">
                  <c:v>7.4613333333333332</c:v>
                </c:pt>
                <c:pt idx="144" formatCode="0.0">
                  <c:v>6.1280000000000001</c:v>
                </c:pt>
                <c:pt idx="145" formatCode="0.0">
                  <c:v>5.8346666666666671</c:v>
                </c:pt>
                <c:pt idx="146" formatCode="0.0">
                  <c:v>6.1013333333333337</c:v>
                </c:pt>
                <c:pt idx="147" formatCode="0.0">
                  <c:v>8.1280000000000001</c:v>
                </c:pt>
                <c:pt idx="148" formatCode="0.0">
                  <c:v>6.1813333333333329</c:v>
                </c:pt>
                <c:pt idx="149" formatCode="0.0">
                  <c:v>3.7546666666666666</c:v>
                </c:pt>
                <c:pt idx="150" formatCode="0.0">
                  <c:v>5.6213333333333342</c:v>
                </c:pt>
                <c:pt idx="151" formatCode="0.0">
                  <c:v>5.0080000000000009</c:v>
                </c:pt>
                <c:pt idx="262">
                  <c:v>4.7960000000000003</c:v>
                </c:pt>
                <c:pt idx="263">
                  <c:v>4.7690000000000001</c:v>
                </c:pt>
                <c:pt idx="264">
                  <c:v>5.3949999999999996</c:v>
                </c:pt>
                <c:pt idx="265">
                  <c:v>4.5970000000000004</c:v>
                </c:pt>
                <c:pt idx="266">
                  <c:v>3.5590000000000002</c:v>
                </c:pt>
                <c:pt idx="267">
                  <c:v>3.7450000000000001</c:v>
                </c:pt>
                <c:pt idx="268">
                  <c:v>3.6389999999999998</c:v>
                </c:pt>
                <c:pt idx="269">
                  <c:v>4.4640000000000004</c:v>
                </c:pt>
                <c:pt idx="270">
                  <c:v>4.9560000000000004</c:v>
                </c:pt>
                <c:pt idx="271">
                  <c:v>6.0730000000000004</c:v>
                </c:pt>
                <c:pt idx="272">
                  <c:v>5.4740000000000002</c:v>
                </c:pt>
                <c:pt idx="273">
                  <c:v>9.1199999999999992</c:v>
                </c:pt>
                <c:pt idx="274">
                  <c:v>4.9020000000000001</c:v>
                </c:pt>
                <c:pt idx="275">
                  <c:v>4.4240000000000004</c:v>
                </c:pt>
                <c:pt idx="276">
                  <c:v>4.4240000000000004</c:v>
                </c:pt>
                <c:pt idx="277">
                  <c:v>4.7300000000000004</c:v>
                </c:pt>
                <c:pt idx="278">
                  <c:v>4.0380000000000003</c:v>
                </c:pt>
                <c:pt idx="279">
                  <c:v>3.9580000000000002</c:v>
                </c:pt>
                <c:pt idx="280">
                  <c:v>4.5970000000000004</c:v>
                </c:pt>
                <c:pt idx="281">
                  <c:v>3.7719999999999998</c:v>
                </c:pt>
                <c:pt idx="282">
                  <c:v>4.2510000000000003</c:v>
                </c:pt>
                <c:pt idx="283">
                  <c:v>4.3570000000000002</c:v>
                </c:pt>
                <c:pt idx="284">
                  <c:v>3.0009999999999999</c:v>
                </c:pt>
                <c:pt idx="285">
                  <c:v>3.2269999999999999</c:v>
                </c:pt>
                <c:pt idx="286">
                  <c:v>4.37</c:v>
                </c:pt>
                <c:pt idx="287">
                  <c:v>3.5990000000000002</c:v>
                </c:pt>
                <c:pt idx="288">
                  <c:v>4.41</c:v>
                </c:pt>
                <c:pt idx="289">
                  <c:v>3.1469999999999998</c:v>
                </c:pt>
                <c:pt idx="290">
                  <c:v>5.4740000000000002</c:v>
                </c:pt>
                <c:pt idx="291">
                  <c:v>6.7110000000000003</c:v>
                </c:pt>
                <c:pt idx="292">
                  <c:v>4.6360000000000001</c:v>
                </c:pt>
                <c:pt idx="293">
                  <c:v>6.2320000000000002</c:v>
                </c:pt>
                <c:pt idx="294">
                  <c:v>5.6740000000000004</c:v>
                </c:pt>
                <c:pt idx="295">
                  <c:v>3.2</c:v>
                </c:pt>
                <c:pt idx="296">
                  <c:v>3.3460000000000001</c:v>
                </c:pt>
                <c:pt idx="297">
                  <c:v>3.7450000000000001</c:v>
                </c:pt>
                <c:pt idx="298">
                  <c:v>3.1469999999999998</c:v>
                </c:pt>
                <c:pt idx="299">
                  <c:v>4.0910000000000002</c:v>
                </c:pt>
                <c:pt idx="300">
                  <c:v>4.9690000000000003</c:v>
                </c:pt>
                <c:pt idx="301">
                  <c:v>4.7030000000000003</c:v>
                </c:pt>
                <c:pt idx="302">
                  <c:v>2.375</c:v>
                </c:pt>
                <c:pt idx="303">
                  <c:v>2.3490000000000002</c:v>
                </c:pt>
                <c:pt idx="304">
                  <c:v>3.9319999999999999</c:v>
                </c:pt>
                <c:pt idx="305">
                  <c:v>2.8540000000000001</c:v>
                </c:pt>
                <c:pt idx="306">
                  <c:v>2.9740000000000002</c:v>
                </c:pt>
                <c:pt idx="307">
                  <c:v>4.0510000000000002</c:v>
                </c:pt>
                <c:pt idx="308">
                  <c:v>4.0910000000000002</c:v>
                </c:pt>
                <c:pt idx="309">
                  <c:v>3.3730000000000002</c:v>
                </c:pt>
                <c:pt idx="310">
                  <c:v>2.8679999999999999</c:v>
                </c:pt>
                <c:pt idx="311">
                  <c:v>2.8809999999999998</c:v>
                </c:pt>
                <c:pt idx="312">
                  <c:v>3.0539999999999998</c:v>
                </c:pt>
                <c:pt idx="313">
                  <c:v>3.8119999999999998</c:v>
                </c:pt>
                <c:pt idx="314">
                  <c:v>2.8809999999999998</c:v>
                </c:pt>
                <c:pt idx="315">
                  <c:v>2.7480000000000002</c:v>
                </c:pt>
                <c:pt idx="316">
                  <c:v>2.548</c:v>
                </c:pt>
                <c:pt idx="317">
                  <c:v>3.4529999999999998</c:v>
                </c:pt>
                <c:pt idx="318">
                  <c:v>2.7349999999999999</c:v>
                </c:pt>
                <c:pt idx="319">
                  <c:v>1.83</c:v>
                </c:pt>
                <c:pt idx="320">
                  <c:v>2.3490000000000002</c:v>
                </c:pt>
                <c:pt idx="321">
                  <c:v>2.4820000000000002</c:v>
                </c:pt>
                <c:pt idx="322">
                  <c:v>2.7610000000000001</c:v>
                </c:pt>
                <c:pt idx="323">
                  <c:v>2.2290000000000001</c:v>
                </c:pt>
                <c:pt idx="324">
                  <c:v>2.9209999999999998</c:v>
                </c:pt>
                <c:pt idx="325">
                  <c:v>2.7480000000000002</c:v>
                </c:pt>
                <c:pt idx="326">
                  <c:v>3.2269999999999999</c:v>
                </c:pt>
                <c:pt idx="327">
                  <c:v>3.6659999999999999</c:v>
                </c:pt>
                <c:pt idx="328">
                  <c:v>3.5459999999999998</c:v>
                </c:pt>
                <c:pt idx="329">
                  <c:v>3.7719999999999998</c:v>
                </c:pt>
                <c:pt idx="330">
                  <c:v>3.8380000000000001</c:v>
                </c:pt>
                <c:pt idx="331">
                  <c:v>4.6500000000000004</c:v>
                </c:pt>
                <c:pt idx="332">
                  <c:v>3.24</c:v>
                </c:pt>
                <c:pt idx="333">
                  <c:v>4.9690000000000003</c:v>
                </c:pt>
                <c:pt idx="334">
                  <c:v>3.2130000000000001</c:v>
                </c:pt>
                <c:pt idx="335">
                  <c:v>4.7830000000000004</c:v>
                </c:pt>
                <c:pt idx="336">
                  <c:v>5.9269999999999996</c:v>
                </c:pt>
                <c:pt idx="337">
                  <c:v>2.8279999999999998</c:v>
                </c:pt>
                <c:pt idx="338">
                  <c:v>2.6019999999999999</c:v>
                </c:pt>
                <c:pt idx="339">
                  <c:v>3.0670000000000002</c:v>
                </c:pt>
                <c:pt idx="340">
                  <c:v>3.3460000000000001</c:v>
                </c:pt>
                <c:pt idx="341">
                  <c:v>2.774</c:v>
                </c:pt>
                <c:pt idx="342">
                  <c:v>3.2930000000000001</c:v>
                </c:pt>
                <c:pt idx="343">
                  <c:v>2.7210000000000001</c:v>
                </c:pt>
                <c:pt idx="344">
                  <c:v>1.75</c:v>
                </c:pt>
                <c:pt idx="345">
                  <c:v>1.272</c:v>
                </c:pt>
                <c:pt idx="346">
                  <c:v>1.524</c:v>
                </c:pt>
                <c:pt idx="347">
                  <c:v>1.2450000000000001</c:v>
                </c:pt>
                <c:pt idx="348">
                  <c:v>1.9630000000000001</c:v>
                </c:pt>
                <c:pt idx="349">
                  <c:v>3.2130000000000001</c:v>
                </c:pt>
                <c:pt idx="350">
                  <c:v>4.57</c:v>
                </c:pt>
                <c:pt idx="351">
                  <c:v>5.5010000000000003</c:v>
                </c:pt>
                <c:pt idx="352">
                  <c:v>3.9049999999999998</c:v>
                </c:pt>
                <c:pt idx="353">
                  <c:v>4.1180000000000003</c:v>
                </c:pt>
                <c:pt idx="354">
                  <c:v>2.6280000000000001</c:v>
                </c:pt>
                <c:pt idx="355">
                  <c:v>4.0250000000000004</c:v>
                </c:pt>
                <c:pt idx="356">
                  <c:v>2.6150000000000002</c:v>
                </c:pt>
                <c:pt idx="357">
                  <c:v>3.8519999999999999</c:v>
                </c:pt>
                <c:pt idx="358">
                  <c:v>2.508</c:v>
                </c:pt>
                <c:pt idx="359">
                  <c:v>3.6259999999999999</c:v>
                </c:pt>
                <c:pt idx="360">
                  <c:v>3.4260000000000002</c:v>
                </c:pt>
                <c:pt idx="361">
                  <c:v>5.4340000000000002</c:v>
                </c:pt>
                <c:pt idx="362">
                  <c:v>2.4420000000000002</c:v>
                </c:pt>
                <c:pt idx="363">
                  <c:v>2.774</c:v>
                </c:pt>
                <c:pt idx="364">
                  <c:v>2.8140000000000001</c:v>
                </c:pt>
                <c:pt idx="365">
                  <c:v>2.8940000000000001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24992"/>
        <c:axId val="236726912"/>
      </c:lineChart>
      <c:catAx>
        <c:axId val="23672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2691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36726912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2499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Data!$B$159:$B$311</c:f>
              <c:numCache>
                <c:formatCode>General</c:formatCode>
                <c:ptCount val="153"/>
                <c:pt idx="0">
                  <c:v>153</c:v>
                </c:pt>
                <c:pt idx="1">
                  <c:v>154</c:v>
                </c:pt>
                <c:pt idx="2">
                  <c:v>155</c:v>
                </c:pt>
                <c:pt idx="3">
                  <c:v>156</c:v>
                </c:pt>
                <c:pt idx="4">
                  <c:v>157</c:v>
                </c:pt>
                <c:pt idx="5">
                  <c:v>158</c:v>
                </c:pt>
                <c:pt idx="6">
                  <c:v>159</c:v>
                </c:pt>
                <c:pt idx="7">
                  <c:v>160</c:v>
                </c:pt>
                <c:pt idx="8">
                  <c:v>161</c:v>
                </c:pt>
                <c:pt idx="9">
                  <c:v>162</c:v>
                </c:pt>
                <c:pt idx="10">
                  <c:v>163</c:v>
                </c:pt>
                <c:pt idx="11">
                  <c:v>164</c:v>
                </c:pt>
                <c:pt idx="12">
                  <c:v>165</c:v>
                </c:pt>
                <c:pt idx="13">
                  <c:v>166</c:v>
                </c:pt>
                <c:pt idx="14">
                  <c:v>167</c:v>
                </c:pt>
                <c:pt idx="15">
                  <c:v>168</c:v>
                </c:pt>
                <c:pt idx="16">
                  <c:v>169</c:v>
                </c:pt>
                <c:pt idx="17">
                  <c:v>170</c:v>
                </c:pt>
                <c:pt idx="18">
                  <c:v>171</c:v>
                </c:pt>
                <c:pt idx="19">
                  <c:v>172</c:v>
                </c:pt>
                <c:pt idx="20">
                  <c:v>173</c:v>
                </c:pt>
                <c:pt idx="21">
                  <c:v>174</c:v>
                </c:pt>
                <c:pt idx="22">
                  <c:v>175</c:v>
                </c:pt>
                <c:pt idx="23">
                  <c:v>176</c:v>
                </c:pt>
                <c:pt idx="24">
                  <c:v>177</c:v>
                </c:pt>
                <c:pt idx="25">
                  <c:v>178</c:v>
                </c:pt>
                <c:pt idx="26">
                  <c:v>179</c:v>
                </c:pt>
                <c:pt idx="27">
                  <c:v>180</c:v>
                </c:pt>
                <c:pt idx="28">
                  <c:v>181</c:v>
                </c:pt>
                <c:pt idx="29">
                  <c:v>182</c:v>
                </c:pt>
                <c:pt idx="30">
                  <c:v>183</c:v>
                </c:pt>
                <c:pt idx="31">
                  <c:v>184</c:v>
                </c:pt>
                <c:pt idx="32">
                  <c:v>185</c:v>
                </c:pt>
                <c:pt idx="33">
                  <c:v>186</c:v>
                </c:pt>
                <c:pt idx="34">
                  <c:v>187</c:v>
                </c:pt>
                <c:pt idx="35">
                  <c:v>188</c:v>
                </c:pt>
                <c:pt idx="36">
                  <c:v>189</c:v>
                </c:pt>
                <c:pt idx="37">
                  <c:v>190</c:v>
                </c:pt>
                <c:pt idx="38">
                  <c:v>191</c:v>
                </c:pt>
                <c:pt idx="39">
                  <c:v>192</c:v>
                </c:pt>
                <c:pt idx="40">
                  <c:v>193</c:v>
                </c:pt>
                <c:pt idx="41">
                  <c:v>194</c:v>
                </c:pt>
                <c:pt idx="42">
                  <c:v>195</c:v>
                </c:pt>
                <c:pt idx="43">
                  <c:v>196</c:v>
                </c:pt>
                <c:pt idx="44">
                  <c:v>197</c:v>
                </c:pt>
                <c:pt idx="45">
                  <c:v>198</c:v>
                </c:pt>
                <c:pt idx="46">
                  <c:v>199</c:v>
                </c:pt>
                <c:pt idx="47">
                  <c:v>200</c:v>
                </c:pt>
                <c:pt idx="48">
                  <c:v>201</c:v>
                </c:pt>
                <c:pt idx="49">
                  <c:v>202</c:v>
                </c:pt>
                <c:pt idx="50">
                  <c:v>203</c:v>
                </c:pt>
                <c:pt idx="51">
                  <c:v>204</c:v>
                </c:pt>
                <c:pt idx="52">
                  <c:v>205</c:v>
                </c:pt>
                <c:pt idx="53">
                  <c:v>206</c:v>
                </c:pt>
                <c:pt idx="54">
                  <c:v>207</c:v>
                </c:pt>
                <c:pt idx="55">
                  <c:v>208</c:v>
                </c:pt>
                <c:pt idx="56">
                  <c:v>209</c:v>
                </c:pt>
                <c:pt idx="57">
                  <c:v>210</c:v>
                </c:pt>
                <c:pt idx="58">
                  <c:v>211</c:v>
                </c:pt>
                <c:pt idx="59">
                  <c:v>212</c:v>
                </c:pt>
                <c:pt idx="60">
                  <c:v>213</c:v>
                </c:pt>
                <c:pt idx="61">
                  <c:v>214</c:v>
                </c:pt>
                <c:pt idx="62">
                  <c:v>215</c:v>
                </c:pt>
                <c:pt idx="63">
                  <c:v>216</c:v>
                </c:pt>
                <c:pt idx="64">
                  <c:v>217</c:v>
                </c:pt>
                <c:pt idx="65">
                  <c:v>218</c:v>
                </c:pt>
                <c:pt idx="66">
                  <c:v>219</c:v>
                </c:pt>
                <c:pt idx="67">
                  <c:v>220</c:v>
                </c:pt>
                <c:pt idx="68">
                  <c:v>221</c:v>
                </c:pt>
                <c:pt idx="69">
                  <c:v>222</c:v>
                </c:pt>
                <c:pt idx="70">
                  <c:v>223</c:v>
                </c:pt>
                <c:pt idx="71">
                  <c:v>224</c:v>
                </c:pt>
                <c:pt idx="72">
                  <c:v>225</c:v>
                </c:pt>
                <c:pt idx="73">
                  <c:v>226</c:v>
                </c:pt>
                <c:pt idx="74">
                  <c:v>227</c:v>
                </c:pt>
                <c:pt idx="75">
                  <c:v>228</c:v>
                </c:pt>
                <c:pt idx="76">
                  <c:v>229</c:v>
                </c:pt>
                <c:pt idx="77">
                  <c:v>230</c:v>
                </c:pt>
                <c:pt idx="78">
                  <c:v>231</c:v>
                </c:pt>
                <c:pt idx="79">
                  <c:v>232</c:v>
                </c:pt>
                <c:pt idx="80">
                  <c:v>233</c:v>
                </c:pt>
                <c:pt idx="81">
                  <c:v>234</c:v>
                </c:pt>
                <c:pt idx="82">
                  <c:v>235</c:v>
                </c:pt>
                <c:pt idx="83">
                  <c:v>236</c:v>
                </c:pt>
                <c:pt idx="84">
                  <c:v>237</c:v>
                </c:pt>
                <c:pt idx="85">
                  <c:v>238</c:v>
                </c:pt>
                <c:pt idx="86">
                  <c:v>239</c:v>
                </c:pt>
                <c:pt idx="87">
                  <c:v>240</c:v>
                </c:pt>
                <c:pt idx="88">
                  <c:v>241</c:v>
                </c:pt>
                <c:pt idx="89">
                  <c:v>242</c:v>
                </c:pt>
                <c:pt idx="90">
                  <c:v>243</c:v>
                </c:pt>
                <c:pt idx="91">
                  <c:v>244</c:v>
                </c:pt>
                <c:pt idx="92">
                  <c:v>245</c:v>
                </c:pt>
                <c:pt idx="93">
                  <c:v>246</c:v>
                </c:pt>
                <c:pt idx="94">
                  <c:v>247</c:v>
                </c:pt>
                <c:pt idx="95">
                  <c:v>248</c:v>
                </c:pt>
                <c:pt idx="96">
                  <c:v>249</c:v>
                </c:pt>
                <c:pt idx="97">
                  <c:v>250</c:v>
                </c:pt>
                <c:pt idx="98">
                  <c:v>251</c:v>
                </c:pt>
                <c:pt idx="99">
                  <c:v>252</c:v>
                </c:pt>
                <c:pt idx="100">
                  <c:v>253</c:v>
                </c:pt>
                <c:pt idx="101">
                  <c:v>254</c:v>
                </c:pt>
                <c:pt idx="102">
                  <c:v>255</c:v>
                </c:pt>
                <c:pt idx="103">
                  <c:v>256</c:v>
                </c:pt>
                <c:pt idx="104">
                  <c:v>257</c:v>
                </c:pt>
                <c:pt idx="105">
                  <c:v>258</c:v>
                </c:pt>
                <c:pt idx="106">
                  <c:v>259</c:v>
                </c:pt>
                <c:pt idx="107">
                  <c:v>260</c:v>
                </c:pt>
                <c:pt idx="108">
                  <c:v>261</c:v>
                </c:pt>
                <c:pt idx="109">
                  <c:v>262</c:v>
                </c:pt>
                <c:pt idx="110">
                  <c:v>263</c:v>
                </c:pt>
                <c:pt idx="111">
                  <c:v>264</c:v>
                </c:pt>
                <c:pt idx="112">
                  <c:v>265</c:v>
                </c:pt>
                <c:pt idx="113">
                  <c:v>266</c:v>
                </c:pt>
                <c:pt idx="114">
                  <c:v>267</c:v>
                </c:pt>
                <c:pt idx="115">
                  <c:v>268</c:v>
                </c:pt>
                <c:pt idx="116">
                  <c:v>269</c:v>
                </c:pt>
                <c:pt idx="117">
                  <c:v>270</c:v>
                </c:pt>
                <c:pt idx="118">
                  <c:v>271</c:v>
                </c:pt>
                <c:pt idx="119">
                  <c:v>272</c:v>
                </c:pt>
                <c:pt idx="120">
                  <c:v>273</c:v>
                </c:pt>
                <c:pt idx="121">
                  <c:v>274</c:v>
                </c:pt>
                <c:pt idx="122">
                  <c:v>275</c:v>
                </c:pt>
                <c:pt idx="123">
                  <c:v>276</c:v>
                </c:pt>
                <c:pt idx="124">
                  <c:v>277</c:v>
                </c:pt>
                <c:pt idx="125">
                  <c:v>278</c:v>
                </c:pt>
                <c:pt idx="126">
                  <c:v>279</c:v>
                </c:pt>
                <c:pt idx="127">
                  <c:v>280</c:v>
                </c:pt>
                <c:pt idx="128">
                  <c:v>281</c:v>
                </c:pt>
                <c:pt idx="129">
                  <c:v>282</c:v>
                </c:pt>
                <c:pt idx="130">
                  <c:v>283</c:v>
                </c:pt>
                <c:pt idx="131">
                  <c:v>284</c:v>
                </c:pt>
                <c:pt idx="132">
                  <c:v>285</c:v>
                </c:pt>
                <c:pt idx="133">
                  <c:v>286</c:v>
                </c:pt>
                <c:pt idx="134">
                  <c:v>287</c:v>
                </c:pt>
                <c:pt idx="135">
                  <c:v>288</c:v>
                </c:pt>
                <c:pt idx="136">
                  <c:v>289</c:v>
                </c:pt>
                <c:pt idx="137">
                  <c:v>290</c:v>
                </c:pt>
                <c:pt idx="138">
                  <c:v>291</c:v>
                </c:pt>
                <c:pt idx="139">
                  <c:v>292</c:v>
                </c:pt>
                <c:pt idx="140">
                  <c:v>293</c:v>
                </c:pt>
                <c:pt idx="141">
                  <c:v>294</c:v>
                </c:pt>
                <c:pt idx="142">
                  <c:v>295</c:v>
                </c:pt>
                <c:pt idx="143">
                  <c:v>296</c:v>
                </c:pt>
                <c:pt idx="144">
                  <c:v>297</c:v>
                </c:pt>
                <c:pt idx="145">
                  <c:v>298</c:v>
                </c:pt>
                <c:pt idx="146">
                  <c:v>299</c:v>
                </c:pt>
                <c:pt idx="147">
                  <c:v>300</c:v>
                </c:pt>
                <c:pt idx="148">
                  <c:v>301</c:v>
                </c:pt>
                <c:pt idx="149">
                  <c:v>302</c:v>
                </c:pt>
                <c:pt idx="150">
                  <c:v>303</c:v>
                </c:pt>
                <c:pt idx="151">
                  <c:v>304</c:v>
                </c:pt>
                <c:pt idx="152">
                  <c:v>305</c:v>
                </c:pt>
              </c:numCache>
            </c:numRef>
          </c:cat>
          <c:val>
            <c:numRef>
              <c:f>Data!$Q$159:$Q$311</c:f>
              <c:numCache>
                <c:formatCode>General</c:formatCode>
                <c:ptCount val="15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739200"/>
        <c:axId val="236794624"/>
      </c:barChart>
      <c:catAx>
        <c:axId val="23673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9462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794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39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Vapour Pressure Deficit (kPa)</a:t>
            </a:r>
          </a:p>
        </c:rich>
      </c:tx>
      <c:layout>
        <c:manualLayout>
          <c:xMode val="edge"/>
          <c:yMode val="edge"/>
          <c:x val="0.2761692650334075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Data!$BV$7:$BV$372</c:f>
              <c:numCache>
                <c:formatCode>0.000</c:formatCode>
                <c:ptCount val="366"/>
                <c:pt idx="0">
                  <c:v>0.112</c:v>
                </c:pt>
                <c:pt idx="1">
                  <c:v>0.14000000000000001</c:v>
                </c:pt>
                <c:pt idx="2">
                  <c:v>0.109</c:v>
                </c:pt>
                <c:pt idx="3">
                  <c:v>0.10100000000000001</c:v>
                </c:pt>
                <c:pt idx="4">
                  <c:v>0.122</c:v>
                </c:pt>
                <c:pt idx="5">
                  <c:v>9.1999999999999998E-2</c:v>
                </c:pt>
                <c:pt idx="6">
                  <c:v>0.113</c:v>
                </c:pt>
                <c:pt idx="7">
                  <c:v>7.0000000000000007E-2</c:v>
                </c:pt>
                <c:pt idx="8">
                  <c:v>0.11799999999999999</c:v>
                </c:pt>
                <c:pt idx="9">
                  <c:v>0.20200000000000001</c:v>
                </c:pt>
                <c:pt idx="10">
                  <c:v>0.16200000000000001</c:v>
                </c:pt>
                <c:pt idx="11">
                  <c:v>0.17299999999999999</c:v>
                </c:pt>
                <c:pt idx="12">
                  <c:v>0.20499999999999999</c:v>
                </c:pt>
                <c:pt idx="13">
                  <c:v>0.122</c:v>
                </c:pt>
                <c:pt idx="14">
                  <c:v>0.17100000000000001</c:v>
                </c:pt>
                <c:pt idx="15">
                  <c:v>0.16400000000000001</c:v>
                </c:pt>
                <c:pt idx="16">
                  <c:v>0.13500000000000001</c:v>
                </c:pt>
                <c:pt idx="17">
                  <c:v>0.215</c:v>
                </c:pt>
                <c:pt idx="18">
                  <c:v>0.20399999999999999</c:v>
                </c:pt>
                <c:pt idx="19">
                  <c:v>0.159</c:v>
                </c:pt>
                <c:pt idx="20">
                  <c:v>0.16600000000000001</c:v>
                </c:pt>
                <c:pt idx="21">
                  <c:v>0.14299999999999999</c:v>
                </c:pt>
                <c:pt idx="22">
                  <c:v>0.158</c:v>
                </c:pt>
                <c:pt idx="23">
                  <c:v>0.19600000000000001</c:v>
                </c:pt>
                <c:pt idx="24">
                  <c:v>0.2</c:v>
                </c:pt>
                <c:pt idx="25">
                  <c:v>0.12</c:v>
                </c:pt>
                <c:pt idx="26">
                  <c:v>0.14199999999999999</c:v>
                </c:pt>
                <c:pt idx="27">
                  <c:v>0.23100000000000001</c:v>
                </c:pt>
                <c:pt idx="28">
                  <c:v>0.26700000000000002</c:v>
                </c:pt>
                <c:pt idx="29">
                  <c:v>0.253</c:v>
                </c:pt>
                <c:pt idx="30">
                  <c:v>0.27500000000000002</c:v>
                </c:pt>
                <c:pt idx="31">
                  <c:v>0.17399999999999999</c:v>
                </c:pt>
                <c:pt idx="32">
                  <c:v>0.13</c:v>
                </c:pt>
                <c:pt idx="33">
                  <c:v>0.22900000000000001</c:v>
                </c:pt>
                <c:pt idx="34">
                  <c:v>0.157</c:v>
                </c:pt>
                <c:pt idx="35">
                  <c:v>0.23799999999999999</c:v>
                </c:pt>
                <c:pt idx="36">
                  <c:v>0.219</c:v>
                </c:pt>
                <c:pt idx="37">
                  <c:v>0.2</c:v>
                </c:pt>
                <c:pt idx="38">
                  <c:v>0.16400000000000001</c:v>
                </c:pt>
                <c:pt idx="39">
                  <c:v>7.8E-2</c:v>
                </c:pt>
                <c:pt idx="40">
                  <c:v>0.121</c:v>
                </c:pt>
                <c:pt idx="41">
                  <c:v>0.159</c:v>
                </c:pt>
                <c:pt idx="42">
                  <c:v>0.17599999999999999</c:v>
                </c:pt>
                <c:pt idx="43">
                  <c:v>0.312</c:v>
                </c:pt>
                <c:pt idx="44">
                  <c:v>0.193</c:v>
                </c:pt>
                <c:pt idx="45">
                  <c:v>0.17</c:v>
                </c:pt>
                <c:pt idx="46">
                  <c:v>0.252</c:v>
                </c:pt>
                <c:pt idx="47">
                  <c:v>0.309</c:v>
                </c:pt>
                <c:pt idx="48">
                  <c:v>0.33400000000000002</c:v>
                </c:pt>
                <c:pt idx="49">
                  <c:v>0.34300000000000003</c:v>
                </c:pt>
                <c:pt idx="50">
                  <c:v>0.437</c:v>
                </c:pt>
                <c:pt idx="51">
                  <c:v>0.16400000000000001</c:v>
                </c:pt>
                <c:pt idx="52">
                  <c:v>0.13400000000000001</c:v>
                </c:pt>
                <c:pt idx="53">
                  <c:v>0.187</c:v>
                </c:pt>
                <c:pt idx="54">
                  <c:v>0.38</c:v>
                </c:pt>
                <c:pt idx="55">
                  <c:v>0.39600000000000002</c:v>
                </c:pt>
                <c:pt idx="56">
                  <c:v>0.26900000000000002</c:v>
                </c:pt>
                <c:pt idx="57">
                  <c:v>0.17799999999999999</c:v>
                </c:pt>
                <c:pt idx="58">
                  <c:v>0.23599999999999999</c:v>
                </c:pt>
                <c:pt idx="59">
                  <c:v>0.187</c:v>
                </c:pt>
                <c:pt idx="60">
                  <c:v>0.20499999999999999</c:v>
                </c:pt>
                <c:pt idx="61">
                  <c:v>0.121</c:v>
                </c:pt>
                <c:pt idx="62">
                  <c:v>0.14899999999999999</c:v>
                </c:pt>
                <c:pt idx="63">
                  <c:v>0.1</c:v>
                </c:pt>
                <c:pt idx="64">
                  <c:v>0.217</c:v>
                </c:pt>
                <c:pt idx="65">
                  <c:v>7.4999999999999997E-2</c:v>
                </c:pt>
                <c:pt idx="66">
                  <c:v>0.41399999999999998</c:v>
                </c:pt>
                <c:pt idx="67">
                  <c:v>0.49</c:v>
                </c:pt>
                <c:pt idx="68">
                  <c:v>0.20200000000000001</c:v>
                </c:pt>
                <c:pt idx="69">
                  <c:v>0.36699999999999999</c:v>
                </c:pt>
                <c:pt idx="70">
                  <c:v>0.34599999999999997</c:v>
                </c:pt>
                <c:pt idx="71">
                  <c:v>0.32900000000000001</c:v>
                </c:pt>
                <c:pt idx="72">
                  <c:v>0.42199999999999999</c:v>
                </c:pt>
                <c:pt idx="73">
                  <c:v>4.9000000000000002E-2</c:v>
                </c:pt>
                <c:pt idx="74">
                  <c:v>0.11899999999999999</c:v>
                </c:pt>
                <c:pt idx="75">
                  <c:v>2.3E-2</c:v>
                </c:pt>
                <c:pt idx="76">
                  <c:v>5.1999999999999998E-2</c:v>
                </c:pt>
                <c:pt idx="77">
                  <c:v>0.105</c:v>
                </c:pt>
                <c:pt idx="78">
                  <c:v>0.214</c:v>
                </c:pt>
                <c:pt idx="79">
                  <c:v>0.27200000000000002</c:v>
                </c:pt>
                <c:pt idx="80">
                  <c:v>0.48499999999999999</c:v>
                </c:pt>
                <c:pt idx="81">
                  <c:v>0.25800000000000001</c:v>
                </c:pt>
                <c:pt idx="82">
                  <c:v>6.4000000000000001E-2</c:v>
                </c:pt>
                <c:pt idx="83">
                  <c:v>0.377</c:v>
                </c:pt>
                <c:pt idx="84">
                  <c:v>0.22900000000000001</c:v>
                </c:pt>
                <c:pt idx="85">
                  <c:v>0.65200000000000002</c:v>
                </c:pt>
                <c:pt idx="86">
                  <c:v>0.42799999999999999</c:v>
                </c:pt>
                <c:pt idx="87">
                  <c:v>0.32800000000000001</c:v>
                </c:pt>
                <c:pt idx="88">
                  <c:v>0.42699999999999999</c:v>
                </c:pt>
                <c:pt idx="89">
                  <c:v>0.60299999999999998</c:v>
                </c:pt>
                <c:pt idx="90">
                  <c:v>0.65600000000000003</c:v>
                </c:pt>
                <c:pt idx="91">
                  <c:v>0.36199999999999999</c:v>
                </c:pt>
                <c:pt idx="92">
                  <c:v>0.79200000000000004</c:v>
                </c:pt>
                <c:pt idx="93">
                  <c:v>0.69599999999999995</c:v>
                </c:pt>
                <c:pt idx="94">
                  <c:v>0.52400000000000002</c:v>
                </c:pt>
                <c:pt idx="95">
                  <c:v>0.27500000000000002</c:v>
                </c:pt>
                <c:pt idx="96">
                  <c:v>0.16500000000000001</c:v>
                </c:pt>
                <c:pt idx="97">
                  <c:v>0.51900000000000002</c:v>
                </c:pt>
                <c:pt idx="98">
                  <c:v>0.84199999999999997</c:v>
                </c:pt>
                <c:pt idx="99">
                  <c:v>0.90900000000000003</c:v>
                </c:pt>
                <c:pt idx="100">
                  <c:v>0.91</c:v>
                </c:pt>
                <c:pt idx="101">
                  <c:v>1.036</c:v>
                </c:pt>
                <c:pt idx="102">
                  <c:v>0.78700000000000003</c:v>
                </c:pt>
                <c:pt idx="103">
                  <c:v>0.154</c:v>
                </c:pt>
                <c:pt idx="104">
                  <c:v>5.0999999999999997E-2</c:v>
                </c:pt>
                <c:pt idx="105">
                  <c:v>0.33800000000000002</c:v>
                </c:pt>
                <c:pt idx="106">
                  <c:v>0.40699999999999997</c:v>
                </c:pt>
                <c:pt idx="107">
                  <c:v>0.79200000000000004</c:v>
                </c:pt>
                <c:pt idx="108">
                  <c:v>1.1739999999999999</c:v>
                </c:pt>
                <c:pt idx="109">
                  <c:v>1.115</c:v>
                </c:pt>
                <c:pt idx="110">
                  <c:v>0.51900000000000002</c:v>
                </c:pt>
                <c:pt idx="111">
                  <c:v>0.86799999999999999</c:v>
                </c:pt>
                <c:pt idx="112">
                  <c:v>0.84</c:v>
                </c:pt>
                <c:pt idx="113">
                  <c:v>0.66500000000000004</c:v>
                </c:pt>
                <c:pt idx="114">
                  <c:v>0.495</c:v>
                </c:pt>
                <c:pt idx="115">
                  <c:v>0.38900000000000001</c:v>
                </c:pt>
                <c:pt idx="116">
                  <c:v>0.71399999999999997</c:v>
                </c:pt>
                <c:pt idx="117">
                  <c:v>1.363</c:v>
                </c:pt>
                <c:pt idx="118">
                  <c:v>0.42399999999999999</c:v>
                </c:pt>
                <c:pt idx="119">
                  <c:v>0.63</c:v>
                </c:pt>
                <c:pt idx="120">
                  <c:v>0.65</c:v>
                </c:pt>
                <c:pt idx="121">
                  <c:v>0.49099999999999999</c:v>
                </c:pt>
                <c:pt idx="122">
                  <c:v>0.875</c:v>
                </c:pt>
                <c:pt idx="123">
                  <c:v>0.39600000000000002</c:v>
                </c:pt>
                <c:pt idx="124">
                  <c:v>0.377</c:v>
                </c:pt>
                <c:pt idx="125">
                  <c:v>0.27200000000000002</c:v>
                </c:pt>
                <c:pt idx="126">
                  <c:v>0.63100000000000001</c:v>
                </c:pt>
                <c:pt idx="127">
                  <c:v>0.52400000000000002</c:v>
                </c:pt>
                <c:pt idx="128">
                  <c:v>0.747</c:v>
                </c:pt>
                <c:pt idx="129">
                  <c:v>0.50700000000000001</c:v>
                </c:pt>
                <c:pt idx="130">
                  <c:v>0.255</c:v>
                </c:pt>
                <c:pt idx="131">
                  <c:v>0.27100000000000002</c:v>
                </c:pt>
                <c:pt idx="132">
                  <c:v>0.35199999999999998</c:v>
                </c:pt>
                <c:pt idx="133">
                  <c:v>0.57599999999999996</c:v>
                </c:pt>
                <c:pt idx="134">
                  <c:v>0.89100000000000001</c:v>
                </c:pt>
                <c:pt idx="135">
                  <c:v>1.1479999999999999</c:v>
                </c:pt>
                <c:pt idx="136">
                  <c:v>1.2949999999999999</c:v>
                </c:pt>
                <c:pt idx="137">
                  <c:v>0.86299999999999999</c:v>
                </c:pt>
                <c:pt idx="138">
                  <c:v>0.95099999999999996</c:v>
                </c:pt>
                <c:pt idx="139">
                  <c:v>0.52100000000000002</c:v>
                </c:pt>
                <c:pt idx="140">
                  <c:v>0.58099999999999996</c:v>
                </c:pt>
                <c:pt idx="141">
                  <c:v>0.54100000000000004</c:v>
                </c:pt>
                <c:pt idx="142">
                  <c:v>0.64</c:v>
                </c:pt>
                <c:pt idx="143">
                  <c:v>0.85099999999999998</c:v>
                </c:pt>
                <c:pt idx="144">
                  <c:v>0.89700000000000002</c:v>
                </c:pt>
                <c:pt idx="145">
                  <c:v>1.1080000000000001</c:v>
                </c:pt>
                <c:pt idx="146">
                  <c:v>0.70299999999999996</c:v>
                </c:pt>
                <c:pt idx="147">
                  <c:v>0.41799999999999998</c:v>
                </c:pt>
                <c:pt idx="148">
                  <c:v>0.57899999999999996</c:v>
                </c:pt>
                <c:pt idx="149">
                  <c:v>0.45300000000000001</c:v>
                </c:pt>
                <c:pt idx="150">
                  <c:v>0.98199999999999998</c:v>
                </c:pt>
                <c:pt idx="151">
                  <c:v>0.90200000000000002</c:v>
                </c:pt>
                <c:pt idx="152">
                  <c:v>0.81</c:v>
                </c:pt>
                <c:pt idx="153">
                  <c:v>0.749</c:v>
                </c:pt>
                <c:pt idx="154">
                  <c:v>1.1930000000000001</c:v>
                </c:pt>
                <c:pt idx="155">
                  <c:v>1.3779999999999999</c:v>
                </c:pt>
                <c:pt idx="156">
                  <c:v>0.92400000000000004</c:v>
                </c:pt>
                <c:pt idx="157">
                  <c:v>0.68700000000000006</c:v>
                </c:pt>
                <c:pt idx="158">
                  <c:v>0.78800000000000003</c:v>
                </c:pt>
                <c:pt idx="159">
                  <c:v>0.29299999999999998</c:v>
                </c:pt>
                <c:pt idx="160">
                  <c:v>0.66900000000000004</c:v>
                </c:pt>
                <c:pt idx="161">
                  <c:v>0.371</c:v>
                </c:pt>
                <c:pt idx="162">
                  <c:v>0.76300000000000001</c:v>
                </c:pt>
                <c:pt idx="163">
                  <c:v>0.32500000000000001</c:v>
                </c:pt>
                <c:pt idx="164">
                  <c:v>0.64400000000000002</c:v>
                </c:pt>
                <c:pt idx="165">
                  <c:v>0.34399999999999997</c:v>
                </c:pt>
                <c:pt idx="166">
                  <c:v>0.61799999999999999</c:v>
                </c:pt>
                <c:pt idx="167">
                  <c:v>1.1839999999999999</c:v>
                </c:pt>
                <c:pt idx="168">
                  <c:v>1.1659999999999999</c:v>
                </c:pt>
                <c:pt idx="169">
                  <c:v>0.69699999999999995</c:v>
                </c:pt>
                <c:pt idx="170">
                  <c:v>1.0589999999999999</c:v>
                </c:pt>
                <c:pt idx="171">
                  <c:v>0.81499999999999995</c:v>
                </c:pt>
                <c:pt idx="172">
                  <c:v>0.73799999999999999</c:v>
                </c:pt>
                <c:pt idx="173">
                  <c:v>0.97399999999999998</c:v>
                </c:pt>
                <c:pt idx="174">
                  <c:v>1.278</c:v>
                </c:pt>
                <c:pt idx="175">
                  <c:v>0.748</c:v>
                </c:pt>
                <c:pt idx="176">
                  <c:v>1.4470000000000001</c:v>
                </c:pt>
                <c:pt idx="177">
                  <c:v>1.847</c:v>
                </c:pt>
                <c:pt idx="178">
                  <c:v>2.14</c:v>
                </c:pt>
                <c:pt idx="179">
                  <c:v>1.9990000000000001</c:v>
                </c:pt>
                <c:pt idx="180">
                  <c:v>1.625</c:v>
                </c:pt>
                <c:pt idx="181">
                  <c:v>1.345</c:v>
                </c:pt>
                <c:pt idx="182">
                  <c:v>0.98</c:v>
                </c:pt>
                <c:pt idx="183">
                  <c:v>0.58199999999999996</c:v>
                </c:pt>
                <c:pt idx="184">
                  <c:v>0.94699999999999995</c:v>
                </c:pt>
                <c:pt idx="185">
                  <c:v>0.17399999999999999</c:v>
                </c:pt>
                <c:pt idx="186">
                  <c:v>0.66200000000000003</c:v>
                </c:pt>
                <c:pt idx="187">
                  <c:v>0.96899999999999997</c:v>
                </c:pt>
                <c:pt idx="188">
                  <c:v>0.88600000000000001</c:v>
                </c:pt>
                <c:pt idx="189">
                  <c:v>1.109</c:v>
                </c:pt>
                <c:pt idx="190">
                  <c:v>0.58399999999999996</c:v>
                </c:pt>
                <c:pt idx="191">
                  <c:v>0.58699999999999997</c:v>
                </c:pt>
                <c:pt idx="192">
                  <c:v>1.2669999999999999</c:v>
                </c:pt>
                <c:pt idx="193">
                  <c:v>1.83</c:v>
                </c:pt>
                <c:pt idx="194">
                  <c:v>1.7709999999999999</c:v>
                </c:pt>
                <c:pt idx="195">
                  <c:v>1.2150000000000001</c:v>
                </c:pt>
                <c:pt idx="196">
                  <c:v>0.89800000000000002</c:v>
                </c:pt>
                <c:pt idx="197">
                  <c:v>1.38</c:v>
                </c:pt>
                <c:pt idx="198">
                  <c:v>1.9890000000000001</c:v>
                </c:pt>
                <c:pt idx="199">
                  <c:v>2.024</c:v>
                </c:pt>
                <c:pt idx="200">
                  <c:v>1.88</c:v>
                </c:pt>
                <c:pt idx="201">
                  <c:v>1.579</c:v>
                </c:pt>
                <c:pt idx="202">
                  <c:v>2.1179999999999999</c:v>
                </c:pt>
                <c:pt idx="203">
                  <c:v>1.4259999999999999</c:v>
                </c:pt>
                <c:pt idx="204">
                  <c:v>0.45500000000000002</c:v>
                </c:pt>
                <c:pt idx="205">
                  <c:v>1.2210000000000001</c:v>
                </c:pt>
                <c:pt idx="206">
                  <c:v>0.90200000000000002</c:v>
                </c:pt>
                <c:pt idx="207">
                  <c:v>1.19</c:v>
                </c:pt>
                <c:pt idx="208">
                  <c:v>0.68200000000000005</c:v>
                </c:pt>
                <c:pt idx="209">
                  <c:v>0.84299999999999997</c:v>
                </c:pt>
                <c:pt idx="210">
                  <c:v>1.393</c:v>
                </c:pt>
                <c:pt idx="211">
                  <c:v>1.4370000000000001</c:v>
                </c:pt>
                <c:pt idx="212">
                  <c:v>1.393</c:v>
                </c:pt>
                <c:pt idx="213">
                  <c:v>1.4419999999999999</c:v>
                </c:pt>
                <c:pt idx="214">
                  <c:v>1.462</c:v>
                </c:pt>
                <c:pt idx="215">
                  <c:v>1.3160000000000001</c:v>
                </c:pt>
                <c:pt idx="216">
                  <c:v>1.766</c:v>
                </c:pt>
                <c:pt idx="217">
                  <c:v>1.974</c:v>
                </c:pt>
                <c:pt idx="218">
                  <c:v>1.577</c:v>
                </c:pt>
                <c:pt idx="219">
                  <c:v>1.762</c:v>
                </c:pt>
                <c:pt idx="220">
                  <c:v>1.9390000000000001</c:v>
                </c:pt>
                <c:pt idx="221">
                  <c:v>1.9950000000000001</c:v>
                </c:pt>
                <c:pt idx="222">
                  <c:v>1.746</c:v>
                </c:pt>
                <c:pt idx="223">
                  <c:v>1.1679999999999999</c:v>
                </c:pt>
                <c:pt idx="224">
                  <c:v>1.3380000000000001</c:v>
                </c:pt>
                <c:pt idx="225">
                  <c:v>0.97799999999999998</c:v>
                </c:pt>
                <c:pt idx="226">
                  <c:v>1.3380000000000001</c:v>
                </c:pt>
                <c:pt idx="227">
                  <c:v>1.1739999999999999</c:v>
                </c:pt>
                <c:pt idx="228">
                  <c:v>1.671</c:v>
                </c:pt>
                <c:pt idx="229">
                  <c:v>1.988</c:v>
                </c:pt>
                <c:pt idx="230">
                  <c:v>1.0589999999999999</c:v>
                </c:pt>
                <c:pt idx="231">
                  <c:v>0.54</c:v>
                </c:pt>
                <c:pt idx="232">
                  <c:v>0.59699999999999998</c:v>
                </c:pt>
                <c:pt idx="233">
                  <c:v>1.081</c:v>
                </c:pt>
                <c:pt idx="234">
                  <c:v>1.8180000000000001</c:v>
                </c:pt>
                <c:pt idx="235">
                  <c:v>1.9330000000000001</c:v>
                </c:pt>
                <c:pt idx="236">
                  <c:v>1.3049999999999999</c:v>
                </c:pt>
                <c:pt idx="237">
                  <c:v>1.321</c:v>
                </c:pt>
                <c:pt idx="238">
                  <c:v>0.73299999999999998</c:v>
                </c:pt>
                <c:pt idx="239">
                  <c:v>0.51400000000000001</c:v>
                </c:pt>
                <c:pt idx="240">
                  <c:v>0.7</c:v>
                </c:pt>
                <c:pt idx="241">
                  <c:v>0.436</c:v>
                </c:pt>
                <c:pt idx="242">
                  <c:v>0.78300000000000003</c:v>
                </c:pt>
                <c:pt idx="243">
                  <c:v>0.84</c:v>
                </c:pt>
                <c:pt idx="244">
                  <c:v>0.59499999999999997</c:v>
                </c:pt>
                <c:pt idx="245">
                  <c:v>0.18</c:v>
                </c:pt>
                <c:pt idx="246">
                  <c:v>0.16500000000000001</c:v>
                </c:pt>
                <c:pt idx="247">
                  <c:v>0.49</c:v>
                </c:pt>
                <c:pt idx="248">
                  <c:v>0.3</c:v>
                </c:pt>
                <c:pt idx="249">
                  <c:v>0.94899999999999995</c:v>
                </c:pt>
                <c:pt idx="250">
                  <c:v>0.58899999999999997</c:v>
                </c:pt>
                <c:pt idx="251">
                  <c:v>0.36299999999999999</c:v>
                </c:pt>
                <c:pt idx="252">
                  <c:v>0.223</c:v>
                </c:pt>
                <c:pt idx="253">
                  <c:v>0.65500000000000003</c:v>
                </c:pt>
                <c:pt idx="254">
                  <c:v>0.54600000000000004</c:v>
                </c:pt>
                <c:pt idx="255">
                  <c:v>0.68899999999999995</c:v>
                </c:pt>
                <c:pt idx="256">
                  <c:v>1.127</c:v>
                </c:pt>
                <c:pt idx="257">
                  <c:v>1.6990000000000001</c:v>
                </c:pt>
                <c:pt idx="258">
                  <c:v>1.1200000000000001</c:v>
                </c:pt>
                <c:pt idx="259">
                  <c:v>1.121</c:v>
                </c:pt>
                <c:pt idx="260">
                  <c:v>0.79200000000000004</c:v>
                </c:pt>
                <c:pt idx="261">
                  <c:v>0.502</c:v>
                </c:pt>
                <c:pt idx="262">
                  <c:v>0.71499999999999997</c:v>
                </c:pt>
                <c:pt idx="263">
                  <c:v>0.26400000000000001</c:v>
                </c:pt>
                <c:pt idx="264">
                  <c:v>0.62</c:v>
                </c:pt>
                <c:pt idx="265">
                  <c:v>0.68700000000000006</c:v>
                </c:pt>
                <c:pt idx="266">
                  <c:v>0.92300000000000004</c:v>
                </c:pt>
                <c:pt idx="267">
                  <c:v>1.08</c:v>
                </c:pt>
                <c:pt idx="268">
                  <c:v>1.278</c:v>
                </c:pt>
                <c:pt idx="269">
                  <c:v>1.373</c:v>
                </c:pt>
                <c:pt idx="270">
                  <c:v>1.639</c:v>
                </c:pt>
                <c:pt idx="271">
                  <c:v>1.232</c:v>
                </c:pt>
                <c:pt idx="272">
                  <c:v>0.53200000000000003</c:v>
                </c:pt>
                <c:pt idx="273">
                  <c:v>0.63500000000000001</c:v>
                </c:pt>
                <c:pt idx="274">
                  <c:v>0.51900000000000002</c:v>
                </c:pt>
                <c:pt idx="275">
                  <c:v>0.31900000000000001</c:v>
                </c:pt>
                <c:pt idx="276">
                  <c:v>0.47399999999999998</c:v>
                </c:pt>
                <c:pt idx="277">
                  <c:v>0.42299999999999999</c:v>
                </c:pt>
                <c:pt idx="278">
                  <c:v>0.624</c:v>
                </c:pt>
                <c:pt idx="279">
                  <c:v>1.097</c:v>
                </c:pt>
                <c:pt idx="280">
                  <c:v>1.377</c:v>
                </c:pt>
                <c:pt idx="281">
                  <c:v>1.272</c:v>
                </c:pt>
                <c:pt idx="282">
                  <c:v>1.1040000000000001</c:v>
                </c:pt>
                <c:pt idx="283">
                  <c:v>0.59</c:v>
                </c:pt>
                <c:pt idx="284">
                  <c:v>9.8000000000000004E-2</c:v>
                </c:pt>
                <c:pt idx="285">
                  <c:v>0.95499999999999996</c:v>
                </c:pt>
                <c:pt idx="286">
                  <c:v>0.54200000000000004</c:v>
                </c:pt>
                <c:pt idx="287">
                  <c:v>0.13700000000000001</c:v>
                </c:pt>
                <c:pt idx="288">
                  <c:v>0.41599999999999998</c:v>
                </c:pt>
                <c:pt idx="289">
                  <c:v>0.29099999999999998</c:v>
                </c:pt>
                <c:pt idx="290">
                  <c:v>0.52</c:v>
                </c:pt>
                <c:pt idx="291">
                  <c:v>0.51200000000000001</c:v>
                </c:pt>
                <c:pt idx="292">
                  <c:v>0.49299999999999999</c:v>
                </c:pt>
                <c:pt idx="293">
                  <c:v>0.23799999999999999</c:v>
                </c:pt>
                <c:pt idx="294">
                  <c:v>0.20599999999999999</c:v>
                </c:pt>
                <c:pt idx="295">
                  <c:v>0.26800000000000002</c:v>
                </c:pt>
                <c:pt idx="296">
                  <c:v>0.78600000000000003</c:v>
                </c:pt>
                <c:pt idx="297">
                  <c:v>0.73099999999999998</c:v>
                </c:pt>
                <c:pt idx="298">
                  <c:v>0.71599999999999997</c:v>
                </c:pt>
                <c:pt idx="299">
                  <c:v>0.85299999999999998</c:v>
                </c:pt>
                <c:pt idx="300">
                  <c:v>0.221</c:v>
                </c:pt>
                <c:pt idx="301">
                  <c:v>0.155</c:v>
                </c:pt>
                <c:pt idx="302">
                  <c:v>8.5000000000000006E-2</c:v>
                </c:pt>
                <c:pt idx="303">
                  <c:v>0.157</c:v>
                </c:pt>
                <c:pt idx="304">
                  <c:v>0.13</c:v>
                </c:pt>
                <c:pt idx="305">
                  <c:v>0.161</c:v>
                </c:pt>
                <c:pt idx="306">
                  <c:v>0.26700000000000002</c:v>
                </c:pt>
                <c:pt idx="307">
                  <c:v>0.125</c:v>
                </c:pt>
                <c:pt idx="308">
                  <c:v>0.12</c:v>
                </c:pt>
                <c:pt idx="309">
                  <c:v>5.7000000000000002E-2</c:v>
                </c:pt>
                <c:pt idx="310">
                  <c:v>6.2E-2</c:v>
                </c:pt>
                <c:pt idx="311">
                  <c:v>8.6999999999999994E-2</c:v>
                </c:pt>
                <c:pt idx="312">
                  <c:v>0.17699999999999999</c:v>
                </c:pt>
                <c:pt idx="313">
                  <c:v>0.254</c:v>
                </c:pt>
                <c:pt idx="314">
                  <c:v>0.107</c:v>
                </c:pt>
                <c:pt idx="315">
                  <c:v>0.03</c:v>
                </c:pt>
                <c:pt idx="316">
                  <c:v>5.5E-2</c:v>
                </c:pt>
                <c:pt idx="317">
                  <c:v>5.1999999999999998E-2</c:v>
                </c:pt>
                <c:pt idx="318">
                  <c:v>4.9000000000000002E-2</c:v>
                </c:pt>
                <c:pt idx="319">
                  <c:v>2.4E-2</c:v>
                </c:pt>
                <c:pt idx="320">
                  <c:v>2.4E-2</c:v>
                </c:pt>
                <c:pt idx="321">
                  <c:v>3.2000000000000001E-2</c:v>
                </c:pt>
                <c:pt idx="322">
                  <c:v>4.5999999999999999E-2</c:v>
                </c:pt>
                <c:pt idx="323">
                  <c:v>5.6000000000000001E-2</c:v>
                </c:pt>
                <c:pt idx="324">
                  <c:v>0.153</c:v>
                </c:pt>
                <c:pt idx="325">
                  <c:v>0.2</c:v>
                </c:pt>
                <c:pt idx="326">
                  <c:v>0.27</c:v>
                </c:pt>
                <c:pt idx="327">
                  <c:v>9.8000000000000004E-2</c:v>
                </c:pt>
                <c:pt idx="328">
                  <c:v>0.114</c:v>
                </c:pt>
                <c:pt idx="329">
                  <c:v>0.156</c:v>
                </c:pt>
                <c:pt idx="330">
                  <c:v>0.16600000000000001</c:v>
                </c:pt>
                <c:pt idx="331">
                  <c:v>3.1E-2</c:v>
                </c:pt>
                <c:pt idx="332">
                  <c:v>0.255</c:v>
                </c:pt>
                <c:pt idx="333">
                  <c:v>0.21199999999999999</c:v>
                </c:pt>
                <c:pt idx="334">
                  <c:v>5.3999999999999999E-2</c:v>
                </c:pt>
                <c:pt idx="335">
                  <c:v>0.2</c:v>
                </c:pt>
                <c:pt idx="336">
                  <c:v>0.186</c:v>
                </c:pt>
                <c:pt idx="337">
                  <c:v>0.13300000000000001</c:v>
                </c:pt>
                <c:pt idx="338">
                  <c:v>0.13100000000000001</c:v>
                </c:pt>
                <c:pt idx="339">
                  <c:v>0.111</c:v>
                </c:pt>
                <c:pt idx="340">
                  <c:v>0.224</c:v>
                </c:pt>
                <c:pt idx="341">
                  <c:v>5.2999999999999999E-2</c:v>
                </c:pt>
                <c:pt idx="342">
                  <c:v>4.8000000000000001E-2</c:v>
                </c:pt>
                <c:pt idx="343">
                  <c:v>3.5000000000000003E-2</c:v>
                </c:pt>
                <c:pt idx="344">
                  <c:v>3.7999999999999999E-2</c:v>
                </c:pt>
                <c:pt idx="345">
                  <c:v>6.7000000000000004E-2</c:v>
                </c:pt>
                <c:pt idx="346">
                  <c:v>4.8000000000000001E-2</c:v>
                </c:pt>
                <c:pt idx="347">
                  <c:v>5.8999999999999997E-2</c:v>
                </c:pt>
                <c:pt idx="348">
                  <c:v>6.0999999999999999E-2</c:v>
                </c:pt>
                <c:pt idx="349">
                  <c:v>6.2E-2</c:v>
                </c:pt>
                <c:pt idx="350">
                  <c:v>6.7000000000000004E-2</c:v>
                </c:pt>
                <c:pt idx="351">
                  <c:v>4.5999999999999999E-2</c:v>
                </c:pt>
                <c:pt idx="352">
                  <c:v>5.6000000000000001E-2</c:v>
                </c:pt>
                <c:pt idx="353">
                  <c:v>3.7999999999999999E-2</c:v>
                </c:pt>
                <c:pt idx="354">
                  <c:v>0.11799999999999999</c:v>
                </c:pt>
                <c:pt idx="355">
                  <c:v>9.2999999999999999E-2</c:v>
                </c:pt>
                <c:pt idx="356">
                  <c:v>7.5999999999999998E-2</c:v>
                </c:pt>
                <c:pt idx="357">
                  <c:v>0.20499999999999999</c:v>
                </c:pt>
                <c:pt idx="358">
                  <c:v>5.5E-2</c:v>
                </c:pt>
                <c:pt idx="359">
                  <c:v>0.11899999999999999</c:v>
                </c:pt>
                <c:pt idx="360">
                  <c:v>2.4E-2</c:v>
                </c:pt>
                <c:pt idx="361">
                  <c:v>4.2999999999999997E-2</c:v>
                </c:pt>
                <c:pt idx="362">
                  <c:v>8.1000000000000003E-2</c:v>
                </c:pt>
                <c:pt idx="363">
                  <c:v>0.08</c:v>
                </c:pt>
                <c:pt idx="364">
                  <c:v>0.22700000000000001</c:v>
                </c:pt>
                <c:pt idx="365">
                  <c:v>7.1999999999999995E-2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27776"/>
        <c:axId val="236829696"/>
      </c:lineChart>
      <c:catAx>
        <c:axId val="23682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829696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36829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827776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 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Data!$BF$7:$BF$372</c:f>
              <c:numCache>
                <c:formatCode>General</c:formatCode>
                <c:ptCount val="366"/>
                <c:pt idx="61">
                  <c:v>1250</c:v>
                </c:pt>
                <c:pt idx="62">
                  <c:v>1293</c:v>
                </c:pt>
                <c:pt idx="63">
                  <c:v>1318</c:v>
                </c:pt>
                <c:pt idx="64">
                  <c:v>1288</c:v>
                </c:pt>
                <c:pt idx="65">
                  <c:v>1304</c:v>
                </c:pt>
                <c:pt idx="66">
                  <c:v>1278</c:v>
                </c:pt>
                <c:pt idx="67">
                  <c:v>1254</c:v>
                </c:pt>
                <c:pt idx="68">
                  <c:v>1253</c:v>
                </c:pt>
                <c:pt idx="69">
                  <c:v>1244</c:v>
                </c:pt>
                <c:pt idx="70">
                  <c:v>1240</c:v>
                </c:pt>
                <c:pt idx="71">
                  <c:v>1233</c:v>
                </c:pt>
                <c:pt idx="72">
                  <c:v>1208</c:v>
                </c:pt>
                <c:pt idx="73">
                  <c:v>1348</c:v>
                </c:pt>
                <c:pt idx="74">
                  <c:v>1321</c:v>
                </c:pt>
                <c:pt idx="75">
                  <c:v>1383</c:v>
                </c:pt>
                <c:pt idx="76">
                  <c:v>1517</c:v>
                </c:pt>
                <c:pt idx="77">
                  <c:v>1546</c:v>
                </c:pt>
                <c:pt idx="78">
                  <c:v>1547</c:v>
                </c:pt>
                <c:pt idx="79">
                  <c:v>1516</c:v>
                </c:pt>
                <c:pt idx="80">
                  <c:v>1458</c:v>
                </c:pt>
                <c:pt idx="81">
                  <c:v>1467</c:v>
                </c:pt>
                <c:pt idx="82">
                  <c:v>1512</c:v>
                </c:pt>
                <c:pt idx="83">
                  <c:v>1484</c:v>
                </c:pt>
                <c:pt idx="84">
                  <c:v>1490</c:v>
                </c:pt>
                <c:pt idx="85">
                  <c:v>1435</c:v>
                </c:pt>
                <c:pt idx="86">
                  <c:v>1456</c:v>
                </c:pt>
                <c:pt idx="87">
                  <c:v>1436</c:v>
                </c:pt>
                <c:pt idx="88">
                  <c:v>1429</c:v>
                </c:pt>
                <c:pt idx="89">
                  <c:v>1415</c:v>
                </c:pt>
                <c:pt idx="90">
                  <c:v>1390</c:v>
                </c:pt>
                <c:pt idx="91">
                  <c:v>1363</c:v>
                </c:pt>
                <c:pt idx="92">
                  <c:v>1317</c:v>
                </c:pt>
                <c:pt idx="93">
                  <c:v>1298</c:v>
                </c:pt>
                <c:pt idx="94">
                  <c:v>1290</c:v>
                </c:pt>
                <c:pt idx="95">
                  <c:v>1282</c:v>
                </c:pt>
                <c:pt idx="96">
                  <c:v>1282</c:v>
                </c:pt>
                <c:pt idx="97">
                  <c:v>1292</c:v>
                </c:pt>
                <c:pt idx="98">
                  <c:v>1248</c:v>
                </c:pt>
                <c:pt idx="99">
                  <c:v>1200</c:v>
                </c:pt>
                <c:pt idx="100">
                  <c:v>1163</c:v>
                </c:pt>
                <c:pt idx="101">
                  <c:v>1140</c:v>
                </c:pt>
                <c:pt idx="102">
                  <c:v>1105</c:v>
                </c:pt>
                <c:pt idx="103">
                  <c:v>1169</c:v>
                </c:pt>
                <c:pt idx="104">
                  <c:v>1169</c:v>
                </c:pt>
                <c:pt idx="105">
                  <c:v>1138</c:v>
                </c:pt>
                <c:pt idx="106">
                  <c:v>1154</c:v>
                </c:pt>
                <c:pt idx="107">
                  <c:v>1109</c:v>
                </c:pt>
                <c:pt idx="108">
                  <c:v>1061</c:v>
                </c:pt>
                <c:pt idx="109">
                  <c:v>1023</c:v>
                </c:pt>
                <c:pt idx="110">
                  <c:v>993</c:v>
                </c:pt>
                <c:pt idx="111">
                  <c:v>943</c:v>
                </c:pt>
                <c:pt idx="112">
                  <c:v>887</c:v>
                </c:pt>
                <c:pt idx="113">
                  <c:v>923</c:v>
                </c:pt>
                <c:pt idx="114">
                  <c:v>889</c:v>
                </c:pt>
                <c:pt idx="115">
                  <c:v>881</c:v>
                </c:pt>
                <c:pt idx="116">
                  <c:v>843</c:v>
                </c:pt>
                <c:pt idx="117">
                  <c:v>799</c:v>
                </c:pt>
                <c:pt idx="118">
                  <c:v>780</c:v>
                </c:pt>
                <c:pt idx="119">
                  <c:v>806</c:v>
                </c:pt>
                <c:pt idx="120">
                  <c:v>801</c:v>
                </c:pt>
                <c:pt idx="121">
                  <c:v>781</c:v>
                </c:pt>
                <c:pt idx="122">
                  <c:v>744</c:v>
                </c:pt>
                <c:pt idx="123">
                  <c:v>754</c:v>
                </c:pt>
                <c:pt idx="124">
                  <c:v>741</c:v>
                </c:pt>
                <c:pt idx="125">
                  <c:v>770</c:v>
                </c:pt>
                <c:pt idx="126">
                  <c:v>756</c:v>
                </c:pt>
                <c:pt idx="127">
                  <c:v>759</c:v>
                </c:pt>
                <c:pt idx="128">
                  <c:v>756</c:v>
                </c:pt>
                <c:pt idx="129">
                  <c:v>759</c:v>
                </c:pt>
                <c:pt idx="130">
                  <c:v>752</c:v>
                </c:pt>
                <c:pt idx="131">
                  <c:v>764</c:v>
                </c:pt>
                <c:pt idx="132">
                  <c:v>748</c:v>
                </c:pt>
                <c:pt idx="133">
                  <c:v>720</c:v>
                </c:pt>
                <c:pt idx="134">
                  <c:v>688</c:v>
                </c:pt>
                <c:pt idx="135">
                  <c:v>636</c:v>
                </c:pt>
                <c:pt idx="136">
                  <c:v>597</c:v>
                </c:pt>
                <c:pt idx="137">
                  <c:v>546</c:v>
                </c:pt>
                <c:pt idx="138">
                  <c:v>495</c:v>
                </c:pt>
                <c:pt idx="139">
                  <c:v>441</c:v>
                </c:pt>
                <c:pt idx="140">
                  <c:v>387</c:v>
                </c:pt>
                <c:pt idx="141">
                  <c:v>338</c:v>
                </c:pt>
                <c:pt idx="142">
                  <c:v>293</c:v>
                </c:pt>
                <c:pt idx="143">
                  <c:v>229</c:v>
                </c:pt>
                <c:pt idx="144">
                  <c:v>177</c:v>
                </c:pt>
                <c:pt idx="145">
                  <c:v>166</c:v>
                </c:pt>
                <c:pt idx="146">
                  <c:v>146</c:v>
                </c:pt>
                <c:pt idx="147">
                  <c:v>117</c:v>
                </c:pt>
                <c:pt idx="148">
                  <c:v>83</c:v>
                </c:pt>
                <c:pt idx="149">
                  <c:v>46</c:v>
                </c:pt>
                <c:pt idx="150">
                  <c:v>7</c:v>
                </c:pt>
                <c:pt idx="151">
                  <c:v>0</c:v>
                </c:pt>
                <c:pt idx="302">
                  <c:v>7</c:v>
                </c:pt>
                <c:pt idx="303">
                  <c:v>16</c:v>
                </c:pt>
                <c:pt idx="304">
                  <c:v>11</c:v>
                </c:pt>
                <c:pt idx="305">
                  <c:v>54</c:v>
                </c:pt>
                <c:pt idx="306">
                  <c:v>41</c:v>
                </c:pt>
                <c:pt idx="307">
                  <c:v>45</c:v>
                </c:pt>
                <c:pt idx="308">
                  <c:v>130</c:v>
                </c:pt>
                <c:pt idx="309">
                  <c:v>123</c:v>
                </c:pt>
                <c:pt idx="310">
                  <c:v>122</c:v>
                </c:pt>
                <c:pt idx="311">
                  <c:v>124</c:v>
                </c:pt>
                <c:pt idx="312">
                  <c:v>123</c:v>
                </c:pt>
                <c:pt idx="313">
                  <c:v>122</c:v>
                </c:pt>
                <c:pt idx="314">
                  <c:v>128</c:v>
                </c:pt>
                <c:pt idx="315">
                  <c:v>166</c:v>
                </c:pt>
                <c:pt idx="316">
                  <c:v>155</c:v>
                </c:pt>
                <c:pt idx="317">
                  <c:v>150</c:v>
                </c:pt>
                <c:pt idx="318">
                  <c:v>144</c:v>
                </c:pt>
                <c:pt idx="319">
                  <c:v>142</c:v>
                </c:pt>
                <c:pt idx="320">
                  <c:v>141</c:v>
                </c:pt>
                <c:pt idx="321">
                  <c:v>157</c:v>
                </c:pt>
                <c:pt idx="322">
                  <c:v>157</c:v>
                </c:pt>
                <c:pt idx="323">
                  <c:v>156</c:v>
                </c:pt>
                <c:pt idx="324">
                  <c:v>146</c:v>
                </c:pt>
                <c:pt idx="325">
                  <c:v>145</c:v>
                </c:pt>
                <c:pt idx="326">
                  <c:v>143</c:v>
                </c:pt>
                <c:pt idx="327">
                  <c:v>190</c:v>
                </c:pt>
                <c:pt idx="328">
                  <c:v>210</c:v>
                </c:pt>
                <c:pt idx="329">
                  <c:v>230</c:v>
                </c:pt>
                <c:pt idx="330">
                  <c:v>277</c:v>
                </c:pt>
                <c:pt idx="331">
                  <c:v>291</c:v>
                </c:pt>
                <c:pt idx="332">
                  <c:v>272</c:v>
                </c:pt>
                <c:pt idx="333">
                  <c:v>358</c:v>
                </c:pt>
                <c:pt idx="334">
                  <c:v>329</c:v>
                </c:pt>
                <c:pt idx="335">
                  <c:v>318</c:v>
                </c:pt>
                <c:pt idx="336">
                  <c:v>330</c:v>
                </c:pt>
                <c:pt idx="337">
                  <c:v>291</c:v>
                </c:pt>
                <c:pt idx="338">
                  <c:v>294</c:v>
                </c:pt>
                <c:pt idx="339">
                  <c:v>294</c:v>
                </c:pt>
                <c:pt idx="340">
                  <c:v>290</c:v>
                </c:pt>
                <c:pt idx="341">
                  <c:v>285</c:v>
                </c:pt>
                <c:pt idx="342">
                  <c:v>289</c:v>
                </c:pt>
                <c:pt idx="343">
                  <c:v>360</c:v>
                </c:pt>
                <c:pt idx="344">
                  <c:v>360</c:v>
                </c:pt>
                <c:pt idx="345">
                  <c:v>361</c:v>
                </c:pt>
                <c:pt idx="346">
                  <c:v>365</c:v>
                </c:pt>
                <c:pt idx="347">
                  <c:v>359</c:v>
                </c:pt>
                <c:pt idx="348">
                  <c:v>450</c:v>
                </c:pt>
                <c:pt idx="349">
                  <c:v>553</c:v>
                </c:pt>
                <c:pt idx="350">
                  <c:v>578</c:v>
                </c:pt>
                <c:pt idx="351">
                  <c:v>555</c:v>
                </c:pt>
                <c:pt idx="352">
                  <c:v>555</c:v>
                </c:pt>
                <c:pt idx="353">
                  <c:v>556</c:v>
                </c:pt>
                <c:pt idx="354">
                  <c:v>549</c:v>
                </c:pt>
                <c:pt idx="355">
                  <c:v>566</c:v>
                </c:pt>
                <c:pt idx="356">
                  <c:v>553</c:v>
                </c:pt>
                <c:pt idx="357">
                  <c:v>539</c:v>
                </c:pt>
                <c:pt idx="358">
                  <c:v>520</c:v>
                </c:pt>
                <c:pt idx="359">
                  <c:v>538</c:v>
                </c:pt>
                <c:pt idx="360">
                  <c:v>574</c:v>
                </c:pt>
                <c:pt idx="361">
                  <c:v>635</c:v>
                </c:pt>
                <c:pt idx="362">
                  <c:v>630</c:v>
                </c:pt>
                <c:pt idx="363">
                  <c:v>606</c:v>
                </c:pt>
                <c:pt idx="364">
                  <c:v>589</c:v>
                </c:pt>
                <c:pt idx="365">
                  <c:v>606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77536"/>
        <c:axId val="237110784"/>
      </c:lineChart>
      <c:catAx>
        <c:axId val="23697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1078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7110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77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4762</xdr:rowOff>
    </xdr:from>
    <xdr:to>
      <xdr:col>20</xdr:col>
      <xdr:colOff>304800</xdr:colOff>
      <xdr:row>18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142875</xdr:colOff>
      <xdr:row>20</xdr:row>
      <xdr:rowOff>0</xdr:rowOff>
    </xdr:from>
    <xdr:to>
      <xdr:col>20</xdr:col>
      <xdr:colOff>447675</xdr:colOff>
      <xdr:row>36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0</xdr:rowOff>
    </xdr:from>
    <xdr:to>
      <xdr:col>20</xdr:col>
      <xdr:colOff>447675</xdr:colOff>
      <xdr:row>54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190500</xdr:colOff>
      <xdr:row>20</xdr:row>
      <xdr:rowOff>0</xdr:rowOff>
    </xdr:from>
    <xdr:to>
      <xdr:col>28</xdr:col>
      <xdr:colOff>495300</xdr:colOff>
      <xdr:row>36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190500</xdr:colOff>
      <xdr:row>38</xdr:row>
      <xdr:rowOff>0</xdr:rowOff>
    </xdr:from>
    <xdr:to>
      <xdr:col>28</xdr:col>
      <xdr:colOff>495300</xdr:colOff>
      <xdr:row>54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171450</xdr:colOff>
      <xdr:row>74</xdr:row>
      <xdr:rowOff>66675</xdr:rowOff>
    </xdr:from>
    <xdr:to>
      <xdr:col>20</xdr:col>
      <xdr:colOff>476250</xdr:colOff>
      <xdr:row>91</xdr:row>
      <xdr:rowOff>57150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142875</xdr:colOff>
      <xdr:row>56</xdr:row>
      <xdr:rowOff>0</xdr:rowOff>
    </xdr:from>
    <xdr:to>
      <xdr:col>20</xdr:col>
      <xdr:colOff>447675</xdr:colOff>
      <xdr:row>72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190500</xdr:colOff>
      <xdr:row>56</xdr:row>
      <xdr:rowOff>0</xdr:rowOff>
    </xdr:from>
    <xdr:to>
      <xdr:col>28</xdr:col>
      <xdr:colOff>495300</xdr:colOff>
      <xdr:row>72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190500</xdr:colOff>
      <xdr:row>2</xdr:row>
      <xdr:rowOff>0</xdr:rowOff>
    </xdr:from>
    <xdr:to>
      <xdr:col>28</xdr:col>
      <xdr:colOff>495300</xdr:colOff>
      <xdr:row>18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76200</xdr:colOff>
      <xdr:row>94</xdr:row>
      <xdr:rowOff>0</xdr:rowOff>
    </xdr:from>
    <xdr:to>
      <xdr:col>20</xdr:col>
      <xdr:colOff>381000</xdr:colOff>
      <xdr:row>110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112</xdr:row>
      <xdr:rowOff>9525</xdr:rowOff>
    </xdr:from>
    <xdr:to>
      <xdr:col>20</xdr:col>
      <xdr:colOff>304800</xdr:colOff>
      <xdr:row>129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130</xdr:row>
      <xdr:rowOff>9525</xdr:rowOff>
    </xdr:from>
    <xdr:to>
      <xdr:col>20</xdr:col>
      <xdr:colOff>304800</xdr:colOff>
      <xdr:row>147</xdr:row>
      <xdr:rowOff>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495300</xdr:colOff>
      <xdr:row>112</xdr:row>
      <xdr:rowOff>9525</xdr:rowOff>
    </xdr:from>
    <xdr:to>
      <xdr:col>29</xdr:col>
      <xdr:colOff>190500</xdr:colOff>
      <xdr:row>129</xdr:row>
      <xdr:rowOff>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495300</xdr:colOff>
      <xdr:row>130</xdr:row>
      <xdr:rowOff>9525</xdr:rowOff>
    </xdr:from>
    <xdr:to>
      <xdr:col>29</xdr:col>
      <xdr:colOff>190500</xdr:colOff>
      <xdr:row>147</xdr:row>
      <xdr:rowOff>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148</xdr:row>
      <xdr:rowOff>9525</xdr:rowOff>
    </xdr:from>
    <xdr:to>
      <xdr:col>20</xdr:col>
      <xdr:colOff>304800</xdr:colOff>
      <xdr:row>165</xdr:row>
      <xdr:rowOff>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495300</xdr:colOff>
      <xdr:row>94</xdr:row>
      <xdr:rowOff>9525</xdr:rowOff>
    </xdr:from>
    <xdr:to>
      <xdr:col>29</xdr:col>
      <xdr:colOff>190500</xdr:colOff>
      <xdr:row>111</xdr:row>
      <xdr:rowOff>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375</xdr:row>
      <xdr:rowOff>0</xdr:rowOff>
    </xdr:from>
    <xdr:to>
      <xdr:col>22</xdr:col>
      <xdr:colOff>219075</xdr:colOff>
      <xdr:row>395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145</xdr:col>
      <xdr:colOff>0</xdr:colOff>
      <xdr:row>86</xdr:row>
      <xdr:rowOff>0</xdr:rowOff>
    </xdr:from>
    <xdr:to>
      <xdr:col>152</xdr:col>
      <xdr:colOff>304800</xdr:colOff>
      <xdr:row>102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24317708332" createdVersion="4" refreshedVersion="4" minRefreshableVersion="3" recordCount="366">
  <cacheSource type="worksheet">
    <worksheetSource ref="C6:E372" sheet="DerVar"/>
  </cacheSource>
  <cacheFields count="3">
    <cacheField name="YrMn" numFmtId="0">
      <sharedItems containsSemiMixedTypes="0" containsString="0" containsNumber="1" containsInteger="1" minValue="200001" maxValue="200012" count="12">
        <n v="200001"/>
        <n v="200002"/>
        <n v="200003"/>
        <n v="200004"/>
        <n v="200005"/>
        <n v="200006"/>
        <n v="200007"/>
        <n v="200008"/>
        <n v="200009"/>
        <n v="200010"/>
        <n v="200011"/>
        <n v="200012"/>
      </sharedItems>
    </cacheField>
    <cacheField name="DD&lt;0" numFmtId="0">
      <sharedItems containsSemiMixedTypes="0" containsString="0" containsNumber="1" minValue="0" maxValue="22.2"/>
    </cacheField>
    <cacheField name="DD&gt;5" numFmtId="0">
      <sharedItems containsSemiMixedTypes="0" containsString="0" containsNumber="1" minValue="0" maxValue="1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n v="9.1"/>
    <n v="0"/>
  </r>
  <r>
    <x v="0"/>
    <n v="7.6"/>
    <n v="0"/>
  </r>
  <r>
    <x v="0"/>
    <n v="7.4"/>
    <n v="0"/>
  </r>
  <r>
    <x v="0"/>
    <n v="7"/>
    <n v="0"/>
  </r>
  <r>
    <x v="0"/>
    <n v="7.2"/>
    <n v="0"/>
  </r>
  <r>
    <x v="0"/>
    <n v="7.5"/>
    <n v="0"/>
  </r>
  <r>
    <x v="0"/>
    <n v="6.8"/>
    <n v="0"/>
  </r>
  <r>
    <x v="0"/>
    <n v="6.4"/>
    <n v="0"/>
  </r>
  <r>
    <x v="0"/>
    <n v="6.9"/>
    <n v="0"/>
  </r>
  <r>
    <x v="0"/>
    <n v="10"/>
    <n v="0"/>
  </r>
  <r>
    <x v="0"/>
    <n v="11"/>
    <n v="0"/>
  </r>
  <r>
    <x v="0"/>
    <n v="10.1"/>
    <n v="0"/>
  </r>
  <r>
    <x v="0"/>
    <n v="9.8000000000000007"/>
    <n v="0"/>
  </r>
  <r>
    <x v="0"/>
    <n v="9"/>
    <n v="0"/>
  </r>
  <r>
    <x v="0"/>
    <n v="9"/>
    <n v="0"/>
  </r>
  <r>
    <x v="0"/>
    <n v="10.8"/>
    <n v="0"/>
  </r>
  <r>
    <x v="0"/>
    <n v="7.6"/>
    <n v="0"/>
  </r>
  <r>
    <x v="0"/>
    <n v="9.8000000000000007"/>
    <n v="0"/>
  </r>
  <r>
    <x v="0"/>
    <n v="13.9"/>
    <n v="0"/>
  </r>
  <r>
    <x v="0"/>
    <n v="17.2"/>
    <n v="0"/>
  </r>
  <r>
    <x v="0"/>
    <n v="11"/>
    <n v="0"/>
  </r>
  <r>
    <x v="0"/>
    <n v="8.4"/>
    <n v="0"/>
  </r>
  <r>
    <x v="0"/>
    <n v="8.4"/>
    <n v="0"/>
  </r>
  <r>
    <x v="0"/>
    <n v="10.1"/>
    <n v="0"/>
  </r>
  <r>
    <x v="0"/>
    <n v="12.9"/>
    <n v="0"/>
  </r>
  <r>
    <x v="0"/>
    <n v="8"/>
    <n v="0"/>
  </r>
  <r>
    <x v="0"/>
    <n v="6.8"/>
    <n v="0"/>
  </r>
  <r>
    <x v="0"/>
    <n v="10.3"/>
    <n v="0"/>
  </r>
  <r>
    <x v="0"/>
    <n v="10.6"/>
    <n v="0"/>
  </r>
  <r>
    <x v="0"/>
    <n v="13.7"/>
    <n v="0"/>
  </r>
  <r>
    <x v="0"/>
    <n v="11.4"/>
    <n v="0"/>
  </r>
  <r>
    <x v="1"/>
    <n v="8.4"/>
    <n v="0"/>
  </r>
  <r>
    <x v="1"/>
    <n v="6.3"/>
    <n v="0"/>
  </r>
  <r>
    <x v="1"/>
    <n v="6.8"/>
    <n v="0"/>
  </r>
  <r>
    <x v="1"/>
    <n v="9.4"/>
    <n v="0"/>
  </r>
  <r>
    <x v="1"/>
    <n v="7.7"/>
    <n v="0"/>
  </r>
  <r>
    <x v="1"/>
    <n v="7.8"/>
    <n v="0"/>
  </r>
  <r>
    <x v="1"/>
    <n v="6.8"/>
    <n v="0"/>
  </r>
  <r>
    <x v="1"/>
    <n v="6.3"/>
    <n v="0"/>
  </r>
  <r>
    <x v="1"/>
    <n v="5.9"/>
    <n v="0"/>
  </r>
  <r>
    <x v="1"/>
    <n v="5.0999999999999996"/>
    <n v="0"/>
  </r>
  <r>
    <x v="1"/>
    <n v="6.3"/>
    <n v="0"/>
  </r>
  <r>
    <x v="1"/>
    <n v="6.4"/>
    <n v="0"/>
  </r>
  <r>
    <x v="1"/>
    <n v="8.1"/>
    <n v="0"/>
  </r>
  <r>
    <x v="1"/>
    <n v="13.1"/>
    <n v="0"/>
  </r>
  <r>
    <x v="1"/>
    <n v="7.8"/>
    <n v="0"/>
  </r>
  <r>
    <x v="1"/>
    <n v="8.6999999999999993"/>
    <n v="0"/>
  </r>
  <r>
    <x v="1"/>
    <n v="11.3"/>
    <n v="0"/>
  </r>
  <r>
    <x v="1"/>
    <n v="11.6"/>
    <n v="0"/>
  </r>
  <r>
    <x v="1"/>
    <n v="9.4"/>
    <n v="0"/>
  </r>
  <r>
    <x v="1"/>
    <n v="9.1"/>
    <n v="0"/>
  </r>
  <r>
    <x v="1"/>
    <n v="7.4"/>
    <n v="0"/>
  </r>
  <r>
    <x v="1"/>
    <n v="5.7"/>
    <n v="0"/>
  </r>
  <r>
    <x v="1"/>
    <n v="3.9"/>
    <n v="0"/>
  </r>
  <r>
    <x v="1"/>
    <n v="4.4000000000000004"/>
    <n v="0"/>
  </r>
  <r>
    <x v="1"/>
    <n v="5.4"/>
    <n v="0"/>
  </r>
  <r>
    <x v="1"/>
    <n v="5.5"/>
    <n v="0"/>
  </r>
  <r>
    <x v="1"/>
    <n v="7.1"/>
    <n v="0"/>
  </r>
  <r>
    <x v="1"/>
    <n v="3.9"/>
    <n v="0"/>
  </r>
  <r>
    <x v="1"/>
    <n v="4.4000000000000004"/>
    <n v="0"/>
  </r>
  <r>
    <x v="2"/>
    <n v="3.6"/>
    <n v="0"/>
  </r>
  <r>
    <x v="2"/>
    <n v="1.7"/>
    <n v="0"/>
  </r>
  <r>
    <x v="2"/>
    <n v="2.1"/>
    <n v="0"/>
  </r>
  <r>
    <x v="2"/>
    <n v="3"/>
    <n v="0"/>
  </r>
  <r>
    <x v="2"/>
    <n v="6.6"/>
    <n v="0"/>
  </r>
  <r>
    <x v="2"/>
    <n v="7"/>
    <n v="0"/>
  </r>
  <r>
    <x v="2"/>
    <n v="8.9"/>
    <n v="0"/>
  </r>
  <r>
    <x v="2"/>
    <n v="3.4"/>
    <n v="0"/>
  </r>
  <r>
    <x v="2"/>
    <n v="1.5"/>
    <n v="0"/>
  </r>
  <r>
    <x v="2"/>
    <n v="0.8"/>
    <n v="0"/>
  </r>
  <r>
    <x v="2"/>
    <n v="1.6"/>
    <n v="0"/>
  </r>
  <r>
    <x v="2"/>
    <n v="3.8"/>
    <n v="0"/>
  </r>
  <r>
    <x v="2"/>
    <n v="2.2999999999999998"/>
    <n v="0"/>
  </r>
  <r>
    <x v="2"/>
    <n v="2.8"/>
    <n v="0"/>
  </r>
  <r>
    <x v="2"/>
    <n v="3.5"/>
    <n v="0"/>
  </r>
  <r>
    <x v="2"/>
    <n v="2.2999999999999998"/>
    <n v="0"/>
  </r>
  <r>
    <x v="2"/>
    <n v="4"/>
    <n v="0"/>
  </r>
  <r>
    <x v="2"/>
    <n v="2.7"/>
    <n v="0"/>
  </r>
  <r>
    <x v="2"/>
    <n v="5.0999999999999996"/>
    <n v="0"/>
  </r>
  <r>
    <x v="2"/>
    <n v="6.8"/>
    <n v="0"/>
  </r>
  <r>
    <x v="2"/>
    <n v="0.6"/>
    <n v="0"/>
  </r>
  <r>
    <x v="2"/>
    <n v="0"/>
    <n v="0"/>
  </r>
  <r>
    <x v="2"/>
    <n v="2.8"/>
    <n v="0"/>
  </r>
  <r>
    <x v="2"/>
    <n v="2.2999999999999998"/>
    <n v="0"/>
  </r>
  <r>
    <x v="2"/>
    <n v="2.9"/>
    <n v="0"/>
  </r>
  <r>
    <x v="2"/>
    <n v="1.4"/>
    <n v="0"/>
  </r>
  <r>
    <x v="2"/>
    <n v="0"/>
    <n v="0"/>
  </r>
  <r>
    <x v="2"/>
    <n v="2.5"/>
    <n v="0"/>
  </r>
  <r>
    <x v="2"/>
    <n v="3.9"/>
    <n v="0"/>
  </r>
  <r>
    <x v="2"/>
    <n v="4.3"/>
    <n v="0"/>
  </r>
  <r>
    <x v="2"/>
    <n v="0.5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2.9"/>
    <n v="0"/>
  </r>
  <r>
    <x v="3"/>
    <n v="5"/>
    <n v="0"/>
  </r>
  <r>
    <x v="3"/>
    <n v="3.8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.2"/>
    <n v="0"/>
  </r>
  <r>
    <x v="3"/>
    <n v="2.9"/>
    <n v="0"/>
  </r>
  <r>
    <x v="3"/>
    <n v="0.1"/>
    <n v="0"/>
  </r>
  <r>
    <x v="3"/>
    <n v="0.1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1.4"/>
  </r>
  <r>
    <x v="3"/>
    <n v="0"/>
    <n v="0"/>
  </r>
  <r>
    <x v="3"/>
    <n v="0.2"/>
    <n v="0"/>
  </r>
  <r>
    <x v="3"/>
    <n v="3.2"/>
    <n v="0"/>
  </r>
  <r>
    <x v="3"/>
    <n v="1.2"/>
    <n v="0"/>
  </r>
  <r>
    <x v="3"/>
    <n v="0"/>
    <n v="0"/>
  </r>
  <r>
    <x v="3"/>
    <n v="0"/>
    <n v="4.0999999999999996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1.3"/>
    <n v="0"/>
  </r>
  <r>
    <x v="4"/>
    <n v="1.5"/>
    <n v="0"/>
  </r>
  <r>
    <x v="4"/>
    <n v="1.8"/>
    <n v="0"/>
  </r>
  <r>
    <x v="4"/>
    <n v="1.2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3"/>
  </r>
  <r>
    <x v="4"/>
    <n v="0"/>
    <n v="2.4"/>
  </r>
  <r>
    <x v="4"/>
    <n v="0"/>
    <n v="0"/>
  </r>
  <r>
    <x v="4"/>
    <n v="0"/>
    <n v="0"/>
  </r>
  <r>
    <x v="4"/>
    <n v="0"/>
    <n v="0.6"/>
  </r>
  <r>
    <x v="4"/>
    <n v="0"/>
    <n v="0"/>
  </r>
  <r>
    <x v="4"/>
    <n v="0"/>
    <n v="2.5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1.5"/>
  </r>
  <r>
    <x v="5"/>
    <n v="0"/>
    <n v="2.5"/>
  </r>
  <r>
    <x v="5"/>
    <n v="0"/>
    <n v="3"/>
  </r>
  <r>
    <x v="5"/>
    <n v="0"/>
    <n v="2.1"/>
  </r>
  <r>
    <x v="5"/>
    <n v="0"/>
    <n v="3.1"/>
  </r>
  <r>
    <x v="5"/>
    <n v="0"/>
    <n v="1.3"/>
  </r>
  <r>
    <x v="5"/>
    <n v="0"/>
    <n v="0.5"/>
  </r>
  <r>
    <x v="5"/>
    <n v="0"/>
    <n v="0"/>
  </r>
  <r>
    <x v="5"/>
    <n v="0"/>
    <n v="0"/>
  </r>
  <r>
    <x v="5"/>
    <n v="0"/>
    <n v="0"/>
  </r>
  <r>
    <x v="5"/>
    <n v="0"/>
    <n v="1"/>
  </r>
  <r>
    <x v="5"/>
    <n v="0"/>
    <n v="0.6"/>
  </r>
  <r>
    <x v="5"/>
    <n v="0"/>
    <n v="0.1"/>
  </r>
  <r>
    <x v="5"/>
    <n v="0"/>
    <n v="3"/>
  </r>
  <r>
    <x v="5"/>
    <n v="0"/>
    <n v="5.0999999999999996"/>
  </r>
  <r>
    <x v="5"/>
    <n v="0"/>
    <n v="1.8"/>
  </r>
  <r>
    <x v="5"/>
    <n v="0"/>
    <n v="2.4"/>
  </r>
  <r>
    <x v="5"/>
    <n v="0"/>
    <n v="3.4"/>
  </r>
  <r>
    <x v="5"/>
    <n v="0"/>
    <n v="2.8"/>
  </r>
  <r>
    <x v="5"/>
    <n v="0"/>
    <n v="2.9"/>
  </r>
  <r>
    <x v="5"/>
    <n v="0"/>
    <n v="4.2"/>
  </r>
  <r>
    <x v="5"/>
    <n v="0"/>
    <n v="1.8"/>
  </r>
  <r>
    <x v="5"/>
    <n v="0"/>
    <n v="5.6"/>
  </r>
  <r>
    <x v="5"/>
    <n v="0"/>
    <n v="7.8"/>
  </r>
  <r>
    <x v="5"/>
    <n v="0"/>
    <n v="9.1999999999999993"/>
  </r>
  <r>
    <x v="5"/>
    <n v="0"/>
    <n v="8"/>
  </r>
  <r>
    <x v="5"/>
    <n v="0"/>
    <n v="7.3"/>
  </r>
  <r>
    <x v="5"/>
    <n v="0"/>
    <n v="5.7"/>
  </r>
  <r>
    <x v="6"/>
    <n v="0"/>
    <n v="3.2"/>
  </r>
  <r>
    <x v="6"/>
    <n v="0"/>
    <n v="0.1"/>
  </r>
  <r>
    <x v="6"/>
    <n v="0"/>
    <n v="1.7"/>
  </r>
  <r>
    <x v="6"/>
    <n v="0"/>
    <n v="0"/>
  </r>
  <r>
    <x v="6"/>
    <n v="0"/>
    <n v="2.1"/>
  </r>
  <r>
    <x v="6"/>
    <n v="0"/>
    <n v="3.5"/>
  </r>
  <r>
    <x v="6"/>
    <n v="0"/>
    <n v="4.4000000000000004"/>
  </r>
  <r>
    <x v="6"/>
    <n v="0"/>
    <n v="4.5"/>
  </r>
  <r>
    <x v="6"/>
    <n v="0"/>
    <n v="2.5"/>
  </r>
  <r>
    <x v="6"/>
    <n v="0"/>
    <n v="3.3"/>
  </r>
  <r>
    <x v="6"/>
    <n v="0"/>
    <n v="6.2"/>
  </r>
  <r>
    <x v="6"/>
    <n v="0"/>
    <n v="7.7"/>
  </r>
  <r>
    <x v="6"/>
    <n v="0"/>
    <n v="7.8"/>
  </r>
  <r>
    <x v="6"/>
    <n v="0"/>
    <n v="4.0999999999999996"/>
  </r>
  <r>
    <x v="6"/>
    <n v="0"/>
    <n v="2.4"/>
  </r>
  <r>
    <x v="6"/>
    <n v="0"/>
    <n v="5.5"/>
  </r>
  <r>
    <x v="6"/>
    <n v="0"/>
    <n v="8.4"/>
  </r>
  <r>
    <x v="6"/>
    <n v="0"/>
    <n v="9.3000000000000007"/>
  </r>
  <r>
    <x v="6"/>
    <n v="0"/>
    <n v="9.6"/>
  </r>
  <r>
    <x v="6"/>
    <n v="0"/>
    <n v="8.5"/>
  </r>
  <r>
    <x v="6"/>
    <n v="0"/>
    <n v="10.1"/>
  </r>
  <r>
    <x v="6"/>
    <n v="0"/>
    <n v="8.6"/>
  </r>
  <r>
    <x v="6"/>
    <n v="0"/>
    <n v="3.2"/>
  </r>
  <r>
    <x v="6"/>
    <n v="0"/>
    <n v="6.1"/>
  </r>
  <r>
    <x v="6"/>
    <n v="0"/>
    <n v="5.5"/>
  </r>
  <r>
    <x v="6"/>
    <n v="0"/>
    <n v="5.7"/>
  </r>
  <r>
    <x v="6"/>
    <n v="0"/>
    <n v="5.0999999999999996"/>
  </r>
  <r>
    <x v="6"/>
    <n v="0"/>
    <n v="4.5999999999999996"/>
  </r>
  <r>
    <x v="6"/>
    <n v="0"/>
    <n v="5.6"/>
  </r>
  <r>
    <x v="6"/>
    <n v="0"/>
    <n v="5.7"/>
  </r>
  <r>
    <x v="6"/>
    <n v="0"/>
    <n v="6.5"/>
  </r>
  <r>
    <x v="7"/>
    <n v="0"/>
    <n v="7.3"/>
  </r>
  <r>
    <x v="7"/>
    <n v="0"/>
    <n v="7.5"/>
  </r>
  <r>
    <x v="7"/>
    <n v="0"/>
    <n v="7.4"/>
  </r>
  <r>
    <x v="7"/>
    <n v="0"/>
    <n v="8.9"/>
  </r>
  <r>
    <x v="7"/>
    <n v="0"/>
    <n v="10.5"/>
  </r>
  <r>
    <x v="7"/>
    <n v="0"/>
    <n v="9.4"/>
  </r>
  <r>
    <x v="7"/>
    <n v="0"/>
    <n v="8.6999999999999993"/>
  </r>
  <r>
    <x v="7"/>
    <n v="0"/>
    <n v="10.199999999999999"/>
  </r>
  <r>
    <x v="7"/>
    <n v="0"/>
    <n v="9.1999999999999993"/>
  </r>
  <r>
    <x v="7"/>
    <n v="0"/>
    <n v="7.9"/>
  </r>
  <r>
    <x v="7"/>
    <n v="0"/>
    <n v="5"/>
  </r>
  <r>
    <x v="7"/>
    <n v="0"/>
    <n v="4.5999999999999996"/>
  </r>
  <r>
    <x v="7"/>
    <n v="0"/>
    <n v="3.2"/>
  </r>
  <r>
    <x v="7"/>
    <n v="0"/>
    <n v="4"/>
  </r>
  <r>
    <x v="7"/>
    <n v="0"/>
    <n v="4.4000000000000004"/>
  </r>
  <r>
    <x v="7"/>
    <n v="0"/>
    <n v="6"/>
  </r>
  <r>
    <x v="7"/>
    <n v="0"/>
    <n v="7.8"/>
  </r>
  <r>
    <x v="7"/>
    <n v="0"/>
    <n v="3"/>
  </r>
  <r>
    <x v="7"/>
    <n v="0"/>
    <n v="0.5"/>
  </r>
  <r>
    <x v="7"/>
    <n v="0"/>
    <n v="0.6"/>
  </r>
  <r>
    <x v="7"/>
    <n v="0"/>
    <n v="3.4"/>
  </r>
  <r>
    <x v="7"/>
    <n v="0"/>
    <n v="7.3"/>
  </r>
  <r>
    <x v="7"/>
    <n v="0"/>
    <n v="9.5"/>
  </r>
  <r>
    <x v="7"/>
    <n v="0"/>
    <n v="7.6"/>
  </r>
  <r>
    <x v="7"/>
    <n v="0"/>
    <n v="6.6"/>
  </r>
  <r>
    <x v="7"/>
    <n v="0"/>
    <n v="0.7"/>
  </r>
  <r>
    <x v="7"/>
    <n v="0"/>
    <n v="0"/>
  </r>
  <r>
    <x v="7"/>
    <n v="0"/>
    <n v="0.5"/>
  </r>
  <r>
    <x v="7"/>
    <n v="0"/>
    <n v="0.5"/>
  </r>
  <r>
    <x v="7"/>
    <n v="0"/>
    <n v="1.6"/>
  </r>
  <r>
    <x v="7"/>
    <n v="0"/>
    <n v="2.1"/>
  </r>
  <r>
    <x v="8"/>
    <n v="0"/>
    <n v="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2.1"/>
  </r>
  <r>
    <x v="8"/>
    <n v="0"/>
    <n v="1.5"/>
  </r>
  <r>
    <x v="8"/>
    <n v="0"/>
    <n v="0"/>
  </r>
  <r>
    <x v="8"/>
    <n v="0"/>
    <n v="0"/>
  </r>
  <r>
    <x v="8"/>
    <n v="0"/>
    <n v="0"/>
  </r>
  <r>
    <x v="8"/>
    <n v="0"/>
    <n v="0.5"/>
  </r>
  <r>
    <x v="8"/>
    <n v="0"/>
    <n v="2.5"/>
  </r>
  <r>
    <x v="8"/>
    <n v="0"/>
    <n v="4.2"/>
  </r>
  <r>
    <x v="8"/>
    <n v="0"/>
    <n v="6.8"/>
  </r>
  <r>
    <x v="8"/>
    <n v="0"/>
    <n v="6.9"/>
  </r>
  <r>
    <x v="8"/>
    <n v="0"/>
    <n v="6.3"/>
  </r>
  <r>
    <x v="8"/>
    <n v="0"/>
    <n v="5.4"/>
  </r>
  <r>
    <x v="8"/>
    <n v="0"/>
    <n v="1.8"/>
  </r>
  <r>
    <x v="8"/>
    <n v="0"/>
    <n v="0.4"/>
  </r>
  <r>
    <x v="8"/>
    <n v="0"/>
    <n v="0"/>
  </r>
  <r>
    <x v="8"/>
    <n v="0"/>
    <n v="0"/>
  </r>
  <r>
    <x v="8"/>
    <n v="0.6"/>
    <n v="0"/>
  </r>
  <r>
    <x v="8"/>
    <n v="0"/>
    <n v="0"/>
  </r>
  <r>
    <x v="8"/>
    <n v="0"/>
    <n v="0"/>
  </r>
  <r>
    <x v="8"/>
    <n v="0"/>
    <n v="0.2"/>
  </r>
  <r>
    <x v="8"/>
    <n v="0"/>
    <n v="0.9"/>
  </r>
  <r>
    <x v="8"/>
    <n v="0"/>
    <n v="2"/>
  </r>
  <r>
    <x v="8"/>
    <n v="0"/>
    <n v="3.7"/>
  </r>
  <r>
    <x v="8"/>
    <n v="0"/>
    <n v="2.1"/>
  </r>
  <r>
    <x v="8"/>
    <n v="0"/>
    <n v="1.7"/>
  </r>
  <r>
    <x v="9"/>
    <n v="0"/>
    <n v="0"/>
  </r>
  <r>
    <x v="9"/>
    <n v="0"/>
    <n v="0"/>
  </r>
  <r>
    <x v="9"/>
    <n v="1"/>
    <n v="0"/>
  </r>
  <r>
    <x v="9"/>
    <n v="1.2"/>
    <n v="0"/>
  </r>
  <r>
    <x v="9"/>
    <n v="4"/>
    <n v="0"/>
  </r>
  <r>
    <x v="9"/>
    <n v="0"/>
    <n v="0"/>
  </r>
  <r>
    <x v="9"/>
    <n v="0"/>
    <n v="0.3"/>
  </r>
  <r>
    <x v="9"/>
    <n v="0"/>
    <n v="0.3"/>
  </r>
  <r>
    <x v="9"/>
    <n v="0"/>
    <n v="3.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.7"/>
  </r>
  <r>
    <x v="9"/>
    <n v="0"/>
    <n v="0"/>
  </r>
  <r>
    <x v="9"/>
    <n v="0.1"/>
    <n v="0"/>
  </r>
  <r>
    <x v="9"/>
    <n v="0"/>
    <n v="0"/>
  </r>
  <r>
    <x v="9"/>
    <n v="3.3"/>
    <n v="0"/>
  </r>
  <r>
    <x v="9"/>
    <n v="1.5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1000000000000001"/>
    <n v="0"/>
  </r>
  <r>
    <x v="9"/>
    <n v="0.7"/>
    <n v="0"/>
  </r>
  <r>
    <x v="9"/>
    <n v="1"/>
    <n v="0"/>
  </r>
  <r>
    <x v="10"/>
    <n v="4.3"/>
    <n v="0"/>
  </r>
  <r>
    <x v="10"/>
    <n v="4.0999999999999996"/>
    <n v="0"/>
  </r>
  <r>
    <x v="10"/>
    <n v="0.4"/>
    <n v="0"/>
  </r>
  <r>
    <x v="10"/>
    <n v="0.5"/>
    <n v="0"/>
  </r>
  <r>
    <x v="10"/>
    <n v="5.7"/>
    <n v="0"/>
  </r>
  <r>
    <x v="10"/>
    <n v="6.3"/>
    <n v="0"/>
  </r>
  <r>
    <x v="10"/>
    <n v="4"/>
    <n v="0"/>
  </r>
  <r>
    <x v="10"/>
    <n v="3.8"/>
    <n v="0"/>
  </r>
  <r>
    <x v="10"/>
    <n v="5.7"/>
    <n v="0"/>
  </r>
  <r>
    <x v="10"/>
    <n v="9.6"/>
    <n v="0"/>
  </r>
  <r>
    <x v="10"/>
    <n v="9.6"/>
    <n v="0"/>
  </r>
  <r>
    <x v="10"/>
    <n v="7.9"/>
    <n v="0"/>
  </r>
  <r>
    <x v="10"/>
    <n v="8.6"/>
    <n v="0"/>
  </r>
  <r>
    <x v="10"/>
    <n v="10.3"/>
    <n v="0"/>
  </r>
  <r>
    <x v="10"/>
    <n v="8.6"/>
    <n v="0"/>
  </r>
  <r>
    <x v="10"/>
    <n v="9.3000000000000007"/>
    <n v="0"/>
  </r>
  <r>
    <x v="10"/>
    <n v="8.9"/>
    <n v="0"/>
  </r>
  <r>
    <x v="10"/>
    <n v="6.4"/>
    <n v="0"/>
  </r>
  <r>
    <x v="10"/>
    <n v="5.7"/>
    <n v="0"/>
  </r>
  <r>
    <x v="10"/>
    <n v="6.9"/>
    <n v="0"/>
  </r>
  <r>
    <x v="10"/>
    <n v="6.2"/>
    <n v="0"/>
  </r>
  <r>
    <x v="10"/>
    <n v="8.4"/>
    <n v="0"/>
  </r>
  <r>
    <x v="10"/>
    <n v="7"/>
    <n v="0"/>
  </r>
  <r>
    <x v="10"/>
    <n v="3.1"/>
    <n v="0"/>
  </r>
  <r>
    <x v="10"/>
    <n v="3.3"/>
    <n v="0"/>
  </r>
  <r>
    <x v="10"/>
    <n v="3.6"/>
    <n v="0"/>
  </r>
  <r>
    <x v="10"/>
    <n v="5.3"/>
    <n v="0"/>
  </r>
  <r>
    <x v="10"/>
    <n v="7.2"/>
    <n v="0"/>
  </r>
  <r>
    <x v="10"/>
    <n v="4.9000000000000004"/>
    <n v="0"/>
  </r>
  <r>
    <x v="10"/>
    <n v="4.5"/>
    <n v="0"/>
  </r>
  <r>
    <x v="11"/>
    <n v="1.6"/>
    <n v="0"/>
  </r>
  <r>
    <x v="11"/>
    <n v="1.7"/>
    <n v="0"/>
  </r>
  <r>
    <x v="11"/>
    <n v="6.3"/>
    <n v="0"/>
  </r>
  <r>
    <x v="11"/>
    <n v="9.5"/>
    <n v="0"/>
  </r>
  <r>
    <x v="11"/>
    <n v="6.2"/>
    <n v="0"/>
  </r>
  <r>
    <x v="11"/>
    <n v="4.5999999999999996"/>
    <n v="0"/>
  </r>
  <r>
    <x v="11"/>
    <n v="8.1"/>
    <n v="0"/>
  </r>
  <r>
    <x v="11"/>
    <n v="9.1999999999999993"/>
    <n v="0"/>
  </r>
  <r>
    <x v="11"/>
    <n v="10.6"/>
    <n v="0"/>
  </r>
  <r>
    <x v="11"/>
    <n v="15.9"/>
    <n v="0"/>
  </r>
  <r>
    <x v="11"/>
    <n v="20.3"/>
    <n v="0"/>
  </r>
  <r>
    <x v="11"/>
    <n v="20.6"/>
    <n v="0"/>
  </r>
  <r>
    <x v="11"/>
    <n v="19.899999999999999"/>
    <n v="0"/>
  </r>
  <r>
    <x v="11"/>
    <n v="16.8"/>
    <n v="0"/>
  </r>
  <r>
    <x v="11"/>
    <n v="22.2"/>
    <n v="0"/>
  </r>
  <r>
    <x v="11"/>
    <n v="13.6"/>
    <n v="0"/>
  </r>
  <r>
    <x v="11"/>
    <n v="8.3000000000000007"/>
    <n v="0"/>
  </r>
  <r>
    <x v="11"/>
    <n v="9.6999999999999993"/>
    <n v="0"/>
  </r>
  <r>
    <x v="11"/>
    <n v="8.6999999999999993"/>
    <n v="0"/>
  </r>
  <r>
    <x v="11"/>
    <n v="16.600000000000001"/>
    <n v="0"/>
  </r>
  <r>
    <x v="11"/>
    <n v="11.7"/>
    <n v="0"/>
  </r>
  <r>
    <x v="11"/>
    <n v="5.2"/>
    <n v="0"/>
  </r>
  <r>
    <x v="11"/>
    <n v="3.7"/>
    <n v="0"/>
  </r>
  <r>
    <x v="11"/>
    <n v="4"/>
    <n v="0"/>
  </r>
  <r>
    <x v="11"/>
    <n v="4.0999999999999996"/>
    <n v="0"/>
  </r>
  <r>
    <x v="11"/>
    <n v="3.2"/>
    <n v="0"/>
  </r>
  <r>
    <x v="11"/>
    <n v="4.0999999999999996"/>
    <n v="0"/>
  </r>
  <r>
    <x v="11"/>
    <n v="10.199999999999999"/>
    <n v="0"/>
  </r>
  <r>
    <x v="11"/>
    <n v="5.8"/>
    <n v="0"/>
  </r>
  <r>
    <x v="11"/>
    <n v="5.7"/>
    <n v="0"/>
  </r>
  <r>
    <x v="11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"/>
  <sheetViews>
    <sheetView workbookViewId="0">
      <selection activeCell="A2" sqref="A2"/>
    </sheetView>
  </sheetViews>
  <sheetFormatPr defaultRowHeight="12.75" x14ac:dyDescent="0.2"/>
  <cols>
    <col min="1" max="16384" width="9.140625" style="3"/>
  </cols>
  <sheetData>
    <row r="1" spans="1:14" x14ac:dyDescent="0.2">
      <c r="A1" s="3" t="s">
        <v>143</v>
      </c>
      <c r="N1" s="1" t="s">
        <v>142</v>
      </c>
    </row>
    <row r="2" spans="1:14" x14ac:dyDescent="0.2">
      <c r="A2" s="1" t="s">
        <v>219</v>
      </c>
    </row>
    <row r="3" spans="1:14" x14ac:dyDescent="0.2">
      <c r="B3" s="3" t="s">
        <v>172</v>
      </c>
    </row>
    <row r="4" spans="1:14" x14ac:dyDescent="0.2">
      <c r="B4" s="3" t="s">
        <v>171</v>
      </c>
    </row>
    <row r="5" spans="1:14" x14ac:dyDescent="0.2">
      <c r="A5" s="3" t="s">
        <v>144</v>
      </c>
    </row>
    <row r="6" spans="1:14" x14ac:dyDescent="0.2">
      <c r="B6" s="3" t="s">
        <v>173</v>
      </c>
    </row>
    <row r="7" spans="1:14" x14ac:dyDescent="0.2">
      <c r="B7" s="3" t="s">
        <v>145</v>
      </c>
    </row>
    <row r="8" spans="1:14" x14ac:dyDescent="0.2">
      <c r="A8" s="3" t="s">
        <v>153</v>
      </c>
    </row>
    <row r="9" spans="1:14" x14ac:dyDescent="0.2">
      <c r="B9" s="3" t="s">
        <v>154</v>
      </c>
      <c r="I9" s="3" t="s">
        <v>236</v>
      </c>
    </row>
    <row r="10" spans="1:14" x14ac:dyDescent="0.2">
      <c r="A10" s="3" t="s">
        <v>146</v>
      </c>
      <c r="H10" s="3" t="s">
        <v>158</v>
      </c>
    </row>
    <row r="11" spans="1:14" x14ac:dyDescent="0.2">
      <c r="B11" s="3" t="s">
        <v>155</v>
      </c>
      <c r="I11" s="3" t="s">
        <v>160</v>
      </c>
    </row>
    <row r="12" spans="1:14" x14ac:dyDescent="0.2">
      <c r="B12" s="3" t="s">
        <v>169</v>
      </c>
      <c r="I12" s="3" t="s">
        <v>161</v>
      </c>
    </row>
    <row r="13" spans="1:14" x14ac:dyDescent="0.2">
      <c r="I13" s="3" t="s">
        <v>166</v>
      </c>
    </row>
    <row r="14" spans="1:14" x14ac:dyDescent="0.2">
      <c r="H14" s="3" t="s">
        <v>159</v>
      </c>
    </row>
    <row r="15" spans="1:14" x14ac:dyDescent="0.2">
      <c r="A15" s="3" t="s">
        <v>147</v>
      </c>
      <c r="I15" s="3" t="s">
        <v>162</v>
      </c>
    </row>
    <row r="16" spans="1:14" x14ac:dyDescent="0.2">
      <c r="B16" s="3" t="s">
        <v>155</v>
      </c>
      <c r="I16" s="3" t="s">
        <v>163</v>
      </c>
    </row>
    <row r="17" spans="1:9" x14ac:dyDescent="0.2">
      <c r="B17" s="3" t="s">
        <v>148</v>
      </c>
      <c r="I17" s="3" t="s">
        <v>164</v>
      </c>
    </row>
    <row r="18" spans="1:9" x14ac:dyDescent="0.2">
      <c r="D18" s="3" t="s">
        <v>159</v>
      </c>
      <c r="F18" s="3" t="s">
        <v>165</v>
      </c>
    </row>
    <row r="20" spans="1:9" x14ac:dyDescent="0.2">
      <c r="A20" s="3" t="s">
        <v>149</v>
      </c>
    </row>
    <row r="21" spans="1:9" x14ac:dyDescent="0.2">
      <c r="B21" s="3" t="s">
        <v>168</v>
      </c>
    </row>
    <row r="22" spans="1:9" x14ac:dyDescent="0.2">
      <c r="A22" s="3" t="s">
        <v>170</v>
      </c>
    </row>
    <row r="23" spans="1:9" x14ac:dyDescent="0.2">
      <c r="B23" s="3" t="s">
        <v>233</v>
      </c>
    </row>
    <row r="24" spans="1:9" x14ac:dyDescent="0.2">
      <c r="C24" s="3" t="s">
        <v>234</v>
      </c>
    </row>
    <row r="25" spans="1:9" x14ac:dyDescent="0.2">
      <c r="A25" s="3" t="s">
        <v>150</v>
      </c>
    </row>
    <row r="26" spans="1:9" x14ac:dyDescent="0.2">
      <c r="B26" s="3" t="s">
        <v>156</v>
      </c>
    </row>
    <row r="27" spans="1:9" x14ac:dyDescent="0.2">
      <c r="A27" s="3" t="s">
        <v>151</v>
      </c>
    </row>
    <row r="28" spans="1:9" x14ac:dyDescent="0.2">
      <c r="B28" s="3" t="s">
        <v>157</v>
      </c>
    </row>
    <row r="29" spans="1:9" x14ac:dyDescent="0.2">
      <c r="A29" s="3" t="s">
        <v>220</v>
      </c>
    </row>
    <row r="30" spans="1:9" x14ac:dyDescent="0.2">
      <c r="B30" s="3" t="s">
        <v>152</v>
      </c>
    </row>
    <row r="32" spans="1:9" x14ac:dyDescent="0.2">
      <c r="A32" s="3" t="s">
        <v>221</v>
      </c>
    </row>
    <row r="33" spans="1:8" x14ac:dyDescent="0.2">
      <c r="B33" s="3" t="s">
        <v>222</v>
      </c>
    </row>
    <row r="34" spans="1:8" x14ac:dyDescent="0.2">
      <c r="B34" s="3" t="s">
        <v>223</v>
      </c>
    </row>
    <row r="35" spans="1:8" x14ac:dyDescent="0.2">
      <c r="C35" s="3" t="s">
        <v>224</v>
      </c>
    </row>
    <row r="36" spans="1:8" x14ac:dyDescent="0.2">
      <c r="A36"/>
      <c r="B36"/>
      <c r="C36" s="3" t="s">
        <v>225</v>
      </c>
    </row>
    <row r="37" spans="1:8" x14ac:dyDescent="0.2">
      <c r="A37"/>
      <c r="B37"/>
      <c r="C37" s="3" t="s">
        <v>226</v>
      </c>
      <c r="H37" s="3" t="s">
        <v>235</v>
      </c>
    </row>
    <row r="38" spans="1:8" x14ac:dyDescent="0.2">
      <c r="A38" s="3" t="s">
        <v>227</v>
      </c>
    </row>
    <row r="39" spans="1:8" x14ac:dyDescent="0.2">
      <c r="B39" s="3" t="s">
        <v>231</v>
      </c>
    </row>
    <row r="40" spans="1:8" x14ac:dyDescent="0.2">
      <c r="B40" s="3" t="s">
        <v>228</v>
      </c>
      <c r="C40"/>
    </row>
    <row r="41" spans="1:8" x14ac:dyDescent="0.2">
      <c r="A41" s="3" t="s">
        <v>229</v>
      </c>
      <c r="C41"/>
    </row>
    <row r="42" spans="1:8" x14ac:dyDescent="0.2">
      <c r="B42" s="3" t="s">
        <v>232</v>
      </c>
    </row>
    <row r="43" spans="1:8" x14ac:dyDescent="0.2">
      <c r="B43" s="3" t="s">
        <v>230</v>
      </c>
    </row>
    <row r="93" spans="14:14" x14ac:dyDescent="0.2">
      <c r="N93" s="1" t="s">
        <v>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1" sqref="L1"/>
    </sheetView>
  </sheetViews>
  <sheetFormatPr defaultRowHeight="12.75" x14ac:dyDescent="0.2"/>
  <cols>
    <col min="1" max="1" width="9.5703125" style="3" bestFit="1" customWidth="1"/>
    <col min="2" max="23" width="6.7109375" style="3" customWidth="1"/>
    <col min="24" max="16384" width="9.140625" style="3"/>
  </cols>
  <sheetData>
    <row r="1" spans="1:20" x14ac:dyDescent="0.2">
      <c r="A1" s="3" t="s">
        <v>117</v>
      </c>
      <c r="I1" s="3">
        <v>0.13</v>
      </c>
      <c r="K1" s="30" t="s">
        <v>85</v>
      </c>
      <c r="L1" s="52" t="s">
        <v>137</v>
      </c>
      <c r="P1" s="3" t="s">
        <v>118</v>
      </c>
      <c r="Q1" s="3">
        <v>0.4</v>
      </c>
    </row>
    <row r="2" spans="1:20" x14ac:dyDescent="0.2">
      <c r="A2" s="3" t="str">
        <f>Data!A2</f>
        <v>Last edit 21/04/25</v>
      </c>
      <c r="K2" s="31" t="s">
        <v>119</v>
      </c>
      <c r="P2" s="3" t="s">
        <v>120</v>
      </c>
      <c r="Q2" s="3">
        <v>0.23</v>
      </c>
    </row>
    <row r="3" spans="1:20" x14ac:dyDescent="0.2">
      <c r="B3" s="1"/>
      <c r="C3" s="6" t="s">
        <v>121</v>
      </c>
      <c r="K3" s="32" t="s">
        <v>122</v>
      </c>
      <c r="L3" s="44">
        <v>1.05</v>
      </c>
    </row>
    <row r="4" spans="1:20" x14ac:dyDescent="0.2">
      <c r="A4" s="1"/>
      <c r="B4" s="1"/>
      <c r="C4" s="6" t="s">
        <v>70</v>
      </c>
      <c r="D4" s="3" t="s">
        <v>123</v>
      </c>
      <c r="E4" s="3" t="s">
        <v>124</v>
      </c>
      <c r="F4" s="3" t="s">
        <v>125</v>
      </c>
      <c r="G4" s="3" t="s">
        <v>85</v>
      </c>
      <c r="H4" s="3" t="s">
        <v>126</v>
      </c>
      <c r="I4" s="3" t="s">
        <v>77</v>
      </c>
      <c r="J4" s="3" t="s">
        <v>116</v>
      </c>
      <c r="M4" s="3" t="s">
        <v>116</v>
      </c>
      <c r="N4" s="3" t="s">
        <v>127</v>
      </c>
      <c r="P4" s="3" t="s">
        <v>128</v>
      </c>
      <c r="R4" s="3" t="s">
        <v>129</v>
      </c>
      <c r="S4" s="3" t="s">
        <v>130</v>
      </c>
      <c r="T4" s="3" t="s">
        <v>131</v>
      </c>
    </row>
    <row r="5" spans="1:20" x14ac:dyDescent="0.2">
      <c r="A5" s="9" t="s">
        <v>43</v>
      </c>
      <c r="B5" s="6" t="s">
        <v>132</v>
      </c>
      <c r="C5" s="10" t="s">
        <v>57</v>
      </c>
      <c r="I5" s="3" t="s">
        <v>78</v>
      </c>
      <c r="K5" s="1" t="s">
        <v>117</v>
      </c>
      <c r="P5" s="3" t="s">
        <v>133</v>
      </c>
      <c r="R5" s="3" t="s">
        <v>49</v>
      </c>
      <c r="S5" s="3" t="s">
        <v>49</v>
      </c>
      <c r="T5" s="3" t="s">
        <v>49</v>
      </c>
    </row>
    <row r="6" spans="1:20" x14ac:dyDescent="0.2">
      <c r="A6" s="1"/>
      <c r="B6" s="1"/>
      <c r="C6" s="1"/>
      <c r="H6" s="34">
        <v>650</v>
      </c>
      <c r="K6" s="1"/>
      <c r="Q6" s="33">
        <f>Q2</f>
        <v>0.23</v>
      </c>
      <c r="R6" s="34">
        <f>H6*Q$2</f>
        <v>149.5</v>
      </c>
      <c r="S6" s="27">
        <v>0</v>
      </c>
      <c r="T6" s="27">
        <v>0</v>
      </c>
    </row>
    <row r="7" spans="1:20" x14ac:dyDescent="0.2">
      <c r="A7" s="15">
        <v>36526</v>
      </c>
      <c r="B7" s="1">
        <v>1</v>
      </c>
      <c r="C7" s="17">
        <f>ROUND(Data!BO7,2)</f>
        <v>0</v>
      </c>
      <c r="D7" s="3">
        <f>ROUND(Data!R7,1)</f>
        <v>-6.8</v>
      </c>
      <c r="E7" s="3">
        <f>ROUND(Data!AF7,1)</f>
        <v>-11.4</v>
      </c>
      <c r="F7" s="27">
        <f>Data!BT7</f>
        <v>0</v>
      </c>
      <c r="G7" s="3">
        <f>Data!Q7</f>
        <v>0</v>
      </c>
      <c r="H7" s="21">
        <f>Data!BF7</f>
        <v>0</v>
      </c>
      <c r="I7" s="14">
        <f t="shared" ref="I7" si="0">IF(H7&gt;H6,ROUND((H7-H6)*I$1,1),0)</f>
        <v>0</v>
      </c>
      <c r="J7" s="17">
        <f>Data!BX7</f>
        <v>12.319999999999995</v>
      </c>
      <c r="K7" s="53">
        <f t="shared" ref="K7:K68" si="1">J7*L$3</f>
        <v>12.935999999999995</v>
      </c>
      <c r="M7" s="3">
        <f>J7</f>
        <v>12.319999999999995</v>
      </c>
      <c r="N7" s="14">
        <f>K7</f>
        <v>12.935999999999995</v>
      </c>
      <c r="P7" s="24"/>
      <c r="Q7" s="24"/>
      <c r="R7" s="21">
        <f>R6+K7</f>
        <v>162.43600000000001</v>
      </c>
      <c r="S7" s="27">
        <f t="shared" ref="S7:S70" si="2">R7-R6</f>
        <v>12.936000000000007</v>
      </c>
      <c r="T7" s="27">
        <f>K7-S7</f>
        <v>0</v>
      </c>
    </row>
    <row r="8" spans="1:20" x14ac:dyDescent="0.2">
      <c r="A8" s="15">
        <f t="shared" ref="A8:A71" si="3">A7+1</f>
        <v>36527</v>
      </c>
      <c r="B8" s="1">
        <v>2</v>
      </c>
      <c r="C8" s="17">
        <f>ROUND(Data!BO8,2)</f>
        <v>0</v>
      </c>
      <c r="D8" s="3">
        <f>ROUND(Data!R8,1)</f>
        <v>-5</v>
      </c>
      <c r="E8" s="3">
        <f>ROUND(Data!AF8,1)</f>
        <v>-10.199999999999999</v>
      </c>
      <c r="F8" s="27">
        <f>Data!BT8</f>
        <v>0</v>
      </c>
      <c r="G8" s="3">
        <f>Data!Q8</f>
        <v>0</v>
      </c>
      <c r="H8" s="21">
        <f>Data!BF8</f>
        <v>0</v>
      </c>
      <c r="I8" s="14">
        <f t="shared" ref="I8:I71" si="4">IF(H8&gt;H7,ROUND((H8-H7)*I$1,1),0)</f>
        <v>0</v>
      </c>
      <c r="J8" s="17">
        <f>Data!BX8</f>
        <v>4.0600000000000005</v>
      </c>
      <c r="K8" s="53">
        <f t="shared" si="1"/>
        <v>4.2630000000000008</v>
      </c>
      <c r="M8" s="27">
        <f>J8+M7</f>
        <v>16.379999999999995</v>
      </c>
      <c r="N8" s="27">
        <f>K8+N7</f>
        <v>17.198999999999995</v>
      </c>
      <c r="P8" s="24"/>
      <c r="Q8" s="24"/>
      <c r="R8" s="21">
        <f t="shared" ref="R8:R66" si="5">R7+K8</f>
        <v>166.69900000000001</v>
      </c>
      <c r="S8" s="27">
        <f t="shared" si="2"/>
        <v>4.2630000000000052</v>
      </c>
      <c r="T8" s="27">
        <f t="shared" ref="T8:T71" si="6">K8-S8</f>
        <v>0</v>
      </c>
    </row>
    <row r="9" spans="1:20" x14ac:dyDescent="0.2">
      <c r="A9" s="15">
        <f t="shared" si="3"/>
        <v>36528</v>
      </c>
      <c r="B9" s="1">
        <v>3</v>
      </c>
      <c r="C9" s="17">
        <f>ROUND(Data!BO9,2)</f>
        <v>0</v>
      </c>
      <c r="D9" s="3">
        <f>ROUND(Data!R9,1)</f>
        <v>-5.4</v>
      </c>
      <c r="E9" s="3">
        <f>ROUND(Data!AF9,1)</f>
        <v>-9.4</v>
      </c>
      <c r="F9" s="27">
        <f>Data!BT9</f>
        <v>0</v>
      </c>
      <c r="G9" s="3">
        <f>Data!Q9</f>
        <v>0</v>
      </c>
      <c r="H9" s="21">
        <f>Data!BF9</f>
        <v>0</v>
      </c>
      <c r="I9" s="14">
        <f t="shared" si="4"/>
        <v>0</v>
      </c>
      <c r="J9" s="17">
        <f>Data!BX9</f>
        <v>4.62</v>
      </c>
      <c r="K9" s="53">
        <f t="shared" si="1"/>
        <v>4.851</v>
      </c>
      <c r="M9" s="27">
        <f t="shared" ref="M9:N24" si="7">J9+M8</f>
        <v>20.999999999999996</v>
      </c>
      <c r="N9" s="27">
        <f t="shared" si="7"/>
        <v>22.049999999999994</v>
      </c>
      <c r="P9" s="24"/>
      <c r="Q9" s="24"/>
      <c r="R9" s="21">
        <f t="shared" si="5"/>
        <v>171.55</v>
      </c>
      <c r="S9" s="27">
        <f t="shared" si="2"/>
        <v>4.8509999999999991</v>
      </c>
      <c r="T9" s="27">
        <f t="shared" si="6"/>
        <v>0</v>
      </c>
    </row>
    <row r="10" spans="1:20" x14ac:dyDescent="0.2">
      <c r="A10" s="15">
        <f t="shared" si="3"/>
        <v>36529</v>
      </c>
      <c r="B10" s="1">
        <v>4</v>
      </c>
      <c r="C10" s="17">
        <f>ROUND(Data!BO10,2)</f>
        <v>0</v>
      </c>
      <c r="D10" s="3">
        <f>ROUND(Data!R10,1)</f>
        <v>-5.2</v>
      </c>
      <c r="E10" s="3">
        <f>ROUND(Data!AF10,1)</f>
        <v>-8.8000000000000007</v>
      </c>
      <c r="F10" s="27">
        <f>Data!BT10</f>
        <v>0</v>
      </c>
      <c r="G10" s="3">
        <f>Data!Q10</f>
        <v>0</v>
      </c>
      <c r="H10" s="21">
        <f>Data!BF10</f>
        <v>0</v>
      </c>
      <c r="I10" s="14">
        <f t="shared" si="4"/>
        <v>0</v>
      </c>
      <c r="J10" s="17">
        <f>Data!BX10</f>
        <v>6.1599999999999975</v>
      </c>
      <c r="K10" s="53">
        <f t="shared" si="1"/>
        <v>6.4679999999999973</v>
      </c>
      <c r="M10" s="27">
        <f t="shared" si="7"/>
        <v>27.159999999999993</v>
      </c>
      <c r="N10" s="27">
        <f t="shared" si="7"/>
        <v>28.51799999999999</v>
      </c>
      <c r="P10" s="24"/>
      <c r="Q10" s="24"/>
      <c r="R10" s="21">
        <f t="shared" si="5"/>
        <v>178.018</v>
      </c>
      <c r="S10" s="27">
        <f t="shared" si="2"/>
        <v>6.4679999999999893</v>
      </c>
      <c r="T10" s="27">
        <f t="shared" si="6"/>
        <v>7.9936057773011271E-15</v>
      </c>
    </row>
    <row r="11" spans="1:20" x14ac:dyDescent="0.2">
      <c r="A11" s="15">
        <f t="shared" si="3"/>
        <v>36530</v>
      </c>
      <c r="B11" s="1">
        <v>5</v>
      </c>
      <c r="C11" s="17">
        <f>ROUND(Data!BO11,2)</f>
        <v>0</v>
      </c>
      <c r="D11" s="3">
        <f>ROUND(Data!R11,1)</f>
        <v>-5</v>
      </c>
      <c r="E11" s="3">
        <f>ROUND(Data!AF11,1)</f>
        <v>-9.4</v>
      </c>
      <c r="F11" s="27">
        <f>Data!BT11</f>
        <v>0</v>
      </c>
      <c r="G11" s="3">
        <f>Data!Q11</f>
        <v>0</v>
      </c>
      <c r="H11" s="21">
        <f>Data!BF11</f>
        <v>0</v>
      </c>
      <c r="I11" s="14">
        <f t="shared" si="4"/>
        <v>0</v>
      </c>
      <c r="J11" s="17">
        <f>Data!BX11</f>
        <v>0.97999999999999987</v>
      </c>
      <c r="K11" s="53">
        <f t="shared" si="1"/>
        <v>1.0289999999999999</v>
      </c>
      <c r="M11" s="27">
        <f t="shared" si="7"/>
        <v>28.139999999999993</v>
      </c>
      <c r="N11" s="27">
        <f t="shared" si="7"/>
        <v>29.54699999999999</v>
      </c>
      <c r="P11" s="24"/>
      <c r="Q11" s="24"/>
      <c r="R11" s="21">
        <f t="shared" si="5"/>
        <v>179.047</v>
      </c>
      <c r="S11" s="27">
        <f t="shared" si="2"/>
        <v>1.0289999999999964</v>
      </c>
      <c r="T11" s="27">
        <f t="shared" si="6"/>
        <v>3.5527136788005009E-15</v>
      </c>
    </row>
    <row r="12" spans="1:20" x14ac:dyDescent="0.2">
      <c r="A12" s="15">
        <f t="shared" si="3"/>
        <v>36531</v>
      </c>
      <c r="B12" s="1">
        <v>6</v>
      </c>
      <c r="C12" s="17">
        <f>ROUND(Data!BO12,2)</f>
        <v>0</v>
      </c>
      <c r="D12" s="3">
        <f>ROUND(Data!R12,1)</f>
        <v>-5.8</v>
      </c>
      <c r="E12" s="3">
        <f>ROUND(Data!AF12,1)</f>
        <v>-9.1999999999999993</v>
      </c>
      <c r="F12" s="27">
        <f>Data!BT12</f>
        <v>0</v>
      </c>
      <c r="G12" s="3">
        <f>Data!Q12</f>
        <v>0</v>
      </c>
      <c r="H12" s="21">
        <f>Data!BF12</f>
        <v>0</v>
      </c>
      <c r="I12" s="14">
        <f t="shared" si="4"/>
        <v>0</v>
      </c>
      <c r="J12" s="17">
        <f>Data!BX12</f>
        <v>21.56</v>
      </c>
      <c r="K12" s="53">
        <f t="shared" si="1"/>
        <v>22.637999999999998</v>
      </c>
      <c r="M12" s="27">
        <f t="shared" si="7"/>
        <v>49.699999999999989</v>
      </c>
      <c r="N12" s="27">
        <f t="shared" si="7"/>
        <v>52.184999999999988</v>
      </c>
      <c r="P12" s="24"/>
      <c r="Q12" s="24"/>
      <c r="R12" s="21">
        <f t="shared" si="5"/>
        <v>201.685</v>
      </c>
      <c r="S12" s="27">
        <f t="shared" si="2"/>
        <v>22.638000000000005</v>
      </c>
      <c r="T12" s="27">
        <f t="shared" si="6"/>
        <v>0</v>
      </c>
    </row>
    <row r="13" spans="1:20" x14ac:dyDescent="0.2">
      <c r="A13" s="15">
        <f t="shared" si="3"/>
        <v>36532</v>
      </c>
      <c r="B13" s="1">
        <v>7</v>
      </c>
      <c r="C13" s="17">
        <f>ROUND(Data!BO13,2)</f>
        <v>0</v>
      </c>
      <c r="D13" s="3">
        <f>ROUND(Data!R13,1)</f>
        <v>-4.8</v>
      </c>
      <c r="E13" s="3">
        <f>ROUND(Data!AF13,1)</f>
        <v>-8.8000000000000007</v>
      </c>
      <c r="F13" s="27">
        <f>Data!BT13</f>
        <v>0</v>
      </c>
      <c r="G13" s="3">
        <f>Data!Q13</f>
        <v>0</v>
      </c>
      <c r="H13" s="21">
        <f>Data!BF13</f>
        <v>0</v>
      </c>
      <c r="I13" s="14">
        <f t="shared" si="4"/>
        <v>0</v>
      </c>
      <c r="J13" s="17">
        <f>Data!BX13</f>
        <v>0</v>
      </c>
      <c r="K13" s="53">
        <f t="shared" si="1"/>
        <v>0</v>
      </c>
      <c r="M13" s="27">
        <f t="shared" si="7"/>
        <v>49.699999999999989</v>
      </c>
      <c r="N13" s="27">
        <f t="shared" si="7"/>
        <v>52.184999999999988</v>
      </c>
      <c r="P13" s="24"/>
      <c r="Q13" s="24"/>
      <c r="R13" s="21">
        <f t="shared" si="5"/>
        <v>201.685</v>
      </c>
      <c r="S13" s="27">
        <f t="shared" si="2"/>
        <v>0</v>
      </c>
      <c r="T13" s="27">
        <f t="shared" si="6"/>
        <v>0</v>
      </c>
    </row>
    <row r="14" spans="1:20" x14ac:dyDescent="0.2">
      <c r="A14" s="15">
        <f t="shared" si="3"/>
        <v>36533</v>
      </c>
      <c r="B14" s="1">
        <v>8</v>
      </c>
      <c r="C14" s="17">
        <f>ROUND(Data!BO14,2)</f>
        <v>0</v>
      </c>
      <c r="D14" s="3">
        <f>ROUND(Data!R14,1)</f>
        <v>-5.2</v>
      </c>
      <c r="E14" s="3">
        <f>ROUND(Data!AF14,1)</f>
        <v>-7.6</v>
      </c>
      <c r="F14" s="27">
        <f>Data!BT14</f>
        <v>0</v>
      </c>
      <c r="G14" s="3">
        <f>Data!Q14</f>
        <v>0</v>
      </c>
      <c r="H14" s="21">
        <f>Data!BF14</f>
        <v>0</v>
      </c>
      <c r="I14" s="14">
        <f t="shared" si="4"/>
        <v>0</v>
      </c>
      <c r="J14" s="17">
        <f>Data!BX14</f>
        <v>20.999999999999993</v>
      </c>
      <c r="K14" s="53">
        <f t="shared" si="1"/>
        <v>22.049999999999994</v>
      </c>
      <c r="M14" s="27">
        <f t="shared" si="7"/>
        <v>70.699999999999989</v>
      </c>
      <c r="N14" s="27">
        <f t="shared" si="7"/>
        <v>74.234999999999985</v>
      </c>
      <c r="P14" s="24"/>
      <c r="Q14" s="24"/>
      <c r="R14" s="21">
        <f t="shared" si="5"/>
        <v>223.73499999999999</v>
      </c>
      <c r="S14" s="27">
        <f t="shared" si="2"/>
        <v>22.049999999999983</v>
      </c>
      <c r="T14" s="27">
        <f t="shared" si="6"/>
        <v>0</v>
      </c>
    </row>
    <row r="15" spans="1:20" x14ac:dyDescent="0.2">
      <c r="A15" s="15">
        <f t="shared" si="3"/>
        <v>36534</v>
      </c>
      <c r="B15" s="1">
        <v>9</v>
      </c>
      <c r="C15" s="17">
        <f>ROUND(Data!BO15,2)</f>
        <v>0</v>
      </c>
      <c r="D15" s="3">
        <f>ROUND(Data!R15,1)</f>
        <v>-4.8</v>
      </c>
      <c r="E15" s="3">
        <f>ROUND(Data!AF15,1)</f>
        <v>-9</v>
      </c>
      <c r="F15" s="27">
        <f>Data!BT15</f>
        <v>0</v>
      </c>
      <c r="G15" s="3">
        <f>Data!Q15</f>
        <v>0</v>
      </c>
      <c r="H15" s="21">
        <f>Data!BF15</f>
        <v>0</v>
      </c>
      <c r="I15" s="14">
        <f t="shared" si="4"/>
        <v>0</v>
      </c>
      <c r="J15" s="17">
        <f>Data!BX15</f>
        <v>6.72</v>
      </c>
      <c r="K15" s="53">
        <f t="shared" si="1"/>
        <v>7.056</v>
      </c>
      <c r="M15" s="27">
        <f t="shared" si="7"/>
        <v>77.419999999999987</v>
      </c>
      <c r="N15" s="27">
        <f t="shared" si="7"/>
        <v>81.290999999999983</v>
      </c>
      <c r="P15" s="24"/>
      <c r="Q15" s="24"/>
      <c r="R15" s="21">
        <f t="shared" si="5"/>
        <v>230.791</v>
      </c>
      <c r="S15" s="27">
        <f t="shared" si="2"/>
        <v>7.0560000000000116</v>
      </c>
      <c r="T15" s="27">
        <f t="shared" si="6"/>
        <v>-1.1546319456101628E-14</v>
      </c>
    </row>
    <row r="16" spans="1:20" x14ac:dyDescent="0.2">
      <c r="A16" s="15">
        <f t="shared" si="3"/>
        <v>36535</v>
      </c>
      <c r="B16" s="1">
        <v>10</v>
      </c>
      <c r="C16" s="17">
        <f>ROUND(Data!BO16,2)</f>
        <v>0</v>
      </c>
      <c r="D16" s="3">
        <f>ROUND(Data!R16,1)</f>
        <v>-5.6</v>
      </c>
      <c r="E16" s="3">
        <f>ROUND(Data!AF16,1)</f>
        <v>-14.4</v>
      </c>
      <c r="F16" s="27">
        <f>Data!BT16</f>
        <v>0</v>
      </c>
      <c r="G16" s="3">
        <f>Data!Q16</f>
        <v>0</v>
      </c>
      <c r="H16" s="21">
        <f>Data!BF16</f>
        <v>0</v>
      </c>
      <c r="I16" s="14">
        <f t="shared" si="4"/>
        <v>0</v>
      </c>
      <c r="J16" s="17">
        <f>Data!BX16</f>
        <v>0.7</v>
      </c>
      <c r="K16" s="53">
        <f t="shared" si="1"/>
        <v>0.73499999999999999</v>
      </c>
      <c r="M16" s="27">
        <f t="shared" si="7"/>
        <v>78.11999999999999</v>
      </c>
      <c r="N16" s="27">
        <f t="shared" si="7"/>
        <v>82.025999999999982</v>
      </c>
      <c r="P16" s="24"/>
      <c r="Q16" s="24"/>
      <c r="R16" s="21">
        <f t="shared" si="5"/>
        <v>231.52600000000001</v>
      </c>
      <c r="S16" s="27">
        <f t="shared" si="2"/>
        <v>0.73500000000001364</v>
      </c>
      <c r="T16" s="27">
        <f t="shared" si="6"/>
        <v>-1.3655743202889425E-14</v>
      </c>
    </row>
    <row r="17" spans="1:20" x14ac:dyDescent="0.2">
      <c r="A17" s="15">
        <f t="shared" si="3"/>
        <v>36536</v>
      </c>
      <c r="B17" s="1">
        <v>11</v>
      </c>
      <c r="C17" s="17">
        <f>ROUND(Data!BO17,2)</f>
        <v>0</v>
      </c>
      <c r="D17" s="3">
        <f>ROUND(Data!R17,1)</f>
        <v>-7.2</v>
      </c>
      <c r="E17" s="3">
        <f>ROUND(Data!AF17,1)</f>
        <v>-14.8</v>
      </c>
      <c r="F17" s="27">
        <f>Data!BT17</f>
        <v>0</v>
      </c>
      <c r="G17" s="3">
        <f>Data!Q17</f>
        <v>0</v>
      </c>
      <c r="H17" s="21">
        <f>Data!BF17</f>
        <v>0</v>
      </c>
      <c r="I17" s="14">
        <f t="shared" si="4"/>
        <v>0</v>
      </c>
      <c r="J17" s="17">
        <f>Data!BX17</f>
        <v>1.6800000000000002</v>
      </c>
      <c r="K17" s="53">
        <f t="shared" si="1"/>
        <v>1.7640000000000002</v>
      </c>
      <c r="M17" s="27">
        <f t="shared" si="7"/>
        <v>79.8</v>
      </c>
      <c r="N17" s="27">
        <f t="shared" si="7"/>
        <v>83.789999999999978</v>
      </c>
      <c r="P17" s="24"/>
      <c r="Q17" s="24"/>
      <c r="R17" s="21">
        <f t="shared" si="5"/>
        <v>233.29000000000002</v>
      </c>
      <c r="S17" s="27">
        <f t="shared" si="2"/>
        <v>1.76400000000001</v>
      </c>
      <c r="T17" s="27">
        <f t="shared" si="6"/>
        <v>-9.7699626167013776E-15</v>
      </c>
    </row>
    <row r="18" spans="1:20" x14ac:dyDescent="0.2">
      <c r="A18" s="15">
        <f t="shared" si="3"/>
        <v>36537</v>
      </c>
      <c r="B18" s="1">
        <v>12</v>
      </c>
      <c r="C18" s="17">
        <f>ROUND(Data!BO18,2)</f>
        <v>0</v>
      </c>
      <c r="D18" s="3">
        <f>ROUND(Data!R18,1)</f>
        <v>-6.3</v>
      </c>
      <c r="E18" s="3">
        <f>ROUND(Data!AF18,1)</f>
        <v>-13.9</v>
      </c>
      <c r="F18" s="27">
        <f>Data!BT18</f>
        <v>0</v>
      </c>
      <c r="G18" s="3">
        <f>Data!Q18</f>
        <v>0</v>
      </c>
      <c r="H18" s="21">
        <f>Data!BF18</f>
        <v>0</v>
      </c>
      <c r="I18" s="14">
        <f t="shared" si="4"/>
        <v>0</v>
      </c>
      <c r="J18" s="17">
        <f>Data!BX18</f>
        <v>3.9200000000000008</v>
      </c>
      <c r="K18" s="53">
        <f t="shared" si="1"/>
        <v>4.1160000000000014</v>
      </c>
      <c r="M18" s="27">
        <f t="shared" si="7"/>
        <v>83.72</v>
      </c>
      <c r="N18" s="27">
        <f t="shared" si="7"/>
        <v>87.905999999999977</v>
      </c>
      <c r="P18" s="24"/>
      <c r="Q18" s="24"/>
      <c r="R18" s="21">
        <f t="shared" si="5"/>
        <v>237.40600000000003</v>
      </c>
      <c r="S18" s="27">
        <f t="shared" si="2"/>
        <v>4.1160000000000139</v>
      </c>
      <c r="T18" s="27">
        <f t="shared" si="6"/>
        <v>-1.2434497875801753E-14</v>
      </c>
    </row>
    <row r="19" spans="1:20" x14ac:dyDescent="0.2">
      <c r="A19" s="15">
        <f t="shared" si="3"/>
        <v>36538</v>
      </c>
      <c r="B19" s="1">
        <v>13</v>
      </c>
      <c r="C19" s="17">
        <f>ROUND(Data!BO19,2)</f>
        <v>0</v>
      </c>
      <c r="D19" s="3">
        <f>ROUND(Data!R19,1)</f>
        <v>-5.4</v>
      </c>
      <c r="E19" s="3">
        <f>ROUND(Data!AF19,1)</f>
        <v>-14.2</v>
      </c>
      <c r="F19" s="27">
        <f>Data!BT19</f>
        <v>0</v>
      </c>
      <c r="G19" s="3">
        <f>Data!Q19</f>
        <v>0</v>
      </c>
      <c r="H19" s="21">
        <f>Data!BF19</f>
        <v>0</v>
      </c>
      <c r="I19" s="14">
        <f t="shared" si="4"/>
        <v>0</v>
      </c>
      <c r="J19" s="17">
        <f>Data!BX19</f>
        <v>0</v>
      </c>
      <c r="K19" s="53">
        <f t="shared" si="1"/>
        <v>0</v>
      </c>
      <c r="M19" s="27">
        <f t="shared" si="7"/>
        <v>83.72</v>
      </c>
      <c r="N19" s="27">
        <f t="shared" si="7"/>
        <v>87.905999999999977</v>
      </c>
      <c r="P19" s="24"/>
      <c r="Q19" s="24"/>
      <c r="R19" s="21">
        <f t="shared" si="5"/>
        <v>237.40600000000003</v>
      </c>
      <c r="S19" s="27">
        <f t="shared" si="2"/>
        <v>0</v>
      </c>
      <c r="T19" s="27">
        <f t="shared" si="6"/>
        <v>0</v>
      </c>
    </row>
    <row r="20" spans="1:20" x14ac:dyDescent="0.2">
      <c r="A20" s="15">
        <f t="shared" si="3"/>
        <v>36539</v>
      </c>
      <c r="B20" s="1">
        <v>14</v>
      </c>
      <c r="C20" s="17">
        <f>ROUND(Data!BO20,2)</f>
        <v>0</v>
      </c>
      <c r="D20" s="3">
        <f>ROUND(Data!R20,1)</f>
        <v>-6.5</v>
      </c>
      <c r="E20" s="3">
        <f>ROUND(Data!AF20,1)</f>
        <v>-11.5</v>
      </c>
      <c r="F20" s="27">
        <f>Data!BT20</f>
        <v>0</v>
      </c>
      <c r="G20" s="3">
        <f>Data!Q20</f>
        <v>0</v>
      </c>
      <c r="H20" s="21">
        <f>Data!BF20</f>
        <v>0</v>
      </c>
      <c r="I20" s="14">
        <f t="shared" si="4"/>
        <v>0</v>
      </c>
      <c r="J20" s="17">
        <f>Data!BX20</f>
        <v>2.94</v>
      </c>
      <c r="K20" s="53">
        <f t="shared" si="1"/>
        <v>3.0870000000000002</v>
      </c>
      <c r="M20" s="27">
        <f t="shared" si="7"/>
        <v>86.66</v>
      </c>
      <c r="N20" s="27">
        <f t="shared" si="7"/>
        <v>90.992999999999981</v>
      </c>
      <c r="P20" s="24"/>
      <c r="Q20" s="24"/>
      <c r="R20" s="21">
        <f t="shared" si="5"/>
        <v>240.49300000000002</v>
      </c>
      <c r="S20" s="27">
        <f t="shared" si="2"/>
        <v>3.0869999999999891</v>
      </c>
      <c r="T20" s="27">
        <f t="shared" si="6"/>
        <v>1.1102230246251565E-14</v>
      </c>
    </row>
    <row r="21" spans="1:20" x14ac:dyDescent="0.2">
      <c r="A21" s="15">
        <f t="shared" si="3"/>
        <v>36540</v>
      </c>
      <c r="B21" s="1">
        <v>15</v>
      </c>
      <c r="C21" s="17">
        <f>ROUND(Data!BO21,2)</f>
        <v>0</v>
      </c>
      <c r="D21" s="3">
        <f>ROUND(Data!R21,1)</f>
        <v>-5.5</v>
      </c>
      <c r="E21" s="3">
        <f>ROUND(Data!AF21,1)</f>
        <v>-12.5</v>
      </c>
      <c r="F21" s="27">
        <f>Data!BT21</f>
        <v>0</v>
      </c>
      <c r="G21" s="3">
        <f>Data!Q21</f>
        <v>0</v>
      </c>
      <c r="H21" s="21">
        <f>Data!BF21</f>
        <v>0</v>
      </c>
      <c r="I21" s="14">
        <f t="shared" si="4"/>
        <v>0</v>
      </c>
      <c r="J21" s="17">
        <f>Data!BX21</f>
        <v>1.54</v>
      </c>
      <c r="K21" s="53">
        <f t="shared" si="1"/>
        <v>1.6170000000000002</v>
      </c>
      <c r="M21" s="27">
        <f t="shared" si="7"/>
        <v>88.2</v>
      </c>
      <c r="N21" s="27">
        <f t="shared" si="7"/>
        <v>92.609999999999985</v>
      </c>
      <c r="P21" s="24"/>
      <c r="Q21" s="24"/>
      <c r="R21" s="21">
        <f t="shared" si="5"/>
        <v>242.11</v>
      </c>
      <c r="S21" s="27">
        <f t="shared" si="2"/>
        <v>1.6169999999999902</v>
      </c>
      <c r="T21" s="27">
        <f t="shared" si="6"/>
        <v>9.9920072216264089E-15</v>
      </c>
    </row>
    <row r="22" spans="1:20" x14ac:dyDescent="0.2">
      <c r="A22" s="15">
        <f t="shared" si="3"/>
        <v>36541</v>
      </c>
      <c r="B22" s="1">
        <v>16</v>
      </c>
      <c r="C22" s="17">
        <f>ROUND(Data!BO22,2)</f>
        <v>0</v>
      </c>
      <c r="D22" s="3">
        <f>ROUND(Data!R22,1)</f>
        <v>-7</v>
      </c>
      <c r="E22" s="3">
        <f>ROUND(Data!AF22,1)</f>
        <v>-14.6</v>
      </c>
      <c r="F22" s="27">
        <f>Data!BT22</f>
        <v>0</v>
      </c>
      <c r="G22" s="3">
        <f>Data!Q22</f>
        <v>0</v>
      </c>
      <c r="H22" s="21">
        <f>Data!BF22</f>
        <v>0</v>
      </c>
      <c r="I22" s="14">
        <f t="shared" si="4"/>
        <v>0</v>
      </c>
      <c r="J22" s="17">
        <f>Data!BX22</f>
        <v>10.359999999999998</v>
      </c>
      <c r="K22" s="53">
        <f t="shared" si="1"/>
        <v>10.877999999999998</v>
      </c>
      <c r="M22" s="27">
        <f t="shared" si="7"/>
        <v>98.56</v>
      </c>
      <c r="N22" s="27">
        <f t="shared" si="7"/>
        <v>103.48799999999999</v>
      </c>
      <c r="P22" s="24"/>
      <c r="Q22" s="24"/>
      <c r="R22" s="21">
        <f t="shared" si="5"/>
        <v>252.988</v>
      </c>
      <c r="S22" s="27">
        <f t="shared" si="2"/>
        <v>10.877999999999986</v>
      </c>
      <c r="T22" s="27">
        <f t="shared" si="6"/>
        <v>0</v>
      </c>
    </row>
    <row r="23" spans="1:20" x14ac:dyDescent="0.2">
      <c r="A23" s="15">
        <f t="shared" si="3"/>
        <v>36542</v>
      </c>
      <c r="B23" s="1">
        <v>17</v>
      </c>
      <c r="C23" s="17">
        <f>ROUND(Data!BO23,2)</f>
        <v>0</v>
      </c>
      <c r="D23" s="3">
        <f>ROUND(Data!R23,1)</f>
        <v>-5.0999999999999996</v>
      </c>
      <c r="E23" s="3">
        <f>ROUND(Data!AF23,1)</f>
        <v>-10.1</v>
      </c>
      <c r="F23" s="27">
        <f>Data!BT23</f>
        <v>0</v>
      </c>
      <c r="G23" s="3">
        <f>Data!Q23</f>
        <v>0</v>
      </c>
      <c r="H23" s="21">
        <f>Data!BF23</f>
        <v>0</v>
      </c>
      <c r="I23" s="14">
        <f t="shared" si="4"/>
        <v>0</v>
      </c>
      <c r="J23" s="17">
        <f>Data!BX23</f>
        <v>0</v>
      </c>
      <c r="K23" s="53">
        <f t="shared" si="1"/>
        <v>0</v>
      </c>
      <c r="M23" s="27">
        <f t="shared" si="7"/>
        <v>98.56</v>
      </c>
      <c r="N23" s="27">
        <f t="shared" si="7"/>
        <v>103.48799999999999</v>
      </c>
      <c r="P23" s="24"/>
      <c r="Q23" s="24"/>
      <c r="R23" s="21">
        <f t="shared" si="5"/>
        <v>252.988</v>
      </c>
      <c r="S23" s="27">
        <f t="shared" si="2"/>
        <v>0</v>
      </c>
      <c r="T23" s="27">
        <f t="shared" si="6"/>
        <v>0</v>
      </c>
    </row>
    <row r="24" spans="1:20" x14ac:dyDescent="0.2">
      <c r="A24" s="15">
        <f t="shared" si="3"/>
        <v>36543</v>
      </c>
      <c r="B24" s="1">
        <v>18</v>
      </c>
      <c r="C24" s="17">
        <f>ROUND(Data!BO24,2)</f>
        <v>0</v>
      </c>
      <c r="D24" s="3">
        <f>ROUND(Data!R24,1)</f>
        <v>-5.2</v>
      </c>
      <c r="E24" s="3">
        <f>ROUND(Data!AF24,1)</f>
        <v>-14.4</v>
      </c>
      <c r="F24" s="27">
        <f>Data!BT24</f>
        <v>0</v>
      </c>
      <c r="G24" s="3">
        <f>Data!Q24</f>
        <v>0</v>
      </c>
      <c r="H24" s="21">
        <f>Data!BF24</f>
        <v>0</v>
      </c>
      <c r="I24" s="14">
        <f t="shared" si="4"/>
        <v>0</v>
      </c>
      <c r="J24" s="17">
        <f>Data!BX24</f>
        <v>3.7800000000000007</v>
      </c>
      <c r="K24" s="53">
        <f t="shared" si="1"/>
        <v>3.9690000000000007</v>
      </c>
      <c r="M24" s="27">
        <f t="shared" si="7"/>
        <v>102.34</v>
      </c>
      <c r="N24" s="27">
        <f t="shared" si="7"/>
        <v>107.45699999999998</v>
      </c>
      <c r="P24" s="24"/>
      <c r="Q24" s="24"/>
      <c r="R24" s="21">
        <f t="shared" si="5"/>
        <v>256.95699999999999</v>
      </c>
      <c r="S24" s="27">
        <f t="shared" si="2"/>
        <v>3.9689999999999941</v>
      </c>
      <c r="T24" s="27">
        <f t="shared" si="6"/>
        <v>6.6613381477509392E-15</v>
      </c>
    </row>
    <row r="25" spans="1:20" x14ac:dyDescent="0.2">
      <c r="A25" s="15">
        <f t="shared" si="3"/>
        <v>36544</v>
      </c>
      <c r="B25" s="1">
        <v>19</v>
      </c>
      <c r="C25" s="17">
        <f>ROUND(Data!BO25,2)</f>
        <v>0</v>
      </c>
      <c r="D25" s="3">
        <f>ROUND(Data!R25,1)</f>
        <v>-8.1</v>
      </c>
      <c r="E25" s="3">
        <f>ROUND(Data!AF25,1)</f>
        <v>-19.7</v>
      </c>
      <c r="F25" s="27">
        <f>Data!BT25</f>
        <v>0</v>
      </c>
      <c r="G25" s="3">
        <f>Data!Q25</f>
        <v>0</v>
      </c>
      <c r="H25" s="21">
        <f>Data!BF25</f>
        <v>0</v>
      </c>
      <c r="I25" s="14">
        <f t="shared" si="4"/>
        <v>0</v>
      </c>
      <c r="J25" s="17">
        <f>Data!BX25</f>
        <v>0</v>
      </c>
      <c r="K25" s="53">
        <f t="shared" si="1"/>
        <v>0</v>
      </c>
      <c r="M25" s="27">
        <f t="shared" ref="M25:N40" si="8">J25+M24</f>
        <v>102.34</v>
      </c>
      <c r="N25" s="27">
        <f t="shared" si="8"/>
        <v>107.45699999999998</v>
      </c>
      <c r="P25" s="24"/>
      <c r="Q25" s="24"/>
      <c r="R25" s="21">
        <f t="shared" si="5"/>
        <v>256.95699999999999</v>
      </c>
      <c r="S25" s="27">
        <f t="shared" si="2"/>
        <v>0</v>
      </c>
      <c r="T25" s="27">
        <f t="shared" si="6"/>
        <v>0</v>
      </c>
    </row>
    <row r="26" spans="1:20" x14ac:dyDescent="0.2">
      <c r="A26" s="15">
        <f t="shared" si="3"/>
        <v>36545</v>
      </c>
      <c r="B26" s="1">
        <v>20</v>
      </c>
      <c r="C26" s="17">
        <f>ROUND(Data!BO26,2)</f>
        <v>0</v>
      </c>
      <c r="D26" s="3">
        <f>ROUND(Data!R26,1)</f>
        <v>-11.4</v>
      </c>
      <c r="E26" s="3">
        <f>ROUND(Data!AF26,1)</f>
        <v>-23</v>
      </c>
      <c r="F26" s="27">
        <f>Data!BT26</f>
        <v>0</v>
      </c>
      <c r="G26" s="3">
        <f>Data!Q26</f>
        <v>0</v>
      </c>
      <c r="H26" s="21">
        <f>Data!BF26</f>
        <v>0</v>
      </c>
      <c r="I26" s="14">
        <f t="shared" si="4"/>
        <v>0</v>
      </c>
      <c r="J26" s="17">
        <f>Data!BX26</f>
        <v>4.1999999999999993</v>
      </c>
      <c r="K26" s="53">
        <f t="shared" si="1"/>
        <v>4.4099999999999993</v>
      </c>
      <c r="M26" s="27">
        <f t="shared" si="8"/>
        <v>106.54</v>
      </c>
      <c r="N26" s="27">
        <f t="shared" si="8"/>
        <v>111.86699999999998</v>
      </c>
      <c r="P26" s="24"/>
      <c r="Q26" s="24"/>
      <c r="R26" s="21">
        <f t="shared" si="5"/>
        <v>261.36700000000002</v>
      </c>
      <c r="S26" s="27">
        <f t="shared" si="2"/>
        <v>4.410000000000025</v>
      </c>
      <c r="T26" s="27">
        <f t="shared" si="6"/>
        <v>-2.5757174171303632E-14</v>
      </c>
    </row>
    <row r="27" spans="1:20" x14ac:dyDescent="0.2">
      <c r="A27" s="15">
        <f t="shared" si="3"/>
        <v>36546</v>
      </c>
      <c r="B27" s="1">
        <v>21</v>
      </c>
      <c r="C27" s="17">
        <f>ROUND(Data!BO27,2)</f>
        <v>0</v>
      </c>
      <c r="D27" s="3">
        <f>ROUND(Data!R27,1)</f>
        <v>-7.1</v>
      </c>
      <c r="E27" s="3">
        <f>ROUND(Data!AF27,1)</f>
        <v>-14.9</v>
      </c>
      <c r="F27" s="27">
        <f>Data!BT27</f>
        <v>0</v>
      </c>
      <c r="G27" s="3">
        <f>Data!Q27</f>
        <v>0</v>
      </c>
      <c r="H27" s="21">
        <f>Data!BF27</f>
        <v>0</v>
      </c>
      <c r="I27" s="14">
        <f t="shared" si="4"/>
        <v>0</v>
      </c>
      <c r="J27" s="17">
        <f>Data!BX27</f>
        <v>0.42000000000000004</v>
      </c>
      <c r="K27" s="53">
        <f t="shared" si="1"/>
        <v>0.44100000000000006</v>
      </c>
      <c r="M27" s="27">
        <f t="shared" si="8"/>
        <v>106.96000000000001</v>
      </c>
      <c r="N27" s="27">
        <f t="shared" si="8"/>
        <v>112.30799999999998</v>
      </c>
      <c r="P27" s="24"/>
      <c r="Q27" s="24"/>
      <c r="R27" s="21">
        <f t="shared" si="5"/>
        <v>261.80799999999999</v>
      </c>
      <c r="S27" s="27">
        <f t="shared" si="2"/>
        <v>0.44099999999997408</v>
      </c>
      <c r="T27" s="27">
        <f t="shared" si="6"/>
        <v>2.5979218776228663E-14</v>
      </c>
    </row>
    <row r="28" spans="1:20" x14ac:dyDescent="0.2">
      <c r="A28" s="15">
        <f t="shared" si="3"/>
        <v>36547</v>
      </c>
      <c r="B28" s="1">
        <v>22</v>
      </c>
      <c r="C28" s="17">
        <f>ROUND(Data!BO28,2)</f>
        <v>0</v>
      </c>
      <c r="D28" s="3">
        <f>ROUND(Data!R28,1)</f>
        <v>-5.6</v>
      </c>
      <c r="E28" s="3">
        <f>ROUND(Data!AF28,1)</f>
        <v>-11.2</v>
      </c>
      <c r="F28" s="27">
        <f>Data!BT28</f>
        <v>0</v>
      </c>
      <c r="G28" s="3">
        <f>Data!Q28</f>
        <v>0</v>
      </c>
      <c r="H28" s="21">
        <f>Data!BF28</f>
        <v>0</v>
      </c>
      <c r="I28" s="14">
        <f t="shared" si="4"/>
        <v>0</v>
      </c>
      <c r="J28" s="17">
        <f>Data!BX28</f>
        <v>3.22</v>
      </c>
      <c r="K28" s="53">
        <f t="shared" si="1"/>
        <v>3.3810000000000002</v>
      </c>
      <c r="M28" s="27">
        <f t="shared" si="8"/>
        <v>110.18</v>
      </c>
      <c r="N28" s="27">
        <f t="shared" si="8"/>
        <v>115.68899999999998</v>
      </c>
      <c r="P28" s="24"/>
      <c r="Q28" s="24"/>
      <c r="R28" s="21">
        <f t="shared" si="5"/>
        <v>265.18899999999996</v>
      </c>
      <c r="S28" s="27">
        <f t="shared" si="2"/>
        <v>3.3809999999999718</v>
      </c>
      <c r="T28" s="27">
        <f t="shared" si="6"/>
        <v>2.8421709430404007E-14</v>
      </c>
    </row>
    <row r="29" spans="1:20" x14ac:dyDescent="0.2">
      <c r="A29" s="15">
        <f t="shared" si="3"/>
        <v>36548</v>
      </c>
      <c r="B29" s="1">
        <v>23</v>
      </c>
      <c r="C29" s="17">
        <f>ROUND(Data!BO29,2)</f>
        <v>0</v>
      </c>
      <c r="D29" s="3">
        <f>ROUND(Data!R29,1)</f>
        <v>-5.3</v>
      </c>
      <c r="E29" s="3">
        <f>ROUND(Data!AF29,1)</f>
        <v>-11.5</v>
      </c>
      <c r="F29" s="27">
        <f>Data!BT29</f>
        <v>0</v>
      </c>
      <c r="G29" s="3">
        <f>Data!Q29</f>
        <v>0</v>
      </c>
      <c r="H29" s="21">
        <f>Data!BF29</f>
        <v>0</v>
      </c>
      <c r="I29" s="14">
        <f t="shared" si="4"/>
        <v>0</v>
      </c>
      <c r="J29" s="17">
        <f>Data!BX29</f>
        <v>0</v>
      </c>
      <c r="K29" s="53">
        <f t="shared" si="1"/>
        <v>0</v>
      </c>
      <c r="M29" s="27">
        <f t="shared" si="8"/>
        <v>110.18</v>
      </c>
      <c r="N29" s="27">
        <f t="shared" si="8"/>
        <v>115.68899999999998</v>
      </c>
      <c r="P29" s="24"/>
      <c r="Q29" s="24"/>
      <c r="R29" s="21">
        <f t="shared" si="5"/>
        <v>265.18899999999996</v>
      </c>
      <c r="S29" s="27">
        <f t="shared" si="2"/>
        <v>0</v>
      </c>
      <c r="T29" s="27">
        <f t="shared" si="6"/>
        <v>0</v>
      </c>
    </row>
    <row r="30" spans="1:20" x14ac:dyDescent="0.2">
      <c r="A30" s="15">
        <f t="shared" si="3"/>
        <v>36549</v>
      </c>
      <c r="B30" s="1">
        <v>24</v>
      </c>
      <c r="C30" s="17">
        <f>ROUND(Data!BO30,2)</f>
        <v>0</v>
      </c>
      <c r="D30" s="3">
        <f>ROUND(Data!R30,1)</f>
        <v>-5.8</v>
      </c>
      <c r="E30" s="3">
        <f>ROUND(Data!AF30,1)</f>
        <v>-14.4</v>
      </c>
      <c r="F30" s="27">
        <f>Data!BT30</f>
        <v>0</v>
      </c>
      <c r="G30" s="3">
        <f>Data!Q30</f>
        <v>0</v>
      </c>
      <c r="H30" s="21">
        <f>Data!BF30</f>
        <v>0</v>
      </c>
      <c r="I30" s="14">
        <f t="shared" si="4"/>
        <v>0</v>
      </c>
      <c r="J30" s="17">
        <f>Data!BX30</f>
        <v>0.42000000000000004</v>
      </c>
      <c r="K30" s="53">
        <f t="shared" si="1"/>
        <v>0.44100000000000006</v>
      </c>
      <c r="M30" s="27">
        <f t="shared" si="8"/>
        <v>110.60000000000001</v>
      </c>
      <c r="N30" s="27">
        <f t="shared" si="8"/>
        <v>116.12999999999998</v>
      </c>
      <c r="P30" s="24"/>
      <c r="Q30" s="24"/>
      <c r="R30" s="21">
        <f t="shared" si="5"/>
        <v>265.62999999999994</v>
      </c>
      <c r="S30" s="27">
        <f t="shared" si="2"/>
        <v>0.44099999999997408</v>
      </c>
      <c r="T30" s="27">
        <f t="shared" si="6"/>
        <v>2.5979218776228663E-14</v>
      </c>
    </row>
    <row r="31" spans="1:20" x14ac:dyDescent="0.2">
      <c r="A31" s="15">
        <f t="shared" si="3"/>
        <v>36550</v>
      </c>
      <c r="B31" s="1">
        <v>25</v>
      </c>
      <c r="C31" s="17">
        <f>ROUND(Data!BO31,2)</f>
        <v>0</v>
      </c>
      <c r="D31" s="3">
        <f>ROUND(Data!R31,1)</f>
        <v>-7.6</v>
      </c>
      <c r="E31" s="3">
        <f>ROUND(Data!AF31,1)</f>
        <v>-18.2</v>
      </c>
      <c r="F31" s="27">
        <f>Data!BT31</f>
        <v>0</v>
      </c>
      <c r="G31" s="3">
        <f>Data!Q31</f>
        <v>0</v>
      </c>
      <c r="H31" s="21">
        <f>Data!BF31</f>
        <v>0</v>
      </c>
      <c r="I31" s="14">
        <f t="shared" si="4"/>
        <v>0</v>
      </c>
      <c r="J31" s="17">
        <f>Data!BX31</f>
        <v>0</v>
      </c>
      <c r="K31" s="53">
        <f t="shared" si="1"/>
        <v>0</v>
      </c>
      <c r="M31" s="27">
        <f t="shared" si="8"/>
        <v>110.60000000000001</v>
      </c>
      <c r="N31" s="27">
        <f t="shared" si="8"/>
        <v>116.12999999999998</v>
      </c>
      <c r="P31" s="24"/>
      <c r="Q31" s="24"/>
      <c r="R31" s="21">
        <f t="shared" si="5"/>
        <v>265.62999999999994</v>
      </c>
      <c r="S31" s="27">
        <f t="shared" si="2"/>
        <v>0</v>
      </c>
      <c r="T31" s="27">
        <f t="shared" si="6"/>
        <v>0</v>
      </c>
    </row>
    <row r="32" spans="1:20" x14ac:dyDescent="0.2">
      <c r="A32" s="15">
        <f t="shared" si="3"/>
        <v>36551</v>
      </c>
      <c r="B32" s="1">
        <v>26</v>
      </c>
      <c r="C32" s="17">
        <f>ROUND(Data!BO32,2)</f>
        <v>0</v>
      </c>
      <c r="D32" s="3">
        <f>ROUND(Data!R32,1)</f>
        <v>-5.7</v>
      </c>
      <c r="E32" s="3">
        <f>ROUND(Data!AF32,1)</f>
        <v>-10.3</v>
      </c>
      <c r="F32" s="27">
        <f>Data!BT32</f>
        <v>0</v>
      </c>
      <c r="G32" s="3">
        <f>Data!Q32</f>
        <v>0</v>
      </c>
      <c r="H32" s="21">
        <f>Data!BF32</f>
        <v>0</v>
      </c>
      <c r="I32" s="14">
        <f t="shared" si="4"/>
        <v>0</v>
      </c>
      <c r="J32" s="17">
        <f>Data!BX32</f>
        <v>1.5399999999999998</v>
      </c>
      <c r="K32" s="53">
        <f t="shared" si="1"/>
        <v>1.6169999999999998</v>
      </c>
      <c r="M32" s="27">
        <f t="shared" si="8"/>
        <v>112.14000000000001</v>
      </c>
      <c r="N32" s="27">
        <f t="shared" si="8"/>
        <v>117.74699999999999</v>
      </c>
      <c r="P32" s="24"/>
      <c r="Q32" s="24"/>
      <c r="R32" s="21">
        <f t="shared" si="5"/>
        <v>267.24699999999996</v>
      </c>
      <c r="S32" s="27">
        <f t="shared" si="2"/>
        <v>1.6170000000000186</v>
      </c>
      <c r="T32" s="27">
        <f t="shared" si="6"/>
        <v>-1.8873791418627661E-14</v>
      </c>
    </row>
    <row r="33" spans="1:20" x14ac:dyDescent="0.2">
      <c r="A33" s="15">
        <f t="shared" si="3"/>
        <v>36552</v>
      </c>
      <c r="B33" s="1">
        <v>27</v>
      </c>
      <c r="C33" s="17">
        <f>ROUND(Data!BO33,2)</f>
        <v>0</v>
      </c>
      <c r="D33" s="3">
        <f>ROUND(Data!R33,1)</f>
        <v>-4.3</v>
      </c>
      <c r="E33" s="3">
        <f>ROUND(Data!AF33,1)</f>
        <v>-9.3000000000000007</v>
      </c>
      <c r="F33" s="27">
        <f>Data!BT33</f>
        <v>0</v>
      </c>
      <c r="G33" s="3">
        <f>Data!Q33</f>
        <v>0</v>
      </c>
      <c r="H33" s="21">
        <f>Data!BF33</f>
        <v>0</v>
      </c>
      <c r="I33" s="14">
        <f t="shared" si="4"/>
        <v>0</v>
      </c>
      <c r="J33" s="17">
        <f>Data!BX33</f>
        <v>0.7</v>
      </c>
      <c r="K33" s="53">
        <f t="shared" si="1"/>
        <v>0.73499999999999999</v>
      </c>
      <c r="M33" s="27">
        <f t="shared" si="8"/>
        <v>112.84000000000002</v>
      </c>
      <c r="N33" s="27">
        <f t="shared" si="8"/>
        <v>118.48199999999999</v>
      </c>
      <c r="P33" s="24"/>
      <c r="Q33" s="24"/>
      <c r="R33" s="21">
        <f t="shared" si="5"/>
        <v>267.98199999999997</v>
      </c>
      <c r="S33" s="27">
        <f t="shared" si="2"/>
        <v>0.73500000000001364</v>
      </c>
      <c r="T33" s="27">
        <f t="shared" si="6"/>
        <v>-1.3655743202889425E-14</v>
      </c>
    </row>
    <row r="34" spans="1:20" x14ac:dyDescent="0.2">
      <c r="A34" s="15">
        <f t="shared" si="3"/>
        <v>36553</v>
      </c>
      <c r="B34" s="1">
        <v>28</v>
      </c>
      <c r="C34" s="17">
        <f>ROUND(Data!BO34,2)</f>
        <v>0</v>
      </c>
      <c r="D34" s="3">
        <f>ROUND(Data!R34,1)</f>
        <v>-5.2</v>
      </c>
      <c r="E34" s="3">
        <f>ROUND(Data!AF34,1)</f>
        <v>-15.4</v>
      </c>
      <c r="F34" s="27">
        <f>Data!BT34</f>
        <v>0</v>
      </c>
      <c r="G34" s="3">
        <f>Data!Q34</f>
        <v>0</v>
      </c>
      <c r="H34" s="21">
        <f>Data!BF34</f>
        <v>0</v>
      </c>
      <c r="I34" s="14">
        <f t="shared" si="4"/>
        <v>0</v>
      </c>
      <c r="J34" s="17">
        <f>Data!BX34</f>
        <v>0</v>
      </c>
      <c r="K34" s="53">
        <f t="shared" si="1"/>
        <v>0</v>
      </c>
      <c r="M34" s="27">
        <f t="shared" si="8"/>
        <v>112.84000000000002</v>
      </c>
      <c r="N34" s="27">
        <f t="shared" si="8"/>
        <v>118.48199999999999</v>
      </c>
      <c r="P34" s="24"/>
      <c r="Q34" s="24"/>
      <c r="R34" s="21">
        <f t="shared" si="5"/>
        <v>267.98199999999997</v>
      </c>
      <c r="S34" s="27">
        <f t="shared" si="2"/>
        <v>0</v>
      </c>
      <c r="T34" s="27">
        <f t="shared" si="6"/>
        <v>0</v>
      </c>
    </row>
    <row r="35" spans="1:20" x14ac:dyDescent="0.2">
      <c r="A35" s="15">
        <f t="shared" si="3"/>
        <v>36554</v>
      </c>
      <c r="B35" s="1">
        <v>29</v>
      </c>
      <c r="C35" s="17">
        <f>ROUND(Data!BO35,2)</f>
        <v>0</v>
      </c>
      <c r="D35" s="3">
        <f>ROUND(Data!R35,1)</f>
        <v>-4.5999999999999996</v>
      </c>
      <c r="E35" s="3">
        <f>ROUND(Data!AF35,1)</f>
        <v>-16.600000000000001</v>
      </c>
      <c r="F35" s="27">
        <f>Data!BT35</f>
        <v>0</v>
      </c>
      <c r="G35" s="3">
        <f>Data!Q35</f>
        <v>0</v>
      </c>
      <c r="H35" s="21">
        <f>Data!BF35</f>
        <v>0</v>
      </c>
      <c r="I35" s="14">
        <f t="shared" si="4"/>
        <v>0</v>
      </c>
      <c r="J35" s="17">
        <f>Data!BX35</f>
        <v>0.84</v>
      </c>
      <c r="K35" s="53">
        <f t="shared" si="1"/>
        <v>0.88200000000000001</v>
      </c>
      <c r="M35" s="27">
        <f t="shared" si="8"/>
        <v>113.68000000000002</v>
      </c>
      <c r="N35" s="27">
        <f t="shared" si="8"/>
        <v>119.36399999999999</v>
      </c>
      <c r="P35" s="24"/>
      <c r="Q35" s="24"/>
      <c r="R35" s="21">
        <f t="shared" si="5"/>
        <v>268.86399999999998</v>
      </c>
      <c r="S35" s="27">
        <f t="shared" si="2"/>
        <v>0.882000000000005</v>
      </c>
      <c r="T35" s="27">
        <f t="shared" si="6"/>
        <v>-4.9960036108132044E-15</v>
      </c>
    </row>
    <row r="36" spans="1:20" x14ac:dyDescent="0.2">
      <c r="A36" s="15">
        <f t="shared" si="3"/>
        <v>36555</v>
      </c>
      <c r="B36" s="1">
        <v>30</v>
      </c>
      <c r="C36" s="17">
        <f>ROUND(Data!BO36,2)</f>
        <v>0</v>
      </c>
      <c r="D36" s="3">
        <f>ROUND(Data!R36,1)</f>
        <v>-6.7</v>
      </c>
      <c r="E36" s="3">
        <f>ROUND(Data!AF36,1)</f>
        <v>-20.7</v>
      </c>
      <c r="F36" s="27">
        <f>Data!BT36</f>
        <v>0</v>
      </c>
      <c r="G36" s="3">
        <f>Data!Q36</f>
        <v>0</v>
      </c>
      <c r="H36" s="21">
        <f>Data!BF36</f>
        <v>0</v>
      </c>
      <c r="I36" s="14">
        <f t="shared" si="4"/>
        <v>0</v>
      </c>
      <c r="J36" s="17">
        <f>Data!BX36</f>
        <v>0</v>
      </c>
      <c r="K36" s="53">
        <f t="shared" si="1"/>
        <v>0</v>
      </c>
      <c r="M36" s="27">
        <f t="shared" si="8"/>
        <v>113.68000000000002</v>
      </c>
      <c r="N36" s="27">
        <f t="shared" si="8"/>
        <v>119.36399999999999</v>
      </c>
      <c r="P36" s="24"/>
      <c r="Q36" s="24"/>
      <c r="R36" s="21">
        <f t="shared" si="5"/>
        <v>268.86399999999998</v>
      </c>
      <c r="S36" s="27">
        <f t="shared" si="2"/>
        <v>0</v>
      </c>
      <c r="T36" s="27">
        <f t="shared" si="6"/>
        <v>0</v>
      </c>
    </row>
    <row r="37" spans="1:20" x14ac:dyDescent="0.2">
      <c r="A37" s="15">
        <f t="shared" si="3"/>
        <v>36556</v>
      </c>
      <c r="B37" s="1">
        <v>31</v>
      </c>
      <c r="C37" s="17">
        <f>ROUND(Data!BO37,2)</f>
        <v>0</v>
      </c>
      <c r="D37" s="3">
        <f>ROUND(Data!R37,1)</f>
        <v>-4.9000000000000004</v>
      </c>
      <c r="E37" s="3">
        <f>ROUND(Data!AF37,1)</f>
        <v>-17.899999999999999</v>
      </c>
      <c r="F37" s="27">
        <f>Data!BT37</f>
        <v>0</v>
      </c>
      <c r="G37" s="3">
        <f>Data!Q37</f>
        <v>0</v>
      </c>
      <c r="H37" s="21">
        <f>Data!BF37</f>
        <v>0</v>
      </c>
      <c r="I37" s="14">
        <f t="shared" si="4"/>
        <v>0</v>
      </c>
      <c r="J37" s="17">
        <f>Data!BX37</f>
        <v>0.7</v>
      </c>
      <c r="K37" s="53">
        <f t="shared" si="1"/>
        <v>0.73499999999999999</v>
      </c>
      <c r="M37" s="27">
        <f t="shared" si="8"/>
        <v>114.38000000000002</v>
      </c>
      <c r="N37" s="27">
        <f t="shared" si="8"/>
        <v>120.09899999999999</v>
      </c>
      <c r="P37" s="24"/>
      <c r="Q37" s="24"/>
      <c r="R37" s="21">
        <f t="shared" si="5"/>
        <v>269.59899999999999</v>
      </c>
      <c r="S37" s="27">
        <f t="shared" si="2"/>
        <v>0.73500000000001364</v>
      </c>
      <c r="T37" s="27">
        <f t="shared" si="6"/>
        <v>-1.3655743202889425E-14</v>
      </c>
    </row>
    <row r="38" spans="1:20" x14ac:dyDescent="0.2">
      <c r="A38" s="15">
        <f t="shared" si="3"/>
        <v>36557</v>
      </c>
      <c r="B38" s="1">
        <v>32</v>
      </c>
      <c r="C38" s="17">
        <f>ROUND(Data!BO38,2)</f>
        <v>0</v>
      </c>
      <c r="D38" s="3">
        <f>ROUND(Data!R38,1)</f>
        <v>-5</v>
      </c>
      <c r="E38" s="3">
        <f>ROUND(Data!AF38,1)</f>
        <v>-11.8</v>
      </c>
      <c r="F38" s="27">
        <f>Data!BT38</f>
        <v>0</v>
      </c>
      <c r="G38" s="3">
        <f>Data!Q38</f>
        <v>0</v>
      </c>
      <c r="H38" s="21">
        <f>Data!BF38</f>
        <v>0</v>
      </c>
      <c r="I38" s="14">
        <f t="shared" si="4"/>
        <v>0</v>
      </c>
      <c r="J38" s="17">
        <f>Data!BX38</f>
        <v>4.9000000000000004</v>
      </c>
      <c r="K38" s="53">
        <f t="shared" si="1"/>
        <v>5.1450000000000005</v>
      </c>
      <c r="M38" s="27">
        <f t="shared" si="8"/>
        <v>119.28000000000003</v>
      </c>
      <c r="N38" s="27">
        <f t="shared" si="8"/>
        <v>125.24399999999999</v>
      </c>
      <c r="P38" s="24"/>
      <c r="Q38" s="24"/>
      <c r="R38" s="21">
        <f t="shared" si="5"/>
        <v>274.74399999999997</v>
      </c>
      <c r="S38" s="27">
        <f t="shared" si="2"/>
        <v>5.1449999999999818</v>
      </c>
      <c r="T38" s="27">
        <f t="shared" si="6"/>
        <v>1.865174681370263E-14</v>
      </c>
    </row>
    <row r="39" spans="1:20" x14ac:dyDescent="0.2">
      <c r="A39" s="15">
        <f t="shared" si="3"/>
        <v>36558</v>
      </c>
      <c r="B39" s="1">
        <v>33</v>
      </c>
      <c r="C39" s="17">
        <f>ROUND(Data!BO39,2)</f>
        <v>0</v>
      </c>
      <c r="D39" s="3">
        <f>ROUND(Data!R39,1)</f>
        <v>-4.0999999999999996</v>
      </c>
      <c r="E39" s="3">
        <f>ROUND(Data!AF39,1)</f>
        <v>-8.5</v>
      </c>
      <c r="F39" s="27">
        <f>Data!BT39</f>
        <v>0</v>
      </c>
      <c r="G39" s="3">
        <f>Data!Q39</f>
        <v>0</v>
      </c>
      <c r="H39" s="21">
        <f>Data!BF39</f>
        <v>0</v>
      </c>
      <c r="I39" s="14">
        <f t="shared" si="4"/>
        <v>0</v>
      </c>
      <c r="J39" s="17">
        <f>Data!BX39</f>
        <v>0</v>
      </c>
      <c r="K39" s="53">
        <f t="shared" si="1"/>
        <v>0</v>
      </c>
      <c r="M39" s="27">
        <f t="shared" si="8"/>
        <v>119.28000000000003</v>
      </c>
      <c r="N39" s="27">
        <f t="shared" si="8"/>
        <v>125.24399999999999</v>
      </c>
      <c r="P39" s="24"/>
      <c r="Q39" s="24"/>
      <c r="R39" s="21">
        <f t="shared" si="5"/>
        <v>274.74399999999997</v>
      </c>
      <c r="S39" s="27">
        <f t="shared" si="2"/>
        <v>0</v>
      </c>
      <c r="T39" s="27">
        <f t="shared" si="6"/>
        <v>0</v>
      </c>
    </row>
    <row r="40" spans="1:20" x14ac:dyDescent="0.2">
      <c r="A40" s="15">
        <f t="shared" si="3"/>
        <v>36559</v>
      </c>
      <c r="B40" s="1">
        <v>34</v>
      </c>
      <c r="C40" s="17">
        <f>ROUND(Data!BO40,2)</f>
        <v>0</v>
      </c>
      <c r="D40" s="3">
        <f>ROUND(Data!R40,1)</f>
        <v>-2.8</v>
      </c>
      <c r="E40" s="3">
        <f>ROUND(Data!AF40,1)</f>
        <v>-10.8</v>
      </c>
      <c r="F40" s="27">
        <f>Data!BT40</f>
        <v>0</v>
      </c>
      <c r="G40" s="3">
        <f>Data!Q40</f>
        <v>0</v>
      </c>
      <c r="H40" s="21">
        <f>Data!BF40</f>
        <v>0</v>
      </c>
      <c r="I40" s="14">
        <f t="shared" si="4"/>
        <v>0</v>
      </c>
      <c r="J40" s="17">
        <f>Data!BX40</f>
        <v>0</v>
      </c>
      <c r="K40" s="53">
        <f t="shared" si="1"/>
        <v>0</v>
      </c>
      <c r="M40" s="27">
        <f t="shared" si="8"/>
        <v>119.28000000000003</v>
      </c>
      <c r="N40" s="27">
        <f t="shared" si="8"/>
        <v>125.24399999999999</v>
      </c>
      <c r="P40" s="24"/>
      <c r="Q40" s="24"/>
      <c r="R40" s="21">
        <f t="shared" si="5"/>
        <v>274.74399999999997</v>
      </c>
      <c r="S40" s="27">
        <f t="shared" si="2"/>
        <v>0</v>
      </c>
      <c r="T40" s="27">
        <f t="shared" si="6"/>
        <v>0</v>
      </c>
    </row>
    <row r="41" spans="1:20" x14ac:dyDescent="0.2">
      <c r="A41" s="15">
        <f t="shared" si="3"/>
        <v>36560</v>
      </c>
      <c r="B41" s="1">
        <v>35</v>
      </c>
      <c r="C41" s="17">
        <f>ROUND(Data!BO41,2)</f>
        <v>0</v>
      </c>
      <c r="D41" s="3">
        <f>ROUND(Data!R41,1)</f>
        <v>-6.1</v>
      </c>
      <c r="E41" s="3">
        <f>ROUND(Data!AF41,1)</f>
        <v>-12.7</v>
      </c>
      <c r="F41" s="27">
        <f>Data!BT41</f>
        <v>0</v>
      </c>
      <c r="G41" s="3">
        <f>Data!Q41</f>
        <v>0</v>
      </c>
      <c r="H41" s="21">
        <f>Data!BF41</f>
        <v>0</v>
      </c>
      <c r="I41" s="14">
        <f t="shared" si="4"/>
        <v>0</v>
      </c>
      <c r="J41" s="17">
        <f>Data!BX41</f>
        <v>1.1199999999999999</v>
      </c>
      <c r="K41" s="53">
        <f t="shared" si="1"/>
        <v>1.1759999999999999</v>
      </c>
      <c r="M41" s="27">
        <f t="shared" ref="M41:N56" si="9">J41+M40</f>
        <v>120.40000000000003</v>
      </c>
      <c r="N41" s="27">
        <f t="shared" si="9"/>
        <v>126.41999999999999</v>
      </c>
      <c r="P41" s="24"/>
      <c r="Q41" s="24"/>
      <c r="R41" s="21">
        <f t="shared" si="5"/>
        <v>275.91999999999996</v>
      </c>
      <c r="S41" s="27">
        <f t="shared" si="2"/>
        <v>1.1759999999999877</v>
      </c>
      <c r="T41" s="27">
        <f t="shared" si="6"/>
        <v>1.2212453270876722E-14</v>
      </c>
    </row>
    <row r="42" spans="1:20" x14ac:dyDescent="0.2">
      <c r="A42" s="15">
        <f t="shared" si="3"/>
        <v>36561</v>
      </c>
      <c r="B42" s="1">
        <v>36</v>
      </c>
      <c r="C42" s="17">
        <f>ROUND(Data!BO42,2)</f>
        <v>0</v>
      </c>
      <c r="D42" s="3">
        <f>ROUND(Data!R42,1)</f>
        <v>-3.3</v>
      </c>
      <c r="E42" s="3">
        <f>ROUND(Data!AF42,1)</f>
        <v>-12.1</v>
      </c>
      <c r="F42" s="27">
        <f>Data!BT42</f>
        <v>0</v>
      </c>
      <c r="G42" s="3">
        <f>Data!Q42</f>
        <v>0</v>
      </c>
      <c r="H42" s="21">
        <f>Data!BF42</f>
        <v>0</v>
      </c>
      <c r="I42" s="14">
        <f t="shared" si="4"/>
        <v>0</v>
      </c>
      <c r="J42" s="17">
        <f>Data!BX42</f>
        <v>1.1199999999999999</v>
      </c>
      <c r="K42" s="53">
        <f t="shared" si="1"/>
        <v>1.1759999999999999</v>
      </c>
      <c r="M42" s="27">
        <f t="shared" si="9"/>
        <v>121.52000000000004</v>
      </c>
      <c r="N42" s="27">
        <f t="shared" si="9"/>
        <v>127.59599999999999</v>
      </c>
      <c r="P42" s="24"/>
      <c r="Q42" s="24"/>
      <c r="R42" s="21">
        <f t="shared" si="5"/>
        <v>277.09599999999995</v>
      </c>
      <c r="S42" s="27">
        <f t="shared" si="2"/>
        <v>1.1759999999999877</v>
      </c>
      <c r="T42" s="27">
        <f t="shared" si="6"/>
        <v>1.2212453270876722E-14</v>
      </c>
    </row>
    <row r="43" spans="1:20" x14ac:dyDescent="0.2">
      <c r="A43" s="15">
        <f t="shared" si="3"/>
        <v>36562</v>
      </c>
      <c r="B43" s="1">
        <v>37</v>
      </c>
      <c r="C43" s="17">
        <f>ROUND(Data!BO43,2)</f>
        <v>0</v>
      </c>
      <c r="D43" s="3">
        <f>ROUND(Data!R43,1)</f>
        <v>-3.7</v>
      </c>
      <c r="E43" s="3">
        <f>ROUND(Data!AF43,1)</f>
        <v>-11.9</v>
      </c>
      <c r="F43" s="27">
        <f>Data!BT43</f>
        <v>0</v>
      </c>
      <c r="G43" s="3">
        <f>Data!Q43</f>
        <v>0</v>
      </c>
      <c r="H43" s="21">
        <f>Data!BF43</f>
        <v>0</v>
      </c>
      <c r="I43" s="14">
        <f t="shared" si="4"/>
        <v>0</v>
      </c>
      <c r="J43" s="17">
        <f>Data!BX43</f>
        <v>0</v>
      </c>
      <c r="K43" s="53">
        <f t="shared" si="1"/>
        <v>0</v>
      </c>
      <c r="M43" s="27">
        <f t="shared" si="9"/>
        <v>121.52000000000004</v>
      </c>
      <c r="N43" s="27">
        <f t="shared" si="9"/>
        <v>127.59599999999999</v>
      </c>
      <c r="P43" s="24"/>
      <c r="Q43" s="24"/>
      <c r="R43" s="21">
        <f t="shared" si="5"/>
        <v>277.09599999999995</v>
      </c>
      <c r="S43" s="27">
        <f t="shared" si="2"/>
        <v>0</v>
      </c>
      <c r="T43" s="27">
        <f t="shared" si="6"/>
        <v>0</v>
      </c>
    </row>
    <row r="44" spans="1:20" x14ac:dyDescent="0.2">
      <c r="A44" s="15">
        <f t="shared" si="3"/>
        <v>36563</v>
      </c>
      <c r="B44" s="1">
        <v>38</v>
      </c>
      <c r="C44" s="17">
        <f>ROUND(Data!BO44,2)</f>
        <v>0</v>
      </c>
      <c r="D44" s="3">
        <f>ROUND(Data!R44,1)</f>
        <v>-3.3</v>
      </c>
      <c r="E44" s="3">
        <f>ROUND(Data!AF44,1)</f>
        <v>-10.3</v>
      </c>
      <c r="F44" s="27">
        <f>Data!BT44</f>
        <v>0</v>
      </c>
      <c r="G44" s="3">
        <f>Data!Q44</f>
        <v>0</v>
      </c>
      <c r="H44" s="21">
        <f>Data!BF44</f>
        <v>0</v>
      </c>
      <c r="I44" s="14">
        <f t="shared" si="4"/>
        <v>0</v>
      </c>
      <c r="J44" s="17">
        <f>Data!BX44</f>
        <v>0</v>
      </c>
      <c r="K44" s="53">
        <f t="shared" si="1"/>
        <v>0</v>
      </c>
      <c r="M44" s="27">
        <f t="shared" si="9"/>
        <v>121.52000000000004</v>
      </c>
      <c r="N44" s="27">
        <f t="shared" si="9"/>
        <v>127.59599999999999</v>
      </c>
      <c r="P44" s="24"/>
      <c r="Q44" s="24"/>
      <c r="R44" s="21">
        <f t="shared" si="5"/>
        <v>277.09599999999995</v>
      </c>
      <c r="S44" s="27">
        <f t="shared" si="2"/>
        <v>0</v>
      </c>
      <c r="T44" s="27">
        <f t="shared" si="6"/>
        <v>0</v>
      </c>
    </row>
    <row r="45" spans="1:20" x14ac:dyDescent="0.2">
      <c r="A45" s="15">
        <f t="shared" si="3"/>
        <v>36564</v>
      </c>
      <c r="B45" s="1">
        <v>39</v>
      </c>
      <c r="C45" s="17">
        <f>ROUND(Data!BO45,2)</f>
        <v>0</v>
      </c>
      <c r="D45" s="3">
        <f>ROUND(Data!R45,1)</f>
        <v>-3.5</v>
      </c>
      <c r="E45" s="3">
        <f>ROUND(Data!AF45,1)</f>
        <v>-9.1</v>
      </c>
      <c r="F45" s="27">
        <f>Data!BT45</f>
        <v>0</v>
      </c>
      <c r="G45" s="3">
        <f>Data!Q45</f>
        <v>0</v>
      </c>
      <c r="H45" s="21">
        <f>Data!BF45</f>
        <v>0</v>
      </c>
      <c r="I45" s="14">
        <f t="shared" si="4"/>
        <v>0</v>
      </c>
      <c r="J45" s="17">
        <f>Data!BX45</f>
        <v>13.16</v>
      </c>
      <c r="K45" s="53">
        <f t="shared" si="1"/>
        <v>13.818000000000001</v>
      </c>
      <c r="M45" s="27">
        <f t="shared" si="9"/>
        <v>134.68000000000004</v>
      </c>
      <c r="N45" s="27">
        <f t="shared" si="9"/>
        <v>141.41399999999999</v>
      </c>
      <c r="P45" s="24"/>
      <c r="Q45" s="24"/>
      <c r="R45" s="21">
        <f t="shared" si="5"/>
        <v>290.91399999999993</v>
      </c>
      <c r="S45" s="27">
        <f t="shared" si="2"/>
        <v>13.817999999999984</v>
      </c>
      <c r="T45" s="27">
        <f t="shared" si="6"/>
        <v>1.7763568394002505E-14</v>
      </c>
    </row>
    <row r="46" spans="1:20" x14ac:dyDescent="0.2">
      <c r="A46" s="15">
        <f t="shared" si="3"/>
        <v>36565</v>
      </c>
      <c r="B46" s="1">
        <v>40</v>
      </c>
      <c r="C46" s="17">
        <f>ROUND(Data!BO46,2)</f>
        <v>0</v>
      </c>
      <c r="D46" s="3">
        <f>ROUND(Data!R46,1)</f>
        <v>-4.5999999999999996</v>
      </c>
      <c r="E46" s="3">
        <f>ROUND(Data!AF46,1)</f>
        <v>-7.2</v>
      </c>
      <c r="F46" s="27">
        <f>Data!BT46</f>
        <v>0</v>
      </c>
      <c r="G46" s="3">
        <f>Data!Q46</f>
        <v>0</v>
      </c>
      <c r="H46" s="21">
        <f>Data!BF46</f>
        <v>0</v>
      </c>
      <c r="I46" s="14">
        <f t="shared" si="4"/>
        <v>0</v>
      </c>
      <c r="J46" s="17">
        <f>Data!BX46</f>
        <v>19.739999999999995</v>
      </c>
      <c r="K46" s="53">
        <f t="shared" si="1"/>
        <v>20.726999999999997</v>
      </c>
      <c r="M46" s="27">
        <f t="shared" si="9"/>
        <v>154.42000000000002</v>
      </c>
      <c r="N46" s="27">
        <f t="shared" si="9"/>
        <v>162.14099999999999</v>
      </c>
      <c r="P46" s="24"/>
      <c r="Q46" s="24"/>
      <c r="R46" s="21">
        <f t="shared" si="5"/>
        <v>311.64099999999991</v>
      </c>
      <c r="S46" s="27">
        <f t="shared" si="2"/>
        <v>20.726999999999975</v>
      </c>
      <c r="T46" s="27">
        <f t="shared" si="6"/>
        <v>0</v>
      </c>
    </row>
    <row r="47" spans="1:20" x14ac:dyDescent="0.2">
      <c r="A47" s="15">
        <f t="shared" si="3"/>
        <v>36566</v>
      </c>
      <c r="B47" s="1">
        <v>41</v>
      </c>
      <c r="C47" s="17">
        <f>ROUND(Data!BO47,2)</f>
        <v>0</v>
      </c>
      <c r="D47" s="3">
        <f>ROUND(Data!R47,1)</f>
        <v>-3.2</v>
      </c>
      <c r="E47" s="3">
        <f>ROUND(Data!AF47,1)</f>
        <v>-7</v>
      </c>
      <c r="F47" s="27">
        <f>Data!BT47</f>
        <v>0</v>
      </c>
      <c r="G47" s="3">
        <f>Data!Q47</f>
        <v>0</v>
      </c>
      <c r="H47" s="21">
        <f>Data!BF47</f>
        <v>0</v>
      </c>
      <c r="I47" s="14">
        <f t="shared" si="4"/>
        <v>0</v>
      </c>
      <c r="J47" s="17">
        <f>Data!BX47</f>
        <v>0.84</v>
      </c>
      <c r="K47" s="53">
        <f t="shared" si="1"/>
        <v>0.88200000000000001</v>
      </c>
      <c r="M47" s="27">
        <f t="shared" si="9"/>
        <v>155.26000000000002</v>
      </c>
      <c r="N47" s="27">
        <f t="shared" si="9"/>
        <v>163.023</v>
      </c>
      <c r="P47" s="24"/>
      <c r="Q47" s="24"/>
      <c r="R47" s="21">
        <f t="shared" si="5"/>
        <v>312.52299999999991</v>
      </c>
      <c r="S47" s="27">
        <f t="shared" si="2"/>
        <v>0.882000000000005</v>
      </c>
      <c r="T47" s="27">
        <f t="shared" si="6"/>
        <v>-4.9960036108132044E-15</v>
      </c>
    </row>
    <row r="48" spans="1:20" x14ac:dyDescent="0.2">
      <c r="A48" s="15">
        <f t="shared" si="3"/>
        <v>36567</v>
      </c>
      <c r="B48" s="1">
        <v>42</v>
      </c>
      <c r="C48" s="17">
        <f>ROUND(Data!BO48,2)</f>
        <v>0</v>
      </c>
      <c r="D48" s="3">
        <f>ROUND(Data!R48,1)</f>
        <v>-3.6</v>
      </c>
      <c r="E48" s="3">
        <f>ROUND(Data!AF48,1)</f>
        <v>-9</v>
      </c>
      <c r="F48" s="27">
        <f>Data!BT48</f>
        <v>0</v>
      </c>
      <c r="G48" s="3">
        <f>Data!Q48</f>
        <v>0</v>
      </c>
      <c r="H48" s="21">
        <f>Data!BF48</f>
        <v>0</v>
      </c>
      <c r="I48" s="14">
        <f t="shared" si="4"/>
        <v>0</v>
      </c>
      <c r="J48" s="17">
        <f>Data!BX48</f>
        <v>0</v>
      </c>
      <c r="K48" s="53">
        <f t="shared" si="1"/>
        <v>0</v>
      </c>
      <c r="M48" s="27">
        <f t="shared" si="9"/>
        <v>155.26000000000002</v>
      </c>
      <c r="N48" s="27">
        <f t="shared" si="9"/>
        <v>163.023</v>
      </c>
      <c r="P48" s="24"/>
      <c r="Q48" s="24"/>
      <c r="R48" s="21">
        <f t="shared" si="5"/>
        <v>312.52299999999991</v>
      </c>
      <c r="S48" s="27">
        <f t="shared" si="2"/>
        <v>0</v>
      </c>
      <c r="T48" s="27">
        <f t="shared" si="6"/>
        <v>0</v>
      </c>
    </row>
    <row r="49" spans="1:20" x14ac:dyDescent="0.2">
      <c r="A49" s="15">
        <f t="shared" si="3"/>
        <v>36568</v>
      </c>
      <c r="B49" s="1">
        <v>43</v>
      </c>
      <c r="C49" s="17">
        <f>ROUND(Data!BO49,2)</f>
        <v>0</v>
      </c>
      <c r="D49" s="3">
        <f>ROUND(Data!R49,1)</f>
        <v>-3.4</v>
      </c>
      <c r="E49" s="3">
        <f>ROUND(Data!AF49,1)</f>
        <v>-9.4</v>
      </c>
      <c r="F49" s="27">
        <f>Data!BT49</f>
        <v>0</v>
      </c>
      <c r="G49" s="3">
        <f>Data!Q49</f>
        <v>0</v>
      </c>
      <c r="H49" s="21">
        <f>Data!BF49</f>
        <v>0</v>
      </c>
      <c r="I49" s="14">
        <f t="shared" si="4"/>
        <v>0</v>
      </c>
      <c r="J49" s="17">
        <f>Data!BX49</f>
        <v>0</v>
      </c>
      <c r="K49" s="53">
        <f t="shared" si="1"/>
        <v>0</v>
      </c>
      <c r="M49" s="27">
        <f t="shared" si="9"/>
        <v>155.26000000000002</v>
      </c>
      <c r="N49" s="27">
        <f t="shared" si="9"/>
        <v>163.023</v>
      </c>
      <c r="P49" s="24"/>
      <c r="Q49" s="24"/>
      <c r="R49" s="21">
        <f t="shared" si="5"/>
        <v>312.52299999999991</v>
      </c>
      <c r="S49" s="27">
        <f t="shared" si="2"/>
        <v>0</v>
      </c>
      <c r="T49" s="27">
        <f t="shared" si="6"/>
        <v>0</v>
      </c>
    </row>
    <row r="50" spans="1:20" x14ac:dyDescent="0.2">
      <c r="A50" s="15">
        <f t="shared" si="3"/>
        <v>36569</v>
      </c>
      <c r="B50" s="1">
        <v>44</v>
      </c>
      <c r="C50" s="17">
        <f>ROUND(Data!BO50,2)</f>
        <v>0</v>
      </c>
      <c r="D50" s="3">
        <f>ROUND(Data!R50,1)</f>
        <v>-2.2000000000000002</v>
      </c>
      <c r="E50" s="3">
        <f>ROUND(Data!AF50,1)</f>
        <v>-14</v>
      </c>
      <c r="F50" s="27">
        <f>Data!BT50</f>
        <v>0</v>
      </c>
      <c r="G50" s="3">
        <f>Data!Q50</f>
        <v>0</v>
      </c>
      <c r="H50" s="21">
        <f>Data!BF50</f>
        <v>0</v>
      </c>
      <c r="I50" s="14">
        <f t="shared" si="4"/>
        <v>0</v>
      </c>
      <c r="J50" s="17">
        <f>Data!BX50</f>
        <v>0.98000000000000032</v>
      </c>
      <c r="K50" s="53">
        <f t="shared" si="1"/>
        <v>1.0290000000000004</v>
      </c>
      <c r="M50" s="27">
        <f t="shared" si="9"/>
        <v>156.24</v>
      </c>
      <c r="N50" s="27">
        <f t="shared" si="9"/>
        <v>164.05199999999999</v>
      </c>
      <c r="P50" s="24"/>
      <c r="Q50" s="24"/>
      <c r="R50" s="21">
        <f t="shared" si="5"/>
        <v>313.55199999999991</v>
      </c>
      <c r="S50" s="27">
        <f t="shared" si="2"/>
        <v>1.0289999999999964</v>
      </c>
      <c r="T50" s="27">
        <f t="shared" si="6"/>
        <v>3.9968028886505635E-15</v>
      </c>
    </row>
    <row r="51" spans="1:20" x14ac:dyDescent="0.2">
      <c r="A51" s="15">
        <f t="shared" si="3"/>
        <v>36570</v>
      </c>
      <c r="B51" s="1">
        <v>45</v>
      </c>
      <c r="C51" s="17">
        <f>ROUND(Data!BO51,2)</f>
        <v>0</v>
      </c>
      <c r="D51" s="3">
        <f>ROUND(Data!R51,1)</f>
        <v>-7.9</v>
      </c>
      <c r="E51" s="3">
        <f>ROUND(Data!AF51,1)</f>
        <v>-18.3</v>
      </c>
      <c r="F51" s="27">
        <f>Data!BT51</f>
        <v>0</v>
      </c>
      <c r="G51" s="3">
        <f>Data!Q51</f>
        <v>0</v>
      </c>
      <c r="H51" s="21">
        <f>Data!BF51</f>
        <v>0</v>
      </c>
      <c r="I51" s="14">
        <f t="shared" si="4"/>
        <v>0</v>
      </c>
      <c r="J51" s="17">
        <f>Data!BX51</f>
        <v>2.0999999999999996</v>
      </c>
      <c r="K51" s="53">
        <f t="shared" si="1"/>
        <v>2.2049999999999996</v>
      </c>
      <c r="M51" s="27">
        <f t="shared" si="9"/>
        <v>158.34</v>
      </c>
      <c r="N51" s="27">
        <f t="shared" si="9"/>
        <v>166.25700000000001</v>
      </c>
      <c r="P51" s="24"/>
      <c r="Q51" s="24"/>
      <c r="R51" s="21">
        <f t="shared" si="5"/>
        <v>315.75699999999989</v>
      </c>
      <c r="S51" s="27">
        <f t="shared" si="2"/>
        <v>2.2049999999999841</v>
      </c>
      <c r="T51" s="27">
        <f t="shared" si="6"/>
        <v>1.5543122344752192E-14</v>
      </c>
    </row>
    <row r="52" spans="1:20" x14ac:dyDescent="0.2">
      <c r="A52" s="15">
        <f t="shared" si="3"/>
        <v>36571</v>
      </c>
      <c r="B52" s="1">
        <v>46</v>
      </c>
      <c r="C52" s="17">
        <f>ROUND(Data!BO52,2)</f>
        <v>0</v>
      </c>
      <c r="D52" s="3">
        <f>ROUND(Data!R52,1)</f>
        <v>-4.5999999999999996</v>
      </c>
      <c r="E52" s="3">
        <f>ROUND(Data!AF52,1)</f>
        <v>-11</v>
      </c>
      <c r="F52" s="27">
        <f>Data!BT52</f>
        <v>0</v>
      </c>
      <c r="G52" s="3">
        <f>Data!Q52</f>
        <v>0</v>
      </c>
      <c r="H52" s="21">
        <f>Data!BF52</f>
        <v>0</v>
      </c>
      <c r="I52" s="14">
        <f t="shared" si="4"/>
        <v>0</v>
      </c>
      <c r="J52" s="17">
        <f>Data!BX52</f>
        <v>3.9200000000000008</v>
      </c>
      <c r="K52" s="53">
        <f t="shared" si="1"/>
        <v>4.1160000000000014</v>
      </c>
      <c r="M52" s="27">
        <f t="shared" si="9"/>
        <v>162.26</v>
      </c>
      <c r="N52" s="27">
        <f t="shared" si="9"/>
        <v>170.37300000000002</v>
      </c>
      <c r="P52" s="24"/>
      <c r="Q52" s="24"/>
      <c r="R52" s="21">
        <f t="shared" si="5"/>
        <v>319.87299999999988</v>
      </c>
      <c r="S52" s="27">
        <f t="shared" si="2"/>
        <v>4.1159999999999854</v>
      </c>
      <c r="T52" s="27">
        <f t="shared" si="6"/>
        <v>1.5987211554602254E-14</v>
      </c>
    </row>
    <row r="53" spans="1:20" x14ac:dyDescent="0.2">
      <c r="A53" s="15">
        <f t="shared" si="3"/>
        <v>36572</v>
      </c>
      <c r="B53" s="1">
        <v>47</v>
      </c>
      <c r="C53" s="17">
        <f>ROUND(Data!BO53,2)</f>
        <v>0</v>
      </c>
      <c r="D53" s="3">
        <f>ROUND(Data!R53,1)</f>
        <v>-3.7</v>
      </c>
      <c r="E53" s="3">
        <f>ROUND(Data!AF53,1)</f>
        <v>-13.7</v>
      </c>
      <c r="F53" s="27">
        <f>Data!BT53</f>
        <v>0</v>
      </c>
      <c r="G53" s="3">
        <f>Data!Q53</f>
        <v>0</v>
      </c>
      <c r="H53" s="21">
        <f>Data!BF53</f>
        <v>0</v>
      </c>
      <c r="I53" s="14">
        <f t="shared" si="4"/>
        <v>0</v>
      </c>
      <c r="J53" s="17">
        <f>Data!BX53</f>
        <v>0</v>
      </c>
      <c r="K53" s="53">
        <f t="shared" si="1"/>
        <v>0</v>
      </c>
      <c r="M53" s="27">
        <f t="shared" si="9"/>
        <v>162.26</v>
      </c>
      <c r="N53" s="27">
        <f t="shared" si="9"/>
        <v>170.37300000000002</v>
      </c>
      <c r="P53" s="24"/>
      <c r="Q53" s="24"/>
      <c r="R53" s="21">
        <f t="shared" si="5"/>
        <v>319.87299999999988</v>
      </c>
      <c r="S53" s="27">
        <f t="shared" si="2"/>
        <v>0</v>
      </c>
      <c r="T53" s="27">
        <f t="shared" si="6"/>
        <v>0</v>
      </c>
    </row>
    <row r="54" spans="1:20" x14ac:dyDescent="0.2">
      <c r="A54" s="15">
        <f t="shared" si="3"/>
        <v>36573</v>
      </c>
      <c r="B54" s="1">
        <v>48</v>
      </c>
      <c r="C54" s="17">
        <f>ROUND(Data!BO54,2)</f>
        <v>0</v>
      </c>
      <c r="D54" s="3">
        <f>ROUND(Data!R54,1)</f>
        <v>-4.0999999999999996</v>
      </c>
      <c r="E54" s="3">
        <f>ROUND(Data!AF54,1)</f>
        <v>-18.5</v>
      </c>
      <c r="F54" s="27">
        <f>Data!BT54</f>
        <v>0</v>
      </c>
      <c r="G54" s="3">
        <f>Data!Q54</f>
        <v>0</v>
      </c>
      <c r="H54" s="21">
        <f>Data!BF54</f>
        <v>0</v>
      </c>
      <c r="I54" s="14">
        <f t="shared" si="4"/>
        <v>0</v>
      </c>
      <c r="J54" s="17">
        <f>Data!BX54</f>
        <v>0</v>
      </c>
      <c r="K54" s="53">
        <f t="shared" si="1"/>
        <v>0</v>
      </c>
      <c r="M54" s="27">
        <f t="shared" si="9"/>
        <v>162.26</v>
      </c>
      <c r="N54" s="27">
        <f t="shared" si="9"/>
        <v>170.37300000000002</v>
      </c>
      <c r="P54" s="24"/>
      <c r="Q54" s="24"/>
      <c r="R54" s="21">
        <f t="shared" si="5"/>
        <v>319.87299999999988</v>
      </c>
      <c r="S54" s="27">
        <f t="shared" si="2"/>
        <v>0</v>
      </c>
      <c r="T54" s="27">
        <f t="shared" si="6"/>
        <v>0</v>
      </c>
    </row>
    <row r="55" spans="1:20" x14ac:dyDescent="0.2">
      <c r="A55" s="15">
        <f t="shared" si="3"/>
        <v>36574</v>
      </c>
      <c r="B55" s="1">
        <v>49</v>
      </c>
      <c r="C55" s="17">
        <f>ROUND(Data!BO55,2)</f>
        <v>0</v>
      </c>
      <c r="D55" s="3">
        <f>ROUND(Data!R55,1)</f>
        <v>-3.7</v>
      </c>
      <c r="E55" s="3">
        <f>ROUND(Data!AF55,1)</f>
        <v>-19.5</v>
      </c>
      <c r="F55" s="27">
        <f>Data!BT55</f>
        <v>0</v>
      </c>
      <c r="G55" s="3">
        <f>Data!Q55</f>
        <v>0</v>
      </c>
      <c r="H55" s="21">
        <f>Data!BF55</f>
        <v>0</v>
      </c>
      <c r="I55" s="14">
        <f t="shared" si="4"/>
        <v>0</v>
      </c>
      <c r="J55" s="17">
        <f>Data!BX55</f>
        <v>0</v>
      </c>
      <c r="K55" s="53">
        <f t="shared" si="1"/>
        <v>0</v>
      </c>
      <c r="M55" s="27">
        <f t="shared" si="9"/>
        <v>162.26</v>
      </c>
      <c r="N55" s="27">
        <f t="shared" si="9"/>
        <v>170.37300000000002</v>
      </c>
      <c r="P55" s="24"/>
      <c r="Q55" s="24"/>
      <c r="R55" s="21">
        <f t="shared" si="5"/>
        <v>319.87299999999988</v>
      </c>
      <c r="S55" s="27">
        <f t="shared" si="2"/>
        <v>0</v>
      </c>
      <c r="T55" s="27">
        <f t="shared" si="6"/>
        <v>0</v>
      </c>
    </row>
    <row r="56" spans="1:20" x14ac:dyDescent="0.2">
      <c r="A56" s="15">
        <f t="shared" si="3"/>
        <v>36575</v>
      </c>
      <c r="B56" s="1">
        <v>50</v>
      </c>
      <c r="C56" s="17">
        <f>ROUND(Data!BO56,2)</f>
        <v>0</v>
      </c>
      <c r="D56" s="3">
        <f>ROUND(Data!R56,1)</f>
        <v>-2.4</v>
      </c>
      <c r="E56" s="3">
        <f>ROUND(Data!AF56,1)</f>
        <v>-16.399999999999999</v>
      </c>
      <c r="F56" s="27">
        <f>Data!BT56</f>
        <v>0</v>
      </c>
      <c r="G56" s="3">
        <f>Data!Q56</f>
        <v>0</v>
      </c>
      <c r="H56" s="21">
        <f>Data!BF56</f>
        <v>0</v>
      </c>
      <c r="I56" s="14">
        <f t="shared" si="4"/>
        <v>0</v>
      </c>
      <c r="J56" s="17">
        <f>Data!BX56</f>
        <v>0.84000000000000008</v>
      </c>
      <c r="K56" s="53">
        <f t="shared" si="1"/>
        <v>0.88200000000000012</v>
      </c>
      <c r="M56" s="27">
        <f t="shared" si="9"/>
        <v>163.1</v>
      </c>
      <c r="N56" s="27">
        <f t="shared" si="9"/>
        <v>171.25500000000002</v>
      </c>
      <c r="P56" s="24"/>
      <c r="Q56" s="24"/>
      <c r="R56" s="21">
        <f t="shared" si="5"/>
        <v>320.75499999999988</v>
      </c>
      <c r="S56" s="27">
        <f t="shared" si="2"/>
        <v>0.882000000000005</v>
      </c>
      <c r="T56" s="27">
        <f t="shared" si="6"/>
        <v>-4.8849813083506888E-15</v>
      </c>
    </row>
    <row r="57" spans="1:20" x14ac:dyDescent="0.2">
      <c r="A57" s="15">
        <f t="shared" si="3"/>
        <v>36576</v>
      </c>
      <c r="B57" s="1">
        <v>51</v>
      </c>
      <c r="C57" s="17">
        <f>ROUND(Data!BO57,2)</f>
        <v>0</v>
      </c>
      <c r="D57" s="3">
        <f>ROUND(Data!R57,1)</f>
        <v>-0.5</v>
      </c>
      <c r="E57" s="3">
        <f>ROUND(Data!AF57,1)</f>
        <v>-17.7</v>
      </c>
      <c r="F57" s="27">
        <f>Data!BT57</f>
        <v>0</v>
      </c>
      <c r="G57" s="3">
        <f>Data!Q57</f>
        <v>0</v>
      </c>
      <c r="H57" s="21">
        <f>Data!BF57</f>
        <v>0</v>
      </c>
      <c r="I57" s="14">
        <f t="shared" si="4"/>
        <v>0</v>
      </c>
      <c r="J57" s="17">
        <f>Data!BX57</f>
        <v>0</v>
      </c>
      <c r="K57" s="53">
        <f t="shared" si="1"/>
        <v>0</v>
      </c>
      <c r="M57" s="27">
        <f t="shared" ref="M57:N72" si="10">J57+M56</f>
        <v>163.1</v>
      </c>
      <c r="N57" s="27">
        <f t="shared" si="10"/>
        <v>171.25500000000002</v>
      </c>
      <c r="P57" s="24"/>
      <c r="Q57" s="24"/>
      <c r="R57" s="21">
        <f t="shared" si="5"/>
        <v>320.75499999999988</v>
      </c>
      <c r="S57" s="27">
        <f t="shared" si="2"/>
        <v>0</v>
      </c>
      <c r="T57" s="27">
        <f t="shared" si="6"/>
        <v>0</v>
      </c>
    </row>
    <row r="58" spans="1:20" x14ac:dyDescent="0.2">
      <c r="A58" s="15">
        <f t="shared" si="3"/>
        <v>36577</v>
      </c>
      <c r="B58" s="1">
        <v>52</v>
      </c>
      <c r="C58" s="17">
        <f>ROUND(Data!BO58,2)</f>
        <v>0</v>
      </c>
      <c r="D58" s="3">
        <f>ROUND(Data!R58,1)</f>
        <v>-4.4000000000000004</v>
      </c>
      <c r="E58" s="3">
        <f>ROUND(Data!AF58,1)</f>
        <v>-10.4</v>
      </c>
      <c r="F58" s="27">
        <f>Data!BT58</f>
        <v>0</v>
      </c>
      <c r="G58" s="3">
        <f>Data!Q58</f>
        <v>0</v>
      </c>
      <c r="H58" s="21">
        <f>Data!BF58</f>
        <v>0</v>
      </c>
      <c r="I58" s="14">
        <f t="shared" si="4"/>
        <v>0</v>
      </c>
      <c r="J58" s="17">
        <f>Data!BX58</f>
        <v>6.5799999999999983</v>
      </c>
      <c r="K58" s="53">
        <f t="shared" si="1"/>
        <v>6.9089999999999989</v>
      </c>
      <c r="M58" s="27">
        <f t="shared" si="10"/>
        <v>169.68</v>
      </c>
      <c r="N58" s="27">
        <f t="shared" si="10"/>
        <v>178.16400000000002</v>
      </c>
      <c r="P58" s="24"/>
      <c r="Q58" s="24"/>
      <c r="R58" s="21">
        <f t="shared" si="5"/>
        <v>327.66399999999987</v>
      </c>
      <c r="S58" s="27">
        <f t="shared" si="2"/>
        <v>6.9089999999999918</v>
      </c>
      <c r="T58" s="27">
        <f t="shared" si="6"/>
        <v>7.1054273576010019E-15</v>
      </c>
    </row>
    <row r="59" spans="1:20" x14ac:dyDescent="0.2">
      <c r="A59" s="15">
        <f t="shared" si="3"/>
        <v>36578</v>
      </c>
      <c r="B59" s="1">
        <v>53</v>
      </c>
      <c r="C59" s="17">
        <f>ROUND(Data!BO59,2)</f>
        <v>0</v>
      </c>
      <c r="D59" s="3">
        <f>ROUND(Data!R59,1)</f>
        <v>-3.5</v>
      </c>
      <c r="E59" s="3">
        <f>ROUND(Data!AF59,1)</f>
        <v>-7.9</v>
      </c>
      <c r="F59" s="27">
        <f>Data!BT59</f>
        <v>0</v>
      </c>
      <c r="G59" s="3">
        <f>Data!Q59</f>
        <v>0</v>
      </c>
      <c r="H59" s="21">
        <f>Data!BF59</f>
        <v>0</v>
      </c>
      <c r="I59" s="14">
        <f t="shared" si="4"/>
        <v>0</v>
      </c>
      <c r="J59" s="17">
        <f>Data!BX59</f>
        <v>7.9800000000000013</v>
      </c>
      <c r="K59" s="53">
        <f t="shared" si="1"/>
        <v>8.3790000000000013</v>
      </c>
      <c r="M59" s="27">
        <f t="shared" si="10"/>
        <v>177.66</v>
      </c>
      <c r="N59" s="27">
        <f t="shared" si="10"/>
        <v>186.54300000000001</v>
      </c>
      <c r="P59" s="24"/>
      <c r="Q59" s="24"/>
      <c r="R59" s="21">
        <f t="shared" si="5"/>
        <v>336.04299999999989</v>
      </c>
      <c r="S59" s="27">
        <f t="shared" si="2"/>
        <v>8.3790000000000191</v>
      </c>
      <c r="T59" s="27">
        <f t="shared" si="6"/>
        <v>-1.7763568394002505E-14</v>
      </c>
    </row>
    <row r="60" spans="1:20" x14ac:dyDescent="0.2">
      <c r="A60" s="15">
        <f t="shared" si="3"/>
        <v>36579</v>
      </c>
      <c r="B60" s="1">
        <v>54</v>
      </c>
      <c r="C60" s="17">
        <f>ROUND(Data!BO60,2)</f>
        <v>0</v>
      </c>
      <c r="D60" s="3">
        <f>ROUND(Data!R60,1)</f>
        <v>-1.2</v>
      </c>
      <c r="E60" s="3">
        <f>ROUND(Data!AF60,1)</f>
        <v>-6.6</v>
      </c>
      <c r="F60" s="27">
        <f>Data!BT60</f>
        <v>0</v>
      </c>
      <c r="G60" s="3">
        <f>Data!Q60</f>
        <v>0</v>
      </c>
      <c r="H60" s="21">
        <f>Data!BF60</f>
        <v>0</v>
      </c>
      <c r="I60" s="14">
        <f t="shared" si="4"/>
        <v>0</v>
      </c>
      <c r="J60" s="17">
        <f>Data!BX60</f>
        <v>3.08</v>
      </c>
      <c r="K60" s="53">
        <f t="shared" si="1"/>
        <v>3.2340000000000004</v>
      </c>
      <c r="M60" s="27">
        <f t="shared" si="10"/>
        <v>180.74</v>
      </c>
      <c r="N60" s="27">
        <f t="shared" si="10"/>
        <v>189.77700000000002</v>
      </c>
      <c r="P60" s="24"/>
      <c r="Q60" s="24"/>
      <c r="R60" s="21">
        <f t="shared" si="5"/>
        <v>339.27699999999987</v>
      </c>
      <c r="S60" s="27">
        <f t="shared" si="2"/>
        <v>3.2339999999999804</v>
      </c>
      <c r="T60" s="27">
        <f t="shared" si="6"/>
        <v>1.9984014443252818E-14</v>
      </c>
    </row>
    <row r="61" spans="1:20" x14ac:dyDescent="0.2">
      <c r="A61" s="15">
        <f t="shared" si="3"/>
        <v>36580</v>
      </c>
      <c r="B61" s="1">
        <v>55</v>
      </c>
      <c r="C61" s="17">
        <f>ROUND(Data!BO61,2)</f>
        <v>0</v>
      </c>
      <c r="D61" s="3">
        <f>ROUND(Data!R61,1)</f>
        <v>1.2</v>
      </c>
      <c r="E61" s="3">
        <f>ROUND(Data!AF61,1)</f>
        <v>-10</v>
      </c>
      <c r="F61" s="27">
        <f>Data!BT61</f>
        <v>0</v>
      </c>
      <c r="G61" s="3">
        <f>Data!Q61</f>
        <v>0</v>
      </c>
      <c r="H61" s="21">
        <f>Data!BF61</f>
        <v>0</v>
      </c>
      <c r="I61" s="14">
        <f t="shared" si="4"/>
        <v>0</v>
      </c>
      <c r="J61" s="17">
        <f>Data!BX61</f>
        <v>0</v>
      </c>
      <c r="K61" s="53">
        <f t="shared" si="1"/>
        <v>0</v>
      </c>
      <c r="M61" s="27">
        <f t="shared" si="10"/>
        <v>180.74</v>
      </c>
      <c r="N61" s="27">
        <f t="shared" si="10"/>
        <v>189.77700000000002</v>
      </c>
      <c r="P61" s="24"/>
      <c r="Q61" s="24"/>
      <c r="R61" s="21">
        <f t="shared" si="5"/>
        <v>339.27699999999987</v>
      </c>
      <c r="S61" s="27">
        <f t="shared" si="2"/>
        <v>0</v>
      </c>
      <c r="T61" s="27">
        <f t="shared" si="6"/>
        <v>0</v>
      </c>
    </row>
    <row r="62" spans="1:20" x14ac:dyDescent="0.2">
      <c r="A62" s="15">
        <f t="shared" si="3"/>
        <v>36581</v>
      </c>
      <c r="B62" s="1">
        <v>56</v>
      </c>
      <c r="C62" s="17">
        <f>ROUND(Data!BO62,2)</f>
        <v>0</v>
      </c>
      <c r="D62" s="3">
        <f>ROUND(Data!R62,1)</f>
        <v>0.8</v>
      </c>
      <c r="E62" s="3">
        <f>ROUND(Data!AF62,1)</f>
        <v>-11.6</v>
      </c>
      <c r="F62" s="27">
        <f>Data!BT62</f>
        <v>0</v>
      </c>
      <c r="G62" s="3">
        <f>Data!Q62</f>
        <v>0</v>
      </c>
      <c r="H62" s="21">
        <f>Data!BF62</f>
        <v>0</v>
      </c>
      <c r="I62" s="14">
        <f t="shared" si="4"/>
        <v>0</v>
      </c>
      <c r="J62" s="17">
        <f>Data!BX62</f>
        <v>0</v>
      </c>
      <c r="K62" s="53">
        <f t="shared" si="1"/>
        <v>0</v>
      </c>
      <c r="M62" s="27">
        <f t="shared" si="10"/>
        <v>180.74</v>
      </c>
      <c r="N62" s="27">
        <f t="shared" si="10"/>
        <v>189.77700000000002</v>
      </c>
      <c r="P62" s="24"/>
      <c r="Q62" s="24"/>
      <c r="R62" s="21">
        <f t="shared" si="5"/>
        <v>339.27699999999987</v>
      </c>
      <c r="S62" s="27">
        <f t="shared" si="2"/>
        <v>0</v>
      </c>
      <c r="T62" s="27">
        <f t="shared" si="6"/>
        <v>0</v>
      </c>
    </row>
    <row r="63" spans="1:20" x14ac:dyDescent="0.2">
      <c r="A63" s="15">
        <f t="shared" si="3"/>
        <v>36582</v>
      </c>
      <c r="B63" s="1">
        <v>57</v>
      </c>
      <c r="C63" s="17">
        <f>ROUND(Data!BO63,2)</f>
        <v>0</v>
      </c>
      <c r="D63" s="3">
        <f>ROUND(Data!R63,1)</f>
        <v>-1.2</v>
      </c>
      <c r="E63" s="3">
        <f>ROUND(Data!AF63,1)</f>
        <v>-9.8000000000000007</v>
      </c>
      <c r="F63" s="27">
        <f>Data!BT63</f>
        <v>0</v>
      </c>
      <c r="G63" s="3">
        <f>Data!Q63</f>
        <v>0</v>
      </c>
      <c r="H63" s="21">
        <f>Data!BF63</f>
        <v>0</v>
      </c>
      <c r="I63" s="14">
        <f t="shared" si="4"/>
        <v>0</v>
      </c>
      <c r="J63" s="17">
        <f>Data!BX63</f>
        <v>4.1999999999999993</v>
      </c>
      <c r="K63" s="53">
        <f t="shared" si="1"/>
        <v>4.4099999999999993</v>
      </c>
      <c r="M63" s="27">
        <f t="shared" si="10"/>
        <v>184.94</v>
      </c>
      <c r="N63" s="27">
        <f t="shared" si="10"/>
        <v>194.18700000000001</v>
      </c>
      <c r="P63" s="24"/>
      <c r="Q63" s="24"/>
      <c r="R63" s="21">
        <f t="shared" si="5"/>
        <v>343.6869999999999</v>
      </c>
      <c r="S63" s="27">
        <f t="shared" si="2"/>
        <v>4.410000000000025</v>
      </c>
      <c r="T63" s="27">
        <f t="shared" si="6"/>
        <v>-2.5757174171303632E-14</v>
      </c>
    </row>
    <row r="64" spans="1:20" x14ac:dyDescent="0.2">
      <c r="A64" s="15">
        <f t="shared" si="3"/>
        <v>36583</v>
      </c>
      <c r="B64" s="1">
        <v>58</v>
      </c>
      <c r="C64" s="17">
        <f>ROUND(Data!BO64,2)</f>
        <v>0</v>
      </c>
      <c r="D64" s="3">
        <f>ROUND(Data!R64,1)</f>
        <v>-3.9</v>
      </c>
      <c r="E64" s="3">
        <f>ROUND(Data!AF64,1)</f>
        <v>-10.3</v>
      </c>
      <c r="F64" s="27">
        <f>Data!BT64</f>
        <v>0</v>
      </c>
      <c r="G64" s="3">
        <f>Data!Q64</f>
        <v>0</v>
      </c>
      <c r="H64" s="21">
        <f>Data!BF64</f>
        <v>0</v>
      </c>
      <c r="I64" s="14">
        <f t="shared" si="4"/>
        <v>0</v>
      </c>
      <c r="J64" s="17">
        <f>Data!BX64</f>
        <v>3.3600000000000003</v>
      </c>
      <c r="K64" s="53">
        <f t="shared" si="1"/>
        <v>3.5280000000000005</v>
      </c>
      <c r="M64" s="27">
        <f t="shared" si="10"/>
        <v>188.3</v>
      </c>
      <c r="N64" s="27">
        <f t="shared" si="10"/>
        <v>197.715</v>
      </c>
      <c r="P64" s="24"/>
      <c r="Q64" s="24"/>
      <c r="R64" s="21">
        <f t="shared" si="5"/>
        <v>347.21499999999992</v>
      </c>
      <c r="S64" s="27">
        <f t="shared" si="2"/>
        <v>3.52800000000002</v>
      </c>
      <c r="T64" s="27">
        <f t="shared" si="6"/>
        <v>-1.9539925233402755E-14</v>
      </c>
    </row>
    <row r="65" spans="1:20" x14ac:dyDescent="0.2">
      <c r="A65" s="15">
        <f t="shared" si="3"/>
        <v>36584</v>
      </c>
      <c r="B65" s="1">
        <v>59</v>
      </c>
      <c r="C65" s="17">
        <f>ROUND(Data!BO65,2)</f>
        <v>0</v>
      </c>
      <c r="D65" s="3">
        <f>ROUND(Data!R65,1)</f>
        <v>-0.5</v>
      </c>
      <c r="E65" s="3">
        <f>ROUND(Data!AF65,1)</f>
        <v>-7.3</v>
      </c>
      <c r="F65" s="27">
        <f>Data!BT65</f>
        <v>0</v>
      </c>
      <c r="G65" s="3">
        <f>Data!Q65</f>
        <v>0</v>
      </c>
      <c r="H65" s="21">
        <f>Data!BF65</f>
        <v>0</v>
      </c>
      <c r="I65" s="14">
        <f t="shared" si="4"/>
        <v>0</v>
      </c>
      <c r="J65" s="17">
        <f>Data!BX65</f>
        <v>1.68</v>
      </c>
      <c r="K65" s="53">
        <f t="shared" si="1"/>
        <v>1.764</v>
      </c>
      <c r="M65" s="27">
        <f t="shared" si="10"/>
        <v>189.98000000000002</v>
      </c>
      <c r="N65" s="27">
        <f t="shared" si="10"/>
        <v>199.47900000000001</v>
      </c>
      <c r="P65" s="24"/>
      <c r="Q65" s="24"/>
      <c r="R65" s="21">
        <f t="shared" si="5"/>
        <v>348.97899999999993</v>
      </c>
      <c r="S65" s="27">
        <f t="shared" si="2"/>
        <v>1.76400000000001</v>
      </c>
      <c r="T65" s="27">
        <f t="shared" si="6"/>
        <v>-9.9920072216264089E-15</v>
      </c>
    </row>
    <row r="66" spans="1:20" x14ac:dyDescent="0.2">
      <c r="A66" s="15">
        <f t="shared" si="3"/>
        <v>36585</v>
      </c>
      <c r="B66" s="1">
        <v>60</v>
      </c>
      <c r="C66" s="17">
        <f>ROUND(Data!BO66,2)</f>
        <v>0</v>
      </c>
      <c r="D66" s="3">
        <f>ROUND(Data!R66,1)</f>
        <v>-1.6</v>
      </c>
      <c r="E66" s="3">
        <f>ROUND(Data!AF66,1)</f>
        <v>-7.2</v>
      </c>
      <c r="F66" s="27">
        <f>Data!BT66</f>
        <v>0</v>
      </c>
      <c r="G66" s="3">
        <f>Data!Q66</f>
        <v>0</v>
      </c>
      <c r="H66" s="21">
        <f>Data!BF66</f>
        <v>0</v>
      </c>
      <c r="I66" s="14">
        <f t="shared" si="4"/>
        <v>0</v>
      </c>
      <c r="J66" s="17">
        <f>Data!BX66</f>
        <v>4.1999999999999993</v>
      </c>
      <c r="K66" s="53">
        <f t="shared" si="1"/>
        <v>4.4099999999999993</v>
      </c>
      <c r="M66" s="27">
        <f t="shared" si="10"/>
        <v>194.18</v>
      </c>
      <c r="N66" s="27">
        <f t="shared" si="10"/>
        <v>203.88900000000001</v>
      </c>
      <c r="P66" s="24"/>
      <c r="Q66" s="24"/>
      <c r="R66" s="21">
        <f t="shared" si="5"/>
        <v>353.38899999999995</v>
      </c>
      <c r="S66" s="27">
        <f t="shared" si="2"/>
        <v>4.410000000000025</v>
      </c>
      <c r="T66" s="27">
        <f t="shared" si="6"/>
        <v>-2.5757174171303632E-14</v>
      </c>
    </row>
    <row r="67" spans="1:20" x14ac:dyDescent="0.2">
      <c r="A67" s="15">
        <f t="shared" si="3"/>
        <v>36586</v>
      </c>
      <c r="B67" s="1">
        <v>61</v>
      </c>
      <c r="C67" s="17">
        <f>ROUND(Data!BO67,2)</f>
        <v>0</v>
      </c>
      <c r="D67" s="3">
        <f>ROUND(Data!R67,1)</f>
        <v>-0.7</v>
      </c>
      <c r="E67" s="3">
        <f>ROUND(Data!AF67,1)</f>
        <v>-6.5</v>
      </c>
      <c r="F67" s="27">
        <f>Data!BT67</f>
        <v>0</v>
      </c>
      <c r="G67" s="3">
        <f>Data!Q67</f>
        <v>0</v>
      </c>
      <c r="H67" s="21">
        <f>Data!BF67</f>
        <v>0</v>
      </c>
      <c r="I67" s="14">
        <f t="shared" si="4"/>
        <v>0</v>
      </c>
      <c r="J67" s="17">
        <f>Data!BX67</f>
        <v>4.76</v>
      </c>
      <c r="K67" s="53">
        <f t="shared" si="1"/>
        <v>4.9980000000000002</v>
      </c>
      <c r="M67" s="27">
        <f t="shared" si="10"/>
        <v>198.94</v>
      </c>
      <c r="N67" s="27">
        <f t="shared" si="10"/>
        <v>208.887</v>
      </c>
      <c r="P67" s="24"/>
      <c r="Q67" s="24"/>
      <c r="R67" s="21">
        <f t="shared" ref="R67" si="11">R66+K67</f>
        <v>358.38699999999994</v>
      </c>
      <c r="S67" s="27">
        <f t="shared" ref="S67" si="12">R67-R66</f>
        <v>4.9979999999999905</v>
      </c>
      <c r="T67" s="27">
        <f t="shared" ref="T67" si="13">K67-S67</f>
        <v>9.7699626167013776E-15</v>
      </c>
    </row>
    <row r="68" spans="1:20" x14ac:dyDescent="0.2">
      <c r="A68" s="15">
        <f t="shared" si="3"/>
        <v>36587</v>
      </c>
      <c r="B68" s="1">
        <v>62</v>
      </c>
      <c r="C68" s="17">
        <f>ROUND(Data!BO68,2)</f>
        <v>0.51</v>
      </c>
      <c r="D68" s="3">
        <f>ROUND(Data!R68,1)</f>
        <v>-0.4</v>
      </c>
      <c r="E68" s="3">
        <f>ROUND(Data!AF68,1)</f>
        <v>-6.1</v>
      </c>
      <c r="F68" s="27">
        <f>Data!BT68</f>
        <v>79.7</v>
      </c>
      <c r="G68" s="3">
        <f>Data!Q68</f>
        <v>0</v>
      </c>
      <c r="H68" s="21">
        <f>Data!BF68</f>
        <v>1250</v>
      </c>
      <c r="I68" s="43">
        <v>0</v>
      </c>
      <c r="J68" s="17">
        <f>Data!BX68</f>
        <v>5.18</v>
      </c>
      <c r="K68" s="53">
        <f t="shared" si="1"/>
        <v>5.4390000000000001</v>
      </c>
      <c r="M68" s="27">
        <f t="shared" si="10"/>
        <v>204.12</v>
      </c>
      <c r="N68" s="27">
        <f t="shared" si="10"/>
        <v>214.32599999999999</v>
      </c>
      <c r="P68" s="24">
        <f t="shared" ref="P68:P71" si="14">(R67+K68)/H68</f>
        <v>0.29106079999999995</v>
      </c>
      <c r="Q68" s="24">
        <f t="shared" ref="Q68:Q70" si="15">IF(P68&gt;Q$1,Q$1,P68)</f>
        <v>0.29106079999999995</v>
      </c>
      <c r="R68" s="21">
        <f t="shared" ref="R68:R71" si="16">Q68*H68</f>
        <v>363.82599999999996</v>
      </c>
      <c r="S68" s="27">
        <f t="shared" ref="S68" si="17">R68-R67</f>
        <v>5.4390000000000214</v>
      </c>
      <c r="T68" s="27">
        <f t="shared" ref="T68" si="18">K68-S68</f>
        <v>-2.1316282072803006E-14</v>
      </c>
    </row>
    <row r="69" spans="1:20" x14ac:dyDescent="0.2">
      <c r="A69" s="15">
        <f t="shared" si="3"/>
        <v>36588</v>
      </c>
      <c r="B69" s="1">
        <v>63</v>
      </c>
      <c r="C69" s="17">
        <f>ROUND(Data!BO69,2)</f>
        <v>1.06</v>
      </c>
      <c r="D69" s="3">
        <f>ROUND(Data!R69,1)</f>
        <v>-0.3</v>
      </c>
      <c r="E69" s="3">
        <f>ROUND(Data!AF69,1)</f>
        <v>-7</v>
      </c>
      <c r="F69" s="27">
        <f>Data!BT69</f>
        <v>75</v>
      </c>
      <c r="G69" s="3">
        <f>Data!Q69</f>
        <v>0</v>
      </c>
      <c r="H69" s="21">
        <f>Data!BF69</f>
        <v>1293</v>
      </c>
      <c r="I69" s="14">
        <f t="shared" si="4"/>
        <v>5.6</v>
      </c>
      <c r="J69" s="17">
        <f>Data!BX69</f>
        <v>7.9799999999999995</v>
      </c>
      <c r="K69" s="35">
        <f t="shared" ref="K69:K72" si="19">I69</f>
        <v>5.6</v>
      </c>
      <c r="M69" s="27">
        <f t="shared" si="10"/>
        <v>212.1</v>
      </c>
      <c r="N69" s="27">
        <f t="shared" si="10"/>
        <v>219.92599999999999</v>
      </c>
      <c r="P69" s="24">
        <f t="shared" si="14"/>
        <v>0.28571229698375872</v>
      </c>
      <c r="Q69" s="24">
        <f t="shared" si="15"/>
        <v>0.28571229698375872</v>
      </c>
      <c r="R69" s="21">
        <f t="shared" si="16"/>
        <v>369.42600000000004</v>
      </c>
      <c r="S69" s="27">
        <f t="shared" si="2"/>
        <v>5.6000000000000796</v>
      </c>
      <c r="T69" s="27">
        <f t="shared" si="6"/>
        <v>-7.9936057773011271E-14</v>
      </c>
    </row>
    <row r="70" spans="1:20" x14ac:dyDescent="0.2">
      <c r="A70" s="15">
        <f t="shared" si="3"/>
        <v>36589</v>
      </c>
      <c r="B70" s="1">
        <v>64</v>
      </c>
      <c r="C70" s="17">
        <f>ROUND(Data!BO70,2)</f>
        <v>1.1499999999999999</v>
      </c>
      <c r="D70" s="3">
        <f>ROUND(Data!R70,1)</f>
        <v>-1.2</v>
      </c>
      <c r="E70" s="3">
        <f>ROUND(Data!AF70,1)</f>
        <v>-7.4</v>
      </c>
      <c r="F70" s="27">
        <f>Data!BT70</f>
        <v>82</v>
      </c>
      <c r="G70" s="3">
        <f>Data!Q70</f>
        <v>0</v>
      </c>
      <c r="H70" s="21">
        <f>Data!BF70</f>
        <v>1318</v>
      </c>
      <c r="I70" s="14">
        <f t="shared" si="4"/>
        <v>3.3</v>
      </c>
      <c r="J70" s="17">
        <f>Data!BX70</f>
        <v>9.2399999999999967</v>
      </c>
      <c r="K70" s="35">
        <f t="shared" si="19"/>
        <v>3.3</v>
      </c>
      <c r="M70" s="27">
        <f t="shared" si="10"/>
        <v>221.34</v>
      </c>
      <c r="N70" s="27">
        <f t="shared" si="10"/>
        <v>223.226</v>
      </c>
      <c r="P70" s="24">
        <f t="shared" si="14"/>
        <v>0.28279666160849776</v>
      </c>
      <c r="Q70" s="24">
        <f t="shared" si="15"/>
        <v>0.28279666160849776</v>
      </c>
      <c r="R70" s="21">
        <f t="shared" si="16"/>
        <v>372.72600000000006</v>
      </c>
      <c r="S70" s="27">
        <f t="shared" si="2"/>
        <v>3.3000000000000114</v>
      </c>
      <c r="T70" s="27">
        <f t="shared" si="6"/>
        <v>-1.1546319456101628E-14</v>
      </c>
    </row>
    <row r="71" spans="1:20" x14ac:dyDescent="0.2">
      <c r="A71" s="15">
        <f t="shared" si="3"/>
        <v>36590</v>
      </c>
      <c r="B71" s="1">
        <v>65</v>
      </c>
      <c r="C71" s="17">
        <f>ROUND(Data!BO71,2)</f>
        <v>2.33</v>
      </c>
      <c r="D71" s="3">
        <f>ROUND(Data!R71,1)</f>
        <v>-1.6</v>
      </c>
      <c r="E71" s="3">
        <f>ROUND(Data!AF71,1)</f>
        <v>-12.5</v>
      </c>
      <c r="F71" s="27">
        <f>Data!BT71</f>
        <v>60</v>
      </c>
      <c r="G71" s="3">
        <f>Data!Q71</f>
        <v>0</v>
      </c>
      <c r="H71" s="21">
        <f>Data!BF71</f>
        <v>1288</v>
      </c>
      <c r="I71" s="14">
        <f t="shared" si="4"/>
        <v>0</v>
      </c>
      <c r="J71" s="17">
        <f>Data!BX71</f>
        <v>0</v>
      </c>
      <c r="K71" s="35">
        <f t="shared" si="19"/>
        <v>0</v>
      </c>
      <c r="M71" s="27">
        <f t="shared" si="10"/>
        <v>221.34</v>
      </c>
      <c r="N71" s="27">
        <f t="shared" si="10"/>
        <v>223.226</v>
      </c>
      <c r="P71" s="24">
        <f t="shared" si="14"/>
        <v>0.28938354037267083</v>
      </c>
      <c r="Q71" s="24">
        <f t="shared" ref="Q71:Q134" si="20">IF(P71&gt;Q$1,Q$1,P71)</f>
        <v>0.28938354037267083</v>
      </c>
      <c r="R71" s="21">
        <f t="shared" si="16"/>
        <v>372.72600000000006</v>
      </c>
      <c r="S71" s="27">
        <f t="shared" ref="S71:S134" si="21">R71-R70</f>
        <v>0</v>
      </c>
      <c r="T71" s="27">
        <f t="shared" si="6"/>
        <v>0</v>
      </c>
    </row>
    <row r="72" spans="1:20" x14ac:dyDescent="0.2">
      <c r="A72" s="15">
        <f t="shared" ref="A72:A135" si="22">A71+1</f>
        <v>36591</v>
      </c>
      <c r="B72" s="1">
        <v>66</v>
      </c>
      <c r="C72" s="17">
        <f>ROUND(Data!BO72,2)</f>
        <v>1.38</v>
      </c>
      <c r="D72" s="3">
        <f>ROUND(Data!R72,1)</f>
        <v>-4.3</v>
      </c>
      <c r="E72" s="3">
        <f>ROUND(Data!AF72,1)</f>
        <v>-16.100000000000001</v>
      </c>
      <c r="F72" s="27">
        <f>Data!BT72</f>
        <v>83.1</v>
      </c>
      <c r="G72" s="3">
        <f>Data!Q72</f>
        <v>0</v>
      </c>
      <c r="H72" s="21">
        <f>Data!BF72</f>
        <v>1304</v>
      </c>
      <c r="I72" s="14">
        <f t="shared" ref="I72:I135" si="23">IF(H72&gt;H71,ROUND((H72-H71)*I$1,1),0)</f>
        <v>2.1</v>
      </c>
      <c r="J72" s="17">
        <f>Data!BX72</f>
        <v>2.38</v>
      </c>
      <c r="K72" s="35">
        <f t="shared" si="19"/>
        <v>2.1</v>
      </c>
      <c r="M72" s="27">
        <f t="shared" si="10"/>
        <v>223.72</v>
      </c>
      <c r="N72" s="27">
        <f t="shared" si="10"/>
        <v>225.32599999999999</v>
      </c>
      <c r="P72" s="24">
        <f t="shared" ref="P72:P135" si="24">(R71+K72)/H72</f>
        <v>0.28744325153374239</v>
      </c>
      <c r="Q72" s="24">
        <f t="shared" si="20"/>
        <v>0.28744325153374239</v>
      </c>
      <c r="R72" s="21">
        <f t="shared" ref="R72:R135" si="25">Q72*H72</f>
        <v>374.82600000000008</v>
      </c>
      <c r="S72" s="27">
        <f t="shared" si="21"/>
        <v>2.1000000000000227</v>
      </c>
      <c r="T72" s="27">
        <f t="shared" ref="T72:T135" si="26">K72-S72</f>
        <v>-2.2648549702353193E-14</v>
      </c>
    </row>
    <row r="73" spans="1:20" x14ac:dyDescent="0.2">
      <c r="A73" s="15">
        <f t="shared" si="22"/>
        <v>36592</v>
      </c>
      <c r="B73" s="1">
        <v>67</v>
      </c>
      <c r="C73" s="17">
        <f>ROUND(Data!BO73,2)</f>
        <v>8.24</v>
      </c>
      <c r="D73" s="3">
        <f>ROUND(Data!R73,1)</f>
        <v>0.1</v>
      </c>
      <c r="E73" s="3">
        <f>ROUND(Data!AF73,1)</f>
        <v>-18.899999999999999</v>
      </c>
      <c r="F73" s="27">
        <f>Data!BT73</f>
        <v>32.700000000000003</v>
      </c>
      <c r="G73" s="3">
        <f>Data!Q73</f>
        <v>0</v>
      </c>
      <c r="H73" s="21">
        <f>Data!BF73</f>
        <v>1278</v>
      </c>
      <c r="I73" s="14">
        <f t="shared" si="23"/>
        <v>0</v>
      </c>
      <c r="J73" s="17">
        <f>Data!BX73</f>
        <v>0.28000000000000019</v>
      </c>
      <c r="K73" s="35">
        <f t="shared" ref="K73:K138" si="27">I73</f>
        <v>0</v>
      </c>
      <c r="M73" s="27">
        <f t="shared" ref="M73:N88" si="28">J73+M72</f>
        <v>224</v>
      </c>
      <c r="N73" s="27">
        <f t="shared" si="28"/>
        <v>225.32599999999999</v>
      </c>
      <c r="P73" s="24">
        <f t="shared" si="24"/>
        <v>0.29329107981220665</v>
      </c>
      <c r="Q73" s="24">
        <f t="shared" si="20"/>
        <v>0.29329107981220665</v>
      </c>
      <c r="R73" s="21">
        <f t="shared" si="25"/>
        <v>374.82600000000008</v>
      </c>
      <c r="S73" s="27">
        <f t="shared" si="21"/>
        <v>0</v>
      </c>
      <c r="T73" s="27">
        <f t="shared" si="26"/>
        <v>0</v>
      </c>
    </row>
    <row r="74" spans="1:20" x14ac:dyDescent="0.2">
      <c r="A74" s="15">
        <f t="shared" si="22"/>
        <v>36593</v>
      </c>
      <c r="B74" s="1">
        <v>68</v>
      </c>
      <c r="C74" s="17">
        <f>ROUND(Data!BO74,2)</f>
        <v>11.82</v>
      </c>
      <c r="D74" s="3">
        <f>ROUND(Data!R74,1)</f>
        <v>3.4</v>
      </c>
      <c r="E74" s="3">
        <f>ROUND(Data!AF74,1)</f>
        <v>-11.2</v>
      </c>
      <c r="F74" s="27">
        <f>Data!BT74</f>
        <v>37.200000000000003</v>
      </c>
      <c r="G74" s="3">
        <f>Data!Q74</f>
        <v>0</v>
      </c>
      <c r="H74" s="21">
        <f>Data!BF74</f>
        <v>1254</v>
      </c>
      <c r="I74" s="14">
        <f t="shared" si="23"/>
        <v>0</v>
      </c>
      <c r="J74" s="17">
        <f>Data!BX74</f>
        <v>0</v>
      </c>
      <c r="K74" s="35">
        <f t="shared" si="27"/>
        <v>0</v>
      </c>
      <c r="M74" s="27">
        <f t="shared" si="28"/>
        <v>224</v>
      </c>
      <c r="N74" s="27">
        <f t="shared" si="28"/>
        <v>225.32599999999999</v>
      </c>
      <c r="P74" s="24">
        <f t="shared" si="24"/>
        <v>0.29890430622009578</v>
      </c>
      <c r="Q74" s="24">
        <f t="shared" si="20"/>
        <v>0.29890430622009578</v>
      </c>
      <c r="R74" s="21">
        <f t="shared" si="25"/>
        <v>374.82600000000014</v>
      </c>
      <c r="S74" s="27">
        <f t="shared" si="21"/>
        <v>0</v>
      </c>
      <c r="T74" s="27">
        <f t="shared" si="26"/>
        <v>0</v>
      </c>
    </row>
    <row r="75" spans="1:20" x14ac:dyDescent="0.2">
      <c r="A75" s="15">
        <f t="shared" si="22"/>
        <v>36594</v>
      </c>
      <c r="B75" s="1">
        <v>69</v>
      </c>
      <c r="C75" s="17">
        <f>ROUND(Data!BO75,2)</f>
        <v>4.4400000000000004</v>
      </c>
      <c r="D75" s="3">
        <f>ROUND(Data!R75,1)</f>
        <v>0.9</v>
      </c>
      <c r="E75" s="3">
        <f>ROUND(Data!AF75,1)</f>
        <v>-3</v>
      </c>
      <c r="F75" s="27">
        <f>Data!BT75</f>
        <v>69</v>
      </c>
      <c r="G75" s="3">
        <f>Data!Q75</f>
        <v>0</v>
      </c>
      <c r="H75" s="21">
        <f>Data!BF75</f>
        <v>1253</v>
      </c>
      <c r="I75" s="14">
        <f t="shared" si="23"/>
        <v>0</v>
      </c>
      <c r="J75" s="17">
        <f>Data!BX75</f>
        <v>0.84</v>
      </c>
      <c r="K75" s="35">
        <f t="shared" si="27"/>
        <v>0</v>
      </c>
      <c r="M75" s="27">
        <f t="shared" si="28"/>
        <v>224.84</v>
      </c>
      <c r="N75" s="27">
        <f t="shared" si="28"/>
        <v>225.32599999999999</v>
      </c>
      <c r="P75" s="24">
        <f t="shared" si="24"/>
        <v>0.29914285714285727</v>
      </c>
      <c r="Q75" s="24">
        <f t="shared" si="20"/>
        <v>0.29914285714285727</v>
      </c>
      <c r="R75" s="21">
        <f t="shared" si="25"/>
        <v>374.82600000000014</v>
      </c>
      <c r="S75" s="27">
        <f t="shared" si="21"/>
        <v>0</v>
      </c>
      <c r="T75" s="27">
        <f t="shared" si="26"/>
        <v>0</v>
      </c>
    </row>
    <row r="76" spans="1:20" x14ac:dyDescent="0.2">
      <c r="A76" s="15">
        <f t="shared" si="22"/>
        <v>36595</v>
      </c>
      <c r="B76" s="1">
        <v>70</v>
      </c>
      <c r="C76" s="17">
        <f>ROUND(Data!BO76,2)</f>
        <v>10.16</v>
      </c>
      <c r="D76" s="3">
        <f>ROUND(Data!R76,1)</f>
        <v>3.2</v>
      </c>
      <c r="E76" s="3">
        <f>ROUND(Data!AF76,1)</f>
        <v>-3.9</v>
      </c>
      <c r="F76" s="27">
        <f>Data!BT76</f>
        <v>52.3</v>
      </c>
      <c r="G76" s="3">
        <f>Data!Q76</f>
        <v>0</v>
      </c>
      <c r="H76" s="21">
        <f>Data!BF76</f>
        <v>1244</v>
      </c>
      <c r="I76" s="14">
        <f t="shared" si="23"/>
        <v>0</v>
      </c>
      <c r="J76" s="17">
        <f>Data!BX76</f>
        <v>0.42000000000000004</v>
      </c>
      <c r="K76" s="35">
        <f t="shared" si="27"/>
        <v>0</v>
      </c>
      <c r="M76" s="27">
        <f t="shared" si="28"/>
        <v>225.26</v>
      </c>
      <c r="N76" s="27">
        <f t="shared" si="28"/>
        <v>225.32599999999999</v>
      </c>
      <c r="P76" s="24">
        <f t="shared" si="24"/>
        <v>0.30130707395498402</v>
      </c>
      <c r="Q76" s="24">
        <f t="shared" si="20"/>
        <v>0.30130707395498402</v>
      </c>
      <c r="R76" s="21">
        <f t="shared" si="25"/>
        <v>374.82600000000014</v>
      </c>
      <c r="S76" s="27">
        <f t="shared" si="21"/>
        <v>0</v>
      </c>
      <c r="T76" s="27">
        <f t="shared" si="26"/>
        <v>0</v>
      </c>
    </row>
    <row r="77" spans="1:20" x14ac:dyDescent="0.2">
      <c r="A77" s="15">
        <f t="shared" si="22"/>
        <v>36596</v>
      </c>
      <c r="B77" s="1">
        <v>71</v>
      </c>
      <c r="C77" s="17">
        <f>ROUND(Data!BO77,2)</f>
        <v>9.51</v>
      </c>
      <c r="D77" s="3">
        <f>ROUND(Data!R77,1)</f>
        <v>0.8</v>
      </c>
      <c r="E77" s="3">
        <f>ROUND(Data!AF77,1)</f>
        <v>-3.9</v>
      </c>
      <c r="F77" s="27">
        <f>Data!BT77</f>
        <v>46.6</v>
      </c>
      <c r="G77" s="3">
        <f>Data!Q77</f>
        <v>0</v>
      </c>
      <c r="H77" s="21">
        <f>Data!BF77</f>
        <v>1240</v>
      </c>
      <c r="I77" s="14">
        <f t="shared" si="23"/>
        <v>0</v>
      </c>
      <c r="J77" s="17">
        <f>Data!BX77</f>
        <v>1.9599999999999997</v>
      </c>
      <c r="K77" s="35">
        <f t="shared" si="27"/>
        <v>0</v>
      </c>
      <c r="M77" s="27">
        <f t="shared" si="28"/>
        <v>227.22</v>
      </c>
      <c r="N77" s="27">
        <f t="shared" si="28"/>
        <v>225.32599999999999</v>
      </c>
      <c r="P77" s="24">
        <f t="shared" si="24"/>
        <v>0.30227903225806463</v>
      </c>
      <c r="Q77" s="24">
        <f t="shared" si="20"/>
        <v>0.30227903225806463</v>
      </c>
      <c r="R77" s="21">
        <f t="shared" si="25"/>
        <v>374.82600000000014</v>
      </c>
      <c r="S77" s="27">
        <f t="shared" si="21"/>
        <v>0</v>
      </c>
      <c r="T77" s="27">
        <f t="shared" si="26"/>
        <v>0</v>
      </c>
    </row>
    <row r="78" spans="1:20" x14ac:dyDescent="0.2">
      <c r="A78" s="15">
        <f t="shared" si="22"/>
        <v>36597</v>
      </c>
      <c r="B78" s="1">
        <v>72</v>
      </c>
      <c r="C78" s="17">
        <f>ROUND(Data!BO78,2)</f>
        <v>9.42</v>
      </c>
      <c r="D78" s="3">
        <f>ROUND(Data!R78,1)</f>
        <v>0.8</v>
      </c>
      <c r="E78" s="3">
        <f>ROUND(Data!AF78,1)</f>
        <v>-9.6999999999999993</v>
      </c>
      <c r="F78" s="27">
        <f>Data!BT78</f>
        <v>49.1</v>
      </c>
      <c r="G78" s="3">
        <f>Data!Q78</f>
        <v>0</v>
      </c>
      <c r="H78" s="21">
        <f>Data!BF78</f>
        <v>1233</v>
      </c>
      <c r="I78" s="14">
        <f t="shared" si="23"/>
        <v>0</v>
      </c>
      <c r="J78" s="17">
        <f>Data!BX78</f>
        <v>0</v>
      </c>
      <c r="K78" s="35">
        <f t="shared" si="27"/>
        <v>0</v>
      </c>
      <c r="M78" s="27">
        <f t="shared" si="28"/>
        <v>227.22</v>
      </c>
      <c r="N78" s="27">
        <f t="shared" si="28"/>
        <v>225.32599999999999</v>
      </c>
      <c r="P78" s="24">
        <f t="shared" si="24"/>
        <v>0.30399513381995147</v>
      </c>
      <c r="Q78" s="24">
        <f t="shared" si="20"/>
        <v>0.30399513381995147</v>
      </c>
      <c r="R78" s="21">
        <f t="shared" si="25"/>
        <v>374.82600000000014</v>
      </c>
      <c r="S78" s="27">
        <f t="shared" si="21"/>
        <v>0</v>
      </c>
      <c r="T78" s="27">
        <f t="shared" si="26"/>
        <v>0</v>
      </c>
    </row>
    <row r="79" spans="1:20" x14ac:dyDescent="0.2">
      <c r="A79" s="15">
        <f t="shared" si="22"/>
        <v>36598</v>
      </c>
      <c r="B79" s="1">
        <v>73</v>
      </c>
      <c r="C79" s="17">
        <f>ROUND(Data!BO79,2)</f>
        <v>11.04</v>
      </c>
      <c r="D79" s="3">
        <f>ROUND(Data!R79,1)</f>
        <v>3.3</v>
      </c>
      <c r="E79" s="3">
        <f>ROUND(Data!AF79,1)</f>
        <v>-5.7</v>
      </c>
      <c r="F79" s="27">
        <f>Data!BT79</f>
        <v>45.4</v>
      </c>
      <c r="G79" s="3">
        <f>Data!Q79</f>
        <v>0</v>
      </c>
      <c r="H79" s="21">
        <f>Data!BF79</f>
        <v>1208</v>
      </c>
      <c r="I79" s="14">
        <f t="shared" si="23"/>
        <v>0</v>
      </c>
      <c r="J79" s="17">
        <f>Data!BX79</f>
        <v>0</v>
      </c>
      <c r="K79" s="35">
        <f t="shared" si="27"/>
        <v>0</v>
      </c>
      <c r="M79" s="27">
        <f t="shared" si="28"/>
        <v>227.22</v>
      </c>
      <c r="N79" s="27">
        <f t="shared" si="28"/>
        <v>225.32599999999999</v>
      </c>
      <c r="P79" s="24">
        <f t="shared" si="24"/>
        <v>0.3102864238410597</v>
      </c>
      <c r="Q79" s="24">
        <f t="shared" si="20"/>
        <v>0.3102864238410597</v>
      </c>
      <c r="R79" s="21">
        <f t="shared" si="25"/>
        <v>374.82600000000014</v>
      </c>
      <c r="S79" s="27">
        <f t="shared" si="21"/>
        <v>0</v>
      </c>
      <c r="T79" s="27">
        <f t="shared" si="26"/>
        <v>0</v>
      </c>
    </row>
    <row r="80" spans="1:20" x14ac:dyDescent="0.2">
      <c r="A80" s="15">
        <f t="shared" si="22"/>
        <v>36599</v>
      </c>
      <c r="B80" s="1">
        <v>74</v>
      </c>
      <c r="C80" s="17">
        <f>ROUND(Data!BO80,2)</f>
        <v>2.68</v>
      </c>
      <c r="D80" s="3">
        <f>ROUND(Data!R80,1)</f>
        <v>-1.6</v>
      </c>
      <c r="E80" s="3">
        <f>ROUND(Data!AF80,1)</f>
        <v>-4.5999999999999996</v>
      </c>
      <c r="F80" s="27">
        <f>Data!BT80</f>
        <v>90.9</v>
      </c>
      <c r="G80" s="3">
        <f>Data!Q80</f>
        <v>0</v>
      </c>
      <c r="H80" s="21">
        <f>Data!BF80</f>
        <v>1348</v>
      </c>
      <c r="I80" s="14">
        <f t="shared" si="23"/>
        <v>18.2</v>
      </c>
      <c r="J80" s="17">
        <f>Data!BX80</f>
        <v>16.799999999999997</v>
      </c>
      <c r="K80" s="35">
        <f t="shared" si="27"/>
        <v>18.2</v>
      </c>
      <c r="M80" s="27">
        <f t="shared" si="28"/>
        <v>244.01999999999998</v>
      </c>
      <c r="N80" s="27">
        <f t="shared" si="28"/>
        <v>243.52599999999998</v>
      </c>
      <c r="P80" s="24">
        <f t="shared" si="24"/>
        <v>0.29156231454005943</v>
      </c>
      <c r="Q80" s="24">
        <f t="shared" si="20"/>
        <v>0.29156231454005943</v>
      </c>
      <c r="R80" s="21">
        <f t="shared" si="25"/>
        <v>393.02600000000012</v>
      </c>
      <c r="S80" s="27">
        <f t="shared" si="21"/>
        <v>18.199999999999989</v>
      </c>
      <c r="T80" s="27">
        <f t="shared" si="26"/>
        <v>0</v>
      </c>
    </row>
    <row r="81" spans="1:20" x14ac:dyDescent="0.2">
      <c r="A81" s="15">
        <f t="shared" si="22"/>
        <v>36600</v>
      </c>
      <c r="B81" s="1">
        <v>75</v>
      </c>
      <c r="C81" s="17">
        <f>ROUND(Data!BO81,2)</f>
        <v>12.9</v>
      </c>
      <c r="D81" s="3">
        <f>ROUND(Data!R81,1)</f>
        <v>-0.5</v>
      </c>
      <c r="E81" s="3">
        <f>ROUND(Data!AF81,1)</f>
        <v>-6.3</v>
      </c>
      <c r="F81" s="27">
        <f>Data!BT81</f>
        <v>79.8</v>
      </c>
      <c r="G81" s="3">
        <f>Data!Q81</f>
        <v>0</v>
      </c>
      <c r="H81" s="21">
        <f>Data!BF81</f>
        <v>1321</v>
      </c>
      <c r="I81" s="14">
        <f t="shared" si="23"/>
        <v>0</v>
      </c>
      <c r="J81" s="17">
        <f>Data!BX81</f>
        <v>0</v>
      </c>
      <c r="K81" s="35">
        <f t="shared" si="27"/>
        <v>0</v>
      </c>
      <c r="M81" s="27">
        <f t="shared" si="28"/>
        <v>244.01999999999998</v>
      </c>
      <c r="N81" s="27">
        <f t="shared" si="28"/>
        <v>243.52599999999998</v>
      </c>
      <c r="P81" s="24">
        <f t="shared" si="24"/>
        <v>0.29752157456472378</v>
      </c>
      <c r="Q81" s="24">
        <f t="shared" si="20"/>
        <v>0.29752157456472378</v>
      </c>
      <c r="R81" s="21">
        <f t="shared" si="25"/>
        <v>393.02600000000012</v>
      </c>
      <c r="S81" s="27">
        <f t="shared" si="21"/>
        <v>0</v>
      </c>
      <c r="T81" s="27">
        <f t="shared" si="26"/>
        <v>0</v>
      </c>
    </row>
    <row r="82" spans="1:20" x14ac:dyDescent="0.2">
      <c r="A82" s="15">
        <f t="shared" si="22"/>
        <v>36601</v>
      </c>
      <c r="B82" s="1">
        <v>76</v>
      </c>
      <c r="C82" s="17">
        <f>ROUND(Data!BO82,2)</f>
        <v>4.47</v>
      </c>
      <c r="D82" s="3">
        <f>ROUND(Data!R82,1)</f>
        <v>-1</v>
      </c>
      <c r="E82" s="3">
        <f>ROUND(Data!AF82,1)</f>
        <v>-4</v>
      </c>
      <c r="F82" s="27">
        <f>Data!BT82</f>
        <v>96</v>
      </c>
      <c r="G82" s="3">
        <f>Data!Q82</f>
        <v>0</v>
      </c>
      <c r="H82" s="21">
        <f>Data!BF82</f>
        <v>1383</v>
      </c>
      <c r="I82" s="14">
        <f t="shared" si="23"/>
        <v>8.1</v>
      </c>
      <c r="J82" s="17">
        <f>Data!BX82</f>
        <v>21</v>
      </c>
      <c r="K82" s="35">
        <f t="shared" si="27"/>
        <v>8.1</v>
      </c>
      <c r="M82" s="27">
        <f t="shared" si="28"/>
        <v>265.02</v>
      </c>
      <c r="N82" s="27">
        <f t="shared" si="28"/>
        <v>251.62599999999998</v>
      </c>
      <c r="P82" s="24">
        <f t="shared" si="24"/>
        <v>0.29004049168474344</v>
      </c>
      <c r="Q82" s="24">
        <f t="shared" si="20"/>
        <v>0.29004049168474344</v>
      </c>
      <c r="R82" s="21">
        <f t="shared" si="25"/>
        <v>401.1260000000002</v>
      </c>
      <c r="S82" s="27">
        <f t="shared" si="21"/>
        <v>8.1000000000000796</v>
      </c>
      <c r="T82" s="27">
        <f t="shared" si="26"/>
        <v>-7.9936057773011271E-14</v>
      </c>
    </row>
    <row r="83" spans="1:20" x14ac:dyDescent="0.2">
      <c r="A83" s="15">
        <f t="shared" si="22"/>
        <v>36602</v>
      </c>
      <c r="B83" s="1">
        <v>77</v>
      </c>
      <c r="C83" s="17">
        <f>ROUND(Data!BO83,2)</f>
        <v>7.9</v>
      </c>
      <c r="D83" s="3">
        <f>ROUND(Data!R83,1)</f>
        <v>-1.3</v>
      </c>
      <c r="E83" s="3">
        <f>ROUND(Data!AF83,1)</f>
        <v>-5.5</v>
      </c>
      <c r="F83" s="27">
        <f>Data!BT83</f>
        <v>90.6</v>
      </c>
      <c r="G83" s="3">
        <f>Data!Q83</f>
        <v>0</v>
      </c>
      <c r="H83" s="21">
        <f>Data!BF83</f>
        <v>1517</v>
      </c>
      <c r="I83" s="14">
        <f t="shared" si="23"/>
        <v>17.399999999999999</v>
      </c>
      <c r="J83" s="17">
        <f>Data!BX83</f>
        <v>1.8199999999999996</v>
      </c>
      <c r="K83" s="35">
        <f t="shared" si="27"/>
        <v>17.399999999999999</v>
      </c>
      <c r="M83" s="27">
        <f t="shared" si="28"/>
        <v>266.83999999999997</v>
      </c>
      <c r="N83" s="27">
        <f t="shared" si="28"/>
        <v>269.02599999999995</v>
      </c>
      <c r="P83" s="24">
        <f t="shared" si="24"/>
        <v>0.27589057350032969</v>
      </c>
      <c r="Q83" s="24">
        <f t="shared" si="20"/>
        <v>0.27589057350032969</v>
      </c>
      <c r="R83" s="21">
        <f t="shared" si="25"/>
        <v>418.52600000000012</v>
      </c>
      <c r="S83" s="27">
        <f t="shared" si="21"/>
        <v>17.39999999999992</v>
      </c>
      <c r="T83" s="27">
        <f t="shared" si="26"/>
        <v>7.815970093361102E-14</v>
      </c>
    </row>
    <row r="84" spans="1:20" x14ac:dyDescent="0.2">
      <c r="A84" s="15">
        <f t="shared" si="22"/>
        <v>36603</v>
      </c>
      <c r="B84" s="1">
        <v>78</v>
      </c>
      <c r="C84" s="17">
        <f>ROUND(Data!BO84,2)</f>
        <v>3.23</v>
      </c>
      <c r="D84" s="3">
        <f>ROUND(Data!R84,1)</f>
        <v>-1.4</v>
      </c>
      <c r="E84" s="3">
        <f>ROUND(Data!AF84,1)</f>
        <v>-4.5</v>
      </c>
      <c r="F84" s="27">
        <f>Data!BT84</f>
        <v>80.900000000000006</v>
      </c>
      <c r="G84" s="3">
        <f>Data!Q84</f>
        <v>0</v>
      </c>
      <c r="H84" s="21">
        <f>Data!BF84</f>
        <v>1546</v>
      </c>
      <c r="I84" s="14">
        <f t="shared" si="23"/>
        <v>3.8</v>
      </c>
      <c r="J84" s="17">
        <f>Data!BX84</f>
        <v>9.2399999999999984</v>
      </c>
      <c r="K84" s="35">
        <f t="shared" si="27"/>
        <v>3.8</v>
      </c>
      <c r="M84" s="27">
        <f t="shared" si="28"/>
        <v>276.08</v>
      </c>
      <c r="N84" s="27">
        <f t="shared" si="28"/>
        <v>272.82599999999996</v>
      </c>
      <c r="P84" s="24">
        <f t="shared" si="24"/>
        <v>0.27317335058214759</v>
      </c>
      <c r="Q84" s="24">
        <f t="shared" si="20"/>
        <v>0.27317335058214759</v>
      </c>
      <c r="R84" s="21">
        <f t="shared" si="25"/>
        <v>422.32600000000019</v>
      </c>
      <c r="S84" s="27">
        <f t="shared" si="21"/>
        <v>3.8000000000000682</v>
      </c>
      <c r="T84" s="27">
        <f t="shared" si="26"/>
        <v>-6.8389738316909643E-14</v>
      </c>
    </row>
    <row r="85" spans="1:20" x14ac:dyDescent="0.2">
      <c r="A85" s="15">
        <f t="shared" si="22"/>
        <v>36604</v>
      </c>
      <c r="B85" s="1">
        <v>79</v>
      </c>
      <c r="C85" s="17">
        <f>ROUND(Data!BO85,2)</f>
        <v>12.56</v>
      </c>
      <c r="D85" s="3">
        <f>ROUND(Data!R85,1)</f>
        <v>-2.1</v>
      </c>
      <c r="E85" s="3">
        <f>ROUND(Data!AF85,1)</f>
        <v>-12</v>
      </c>
      <c r="F85" s="27">
        <f>Data!BT85</f>
        <v>59.1</v>
      </c>
      <c r="G85" s="3">
        <f>Data!Q85</f>
        <v>0</v>
      </c>
      <c r="H85" s="21">
        <f>Data!BF85</f>
        <v>1547</v>
      </c>
      <c r="I85" s="14">
        <f t="shared" si="23"/>
        <v>0.1</v>
      </c>
      <c r="J85" s="17">
        <f>Data!BX85</f>
        <v>7.1399999999999988</v>
      </c>
      <c r="K85" s="35">
        <f t="shared" si="27"/>
        <v>0.1</v>
      </c>
      <c r="M85" s="27">
        <f t="shared" si="28"/>
        <v>283.21999999999997</v>
      </c>
      <c r="N85" s="27">
        <f t="shared" si="28"/>
        <v>272.92599999999999</v>
      </c>
      <c r="P85" s="24">
        <f t="shared" si="24"/>
        <v>0.27306140917905636</v>
      </c>
      <c r="Q85" s="24">
        <f t="shared" si="20"/>
        <v>0.27306140917905636</v>
      </c>
      <c r="R85" s="21">
        <f t="shared" si="25"/>
        <v>422.42600000000016</v>
      </c>
      <c r="S85" s="27">
        <f t="shared" si="21"/>
        <v>9.9999999999965894E-2</v>
      </c>
      <c r="T85" s="27">
        <f t="shared" si="26"/>
        <v>3.4111602431607935E-14</v>
      </c>
    </row>
    <row r="86" spans="1:20" x14ac:dyDescent="0.2">
      <c r="A86" s="15">
        <f t="shared" si="22"/>
        <v>36605</v>
      </c>
      <c r="B86" s="1">
        <v>80</v>
      </c>
      <c r="C86" s="17">
        <f>ROUND(Data!BO86,2)</f>
        <v>10.6</v>
      </c>
      <c r="D86" s="3">
        <f>ROUND(Data!R86,1)</f>
        <v>0.2</v>
      </c>
      <c r="E86" s="3">
        <f>ROUND(Data!AF86,1)</f>
        <v>-16.2</v>
      </c>
      <c r="F86" s="27">
        <f>Data!BT86</f>
        <v>55.9</v>
      </c>
      <c r="G86" s="3">
        <f>Data!Q86</f>
        <v>0</v>
      </c>
      <c r="H86" s="21">
        <f>Data!BF86</f>
        <v>1516</v>
      </c>
      <c r="I86" s="14">
        <f t="shared" si="23"/>
        <v>0</v>
      </c>
      <c r="J86" s="17">
        <f>Data!BX86</f>
        <v>0</v>
      </c>
      <c r="K86" s="35">
        <f t="shared" si="27"/>
        <v>0</v>
      </c>
      <c r="M86" s="27">
        <f t="shared" si="28"/>
        <v>283.21999999999997</v>
      </c>
      <c r="N86" s="27">
        <f t="shared" si="28"/>
        <v>272.92599999999999</v>
      </c>
      <c r="P86" s="24">
        <f t="shared" si="24"/>
        <v>0.27864511873350933</v>
      </c>
      <c r="Q86" s="24">
        <f t="shared" si="20"/>
        <v>0.27864511873350933</v>
      </c>
      <c r="R86" s="21">
        <f t="shared" si="25"/>
        <v>422.42600000000016</v>
      </c>
      <c r="S86" s="27">
        <f t="shared" si="21"/>
        <v>0</v>
      </c>
      <c r="T86" s="27">
        <f t="shared" si="26"/>
        <v>0</v>
      </c>
    </row>
    <row r="87" spans="1:20" x14ac:dyDescent="0.2">
      <c r="A87" s="15">
        <f t="shared" si="22"/>
        <v>36606</v>
      </c>
      <c r="B87" s="1">
        <v>81</v>
      </c>
      <c r="C87" s="17">
        <f>ROUND(Data!BO87,2)</f>
        <v>17.239999999999998</v>
      </c>
      <c r="D87" s="3">
        <f>ROUND(Data!R87,1)</f>
        <v>5.7</v>
      </c>
      <c r="E87" s="3">
        <f>ROUND(Data!AF87,1)</f>
        <v>-4.2</v>
      </c>
      <c r="F87" s="27">
        <f>Data!BT87</f>
        <v>46.8</v>
      </c>
      <c r="G87" s="3">
        <f>Data!Q87</f>
        <v>0</v>
      </c>
      <c r="H87" s="21">
        <f>Data!BF87</f>
        <v>1458</v>
      </c>
      <c r="I87" s="14">
        <f t="shared" si="23"/>
        <v>0</v>
      </c>
      <c r="J87" s="17">
        <f>Data!BX87</f>
        <v>0</v>
      </c>
      <c r="K87" s="35">
        <f t="shared" si="27"/>
        <v>0</v>
      </c>
      <c r="M87" s="27">
        <f t="shared" si="28"/>
        <v>283.21999999999997</v>
      </c>
      <c r="N87" s="27">
        <f t="shared" si="28"/>
        <v>272.92599999999999</v>
      </c>
      <c r="P87" s="24">
        <f t="shared" si="24"/>
        <v>0.28972976680384099</v>
      </c>
      <c r="Q87" s="24">
        <f t="shared" si="20"/>
        <v>0.28972976680384099</v>
      </c>
      <c r="R87" s="21">
        <f t="shared" si="25"/>
        <v>422.42600000000016</v>
      </c>
      <c r="S87" s="27">
        <f t="shared" si="21"/>
        <v>0</v>
      </c>
      <c r="T87" s="27">
        <f t="shared" si="26"/>
        <v>0</v>
      </c>
    </row>
    <row r="88" spans="1:20" x14ac:dyDescent="0.2">
      <c r="A88" s="15">
        <f t="shared" si="22"/>
        <v>36607</v>
      </c>
      <c r="B88" s="1">
        <v>82</v>
      </c>
      <c r="C88" s="17">
        <f>ROUND(Data!BO88,2)</f>
        <v>4.07</v>
      </c>
      <c r="D88" s="3">
        <f>ROUND(Data!R88,1)</f>
        <v>2.4</v>
      </c>
      <c r="E88" s="3">
        <f>ROUND(Data!AF88,1)</f>
        <v>-2.2000000000000002</v>
      </c>
      <c r="F88" s="27">
        <f>Data!BT88</f>
        <v>64.599999999999994</v>
      </c>
      <c r="G88" s="3">
        <f>Data!Q88</f>
        <v>0</v>
      </c>
      <c r="H88" s="21">
        <f>Data!BF88</f>
        <v>1467</v>
      </c>
      <c r="I88" s="14">
        <f t="shared" si="23"/>
        <v>1.2</v>
      </c>
      <c r="J88" s="17">
        <f>Data!BX88</f>
        <v>7.2799999999999958</v>
      </c>
      <c r="K88" s="35">
        <f t="shared" si="27"/>
        <v>1.2</v>
      </c>
      <c r="M88" s="27">
        <f t="shared" si="28"/>
        <v>290.49999999999994</v>
      </c>
      <c r="N88" s="27">
        <f t="shared" si="28"/>
        <v>274.12599999999998</v>
      </c>
      <c r="P88" s="24">
        <f t="shared" si="24"/>
        <v>0.28877027948193601</v>
      </c>
      <c r="Q88" s="24">
        <f t="shared" si="20"/>
        <v>0.28877027948193601</v>
      </c>
      <c r="R88" s="21">
        <f t="shared" si="25"/>
        <v>423.62600000000015</v>
      </c>
      <c r="S88" s="27">
        <f t="shared" si="21"/>
        <v>1.1999999999999886</v>
      </c>
      <c r="T88" s="27">
        <f t="shared" si="26"/>
        <v>1.1324274851176597E-14</v>
      </c>
    </row>
    <row r="89" spans="1:20" x14ac:dyDescent="0.2">
      <c r="A89" s="15">
        <f t="shared" si="22"/>
        <v>36608</v>
      </c>
      <c r="B89" s="1">
        <v>83</v>
      </c>
      <c r="C89" s="17">
        <f>ROUND(Data!BO89,2)</f>
        <v>6.56</v>
      </c>
      <c r="D89" s="3">
        <f>ROUND(Data!R89,1)</f>
        <v>-0.7</v>
      </c>
      <c r="E89" s="3">
        <f>ROUND(Data!AF89,1)</f>
        <v>-4.5</v>
      </c>
      <c r="F89" s="27">
        <f>Data!BT89</f>
        <v>89</v>
      </c>
      <c r="G89" s="3">
        <f>Data!Q89</f>
        <v>0</v>
      </c>
      <c r="H89" s="21">
        <f>Data!BF89</f>
        <v>1512</v>
      </c>
      <c r="I89" s="14">
        <f t="shared" si="23"/>
        <v>5.9</v>
      </c>
      <c r="J89" s="17">
        <f>Data!BX89</f>
        <v>5.4599999999999991</v>
      </c>
      <c r="K89" s="35">
        <f t="shared" si="27"/>
        <v>5.9</v>
      </c>
      <c r="M89" s="27">
        <f t="shared" ref="M89:N104" si="29">J89+M88</f>
        <v>295.95999999999992</v>
      </c>
      <c r="N89" s="27">
        <f t="shared" si="29"/>
        <v>280.02599999999995</v>
      </c>
      <c r="P89" s="24">
        <f t="shared" si="24"/>
        <v>0.2840780423280424</v>
      </c>
      <c r="Q89" s="24">
        <f t="shared" si="20"/>
        <v>0.2840780423280424</v>
      </c>
      <c r="R89" s="21">
        <f t="shared" si="25"/>
        <v>429.52600000000012</v>
      </c>
      <c r="S89" s="27">
        <f t="shared" si="21"/>
        <v>5.8999999999999773</v>
      </c>
      <c r="T89" s="27">
        <f t="shared" si="26"/>
        <v>2.3092638912203256E-14</v>
      </c>
    </row>
    <row r="90" spans="1:20" x14ac:dyDescent="0.2">
      <c r="A90" s="15">
        <f t="shared" si="22"/>
        <v>36609</v>
      </c>
      <c r="B90" s="1">
        <v>84</v>
      </c>
      <c r="C90" s="17">
        <f>ROUND(Data!BO90,2)</f>
        <v>13.96</v>
      </c>
      <c r="D90" s="3">
        <f>ROUND(Data!R90,1)</f>
        <v>2</v>
      </c>
      <c r="E90" s="3">
        <f>ROUND(Data!AF90,1)</f>
        <v>-5.2</v>
      </c>
      <c r="F90" s="27">
        <f>Data!BT90</f>
        <v>46.7</v>
      </c>
      <c r="G90" s="3">
        <f>Data!Q90</f>
        <v>0</v>
      </c>
      <c r="H90" s="21">
        <f>Data!BF90</f>
        <v>1484</v>
      </c>
      <c r="I90" s="14">
        <f t="shared" si="23"/>
        <v>0</v>
      </c>
      <c r="J90" s="17">
        <f>Data!BX90</f>
        <v>0</v>
      </c>
      <c r="K90" s="35">
        <f t="shared" si="27"/>
        <v>0</v>
      </c>
      <c r="M90" s="27">
        <f t="shared" si="29"/>
        <v>295.95999999999992</v>
      </c>
      <c r="N90" s="27">
        <f t="shared" si="29"/>
        <v>280.02599999999995</v>
      </c>
      <c r="P90" s="24">
        <f t="shared" si="24"/>
        <v>0.28943800539083564</v>
      </c>
      <c r="Q90" s="24">
        <f t="shared" si="20"/>
        <v>0.28943800539083564</v>
      </c>
      <c r="R90" s="21">
        <f t="shared" si="25"/>
        <v>429.52600000000007</v>
      </c>
      <c r="S90" s="27">
        <f t="shared" si="21"/>
        <v>0</v>
      </c>
      <c r="T90" s="27">
        <f t="shared" si="26"/>
        <v>0</v>
      </c>
    </row>
    <row r="91" spans="1:20" x14ac:dyDescent="0.2">
      <c r="A91" s="15">
        <f t="shared" si="22"/>
        <v>36610</v>
      </c>
      <c r="B91" s="1">
        <v>85</v>
      </c>
      <c r="C91" s="17">
        <f>ROUND(Data!BO91,2)</f>
        <v>9.4499999999999993</v>
      </c>
      <c r="D91" s="3">
        <f>ROUND(Data!R91,1)</f>
        <v>0.7</v>
      </c>
      <c r="E91" s="3">
        <f>ROUND(Data!AF91,1)</f>
        <v>-10.1</v>
      </c>
      <c r="F91" s="27">
        <f>Data!BT91</f>
        <v>64.3</v>
      </c>
      <c r="G91" s="3">
        <f>Data!Q91</f>
        <v>0</v>
      </c>
      <c r="H91" s="21">
        <f>Data!BF91</f>
        <v>1490</v>
      </c>
      <c r="I91" s="14">
        <f t="shared" si="23"/>
        <v>0.8</v>
      </c>
      <c r="J91" s="17">
        <f>Data!BX91</f>
        <v>2.8</v>
      </c>
      <c r="K91" s="35">
        <f t="shared" si="27"/>
        <v>0.8</v>
      </c>
      <c r="M91" s="27">
        <f t="shared" si="29"/>
        <v>298.75999999999993</v>
      </c>
      <c r="N91" s="27">
        <f t="shared" si="29"/>
        <v>280.82599999999996</v>
      </c>
      <c r="P91" s="24">
        <f t="shared" si="24"/>
        <v>0.28880939597315441</v>
      </c>
      <c r="Q91" s="24">
        <f t="shared" si="20"/>
        <v>0.28880939597315441</v>
      </c>
      <c r="R91" s="21">
        <f t="shared" si="25"/>
        <v>430.32600000000008</v>
      </c>
      <c r="S91" s="27">
        <f t="shared" si="21"/>
        <v>0.80000000000001137</v>
      </c>
      <c r="T91" s="27">
        <f t="shared" si="26"/>
        <v>-1.1324274851176597E-14</v>
      </c>
    </row>
    <row r="92" spans="1:20" x14ac:dyDescent="0.2">
      <c r="A92" s="15">
        <f t="shared" si="22"/>
        <v>36611</v>
      </c>
      <c r="B92" s="1">
        <v>86</v>
      </c>
      <c r="C92" s="17">
        <f>ROUND(Data!BO92,2)</f>
        <v>18.649999999999999</v>
      </c>
      <c r="D92" s="3">
        <f>ROUND(Data!R92,1)</f>
        <v>7.1</v>
      </c>
      <c r="E92" s="3">
        <f>ROUND(Data!AF92,1)</f>
        <v>-12.6</v>
      </c>
      <c r="F92" s="27">
        <f>Data!BT92</f>
        <v>35.200000000000003</v>
      </c>
      <c r="G92" s="3">
        <f>Data!Q92</f>
        <v>0</v>
      </c>
      <c r="H92" s="21">
        <f>Data!BF92</f>
        <v>1435</v>
      </c>
      <c r="I92" s="14">
        <f t="shared" si="23"/>
        <v>0</v>
      </c>
      <c r="J92" s="17">
        <f>Data!BX92</f>
        <v>0</v>
      </c>
      <c r="K92" s="35">
        <f t="shared" si="27"/>
        <v>0</v>
      </c>
      <c r="M92" s="27">
        <f t="shared" si="29"/>
        <v>298.75999999999993</v>
      </c>
      <c r="N92" s="27">
        <f t="shared" si="29"/>
        <v>280.82599999999996</v>
      </c>
      <c r="P92" s="24">
        <f t="shared" si="24"/>
        <v>0.29987874564459938</v>
      </c>
      <c r="Q92" s="24">
        <f t="shared" si="20"/>
        <v>0.29987874564459938</v>
      </c>
      <c r="R92" s="21">
        <f t="shared" si="25"/>
        <v>430.32600000000008</v>
      </c>
      <c r="S92" s="27">
        <f t="shared" si="21"/>
        <v>0</v>
      </c>
      <c r="T92" s="27">
        <f t="shared" si="26"/>
        <v>0</v>
      </c>
    </row>
    <row r="93" spans="1:20" x14ac:dyDescent="0.2">
      <c r="A93" s="15">
        <f t="shared" si="22"/>
        <v>36612</v>
      </c>
      <c r="B93" s="1">
        <v>87</v>
      </c>
      <c r="C93" s="17">
        <f>ROUND(Data!BO93,2)</f>
        <v>8.85</v>
      </c>
      <c r="D93" s="3">
        <f>ROUND(Data!R93,1)</f>
        <v>4.4000000000000004</v>
      </c>
      <c r="E93" s="3">
        <f>ROUND(Data!AF93,1)</f>
        <v>-4.5999999999999996</v>
      </c>
      <c r="F93" s="27">
        <f>Data!BT93</f>
        <v>48.8</v>
      </c>
      <c r="G93" s="3">
        <f>Data!Q93</f>
        <v>0</v>
      </c>
      <c r="H93" s="21">
        <f>Data!BF93</f>
        <v>1456</v>
      </c>
      <c r="I93" s="14">
        <f t="shared" si="23"/>
        <v>2.7</v>
      </c>
      <c r="J93" s="17">
        <f>Data!BX93</f>
        <v>0</v>
      </c>
      <c r="K93" s="35">
        <f t="shared" si="27"/>
        <v>2.7</v>
      </c>
      <c r="M93" s="27">
        <f t="shared" si="29"/>
        <v>298.75999999999993</v>
      </c>
      <c r="N93" s="27">
        <f t="shared" si="29"/>
        <v>283.52599999999995</v>
      </c>
      <c r="P93" s="24">
        <f t="shared" si="24"/>
        <v>0.29740796703296707</v>
      </c>
      <c r="Q93" s="24">
        <f t="shared" si="20"/>
        <v>0.29740796703296707</v>
      </c>
      <c r="R93" s="21">
        <f t="shared" si="25"/>
        <v>433.02600000000007</v>
      </c>
      <c r="S93" s="27">
        <f t="shared" si="21"/>
        <v>2.6999999999999886</v>
      </c>
      <c r="T93" s="27">
        <f t="shared" si="26"/>
        <v>1.1546319456101628E-14</v>
      </c>
    </row>
    <row r="94" spans="1:20" x14ac:dyDescent="0.2">
      <c r="A94" s="15">
        <f t="shared" si="22"/>
        <v>36613</v>
      </c>
      <c r="B94" s="1">
        <v>88</v>
      </c>
      <c r="C94" s="17">
        <f>ROUND(Data!BO94,2)</f>
        <v>11.07</v>
      </c>
      <c r="D94" s="3">
        <f>ROUND(Data!R94,1)</f>
        <v>2.1</v>
      </c>
      <c r="E94" s="3">
        <f>ROUND(Data!AF94,1)</f>
        <v>-6.3</v>
      </c>
      <c r="F94" s="27">
        <f>Data!BT94</f>
        <v>53.7</v>
      </c>
      <c r="G94" s="3">
        <f>Data!Q94</f>
        <v>0</v>
      </c>
      <c r="H94" s="21">
        <f>Data!BF94</f>
        <v>1436</v>
      </c>
      <c r="I94" s="14">
        <f t="shared" si="23"/>
        <v>0</v>
      </c>
      <c r="J94" s="17">
        <f>Data!BX94</f>
        <v>0</v>
      </c>
      <c r="K94" s="35">
        <f t="shared" si="27"/>
        <v>0</v>
      </c>
      <c r="M94" s="27">
        <f t="shared" si="29"/>
        <v>298.75999999999993</v>
      </c>
      <c r="N94" s="27">
        <f t="shared" si="29"/>
        <v>283.52599999999995</v>
      </c>
      <c r="P94" s="24">
        <f t="shared" si="24"/>
        <v>0.30155013927576607</v>
      </c>
      <c r="Q94" s="24">
        <f t="shared" si="20"/>
        <v>0.30155013927576607</v>
      </c>
      <c r="R94" s="21">
        <f t="shared" si="25"/>
        <v>433.02600000000007</v>
      </c>
      <c r="S94" s="27">
        <f t="shared" si="21"/>
        <v>0</v>
      </c>
      <c r="T94" s="27">
        <f t="shared" si="26"/>
        <v>0</v>
      </c>
    </row>
    <row r="95" spans="1:20" x14ac:dyDescent="0.2">
      <c r="A95" s="15">
        <f t="shared" si="22"/>
        <v>36614</v>
      </c>
      <c r="B95" s="1">
        <v>89</v>
      </c>
      <c r="C95" s="17">
        <f>ROUND(Data!BO95,2)</f>
        <v>16.07</v>
      </c>
      <c r="D95" s="3">
        <f>ROUND(Data!R95,1)</f>
        <v>2.2999999999999998</v>
      </c>
      <c r="E95" s="3">
        <f>ROUND(Data!AF95,1)</f>
        <v>-12.1</v>
      </c>
      <c r="F95" s="27">
        <f>Data!BT95</f>
        <v>40.6</v>
      </c>
      <c r="G95" s="3">
        <f>Data!Q95</f>
        <v>0</v>
      </c>
      <c r="H95" s="21">
        <f>Data!BF95</f>
        <v>1429</v>
      </c>
      <c r="I95" s="14">
        <f t="shared" si="23"/>
        <v>0</v>
      </c>
      <c r="J95" s="17">
        <f>Data!BX95</f>
        <v>0.97999999999999976</v>
      </c>
      <c r="K95" s="35">
        <f t="shared" si="27"/>
        <v>0</v>
      </c>
      <c r="M95" s="27">
        <f t="shared" si="29"/>
        <v>299.73999999999995</v>
      </c>
      <c r="N95" s="27">
        <f t="shared" si="29"/>
        <v>283.52599999999995</v>
      </c>
      <c r="P95" s="24">
        <f t="shared" si="24"/>
        <v>0.3030272918124563</v>
      </c>
      <c r="Q95" s="24">
        <f t="shared" si="20"/>
        <v>0.3030272918124563</v>
      </c>
      <c r="R95" s="21">
        <f t="shared" si="25"/>
        <v>433.02600000000007</v>
      </c>
      <c r="S95" s="27">
        <f t="shared" si="21"/>
        <v>0</v>
      </c>
      <c r="T95" s="27">
        <f t="shared" si="26"/>
        <v>0</v>
      </c>
    </row>
    <row r="96" spans="1:20" x14ac:dyDescent="0.2">
      <c r="A96" s="15">
        <f t="shared" si="22"/>
        <v>36615</v>
      </c>
      <c r="B96" s="1">
        <v>90</v>
      </c>
      <c r="C96" s="17">
        <f>ROUND(Data!BO96,2)</f>
        <v>19.2</v>
      </c>
      <c r="D96" s="3">
        <f>ROUND(Data!R96,1)</f>
        <v>4.5</v>
      </c>
      <c r="E96" s="3">
        <f>ROUND(Data!AF96,1)</f>
        <v>-14</v>
      </c>
      <c r="F96" s="27">
        <f>Data!BT96</f>
        <v>28.2</v>
      </c>
      <c r="G96" s="3">
        <f>Data!Q96</f>
        <v>0</v>
      </c>
      <c r="H96" s="21">
        <f>Data!BF96</f>
        <v>1415</v>
      </c>
      <c r="I96" s="14">
        <f t="shared" si="23"/>
        <v>0</v>
      </c>
      <c r="J96" s="17">
        <f>Data!BX96</f>
        <v>0</v>
      </c>
      <c r="K96" s="35">
        <f t="shared" si="27"/>
        <v>0</v>
      </c>
      <c r="M96" s="27">
        <f t="shared" si="29"/>
        <v>299.73999999999995</v>
      </c>
      <c r="N96" s="27">
        <f t="shared" si="29"/>
        <v>283.52599999999995</v>
      </c>
      <c r="P96" s="24">
        <f t="shared" si="24"/>
        <v>0.30602544169611312</v>
      </c>
      <c r="Q96" s="24">
        <f t="shared" si="20"/>
        <v>0.30602544169611312</v>
      </c>
      <c r="R96" s="21">
        <f t="shared" si="25"/>
        <v>433.02600000000007</v>
      </c>
      <c r="S96" s="27">
        <f t="shared" si="21"/>
        <v>0</v>
      </c>
      <c r="T96" s="27">
        <f t="shared" si="26"/>
        <v>0</v>
      </c>
    </row>
    <row r="97" spans="1:20" x14ac:dyDescent="0.2">
      <c r="A97" s="15">
        <f t="shared" si="22"/>
        <v>36616</v>
      </c>
      <c r="B97" s="1">
        <v>91</v>
      </c>
      <c r="C97" s="17">
        <f>ROUND(Data!BO97,2)</f>
        <v>14.23</v>
      </c>
      <c r="D97" s="3">
        <f>ROUND(Data!R97,1)</f>
        <v>6.7</v>
      </c>
      <c r="E97" s="3">
        <f>ROUND(Data!AF97,1)</f>
        <v>-11</v>
      </c>
      <c r="F97" s="27">
        <f>Data!BT97</f>
        <v>33</v>
      </c>
      <c r="G97" s="3">
        <f>Data!Q97</f>
        <v>0</v>
      </c>
      <c r="H97" s="21">
        <f>Data!BF97</f>
        <v>1390</v>
      </c>
      <c r="I97" s="14">
        <f t="shared" si="23"/>
        <v>0</v>
      </c>
      <c r="J97" s="17">
        <f>Data!BX97</f>
        <v>0</v>
      </c>
      <c r="K97" s="35">
        <f t="shared" si="27"/>
        <v>0</v>
      </c>
      <c r="M97" s="27">
        <f t="shared" si="29"/>
        <v>299.73999999999995</v>
      </c>
      <c r="N97" s="27">
        <f t="shared" si="29"/>
        <v>283.52599999999995</v>
      </c>
      <c r="P97" s="24">
        <f t="shared" si="24"/>
        <v>0.31152949640287775</v>
      </c>
      <c r="Q97" s="24">
        <f t="shared" si="20"/>
        <v>0.31152949640287775</v>
      </c>
      <c r="R97" s="21">
        <f t="shared" si="25"/>
        <v>433.02600000000007</v>
      </c>
      <c r="S97" s="27">
        <f t="shared" si="21"/>
        <v>0</v>
      </c>
      <c r="T97" s="27">
        <f t="shared" si="26"/>
        <v>0</v>
      </c>
    </row>
    <row r="98" spans="1:20" x14ac:dyDescent="0.2">
      <c r="A98" s="15">
        <f t="shared" si="22"/>
        <v>36617</v>
      </c>
      <c r="B98" s="1">
        <v>92</v>
      </c>
      <c r="C98" s="17">
        <f>ROUND(Data!BO98,2)</f>
        <v>6.19</v>
      </c>
      <c r="D98" s="3">
        <f>ROUND(Data!R98,1)</f>
        <v>5.6</v>
      </c>
      <c r="E98" s="3">
        <f>ROUND(Data!AF98,1)</f>
        <v>-1.9</v>
      </c>
      <c r="F98" s="27">
        <f>Data!BT98</f>
        <v>60.3</v>
      </c>
      <c r="G98" s="3">
        <f>Data!Q98</f>
        <v>0</v>
      </c>
      <c r="H98" s="21">
        <f>Data!BF98</f>
        <v>1363</v>
      </c>
      <c r="I98" s="14">
        <f t="shared" si="23"/>
        <v>0</v>
      </c>
      <c r="J98" s="17">
        <f>Data!BX98</f>
        <v>1.1199999999999994</v>
      </c>
      <c r="K98" s="35">
        <f t="shared" si="27"/>
        <v>0</v>
      </c>
      <c r="M98" s="27">
        <f t="shared" si="29"/>
        <v>300.85999999999996</v>
      </c>
      <c r="N98" s="27">
        <f t="shared" si="29"/>
        <v>283.52599999999995</v>
      </c>
      <c r="P98" s="24">
        <f t="shared" si="24"/>
        <v>0.31770066030814387</v>
      </c>
      <c r="Q98" s="24">
        <f t="shared" si="20"/>
        <v>0.31770066030814387</v>
      </c>
      <c r="R98" s="21">
        <f t="shared" si="25"/>
        <v>433.02600000000007</v>
      </c>
      <c r="S98" s="27">
        <f t="shared" si="21"/>
        <v>0</v>
      </c>
      <c r="T98" s="27">
        <f t="shared" si="26"/>
        <v>0</v>
      </c>
    </row>
    <row r="99" spans="1:20" x14ac:dyDescent="0.2">
      <c r="A99" s="15">
        <f t="shared" si="22"/>
        <v>36618</v>
      </c>
      <c r="B99" s="1">
        <v>93</v>
      </c>
      <c r="C99" s="17">
        <f>ROUND(Data!BO99,2)</f>
        <v>19.53</v>
      </c>
      <c r="D99" s="3">
        <f>ROUND(Data!R99,1)</f>
        <v>7.9</v>
      </c>
      <c r="E99" s="3">
        <f>ROUND(Data!AF99,1)</f>
        <v>-2.9</v>
      </c>
      <c r="F99" s="27">
        <f>Data!BT99</f>
        <v>25.7</v>
      </c>
      <c r="G99" s="3">
        <f>Data!Q99</f>
        <v>0</v>
      </c>
      <c r="H99" s="21">
        <f>Data!BF99</f>
        <v>1317</v>
      </c>
      <c r="I99" s="14">
        <f t="shared" si="23"/>
        <v>0</v>
      </c>
      <c r="J99" s="17">
        <f>Data!BX99</f>
        <v>0</v>
      </c>
      <c r="K99" s="35">
        <f t="shared" si="27"/>
        <v>0</v>
      </c>
      <c r="M99" s="27">
        <f t="shared" si="29"/>
        <v>300.85999999999996</v>
      </c>
      <c r="N99" s="27">
        <f t="shared" si="29"/>
        <v>283.52599999999995</v>
      </c>
      <c r="P99" s="24">
        <f t="shared" si="24"/>
        <v>0.32879726651480645</v>
      </c>
      <c r="Q99" s="24">
        <f t="shared" si="20"/>
        <v>0.32879726651480645</v>
      </c>
      <c r="R99" s="21">
        <f t="shared" si="25"/>
        <v>433.02600000000012</v>
      </c>
      <c r="S99" s="27">
        <f t="shared" si="21"/>
        <v>0</v>
      </c>
      <c r="T99" s="27">
        <f t="shared" si="26"/>
        <v>0</v>
      </c>
    </row>
    <row r="100" spans="1:20" x14ac:dyDescent="0.2">
      <c r="A100" s="15">
        <f t="shared" si="22"/>
        <v>36619</v>
      </c>
      <c r="B100" s="1">
        <v>94</v>
      </c>
      <c r="C100" s="17">
        <f>ROUND(Data!BO100,2)</f>
        <v>7.89</v>
      </c>
      <c r="D100" s="3">
        <f>ROUND(Data!R100,1)</f>
        <v>8.9</v>
      </c>
      <c r="E100" s="3">
        <f>ROUND(Data!AF100,1)</f>
        <v>-3.3</v>
      </c>
      <c r="F100" s="27">
        <f>Data!BT100</f>
        <v>39</v>
      </c>
      <c r="G100" s="3">
        <f>Data!Q100</f>
        <v>0</v>
      </c>
      <c r="H100" s="21">
        <f>Data!BF100</f>
        <v>1298</v>
      </c>
      <c r="I100" s="14">
        <f t="shared" si="23"/>
        <v>0</v>
      </c>
      <c r="J100" s="17">
        <f>Data!BX100</f>
        <v>0</v>
      </c>
      <c r="K100" s="35">
        <f t="shared" si="27"/>
        <v>0</v>
      </c>
      <c r="M100" s="27">
        <f t="shared" si="29"/>
        <v>300.85999999999996</v>
      </c>
      <c r="N100" s="27">
        <f t="shared" si="29"/>
        <v>283.52599999999995</v>
      </c>
      <c r="P100" s="24">
        <f t="shared" si="24"/>
        <v>0.3336101694915255</v>
      </c>
      <c r="Q100" s="24">
        <f t="shared" si="20"/>
        <v>0.3336101694915255</v>
      </c>
      <c r="R100" s="21">
        <f t="shared" si="25"/>
        <v>433.02600000000012</v>
      </c>
      <c r="S100" s="27">
        <f t="shared" si="21"/>
        <v>0</v>
      </c>
      <c r="T100" s="27">
        <f t="shared" si="26"/>
        <v>0</v>
      </c>
    </row>
    <row r="101" spans="1:20" x14ac:dyDescent="0.2">
      <c r="A101" s="15">
        <f t="shared" si="22"/>
        <v>36620</v>
      </c>
      <c r="B101" s="1">
        <v>95</v>
      </c>
      <c r="C101" s="17">
        <f>ROUND(Data!BO101,2)</f>
        <v>10.29</v>
      </c>
      <c r="D101" s="3">
        <f>ROUND(Data!R101,1)</f>
        <v>6</v>
      </c>
      <c r="E101" s="3">
        <f>ROUND(Data!AF101,1)</f>
        <v>-3.8</v>
      </c>
      <c r="F101" s="27">
        <f>Data!BT101</f>
        <v>44</v>
      </c>
      <c r="G101" s="3">
        <f>Data!Q101</f>
        <v>0</v>
      </c>
      <c r="H101" s="21">
        <f>Data!BF101</f>
        <v>1290</v>
      </c>
      <c r="I101" s="14">
        <f t="shared" si="23"/>
        <v>0</v>
      </c>
      <c r="J101" s="17">
        <f>Data!BX101</f>
        <v>0.70000000000000007</v>
      </c>
      <c r="K101" s="35">
        <f t="shared" si="27"/>
        <v>0</v>
      </c>
      <c r="M101" s="27">
        <f t="shared" si="29"/>
        <v>301.55999999999995</v>
      </c>
      <c r="N101" s="27">
        <f t="shared" si="29"/>
        <v>283.52599999999995</v>
      </c>
      <c r="P101" s="24">
        <f t="shared" si="24"/>
        <v>0.33567906976744194</v>
      </c>
      <c r="Q101" s="24">
        <f t="shared" si="20"/>
        <v>0.33567906976744194</v>
      </c>
      <c r="R101" s="21">
        <f t="shared" si="25"/>
        <v>433.02600000000012</v>
      </c>
      <c r="S101" s="27">
        <f t="shared" si="21"/>
        <v>0</v>
      </c>
      <c r="T101" s="27">
        <f t="shared" si="26"/>
        <v>0</v>
      </c>
    </row>
    <row r="102" spans="1:20" x14ac:dyDescent="0.2">
      <c r="A102" s="15">
        <f t="shared" si="22"/>
        <v>36621</v>
      </c>
      <c r="B102" s="1">
        <v>96</v>
      </c>
      <c r="C102" s="17">
        <f>ROUND(Data!BO102,2)</f>
        <v>11.45</v>
      </c>
      <c r="D102" s="3">
        <f>ROUND(Data!R102,1)</f>
        <v>0.2</v>
      </c>
      <c r="E102" s="3">
        <f>ROUND(Data!AF102,1)</f>
        <v>-4.5</v>
      </c>
      <c r="F102" s="27">
        <f>Data!BT102</f>
        <v>55.5</v>
      </c>
      <c r="G102" s="3">
        <f>Data!Q102</f>
        <v>0</v>
      </c>
      <c r="H102" s="21">
        <f>Data!BF102</f>
        <v>1282</v>
      </c>
      <c r="I102" s="14">
        <f t="shared" si="23"/>
        <v>0</v>
      </c>
      <c r="J102" s="17">
        <f>Data!BX102</f>
        <v>0</v>
      </c>
      <c r="K102" s="35">
        <f t="shared" si="27"/>
        <v>0</v>
      </c>
      <c r="M102" s="27">
        <f t="shared" si="29"/>
        <v>301.55999999999995</v>
      </c>
      <c r="N102" s="27">
        <f t="shared" si="29"/>
        <v>283.52599999999995</v>
      </c>
      <c r="P102" s="24">
        <f t="shared" si="24"/>
        <v>0.33777379095163818</v>
      </c>
      <c r="Q102" s="24">
        <f t="shared" si="20"/>
        <v>0.33777379095163818</v>
      </c>
      <c r="R102" s="21">
        <f t="shared" si="25"/>
        <v>433.02600000000012</v>
      </c>
      <c r="S102" s="27">
        <f t="shared" si="21"/>
        <v>0</v>
      </c>
      <c r="T102" s="27">
        <f t="shared" si="26"/>
        <v>0</v>
      </c>
    </row>
    <row r="103" spans="1:20" x14ac:dyDescent="0.2">
      <c r="A103" s="15">
        <f t="shared" si="22"/>
        <v>36622</v>
      </c>
      <c r="B103" s="1">
        <v>97</v>
      </c>
      <c r="C103" s="17">
        <f>ROUND(Data!BO103,2)</f>
        <v>11.85</v>
      </c>
      <c r="D103" s="3">
        <f>ROUND(Data!R103,1)</f>
        <v>-1.4</v>
      </c>
      <c r="E103" s="3">
        <f>ROUND(Data!AF103,1)</f>
        <v>-12.9</v>
      </c>
      <c r="F103" s="27">
        <f>Data!BT103</f>
        <v>70</v>
      </c>
      <c r="G103" s="3">
        <f>Data!Q103</f>
        <v>0</v>
      </c>
      <c r="H103" s="21">
        <f>Data!BF103</f>
        <v>1282</v>
      </c>
      <c r="I103" s="14">
        <f t="shared" si="23"/>
        <v>0</v>
      </c>
      <c r="J103" s="17">
        <f>Data!BX103</f>
        <v>4.0599999999999996</v>
      </c>
      <c r="K103" s="35">
        <f t="shared" si="27"/>
        <v>0</v>
      </c>
      <c r="M103" s="27">
        <f t="shared" si="29"/>
        <v>305.61999999999995</v>
      </c>
      <c r="N103" s="27">
        <f t="shared" si="29"/>
        <v>283.52599999999995</v>
      </c>
      <c r="P103" s="24">
        <f t="shared" si="24"/>
        <v>0.33777379095163818</v>
      </c>
      <c r="Q103" s="24">
        <f t="shared" si="20"/>
        <v>0.33777379095163818</v>
      </c>
      <c r="R103" s="21">
        <f t="shared" si="25"/>
        <v>433.02600000000012</v>
      </c>
      <c r="S103" s="27">
        <f t="shared" si="21"/>
        <v>0</v>
      </c>
      <c r="T103" s="27">
        <f t="shared" si="26"/>
        <v>0</v>
      </c>
    </row>
    <row r="104" spans="1:20" x14ac:dyDescent="0.2">
      <c r="A104" s="15">
        <f t="shared" si="22"/>
        <v>36623</v>
      </c>
      <c r="B104" s="1">
        <v>98</v>
      </c>
      <c r="C104" s="17">
        <f>ROUND(Data!BO104,2)</f>
        <v>18.55</v>
      </c>
      <c r="D104" s="3">
        <f>ROUND(Data!R104,1)</f>
        <v>4.0999999999999996</v>
      </c>
      <c r="E104" s="3">
        <f>ROUND(Data!AF104,1)</f>
        <v>-14.5</v>
      </c>
      <c r="F104" s="27">
        <f>Data!BT104</f>
        <v>36.299999999999997</v>
      </c>
      <c r="G104" s="3">
        <f>Data!Q104</f>
        <v>0</v>
      </c>
      <c r="H104" s="21">
        <f>Data!BF104</f>
        <v>1292</v>
      </c>
      <c r="I104" s="14">
        <f t="shared" si="23"/>
        <v>1.3</v>
      </c>
      <c r="J104" s="17">
        <f>Data!BX104</f>
        <v>0</v>
      </c>
      <c r="K104" s="35">
        <f t="shared" si="27"/>
        <v>1.3</v>
      </c>
      <c r="M104" s="27">
        <f t="shared" si="29"/>
        <v>305.61999999999995</v>
      </c>
      <c r="N104" s="27">
        <f t="shared" si="29"/>
        <v>284.82599999999996</v>
      </c>
      <c r="P104" s="24">
        <f t="shared" si="24"/>
        <v>0.33616563467492272</v>
      </c>
      <c r="Q104" s="24">
        <f t="shared" si="20"/>
        <v>0.33616563467492272</v>
      </c>
      <c r="R104" s="21">
        <f t="shared" si="25"/>
        <v>434.32600000000014</v>
      </c>
      <c r="S104" s="27">
        <f t="shared" si="21"/>
        <v>1.3000000000000114</v>
      </c>
      <c r="T104" s="27">
        <f t="shared" si="26"/>
        <v>-1.1324274851176597E-14</v>
      </c>
    </row>
    <row r="105" spans="1:20" x14ac:dyDescent="0.2">
      <c r="A105" s="15">
        <f t="shared" si="22"/>
        <v>36624</v>
      </c>
      <c r="B105" s="1">
        <v>99</v>
      </c>
      <c r="C105" s="17">
        <f>ROUND(Data!BO105,2)</f>
        <v>21.53</v>
      </c>
      <c r="D105" s="3">
        <f>ROUND(Data!R105,1)</f>
        <v>10.1</v>
      </c>
      <c r="E105" s="3">
        <f>ROUND(Data!AF105,1)</f>
        <v>-4.8</v>
      </c>
      <c r="F105" s="27">
        <f>Data!BT105</f>
        <v>32.1</v>
      </c>
      <c r="G105" s="3">
        <f>Data!Q105</f>
        <v>0</v>
      </c>
      <c r="H105" s="21">
        <f>Data!BF105</f>
        <v>1248</v>
      </c>
      <c r="I105" s="14">
        <f t="shared" si="23"/>
        <v>0</v>
      </c>
      <c r="J105" s="17">
        <f>Data!BX105</f>
        <v>0</v>
      </c>
      <c r="K105" s="35">
        <f t="shared" si="27"/>
        <v>0</v>
      </c>
      <c r="M105" s="27">
        <f t="shared" ref="M105:N120" si="30">J105+M104</f>
        <v>305.61999999999995</v>
      </c>
      <c r="N105" s="27">
        <f t="shared" si="30"/>
        <v>284.82599999999996</v>
      </c>
      <c r="P105" s="24">
        <f t="shared" si="24"/>
        <v>0.34801762820512833</v>
      </c>
      <c r="Q105" s="24">
        <f t="shared" si="20"/>
        <v>0.34801762820512833</v>
      </c>
      <c r="R105" s="21">
        <f t="shared" si="25"/>
        <v>434.32600000000014</v>
      </c>
      <c r="S105" s="27">
        <f t="shared" si="21"/>
        <v>0</v>
      </c>
      <c r="T105" s="27">
        <f t="shared" si="26"/>
        <v>0</v>
      </c>
    </row>
    <row r="106" spans="1:20" x14ac:dyDescent="0.2">
      <c r="A106" s="15">
        <f t="shared" si="22"/>
        <v>36625</v>
      </c>
      <c r="B106" s="1">
        <v>100</v>
      </c>
      <c r="C106" s="17">
        <f>ROUND(Data!BO106,2)</f>
        <v>22.17</v>
      </c>
      <c r="D106" s="3">
        <f>ROUND(Data!R106,1)</f>
        <v>9.6</v>
      </c>
      <c r="E106" s="3">
        <f>ROUND(Data!AF106,1)</f>
        <v>-5.2</v>
      </c>
      <c r="F106" s="27">
        <f>Data!BT106</f>
        <v>23.8</v>
      </c>
      <c r="G106" s="3">
        <f>Data!Q106</f>
        <v>0</v>
      </c>
      <c r="H106" s="21">
        <f>Data!BF106</f>
        <v>1200</v>
      </c>
      <c r="I106" s="14">
        <f t="shared" si="23"/>
        <v>0</v>
      </c>
      <c r="J106" s="17">
        <f>Data!BX106</f>
        <v>0</v>
      </c>
      <c r="K106" s="35">
        <f t="shared" si="27"/>
        <v>0</v>
      </c>
      <c r="M106" s="27">
        <f t="shared" si="30"/>
        <v>305.61999999999995</v>
      </c>
      <c r="N106" s="27">
        <f t="shared" si="30"/>
        <v>284.82599999999996</v>
      </c>
      <c r="P106" s="24">
        <f t="shared" si="24"/>
        <v>0.36193833333333347</v>
      </c>
      <c r="Q106" s="24">
        <f t="shared" si="20"/>
        <v>0.36193833333333347</v>
      </c>
      <c r="R106" s="21">
        <f t="shared" si="25"/>
        <v>434.32600000000019</v>
      </c>
      <c r="S106" s="27">
        <f t="shared" si="21"/>
        <v>0</v>
      </c>
      <c r="T106" s="27">
        <f t="shared" si="26"/>
        <v>0</v>
      </c>
    </row>
    <row r="107" spans="1:20" x14ac:dyDescent="0.2">
      <c r="A107" s="15">
        <f t="shared" si="22"/>
        <v>36626</v>
      </c>
      <c r="B107" s="1">
        <v>101</v>
      </c>
      <c r="C107" s="17">
        <f>ROUND(Data!BO107,2)</f>
        <v>22.99</v>
      </c>
      <c r="D107" s="3">
        <f>ROUND(Data!R107,1)</f>
        <v>9.5</v>
      </c>
      <c r="E107" s="3">
        <f>ROUND(Data!AF107,1)</f>
        <v>-6.3</v>
      </c>
      <c r="F107" s="27">
        <f>Data!BT107</f>
        <v>23.2</v>
      </c>
      <c r="G107" s="3">
        <f>Data!Q107</f>
        <v>0</v>
      </c>
      <c r="H107" s="21">
        <f>Data!BF107</f>
        <v>1163</v>
      </c>
      <c r="I107" s="14">
        <f t="shared" si="23"/>
        <v>0</v>
      </c>
      <c r="J107" s="17">
        <f>Data!BX107</f>
        <v>0</v>
      </c>
      <c r="K107" s="35">
        <f t="shared" si="27"/>
        <v>0</v>
      </c>
      <c r="M107" s="27">
        <f t="shared" si="30"/>
        <v>305.61999999999995</v>
      </c>
      <c r="N107" s="27">
        <f t="shared" si="30"/>
        <v>284.82599999999996</v>
      </c>
      <c r="P107" s="24">
        <f t="shared" si="24"/>
        <v>0.37345313843508188</v>
      </c>
      <c r="Q107" s="24">
        <f t="shared" si="20"/>
        <v>0.37345313843508188</v>
      </c>
      <c r="R107" s="21">
        <f t="shared" si="25"/>
        <v>434.32600000000025</v>
      </c>
      <c r="S107" s="27">
        <f t="shared" si="21"/>
        <v>0</v>
      </c>
      <c r="T107" s="27">
        <f t="shared" si="26"/>
        <v>0</v>
      </c>
    </row>
    <row r="108" spans="1:20" x14ac:dyDescent="0.2">
      <c r="A108" s="15">
        <f t="shared" si="22"/>
        <v>36627</v>
      </c>
      <c r="B108" s="1">
        <v>102</v>
      </c>
      <c r="C108" s="17">
        <f>ROUND(Data!BO108,2)</f>
        <v>14.08</v>
      </c>
      <c r="D108" s="3">
        <f>ROUND(Data!R108,1)</f>
        <v>11.3</v>
      </c>
      <c r="E108" s="3">
        <f>ROUND(Data!AF108,1)</f>
        <v>-5</v>
      </c>
      <c r="F108" s="27">
        <f>Data!BT108</f>
        <v>22.4</v>
      </c>
      <c r="G108" s="3">
        <f>Data!Q108</f>
        <v>0</v>
      </c>
      <c r="H108" s="21">
        <f>Data!BF108</f>
        <v>1140</v>
      </c>
      <c r="I108" s="14">
        <f t="shared" si="23"/>
        <v>0</v>
      </c>
      <c r="J108" s="17">
        <f>Data!BX108</f>
        <v>0</v>
      </c>
      <c r="K108" s="35">
        <f t="shared" si="27"/>
        <v>0</v>
      </c>
      <c r="M108" s="27">
        <f t="shared" si="30"/>
        <v>305.61999999999995</v>
      </c>
      <c r="N108" s="27">
        <f t="shared" si="30"/>
        <v>284.82599999999996</v>
      </c>
      <c r="P108" s="24">
        <f t="shared" si="24"/>
        <v>0.38098771929824582</v>
      </c>
      <c r="Q108" s="24">
        <f t="shared" si="20"/>
        <v>0.38098771929824582</v>
      </c>
      <c r="R108" s="21">
        <f t="shared" si="25"/>
        <v>434.32600000000025</v>
      </c>
      <c r="S108" s="27">
        <f t="shared" si="21"/>
        <v>0</v>
      </c>
      <c r="T108" s="27">
        <f t="shared" si="26"/>
        <v>0</v>
      </c>
    </row>
    <row r="109" spans="1:20" x14ac:dyDescent="0.2">
      <c r="A109" s="15">
        <f t="shared" si="22"/>
        <v>36628</v>
      </c>
      <c r="B109" s="1">
        <v>103</v>
      </c>
      <c r="C109" s="17">
        <f>ROUND(Data!BO109,2)</f>
        <v>16.649999999999999</v>
      </c>
      <c r="D109" s="3">
        <f>ROUND(Data!R109,1)</f>
        <v>9.3000000000000007</v>
      </c>
      <c r="E109" s="3">
        <f>ROUND(Data!AF109,1)</f>
        <v>-4.8</v>
      </c>
      <c r="F109" s="27">
        <f>Data!BT109</f>
        <v>32.9</v>
      </c>
      <c r="G109" s="3">
        <f>Data!Q109</f>
        <v>0</v>
      </c>
      <c r="H109" s="21">
        <f>Data!BF109</f>
        <v>1105</v>
      </c>
      <c r="I109" s="14">
        <f t="shared" si="23"/>
        <v>0</v>
      </c>
      <c r="J109" s="17">
        <f>Data!BX109</f>
        <v>0</v>
      </c>
      <c r="K109" s="35">
        <f t="shared" si="27"/>
        <v>0</v>
      </c>
      <c r="M109" s="27">
        <f t="shared" si="30"/>
        <v>305.61999999999995</v>
      </c>
      <c r="N109" s="27">
        <f t="shared" si="30"/>
        <v>284.82599999999996</v>
      </c>
      <c r="P109" s="24">
        <f t="shared" si="24"/>
        <v>0.39305520361990975</v>
      </c>
      <c r="Q109" s="24">
        <f t="shared" si="20"/>
        <v>0.39305520361990975</v>
      </c>
      <c r="R109" s="21">
        <f t="shared" si="25"/>
        <v>434.32600000000031</v>
      </c>
      <c r="S109" s="27">
        <f t="shared" si="21"/>
        <v>0</v>
      </c>
      <c r="T109" s="27">
        <f t="shared" si="26"/>
        <v>0</v>
      </c>
    </row>
    <row r="110" spans="1:20" x14ac:dyDescent="0.2">
      <c r="A110" s="15">
        <f t="shared" si="22"/>
        <v>36629</v>
      </c>
      <c r="B110" s="1">
        <v>104</v>
      </c>
      <c r="C110" s="17">
        <f>ROUND(Data!BO110,2)</f>
        <v>5.17</v>
      </c>
      <c r="D110" s="3">
        <f>ROUND(Data!R110,1)</f>
        <v>3.7</v>
      </c>
      <c r="E110" s="3">
        <f>ROUND(Data!AF110,1)</f>
        <v>-4.9000000000000004</v>
      </c>
      <c r="F110" s="27">
        <f>Data!BT110</f>
        <v>80.599999999999994</v>
      </c>
      <c r="G110" s="3">
        <f>Data!Q110</f>
        <v>0</v>
      </c>
      <c r="H110" s="21">
        <f>Data!BF110</f>
        <v>1169</v>
      </c>
      <c r="I110" s="14">
        <f t="shared" si="23"/>
        <v>8.3000000000000007</v>
      </c>
      <c r="J110" s="17">
        <f>Data!BX110</f>
        <v>13.16</v>
      </c>
      <c r="K110" s="35">
        <f t="shared" si="27"/>
        <v>8.3000000000000007</v>
      </c>
      <c r="M110" s="27">
        <f t="shared" si="30"/>
        <v>318.77999999999997</v>
      </c>
      <c r="N110" s="27">
        <f t="shared" si="30"/>
        <v>293.12599999999998</v>
      </c>
      <c r="P110" s="24">
        <f t="shared" si="24"/>
        <v>0.37863644140290875</v>
      </c>
      <c r="Q110" s="24">
        <f t="shared" si="20"/>
        <v>0.37863644140290875</v>
      </c>
      <c r="R110" s="21">
        <f t="shared" si="25"/>
        <v>442.62600000000032</v>
      </c>
      <c r="S110" s="27">
        <f t="shared" si="21"/>
        <v>8.3000000000000114</v>
      </c>
      <c r="T110" s="27">
        <f t="shared" si="26"/>
        <v>0</v>
      </c>
    </row>
    <row r="111" spans="1:20" x14ac:dyDescent="0.2">
      <c r="A111" s="15">
        <f t="shared" si="22"/>
        <v>36630</v>
      </c>
      <c r="B111" s="1">
        <v>105</v>
      </c>
      <c r="C111" s="17">
        <f>ROUND(Data!BO111,2)</f>
        <v>2.0099999999999998</v>
      </c>
      <c r="D111" s="3">
        <f>ROUND(Data!R111,1)</f>
        <v>0.6</v>
      </c>
      <c r="E111" s="3">
        <f>ROUND(Data!AF111,1)</f>
        <v>-5.7</v>
      </c>
      <c r="F111" s="27">
        <f>Data!BT111</f>
        <v>92</v>
      </c>
      <c r="G111" s="3">
        <f>Data!Q111</f>
        <v>0</v>
      </c>
      <c r="H111" s="21">
        <f>Data!BF111</f>
        <v>1169</v>
      </c>
      <c r="I111" s="14">
        <f t="shared" si="23"/>
        <v>0</v>
      </c>
      <c r="J111" s="17">
        <f>Data!BX111</f>
        <v>4.9000000000000004</v>
      </c>
      <c r="K111" s="53">
        <f t="shared" ref="K111:K112" si="31">J111*L$3</f>
        <v>5.1450000000000005</v>
      </c>
      <c r="M111" s="27">
        <f t="shared" si="30"/>
        <v>323.67999999999995</v>
      </c>
      <c r="N111" s="27">
        <f t="shared" si="30"/>
        <v>298.27099999999996</v>
      </c>
      <c r="P111" s="24">
        <f t="shared" si="24"/>
        <v>0.38303763900769916</v>
      </c>
      <c r="Q111" s="24">
        <f t="shared" si="20"/>
        <v>0.38303763900769916</v>
      </c>
      <c r="R111" s="21">
        <f t="shared" si="25"/>
        <v>447.7710000000003</v>
      </c>
      <c r="S111" s="27">
        <f t="shared" si="21"/>
        <v>5.1449999999999818</v>
      </c>
      <c r="T111" s="27">
        <f t="shared" si="26"/>
        <v>1.865174681370263E-14</v>
      </c>
    </row>
    <row r="112" spans="1:20" x14ac:dyDescent="0.2">
      <c r="A112" s="15">
        <f t="shared" si="22"/>
        <v>36631</v>
      </c>
      <c r="B112" s="1">
        <v>106</v>
      </c>
      <c r="C112" s="17">
        <f>ROUND(Data!BO112,2)</f>
        <v>15.04</v>
      </c>
      <c r="D112" s="3">
        <f>ROUND(Data!R112,1)</f>
        <v>4.2</v>
      </c>
      <c r="E112" s="3">
        <f>ROUND(Data!AF112,1)</f>
        <v>-3</v>
      </c>
      <c r="F112" s="27">
        <f>Data!BT112</f>
        <v>59.2</v>
      </c>
      <c r="G112" s="3">
        <f>Data!Q112</f>
        <v>0</v>
      </c>
      <c r="H112" s="21">
        <f>Data!BF112</f>
        <v>1138</v>
      </c>
      <c r="I112" s="14">
        <f t="shared" si="23"/>
        <v>0</v>
      </c>
      <c r="J112" s="17">
        <f>Data!BX112</f>
        <v>4.4799999999999995</v>
      </c>
      <c r="K112" s="53">
        <f t="shared" si="31"/>
        <v>4.7039999999999997</v>
      </c>
      <c r="M112" s="27">
        <f t="shared" si="30"/>
        <v>328.15999999999997</v>
      </c>
      <c r="N112" s="27">
        <f t="shared" si="30"/>
        <v>302.97499999999997</v>
      </c>
      <c r="P112" s="24">
        <f t="shared" si="24"/>
        <v>0.39760544815465754</v>
      </c>
      <c r="Q112" s="24">
        <f t="shared" si="20"/>
        <v>0.39760544815465754</v>
      </c>
      <c r="R112" s="21">
        <f t="shared" si="25"/>
        <v>452.47500000000025</v>
      </c>
      <c r="S112" s="27">
        <f t="shared" si="21"/>
        <v>4.7039999999999509</v>
      </c>
      <c r="T112" s="27">
        <f t="shared" si="26"/>
        <v>4.8849813083506888E-14</v>
      </c>
    </row>
    <row r="113" spans="1:20" x14ac:dyDescent="0.2">
      <c r="A113" s="15">
        <f t="shared" si="22"/>
        <v>36632</v>
      </c>
      <c r="B113" s="1">
        <v>107</v>
      </c>
      <c r="C113" s="17">
        <f>ROUND(Data!BO113,2)</f>
        <v>13.27</v>
      </c>
      <c r="D113" s="3">
        <f>ROUND(Data!R113,1)</f>
        <v>5.5</v>
      </c>
      <c r="E113" s="3">
        <f>ROUND(Data!AF113,1)</f>
        <v>-6.5</v>
      </c>
      <c r="F113" s="27">
        <f>Data!BT113</f>
        <v>54.9</v>
      </c>
      <c r="G113" s="3">
        <f>Data!Q113</f>
        <v>0</v>
      </c>
      <c r="H113" s="21">
        <f>Data!BF113</f>
        <v>1154</v>
      </c>
      <c r="I113" s="14">
        <f t="shared" si="23"/>
        <v>2.1</v>
      </c>
      <c r="J113" s="17">
        <f>Data!BX113</f>
        <v>0</v>
      </c>
      <c r="K113" s="35">
        <f t="shared" si="27"/>
        <v>2.1</v>
      </c>
      <c r="M113" s="27">
        <f t="shared" si="30"/>
        <v>328.15999999999997</v>
      </c>
      <c r="N113" s="27">
        <f t="shared" si="30"/>
        <v>305.07499999999999</v>
      </c>
      <c r="P113" s="24">
        <f t="shared" si="24"/>
        <v>0.39391247833622206</v>
      </c>
      <c r="Q113" s="24">
        <f t="shared" si="20"/>
        <v>0.39391247833622206</v>
      </c>
      <c r="R113" s="21">
        <f t="shared" si="25"/>
        <v>454.57500000000027</v>
      </c>
      <c r="S113" s="27">
        <f t="shared" si="21"/>
        <v>2.1000000000000227</v>
      </c>
      <c r="T113" s="27">
        <f t="shared" si="26"/>
        <v>-2.2648549702353193E-14</v>
      </c>
    </row>
    <row r="114" spans="1:20" x14ac:dyDescent="0.2">
      <c r="A114" s="15">
        <f t="shared" si="22"/>
        <v>36633</v>
      </c>
      <c r="B114" s="1">
        <v>108</v>
      </c>
      <c r="C114" s="17">
        <f>ROUND(Data!BO114,2)</f>
        <v>25.37</v>
      </c>
      <c r="D114" s="3">
        <f>ROUND(Data!R114,1)</f>
        <v>7.7</v>
      </c>
      <c r="E114" s="3">
        <f>ROUND(Data!AF114,1)</f>
        <v>-6.1</v>
      </c>
      <c r="F114" s="27">
        <f>Data!BT114</f>
        <v>24.5</v>
      </c>
      <c r="G114" s="3">
        <f>Data!Q114</f>
        <v>0</v>
      </c>
      <c r="H114" s="21">
        <f>Data!BF114</f>
        <v>1109</v>
      </c>
      <c r="I114" s="14">
        <f t="shared" si="23"/>
        <v>0</v>
      </c>
      <c r="J114" s="17">
        <f>Data!BX114</f>
        <v>0</v>
      </c>
      <c r="K114" s="35">
        <f t="shared" si="27"/>
        <v>0</v>
      </c>
      <c r="M114" s="27">
        <f t="shared" si="30"/>
        <v>328.15999999999997</v>
      </c>
      <c r="N114" s="27">
        <f t="shared" si="30"/>
        <v>305.07499999999999</v>
      </c>
      <c r="P114" s="24">
        <f t="shared" si="24"/>
        <v>0.40989630297565399</v>
      </c>
      <c r="Q114" s="24">
        <f t="shared" si="20"/>
        <v>0.4</v>
      </c>
      <c r="R114" s="21">
        <f t="shared" si="25"/>
        <v>443.6</v>
      </c>
      <c r="S114" s="27">
        <f t="shared" si="21"/>
        <v>-10.97500000000025</v>
      </c>
      <c r="T114" s="27">
        <f t="shared" si="26"/>
        <v>10.97500000000025</v>
      </c>
    </row>
    <row r="115" spans="1:20" x14ac:dyDescent="0.2">
      <c r="A115" s="15">
        <f t="shared" si="22"/>
        <v>36634</v>
      </c>
      <c r="B115" s="1">
        <v>109</v>
      </c>
      <c r="C115" s="17">
        <f>ROUND(Data!BO115,2)</f>
        <v>24.65</v>
      </c>
      <c r="D115" s="3">
        <f>ROUND(Data!R115,1)</f>
        <v>12.2</v>
      </c>
      <c r="E115" s="3">
        <f>ROUND(Data!AF115,1)</f>
        <v>-7.2</v>
      </c>
      <c r="F115" s="27">
        <f>Data!BT115</f>
        <v>17.5</v>
      </c>
      <c r="G115" s="3">
        <f>Data!Q115</f>
        <v>0</v>
      </c>
      <c r="H115" s="21">
        <f>Data!BF115</f>
        <v>1061</v>
      </c>
      <c r="I115" s="14">
        <f t="shared" si="23"/>
        <v>0</v>
      </c>
      <c r="J115" s="17">
        <f>Data!BX115</f>
        <v>0</v>
      </c>
      <c r="K115" s="35">
        <f t="shared" si="27"/>
        <v>0</v>
      </c>
      <c r="M115" s="27">
        <f t="shared" si="30"/>
        <v>328.15999999999997</v>
      </c>
      <c r="N115" s="27">
        <f t="shared" si="30"/>
        <v>305.07499999999999</v>
      </c>
      <c r="P115" s="24">
        <f t="shared" si="24"/>
        <v>0.41809613572101795</v>
      </c>
      <c r="Q115" s="24">
        <f t="shared" si="20"/>
        <v>0.4</v>
      </c>
      <c r="R115" s="21">
        <f t="shared" si="25"/>
        <v>424.40000000000003</v>
      </c>
      <c r="S115" s="27">
        <f t="shared" si="21"/>
        <v>-19.199999999999989</v>
      </c>
      <c r="T115" s="27">
        <f t="shared" si="26"/>
        <v>19.199999999999989</v>
      </c>
    </row>
    <row r="116" spans="1:20" x14ac:dyDescent="0.2">
      <c r="A116" s="15">
        <f t="shared" si="22"/>
        <v>36635</v>
      </c>
      <c r="B116" s="1">
        <v>110</v>
      </c>
      <c r="C116" s="17">
        <f>ROUND(Data!BO116,2)</f>
        <v>25.74</v>
      </c>
      <c r="D116" s="3">
        <f>ROUND(Data!R116,1)</f>
        <v>12.7</v>
      </c>
      <c r="E116" s="3">
        <f>ROUND(Data!AF116,1)</f>
        <v>-5.2</v>
      </c>
      <c r="F116" s="27">
        <f>Data!BT116</f>
        <v>24</v>
      </c>
      <c r="G116" s="3">
        <f>Data!Q116</f>
        <v>0</v>
      </c>
      <c r="H116" s="21">
        <f>Data!BF116</f>
        <v>1023</v>
      </c>
      <c r="I116" s="14">
        <f t="shared" si="23"/>
        <v>0</v>
      </c>
      <c r="J116" s="17">
        <f>Data!BX116</f>
        <v>0</v>
      </c>
      <c r="K116" s="35">
        <f t="shared" si="27"/>
        <v>0</v>
      </c>
      <c r="M116" s="27">
        <f t="shared" si="30"/>
        <v>328.15999999999997</v>
      </c>
      <c r="N116" s="27">
        <f t="shared" si="30"/>
        <v>305.07499999999999</v>
      </c>
      <c r="P116" s="24">
        <f t="shared" si="24"/>
        <v>0.4148582600195504</v>
      </c>
      <c r="Q116" s="24">
        <f t="shared" si="20"/>
        <v>0.4</v>
      </c>
      <c r="R116" s="21">
        <f t="shared" si="25"/>
        <v>409.20000000000005</v>
      </c>
      <c r="S116" s="27">
        <f t="shared" si="21"/>
        <v>-15.199999999999989</v>
      </c>
      <c r="T116" s="27">
        <f t="shared" si="26"/>
        <v>15.199999999999989</v>
      </c>
    </row>
    <row r="117" spans="1:20" x14ac:dyDescent="0.2">
      <c r="A117" s="15">
        <f t="shared" si="22"/>
        <v>36636</v>
      </c>
      <c r="B117" s="1">
        <v>111</v>
      </c>
      <c r="C117" s="17">
        <f>ROUND(Data!BO117,2)</f>
        <v>14.45</v>
      </c>
      <c r="D117" s="3">
        <f>ROUND(Data!R117,1)</f>
        <v>8.8000000000000007</v>
      </c>
      <c r="E117" s="3">
        <f>ROUND(Data!AF117,1)</f>
        <v>-3</v>
      </c>
      <c r="F117" s="27">
        <f>Data!BT117</f>
        <v>54.1</v>
      </c>
      <c r="G117" s="3">
        <f>Data!Q117</f>
        <v>0</v>
      </c>
      <c r="H117" s="21">
        <f>Data!BF117</f>
        <v>993</v>
      </c>
      <c r="I117" s="14">
        <f t="shared" si="23"/>
        <v>0</v>
      </c>
      <c r="J117" s="17">
        <f>Data!BX117</f>
        <v>0</v>
      </c>
      <c r="K117" s="35">
        <f t="shared" si="27"/>
        <v>0</v>
      </c>
      <c r="M117" s="27">
        <f t="shared" si="30"/>
        <v>328.15999999999997</v>
      </c>
      <c r="N117" s="27">
        <f t="shared" si="30"/>
        <v>305.07499999999999</v>
      </c>
      <c r="P117" s="24">
        <f t="shared" si="24"/>
        <v>0.41208459214501514</v>
      </c>
      <c r="Q117" s="24">
        <f t="shared" si="20"/>
        <v>0.4</v>
      </c>
      <c r="R117" s="21">
        <f t="shared" si="25"/>
        <v>397.20000000000005</v>
      </c>
      <c r="S117" s="27">
        <f t="shared" si="21"/>
        <v>-12</v>
      </c>
      <c r="T117" s="27">
        <f t="shared" si="26"/>
        <v>12</v>
      </c>
    </row>
    <row r="118" spans="1:20" x14ac:dyDescent="0.2">
      <c r="A118" s="15">
        <f t="shared" si="22"/>
        <v>36637</v>
      </c>
      <c r="B118" s="1">
        <v>112</v>
      </c>
      <c r="C118" s="17">
        <f>ROUND(Data!BO118,2)</f>
        <v>20.52</v>
      </c>
      <c r="D118" s="3">
        <f>ROUND(Data!R118,1)</f>
        <v>12</v>
      </c>
      <c r="E118" s="3">
        <f>ROUND(Data!AF118,1)</f>
        <v>-1.7</v>
      </c>
      <c r="F118" s="27">
        <f>Data!BT118</f>
        <v>38.1</v>
      </c>
      <c r="G118" s="3">
        <f>Data!Q118</f>
        <v>0</v>
      </c>
      <c r="H118" s="21">
        <f>Data!BF118</f>
        <v>943</v>
      </c>
      <c r="I118" s="14">
        <f t="shared" si="23"/>
        <v>0</v>
      </c>
      <c r="J118" s="17">
        <f>Data!BX118</f>
        <v>0</v>
      </c>
      <c r="K118" s="35">
        <f t="shared" si="27"/>
        <v>0</v>
      </c>
      <c r="M118" s="27">
        <f t="shared" si="30"/>
        <v>328.15999999999997</v>
      </c>
      <c r="N118" s="27">
        <f t="shared" si="30"/>
        <v>305.07499999999999</v>
      </c>
      <c r="P118" s="24">
        <f t="shared" si="24"/>
        <v>0.42120890774125136</v>
      </c>
      <c r="Q118" s="24">
        <f t="shared" si="20"/>
        <v>0.4</v>
      </c>
      <c r="R118" s="21">
        <f t="shared" si="25"/>
        <v>377.20000000000005</v>
      </c>
      <c r="S118" s="27">
        <f t="shared" si="21"/>
        <v>-20</v>
      </c>
      <c r="T118" s="27">
        <f t="shared" si="26"/>
        <v>20</v>
      </c>
    </row>
    <row r="119" spans="1:20" x14ac:dyDescent="0.2">
      <c r="A119" s="15">
        <f t="shared" si="22"/>
        <v>36638</v>
      </c>
      <c r="B119" s="1">
        <v>113</v>
      </c>
      <c r="C119" s="17">
        <f>ROUND(Data!BO119,2)</f>
        <v>21.13</v>
      </c>
      <c r="D119" s="3">
        <f>ROUND(Data!R119,1)</f>
        <v>7.7</v>
      </c>
      <c r="E119" s="3">
        <f>ROUND(Data!AF119,1)</f>
        <v>-2.5</v>
      </c>
      <c r="F119" s="27">
        <f>Data!BT119</f>
        <v>20.3</v>
      </c>
      <c r="G119" s="3">
        <f>Data!Q119</f>
        <v>0</v>
      </c>
      <c r="H119" s="21">
        <f>Data!BF119</f>
        <v>887</v>
      </c>
      <c r="I119" s="14">
        <f t="shared" si="23"/>
        <v>0</v>
      </c>
      <c r="J119" s="17">
        <f>Data!BX119</f>
        <v>0.97999999999999954</v>
      </c>
      <c r="K119" s="35">
        <f t="shared" si="27"/>
        <v>0</v>
      </c>
      <c r="M119" s="27">
        <f t="shared" si="30"/>
        <v>329.14</v>
      </c>
      <c r="N119" s="27">
        <f t="shared" si="30"/>
        <v>305.07499999999999</v>
      </c>
      <c r="P119" s="24">
        <f t="shared" si="24"/>
        <v>0.42525366403607673</v>
      </c>
      <c r="Q119" s="24">
        <f t="shared" si="20"/>
        <v>0.4</v>
      </c>
      <c r="R119" s="21">
        <f t="shared" si="25"/>
        <v>354.8</v>
      </c>
      <c r="S119" s="27">
        <f t="shared" si="21"/>
        <v>-22.400000000000034</v>
      </c>
      <c r="T119" s="27">
        <f t="shared" si="26"/>
        <v>22.400000000000034</v>
      </c>
    </row>
    <row r="120" spans="1:20" x14ac:dyDescent="0.2">
      <c r="A120" s="15">
        <f t="shared" si="22"/>
        <v>36639</v>
      </c>
      <c r="B120" s="1">
        <v>114</v>
      </c>
      <c r="C120" s="17">
        <f>ROUND(Data!BO120,2)</f>
        <v>15.43</v>
      </c>
      <c r="D120" s="3">
        <f>ROUND(Data!R120,1)</f>
        <v>5.7</v>
      </c>
      <c r="E120" s="3">
        <f>ROUND(Data!AF120,1)</f>
        <v>-5.6</v>
      </c>
      <c r="F120" s="27">
        <f>Data!BT120</f>
        <v>27.4</v>
      </c>
      <c r="G120" s="3">
        <f>Data!Q120</f>
        <v>0</v>
      </c>
      <c r="H120" s="21">
        <f>Data!BF120</f>
        <v>923</v>
      </c>
      <c r="I120" s="14">
        <f t="shared" si="23"/>
        <v>4.7</v>
      </c>
      <c r="J120" s="17">
        <f>Data!BX120</f>
        <v>0</v>
      </c>
      <c r="K120" s="35">
        <f t="shared" si="27"/>
        <v>4.7</v>
      </c>
      <c r="M120" s="27">
        <f t="shared" si="30"/>
        <v>329.14</v>
      </c>
      <c r="N120" s="27">
        <f t="shared" si="30"/>
        <v>309.77499999999998</v>
      </c>
      <c r="P120" s="24">
        <f t="shared" si="24"/>
        <v>0.3894907908992416</v>
      </c>
      <c r="Q120" s="24">
        <f t="shared" si="20"/>
        <v>0.3894907908992416</v>
      </c>
      <c r="R120" s="21">
        <f t="shared" si="25"/>
        <v>359.5</v>
      </c>
      <c r="S120" s="27">
        <f t="shared" si="21"/>
        <v>4.6999999999999886</v>
      </c>
      <c r="T120" s="27">
        <f t="shared" si="26"/>
        <v>1.1546319456101628E-14</v>
      </c>
    </row>
    <row r="121" spans="1:20" x14ac:dyDescent="0.2">
      <c r="A121" s="15">
        <f t="shared" si="22"/>
        <v>36640</v>
      </c>
      <c r="B121" s="1">
        <v>115</v>
      </c>
      <c r="C121" s="17">
        <f>ROUND(Data!BO121,2)</f>
        <v>17.38</v>
      </c>
      <c r="D121" s="3">
        <f>ROUND(Data!R121,1)</f>
        <v>3.1</v>
      </c>
      <c r="E121" s="3">
        <f>ROUND(Data!AF121,1)</f>
        <v>-7.4</v>
      </c>
      <c r="F121" s="27">
        <f>Data!BT121</f>
        <v>35.299999999999997</v>
      </c>
      <c r="G121" s="3">
        <f>Data!Q121</f>
        <v>0</v>
      </c>
      <c r="H121" s="21">
        <f>Data!BF121</f>
        <v>889</v>
      </c>
      <c r="I121" s="14">
        <f t="shared" si="23"/>
        <v>0</v>
      </c>
      <c r="J121" s="17">
        <f>Data!BX121</f>
        <v>0</v>
      </c>
      <c r="K121" s="35">
        <f t="shared" si="27"/>
        <v>0</v>
      </c>
      <c r="M121" s="27">
        <f t="shared" ref="M121:N136" si="32">J121+M120</f>
        <v>329.14</v>
      </c>
      <c r="N121" s="27">
        <f t="shared" si="32"/>
        <v>309.77499999999998</v>
      </c>
      <c r="P121" s="24">
        <f t="shared" si="24"/>
        <v>0.4043869516310461</v>
      </c>
      <c r="Q121" s="24">
        <f t="shared" si="20"/>
        <v>0.4</v>
      </c>
      <c r="R121" s="21">
        <f t="shared" si="25"/>
        <v>355.6</v>
      </c>
      <c r="S121" s="27">
        <f t="shared" si="21"/>
        <v>-3.8999999999999773</v>
      </c>
      <c r="T121" s="27">
        <f t="shared" si="26"/>
        <v>3.8999999999999773</v>
      </c>
    </row>
    <row r="122" spans="1:20" x14ac:dyDescent="0.2">
      <c r="A122" s="15">
        <f t="shared" si="22"/>
        <v>36641</v>
      </c>
      <c r="B122" s="1">
        <v>116</v>
      </c>
      <c r="C122" s="17">
        <f>ROUND(Data!BO122,2)</f>
        <v>12.46</v>
      </c>
      <c r="D122" s="3">
        <f>ROUND(Data!R122,1)</f>
        <v>3.1</v>
      </c>
      <c r="E122" s="3">
        <f>ROUND(Data!AF122,1)</f>
        <v>-7.8</v>
      </c>
      <c r="F122" s="27">
        <f>Data!BT122</f>
        <v>48.8</v>
      </c>
      <c r="G122" s="3">
        <f>Data!Q122</f>
        <v>0</v>
      </c>
      <c r="H122" s="21">
        <f>Data!BF122</f>
        <v>881</v>
      </c>
      <c r="I122" s="14">
        <f t="shared" si="23"/>
        <v>0</v>
      </c>
      <c r="J122" s="17">
        <f>Data!BX122</f>
        <v>0</v>
      </c>
      <c r="K122" s="35">
        <f t="shared" si="27"/>
        <v>0</v>
      </c>
      <c r="M122" s="27">
        <f t="shared" si="32"/>
        <v>329.14</v>
      </c>
      <c r="N122" s="27">
        <f t="shared" si="32"/>
        <v>309.77499999999998</v>
      </c>
      <c r="P122" s="24">
        <f t="shared" si="24"/>
        <v>0.40363223609534621</v>
      </c>
      <c r="Q122" s="24">
        <f t="shared" si="20"/>
        <v>0.4</v>
      </c>
      <c r="R122" s="21">
        <f t="shared" si="25"/>
        <v>352.40000000000003</v>
      </c>
      <c r="S122" s="27">
        <f t="shared" si="21"/>
        <v>-3.1999999999999886</v>
      </c>
      <c r="T122" s="27">
        <f t="shared" si="26"/>
        <v>3.1999999999999886</v>
      </c>
    </row>
    <row r="123" spans="1:20" x14ac:dyDescent="0.2">
      <c r="A123" s="15">
        <f t="shared" si="22"/>
        <v>36642</v>
      </c>
      <c r="B123" s="1">
        <v>117</v>
      </c>
      <c r="C123" s="17">
        <f>ROUND(Data!BO123,2)</f>
        <v>26.95</v>
      </c>
      <c r="D123" s="3">
        <f>ROUND(Data!R123,1)</f>
        <v>7.6</v>
      </c>
      <c r="E123" s="3">
        <f>ROUND(Data!AF123,1)</f>
        <v>-6.2</v>
      </c>
      <c r="F123" s="27">
        <f>Data!BT123</f>
        <v>31.4</v>
      </c>
      <c r="G123" s="3">
        <f>Data!Q123</f>
        <v>0</v>
      </c>
      <c r="H123" s="21">
        <f>Data!BF123</f>
        <v>843</v>
      </c>
      <c r="I123" s="14">
        <f t="shared" si="23"/>
        <v>0</v>
      </c>
      <c r="J123" s="17">
        <f>Data!BX123</f>
        <v>0</v>
      </c>
      <c r="K123" s="35">
        <f t="shared" si="27"/>
        <v>0</v>
      </c>
      <c r="M123" s="27">
        <f t="shared" si="32"/>
        <v>329.14</v>
      </c>
      <c r="N123" s="27">
        <f t="shared" si="32"/>
        <v>309.77499999999998</v>
      </c>
      <c r="P123" s="24">
        <f t="shared" si="24"/>
        <v>0.41803084223013054</v>
      </c>
      <c r="Q123" s="24">
        <f t="shared" si="20"/>
        <v>0.4</v>
      </c>
      <c r="R123" s="21">
        <f t="shared" si="25"/>
        <v>337.20000000000005</v>
      </c>
      <c r="S123" s="27">
        <f t="shared" si="21"/>
        <v>-15.199999999999989</v>
      </c>
      <c r="T123" s="27">
        <f t="shared" si="26"/>
        <v>15.199999999999989</v>
      </c>
    </row>
    <row r="124" spans="1:20" x14ac:dyDescent="0.2">
      <c r="A124" s="15">
        <f t="shared" si="22"/>
        <v>36643</v>
      </c>
      <c r="B124" s="1">
        <v>118</v>
      </c>
      <c r="C124" s="17">
        <f>ROUND(Data!BO124,2)</f>
        <v>17.87</v>
      </c>
      <c r="D124" s="3">
        <f>ROUND(Data!R124,1)</f>
        <v>15.9</v>
      </c>
      <c r="E124" s="3">
        <f>ROUND(Data!AF124,1)</f>
        <v>2.2000000000000002</v>
      </c>
      <c r="F124" s="27">
        <f>Data!BT124</f>
        <v>24.4</v>
      </c>
      <c r="G124" s="3">
        <f>Data!Q124</f>
        <v>0</v>
      </c>
      <c r="H124" s="21">
        <f>Data!BF124</f>
        <v>799</v>
      </c>
      <c r="I124" s="14">
        <f t="shared" si="23"/>
        <v>0</v>
      </c>
      <c r="J124" s="17">
        <f>Data!BX124</f>
        <v>0</v>
      </c>
      <c r="K124" s="35">
        <f t="shared" si="27"/>
        <v>0</v>
      </c>
      <c r="M124" s="27">
        <f t="shared" si="32"/>
        <v>329.14</v>
      </c>
      <c r="N124" s="27">
        <f t="shared" si="32"/>
        <v>309.77499999999998</v>
      </c>
      <c r="P124" s="24">
        <f t="shared" si="24"/>
        <v>0.4220275344180226</v>
      </c>
      <c r="Q124" s="24">
        <f t="shared" si="20"/>
        <v>0.4</v>
      </c>
      <c r="R124" s="21">
        <f t="shared" si="25"/>
        <v>319.60000000000002</v>
      </c>
      <c r="S124" s="27">
        <f t="shared" si="21"/>
        <v>-17.600000000000023</v>
      </c>
      <c r="T124" s="27">
        <f t="shared" si="26"/>
        <v>17.600000000000023</v>
      </c>
    </row>
    <row r="125" spans="1:20" x14ac:dyDescent="0.2">
      <c r="A125" s="15">
        <f t="shared" si="22"/>
        <v>36644</v>
      </c>
      <c r="B125" s="1">
        <v>119</v>
      </c>
      <c r="C125" s="17">
        <f>ROUND(Data!BO125,2)</f>
        <v>17.55</v>
      </c>
      <c r="D125" s="3">
        <f>ROUND(Data!R125,1)</f>
        <v>4.5999999999999996</v>
      </c>
      <c r="E125" s="3">
        <f>ROUND(Data!AF125,1)</f>
        <v>-3.4</v>
      </c>
      <c r="F125" s="27">
        <f>Data!BT125</f>
        <v>49.9</v>
      </c>
      <c r="G125" s="3">
        <f>Data!Q125</f>
        <v>0</v>
      </c>
      <c r="H125" s="21">
        <f>Data!BF125</f>
        <v>780</v>
      </c>
      <c r="I125" s="14">
        <f t="shared" si="23"/>
        <v>0</v>
      </c>
      <c r="J125" s="17">
        <f>Data!BX125</f>
        <v>14.840000000000002</v>
      </c>
      <c r="K125" s="35">
        <f t="shared" si="27"/>
        <v>0</v>
      </c>
      <c r="M125" s="27">
        <f t="shared" si="32"/>
        <v>343.97999999999996</v>
      </c>
      <c r="N125" s="27">
        <f t="shared" si="32"/>
        <v>309.77499999999998</v>
      </c>
      <c r="P125" s="24">
        <f t="shared" si="24"/>
        <v>0.40974358974358976</v>
      </c>
      <c r="Q125" s="24">
        <f t="shared" si="20"/>
        <v>0.4</v>
      </c>
      <c r="R125" s="21">
        <f t="shared" si="25"/>
        <v>312</v>
      </c>
      <c r="S125" s="27">
        <f t="shared" si="21"/>
        <v>-7.6000000000000227</v>
      </c>
      <c r="T125" s="27">
        <f t="shared" si="26"/>
        <v>7.6000000000000227</v>
      </c>
    </row>
    <row r="126" spans="1:20" x14ac:dyDescent="0.2">
      <c r="A126" s="15">
        <f t="shared" si="22"/>
        <v>36645</v>
      </c>
      <c r="B126" s="1">
        <v>120</v>
      </c>
      <c r="C126" s="17">
        <f>ROUND(Data!BO126,2)</f>
        <v>15.6</v>
      </c>
      <c r="D126" s="3">
        <f>ROUND(Data!R126,1)</f>
        <v>6</v>
      </c>
      <c r="E126" s="3">
        <f>ROUND(Data!AF126,1)</f>
        <v>-6</v>
      </c>
      <c r="F126" s="27">
        <f>Data!BT126</f>
        <v>32.4</v>
      </c>
      <c r="G126" s="3">
        <f>Data!Q126</f>
        <v>0</v>
      </c>
      <c r="H126" s="21">
        <f>Data!BF126</f>
        <v>806</v>
      </c>
      <c r="I126" s="14">
        <f t="shared" si="23"/>
        <v>3.4</v>
      </c>
      <c r="J126" s="17">
        <f>Data!BX126</f>
        <v>0</v>
      </c>
      <c r="K126" s="35">
        <f t="shared" si="27"/>
        <v>3.4</v>
      </c>
      <c r="M126" s="27">
        <f t="shared" si="32"/>
        <v>343.97999999999996</v>
      </c>
      <c r="N126" s="27">
        <f t="shared" si="32"/>
        <v>313.17499999999995</v>
      </c>
      <c r="P126" s="24">
        <f t="shared" si="24"/>
        <v>0.39131513647642679</v>
      </c>
      <c r="Q126" s="24">
        <f t="shared" si="20"/>
        <v>0.39131513647642679</v>
      </c>
      <c r="R126" s="21">
        <f t="shared" si="25"/>
        <v>315.39999999999998</v>
      </c>
      <c r="S126" s="27">
        <f t="shared" si="21"/>
        <v>3.3999999999999773</v>
      </c>
      <c r="T126" s="27">
        <f t="shared" si="26"/>
        <v>2.2648549702353193E-14</v>
      </c>
    </row>
    <row r="127" spans="1:20" x14ac:dyDescent="0.2">
      <c r="A127" s="15">
        <f t="shared" si="22"/>
        <v>36646</v>
      </c>
      <c r="B127" s="1">
        <v>121</v>
      </c>
      <c r="C127" s="17">
        <f>ROUND(Data!BO127,2)</f>
        <v>11.79</v>
      </c>
      <c r="D127" s="3">
        <f>ROUND(Data!R127,1)</f>
        <v>9.1999999999999993</v>
      </c>
      <c r="E127" s="3">
        <f>ROUND(Data!AF127,1)</f>
        <v>-0.4</v>
      </c>
      <c r="F127" s="27">
        <f>Data!BT127</f>
        <v>44</v>
      </c>
      <c r="G127" s="3">
        <f>Data!Q127</f>
        <v>0</v>
      </c>
      <c r="H127" s="21">
        <f>Data!BF127</f>
        <v>801</v>
      </c>
      <c r="I127" s="14">
        <f t="shared" si="23"/>
        <v>0</v>
      </c>
      <c r="J127" s="17">
        <f>Data!BX127</f>
        <v>0.27999999999999992</v>
      </c>
      <c r="K127" s="35">
        <f t="shared" si="27"/>
        <v>0</v>
      </c>
      <c r="M127" s="27">
        <f t="shared" si="32"/>
        <v>344.25999999999993</v>
      </c>
      <c r="N127" s="27">
        <f t="shared" si="32"/>
        <v>313.17499999999995</v>
      </c>
      <c r="P127" s="24">
        <f t="shared" si="24"/>
        <v>0.39375780274656674</v>
      </c>
      <c r="Q127" s="24">
        <f t="shared" si="20"/>
        <v>0.39375780274656674</v>
      </c>
      <c r="R127" s="21">
        <f t="shared" si="25"/>
        <v>315.39999999999998</v>
      </c>
      <c r="S127" s="27">
        <f t="shared" si="21"/>
        <v>0</v>
      </c>
      <c r="T127" s="27">
        <f t="shared" si="26"/>
        <v>0</v>
      </c>
    </row>
    <row r="128" spans="1:20" x14ac:dyDescent="0.2">
      <c r="A128" s="15">
        <f t="shared" si="22"/>
        <v>36647</v>
      </c>
      <c r="B128" s="1">
        <v>122</v>
      </c>
      <c r="C128" s="17">
        <f>ROUND(Data!BO128,2)</f>
        <v>10.81</v>
      </c>
      <c r="D128" s="3">
        <f>ROUND(Data!R128,1)</f>
        <v>7.9</v>
      </c>
      <c r="E128" s="3">
        <f>ROUND(Data!AF128,1)</f>
        <v>-0.1</v>
      </c>
      <c r="F128" s="27">
        <f>Data!BT128</f>
        <v>54</v>
      </c>
      <c r="G128" s="3">
        <f>Data!Q128</f>
        <v>0</v>
      </c>
      <c r="H128" s="21">
        <f>Data!BF128</f>
        <v>781</v>
      </c>
      <c r="I128" s="14">
        <f t="shared" si="23"/>
        <v>0</v>
      </c>
      <c r="J128" s="17">
        <f>Data!BX128</f>
        <v>5.4600000000000009</v>
      </c>
      <c r="K128" s="35">
        <f t="shared" si="27"/>
        <v>0</v>
      </c>
      <c r="M128" s="27">
        <f t="shared" si="32"/>
        <v>349.71999999999991</v>
      </c>
      <c r="N128" s="27">
        <f t="shared" si="32"/>
        <v>313.17499999999995</v>
      </c>
      <c r="P128" s="24">
        <f t="shared" si="24"/>
        <v>0.40384122919334187</v>
      </c>
      <c r="Q128" s="24">
        <f t="shared" si="20"/>
        <v>0.4</v>
      </c>
      <c r="R128" s="21">
        <f t="shared" si="25"/>
        <v>312.40000000000003</v>
      </c>
      <c r="S128" s="27">
        <f t="shared" si="21"/>
        <v>-2.9999999999999432</v>
      </c>
      <c r="T128" s="27">
        <f t="shared" si="26"/>
        <v>2.9999999999999432</v>
      </c>
    </row>
    <row r="129" spans="1:21" x14ac:dyDescent="0.2">
      <c r="A129" s="15">
        <f t="shared" si="22"/>
        <v>36648</v>
      </c>
      <c r="B129" s="1">
        <v>123</v>
      </c>
      <c r="C129" s="17">
        <f>ROUND(Data!BO129,2)</f>
        <v>19.52</v>
      </c>
      <c r="D129" s="3">
        <f>ROUND(Data!R129,1)</f>
        <v>11</v>
      </c>
      <c r="E129" s="3">
        <f>ROUND(Data!AF129,1)</f>
        <v>-0.1</v>
      </c>
      <c r="F129" s="27">
        <f>Data!BT129</f>
        <v>33.4</v>
      </c>
      <c r="G129" s="3">
        <f>Data!Q129</f>
        <v>0</v>
      </c>
      <c r="H129" s="21">
        <f>Data!BF129</f>
        <v>744</v>
      </c>
      <c r="I129" s="14">
        <f t="shared" si="23"/>
        <v>0</v>
      </c>
      <c r="J129" s="17">
        <f>Data!BX129</f>
        <v>0</v>
      </c>
      <c r="K129" s="35">
        <f t="shared" si="27"/>
        <v>0</v>
      </c>
      <c r="M129" s="27">
        <f t="shared" si="32"/>
        <v>349.71999999999991</v>
      </c>
      <c r="N129" s="27">
        <f t="shared" si="32"/>
        <v>313.17499999999995</v>
      </c>
      <c r="P129" s="24">
        <f t="shared" si="24"/>
        <v>0.4198924731182796</v>
      </c>
      <c r="Q129" s="24">
        <f t="shared" si="20"/>
        <v>0.4</v>
      </c>
      <c r="R129" s="21">
        <f t="shared" si="25"/>
        <v>297.60000000000002</v>
      </c>
      <c r="S129" s="27">
        <f t="shared" si="21"/>
        <v>-14.800000000000011</v>
      </c>
      <c r="T129" s="27">
        <f t="shared" si="26"/>
        <v>14.800000000000011</v>
      </c>
    </row>
    <row r="130" spans="1:21" x14ac:dyDescent="0.2">
      <c r="A130" s="15">
        <f t="shared" si="22"/>
        <v>36649</v>
      </c>
      <c r="B130" s="1">
        <v>124</v>
      </c>
      <c r="C130" s="17">
        <f>ROUND(Data!BO130,2)</f>
        <v>7.95</v>
      </c>
      <c r="D130" s="3">
        <f>ROUND(Data!R130,1)</f>
        <v>5.7</v>
      </c>
      <c r="E130" s="3">
        <f>ROUND(Data!AF130,1)</f>
        <v>-4.9000000000000004</v>
      </c>
      <c r="F130" s="27">
        <f>Data!BT130</f>
        <v>56.7</v>
      </c>
      <c r="G130" s="3">
        <f>Data!Q130</f>
        <v>0</v>
      </c>
      <c r="H130" s="21">
        <f>Data!BF130</f>
        <v>754</v>
      </c>
      <c r="I130" s="14">
        <f t="shared" si="23"/>
        <v>1.3</v>
      </c>
      <c r="J130" s="17">
        <f>Data!BX130</f>
        <v>17.919999999999998</v>
      </c>
      <c r="K130" s="35">
        <f t="shared" si="27"/>
        <v>1.3</v>
      </c>
      <c r="M130" s="27">
        <f t="shared" si="32"/>
        <v>367.63999999999993</v>
      </c>
      <c r="N130" s="27">
        <f t="shared" si="32"/>
        <v>314.47499999999997</v>
      </c>
      <c r="P130" s="24">
        <f t="shared" si="24"/>
        <v>0.39641909814323611</v>
      </c>
      <c r="Q130" s="24">
        <f t="shared" si="20"/>
        <v>0.39641909814323611</v>
      </c>
      <c r="R130" s="21">
        <f t="shared" si="25"/>
        <v>298.90000000000003</v>
      </c>
      <c r="S130" s="27">
        <f t="shared" si="21"/>
        <v>1.3000000000000114</v>
      </c>
      <c r="T130" s="27">
        <f t="shared" si="26"/>
        <v>-1.1324274851176597E-14</v>
      </c>
    </row>
    <row r="131" spans="1:21" x14ac:dyDescent="0.2">
      <c r="A131" s="15">
        <f t="shared" si="22"/>
        <v>36650</v>
      </c>
      <c r="B131" s="1">
        <v>125</v>
      </c>
      <c r="C131" s="17">
        <f>ROUND(Data!BO131,2)</f>
        <v>14.61</v>
      </c>
      <c r="D131" s="3">
        <f>ROUND(Data!R131,1)</f>
        <v>5</v>
      </c>
      <c r="E131" s="3">
        <f>ROUND(Data!AF131,1)</f>
        <v>-7.4</v>
      </c>
      <c r="F131" s="27">
        <f>Data!BT131</f>
        <v>56.8</v>
      </c>
      <c r="G131" s="3">
        <f>Data!Q131</f>
        <v>0</v>
      </c>
      <c r="H131" s="21">
        <f>Data!BF131</f>
        <v>741</v>
      </c>
      <c r="I131" s="14">
        <f t="shared" si="23"/>
        <v>0</v>
      </c>
      <c r="J131" s="17">
        <f>Data!BX131</f>
        <v>0</v>
      </c>
      <c r="K131" s="35">
        <f t="shared" si="27"/>
        <v>0</v>
      </c>
      <c r="M131" s="27">
        <f t="shared" si="32"/>
        <v>367.63999999999993</v>
      </c>
      <c r="N131" s="27">
        <f t="shared" si="32"/>
        <v>314.47499999999997</v>
      </c>
      <c r="P131" s="24">
        <f t="shared" si="24"/>
        <v>0.4033738191632929</v>
      </c>
      <c r="Q131" s="24">
        <f t="shared" si="20"/>
        <v>0.4</v>
      </c>
      <c r="R131" s="21">
        <f t="shared" si="25"/>
        <v>296.40000000000003</v>
      </c>
      <c r="S131" s="27">
        <f t="shared" si="21"/>
        <v>-2.5</v>
      </c>
      <c r="T131" s="27">
        <f t="shared" si="26"/>
        <v>2.5</v>
      </c>
    </row>
    <row r="132" spans="1:21" x14ac:dyDescent="0.2">
      <c r="A132" s="15">
        <f t="shared" si="22"/>
        <v>36651</v>
      </c>
      <c r="B132" s="1">
        <v>126</v>
      </c>
      <c r="C132" s="17">
        <f>ROUND(Data!BO132,2)</f>
        <v>5.95</v>
      </c>
      <c r="D132" s="3">
        <f>ROUND(Data!R132,1)</f>
        <v>2.7</v>
      </c>
      <c r="E132" s="3">
        <f>ROUND(Data!AF132,1)</f>
        <v>-6.8</v>
      </c>
      <c r="F132" s="27">
        <f>Data!BT132</f>
        <v>63.3</v>
      </c>
      <c r="G132" s="3">
        <f>Data!Q132</f>
        <v>0</v>
      </c>
      <c r="H132" s="21">
        <f>Data!BF132</f>
        <v>770</v>
      </c>
      <c r="I132" s="14">
        <f t="shared" si="23"/>
        <v>3.8</v>
      </c>
      <c r="J132" s="17">
        <f>Data!BX132</f>
        <v>4.9000000000000004</v>
      </c>
      <c r="K132" s="35">
        <f t="shared" si="27"/>
        <v>3.8</v>
      </c>
      <c r="M132" s="27">
        <f t="shared" si="32"/>
        <v>372.53999999999991</v>
      </c>
      <c r="N132" s="27">
        <f t="shared" si="32"/>
        <v>318.27499999999998</v>
      </c>
      <c r="P132" s="24">
        <f t="shared" si="24"/>
        <v>0.38987012987012992</v>
      </c>
      <c r="Q132" s="24">
        <f t="shared" si="20"/>
        <v>0.38987012987012992</v>
      </c>
      <c r="R132" s="21">
        <f t="shared" si="25"/>
        <v>300.20000000000005</v>
      </c>
      <c r="S132" s="27">
        <f t="shared" si="21"/>
        <v>3.8000000000000114</v>
      </c>
      <c r="T132" s="27">
        <f t="shared" si="26"/>
        <v>-1.1546319456101628E-14</v>
      </c>
    </row>
    <row r="133" spans="1:21" x14ac:dyDescent="0.2">
      <c r="A133" s="15">
        <f t="shared" si="22"/>
        <v>36652</v>
      </c>
      <c r="B133" s="1">
        <v>127</v>
      </c>
      <c r="C133" s="17">
        <f>ROUND(Data!BO133,2)</f>
        <v>17.8</v>
      </c>
      <c r="D133" s="3">
        <f>ROUND(Data!R133,1)</f>
        <v>5.0999999999999996</v>
      </c>
      <c r="E133" s="3">
        <f>ROUND(Data!AF133,1)</f>
        <v>-8.6999999999999993</v>
      </c>
      <c r="F133" s="27">
        <f>Data!BT133</f>
        <v>28.2</v>
      </c>
      <c r="G133" s="3">
        <f>Data!Q133</f>
        <v>0</v>
      </c>
      <c r="H133" s="21">
        <f>Data!BF133</f>
        <v>756</v>
      </c>
      <c r="I133" s="14">
        <f t="shared" si="23"/>
        <v>0</v>
      </c>
      <c r="J133" s="17">
        <f>Data!BX133</f>
        <v>0</v>
      </c>
      <c r="K133" s="35">
        <f t="shared" si="27"/>
        <v>0</v>
      </c>
      <c r="M133" s="27">
        <f t="shared" si="32"/>
        <v>372.53999999999991</v>
      </c>
      <c r="N133" s="27">
        <f t="shared" si="32"/>
        <v>318.27499999999998</v>
      </c>
      <c r="P133" s="24">
        <f t="shared" si="24"/>
        <v>0.39708994708994716</v>
      </c>
      <c r="Q133" s="24">
        <f t="shared" si="20"/>
        <v>0.39708994708994716</v>
      </c>
      <c r="R133" s="21">
        <f t="shared" si="25"/>
        <v>300.20000000000005</v>
      </c>
      <c r="S133" s="27">
        <f t="shared" si="21"/>
        <v>0</v>
      </c>
      <c r="T133" s="27">
        <f t="shared" si="26"/>
        <v>0</v>
      </c>
    </row>
    <row r="134" spans="1:21" x14ac:dyDescent="0.2">
      <c r="A134" s="15">
        <f t="shared" si="22"/>
        <v>36653</v>
      </c>
      <c r="B134" s="1">
        <v>128</v>
      </c>
      <c r="C134" s="17">
        <f>ROUND(Data!BO134,2)</f>
        <v>16.8</v>
      </c>
      <c r="D134" s="3">
        <f>ROUND(Data!R134,1)</f>
        <v>4.9000000000000004</v>
      </c>
      <c r="E134" s="3">
        <f>ROUND(Data!AF134,1)</f>
        <v>-9</v>
      </c>
      <c r="F134" s="27">
        <f>Data!BT134</f>
        <v>39.299999999999997</v>
      </c>
      <c r="G134" s="3">
        <f>Data!Q134</f>
        <v>0</v>
      </c>
      <c r="H134" s="21">
        <f>Data!BF134</f>
        <v>759</v>
      </c>
      <c r="I134" s="14">
        <f t="shared" si="23"/>
        <v>0.4</v>
      </c>
      <c r="J134" s="17">
        <f>Data!BX134</f>
        <v>0</v>
      </c>
      <c r="K134" s="35">
        <f t="shared" si="27"/>
        <v>0.4</v>
      </c>
      <c r="M134" s="27">
        <f t="shared" si="32"/>
        <v>372.53999999999991</v>
      </c>
      <c r="N134" s="27">
        <f t="shared" si="32"/>
        <v>318.67499999999995</v>
      </c>
      <c r="P134" s="24">
        <f t="shared" si="24"/>
        <v>0.39604743083003957</v>
      </c>
      <c r="Q134" s="24">
        <f t="shared" si="20"/>
        <v>0.39604743083003957</v>
      </c>
      <c r="R134" s="21">
        <f t="shared" si="25"/>
        <v>300.60000000000002</v>
      </c>
      <c r="S134" s="27">
        <f t="shared" si="21"/>
        <v>0.39999999999997726</v>
      </c>
      <c r="T134" s="27">
        <f t="shared" si="26"/>
        <v>2.2759572004815709E-14</v>
      </c>
    </row>
    <row r="135" spans="1:21" x14ac:dyDescent="0.2">
      <c r="A135" s="15">
        <f t="shared" si="22"/>
        <v>36654</v>
      </c>
      <c r="B135" s="1">
        <v>129</v>
      </c>
      <c r="C135" s="17">
        <f>ROUND(Data!BO135,2)</f>
        <v>14.55</v>
      </c>
      <c r="D135" s="3">
        <f>ROUND(Data!R135,1)</f>
        <v>8.6</v>
      </c>
      <c r="E135" s="3">
        <f>ROUND(Data!AF135,1)</f>
        <v>-7.4</v>
      </c>
      <c r="F135" s="27">
        <f>Data!BT135</f>
        <v>33.299999999999997</v>
      </c>
      <c r="G135" s="3">
        <f>Data!Q135</f>
        <v>0</v>
      </c>
      <c r="H135" s="21">
        <f>Data!BF135</f>
        <v>756</v>
      </c>
      <c r="I135" s="14">
        <f t="shared" si="23"/>
        <v>0</v>
      </c>
      <c r="J135" s="17">
        <f>Data!BX135</f>
        <v>2.2399999999999993</v>
      </c>
      <c r="K135" s="35">
        <f t="shared" si="27"/>
        <v>0</v>
      </c>
      <c r="M135" s="27">
        <f t="shared" si="32"/>
        <v>374.77999999999992</v>
      </c>
      <c r="N135" s="27">
        <f t="shared" si="32"/>
        <v>318.67499999999995</v>
      </c>
      <c r="P135" s="24">
        <f t="shared" si="24"/>
        <v>0.39761904761904765</v>
      </c>
      <c r="Q135" s="24">
        <f t="shared" ref="Q135:Q139" si="33">IF(P135&gt;Q$1,Q$1,P135)</f>
        <v>0.39761904761904765</v>
      </c>
      <c r="R135" s="21">
        <f t="shared" si="25"/>
        <v>300.60000000000002</v>
      </c>
      <c r="S135" s="27">
        <f t="shared" ref="S135:S139" si="34">R135-R134</f>
        <v>0</v>
      </c>
      <c r="T135" s="27">
        <f t="shared" si="26"/>
        <v>0</v>
      </c>
    </row>
    <row r="136" spans="1:21" x14ac:dyDescent="0.2">
      <c r="A136" s="15">
        <f t="shared" ref="A136:A199" si="35">A135+1</f>
        <v>36655</v>
      </c>
      <c r="B136" s="1">
        <v>130</v>
      </c>
      <c r="C136" s="17">
        <f>ROUND(Data!BO136,2)</f>
        <v>14.54</v>
      </c>
      <c r="D136" s="3">
        <f>ROUND(Data!R136,1)</f>
        <v>6.1</v>
      </c>
      <c r="E136" s="3">
        <f>ROUND(Data!AF136,1)</f>
        <v>-2.1</v>
      </c>
      <c r="F136" s="27">
        <f>Data!BT136</f>
        <v>46.3</v>
      </c>
      <c r="G136" s="3">
        <f>Data!Q136</f>
        <v>0</v>
      </c>
      <c r="H136" s="21">
        <f>Data!BF136</f>
        <v>759</v>
      </c>
      <c r="I136" s="14">
        <f t="shared" ref="I136:I199" si="36">IF(H136&gt;H135,ROUND((H136-H135)*I$1,1),0)</f>
        <v>0.4</v>
      </c>
      <c r="J136" s="17">
        <f>Data!BX136</f>
        <v>0</v>
      </c>
      <c r="K136" s="35">
        <f t="shared" si="27"/>
        <v>0.4</v>
      </c>
      <c r="M136" s="27">
        <f t="shared" si="32"/>
        <v>374.77999999999992</v>
      </c>
      <c r="N136" s="27">
        <f t="shared" si="32"/>
        <v>319.07499999999993</v>
      </c>
      <c r="P136" s="24">
        <f t="shared" ref="P136:P139" si="37">(R135+K136)/H136</f>
        <v>0.39657444005270093</v>
      </c>
      <c r="Q136" s="24">
        <f t="shared" si="33"/>
        <v>0.39657444005270093</v>
      </c>
      <c r="R136" s="21">
        <f t="shared" ref="R136:R139" si="38">Q136*H136</f>
        <v>301</v>
      </c>
      <c r="S136" s="27">
        <f t="shared" si="34"/>
        <v>0.39999999999997726</v>
      </c>
      <c r="T136" s="27">
        <f t="shared" ref="T136:T139" si="39">K136-S136</f>
        <v>2.2759572004815709E-14</v>
      </c>
    </row>
    <row r="137" spans="1:21" x14ac:dyDescent="0.2">
      <c r="A137" s="15">
        <f t="shared" si="35"/>
        <v>36656</v>
      </c>
      <c r="B137" s="1">
        <v>131</v>
      </c>
      <c r="C137" s="17">
        <f>ROUND(Data!BO137,2)</f>
        <v>12.56</v>
      </c>
      <c r="D137" s="3">
        <f>ROUND(Data!R137,1)</f>
        <v>3</v>
      </c>
      <c r="E137" s="3">
        <f>ROUND(Data!AF137,1)</f>
        <v>-1.4</v>
      </c>
      <c r="F137" s="27">
        <f>Data!BT137</f>
        <v>66.3</v>
      </c>
      <c r="G137" s="3">
        <f>Data!Q137</f>
        <v>0</v>
      </c>
      <c r="H137" s="21">
        <f>Data!BF137</f>
        <v>752</v>
      </c>
      <c r="I137" s="14">
        <f t="shared" si="36"/>
        <v>0</v>
      </c>
      <c r="J137" s="17">
        <f>Data!BX137</f>
        <v>4.8999999999999995</v>
      </c>
      <c r="K137" s="53">
        <f t="shared" ref="K137:K153" si="40">J137*L$3</f>
        <v>5.1449999999999996</v>
      </c>
      <c r="M137" s="27">
        <f t="shared" ref="M137:N152" si="41">J137+M136</f>
        <v>379.67999999999989</v>
      </c>
      <c r="N137" s="27">
        <f t="shared" si="41"/>
        <v>324.21999999999991</v>
      </c>
      <c r="P137" s="24">
        <f t="shared" si="37"/>
        <v>0.40710771276595742</v>
      </c>
      <c r="Q137" s="24">
        <f t="shared" si="33"/>
        <v>0.4</v>
      </c>
      <c r="R137" s="21">
        <f t="shared" si="38"/>
        <v>300.8</v>
      </c>
      <c r="S137" s="27">
        <f t="shared" si="34"/>
        <v>-0.19999999999998863</v>
      </c>
      <c r="T137" s="27">
        <f t="shared" si="39"/>
        <v>5.3449999999999882</v>
      </c>
    </row>
    <row r="138" spans="1:21" x14ac:dyDescent="0.2">
      <c r="A138" s="15">
        <f t="shared" si="35"/>
        <v>36657</v>
      </c>
      <c r="B138" s="1">
        <v>132</v>
      </c>
      <c r="C138" s="17">
        <f>ROUND(Data!BO138,2)</f>
        <v>9.52</v>
      </c>
      <c r="D138" s="3">
        <f>ROUND(Data!R138,1)</f>
        <v>5</v>
      </c>
      <c r="E138" s="3">
        <f>ROUND(Data!AF138,1)</f>
        <v>-1.8</v>
      </c>
      <c r="F138" s="27">
        <f>Data!BT138</f>
        <v>69</v>
      </c>
      <c r="G138" s="3">
        <f>Data!Q138</f>
        <v>0</v>
      </c>
      <c r="H138" s="21">
        <f>Data!BF138</f>
        <v>764</v>
      </c>
      <c r="I138" s="14">
        <f t="shared" si="36"/>
        <v>1.6</v>
      </c>
      <c r="J138" s="17">
        <f>Data!BX138</f>
        <v>0.27999999999999986</v>
      </c>
      <c r="K138" s="35">
        <f t="shared" si="27"/>
        <v>1.6</v>
      </c>
      <c r="M138" s="27">
        <f t="shared" si="41"/>
        <v>379.95999999999987</v>
      </c>
      <c r="N138" s="27">
        <f t="shared" si="41"/>
        <v>325.81999999999994</v>
      </c>
      <c r="P138" s="24">
        <f t="shared" si="37"/>
        <v>0.39581151832460737</v>
      </c>
      <c r="Q138" s="24">
        <f t="shared" si="33"/>
        <v>0.39581151832460737</v>
      </c>
      <c r="R138" s="21">
        <f t="shared" si="38"/>
        <v>302.40000000000003</v>
      </c>
      <c r="S138" s="27">
        <f t="shared" si="34"/>
        <v>1.6000000000000227</v>
      </c>
      <c r="T138" s="27">
        <f t="shared" si="39"/>
        <v>-2.2648549702353193E-14</v>
      </c>
    </row>
    <row r="139" spans="1:21" x14ac:dyDescent="0.2">
      <c r="A139" s="15">
        <f t="shared" si="35"/>
        <v>36658</v>
      </c>
      <c r="B139" s="1">
        <v>133</v>
      </c>
      <c r="C139" s="17">
        <f>ROUND(Data!BO139,2)</f>
        <v>14.58</v>
      </c>
      <c r="D139" s="3">
        <f>ROUND(Data!R139,1)</f>
        <v>6.1</v>
      </c>
      <c r="E139" s="3">
        <f>ROUND(Data!AF139,1)</f>
        <v>-2.2000000000000002</v>
      </c>
      <c r="F139" s="27">
        <f>Data!BT139</f>
        <v>62.5</v>
      </c>
      <c r="G139" s="3">
        <f>Data!Q139</f>
        <v>0</v>
      </c>
      <c r="H139" s="21">
        <f>Data!BF139</f>
        <v>748</v>
      </c>
      <c r="I139" s="14">
        <f t="shared" si="36"/>
        <v>0</v>
      </c>
      <c r="J139" s="17">
        <f>Data!BX139</f>
        <v>0</v>
      </c>
      <c r="K139" s="53">
        <f t="shared" si="40"/>
        <v>0</v>
      </c>
      <c r="M139" s="27">
        <f t="shared" si="41"/>
        <v>379.95999999999987</v>
      </c>
      <c r="N139" s="27">
        <f t="shared" si="41"/>
        <v>325.81999999999994</v>
      </c>
      <c r="P139" s="24">
        <f t="shared" si="37"/>
        <v>0.40427807486631023</v>
      </c>
      <c r="Q139" s="24">
        <f t="shared" si="33"/>
        <v>0.4</v>
      </c>
      <c r="R139" s="21">
        <f t="shared" si="38"/>
        <v>299.2</v>
      </c>
      <c r="S139" s="27">
        <f t="shared" si="34"/>
        <v>-3.2000000000000455</v>
      </c>
      <c r="T139" s="27">
        <f t="shared" si="39"/>
        <v>3.2000000000000455</v>
      </c>
    </row>
    <row r="140" spans="1:21" x14ac:dyDescent="0.2">
      <c r="A140" s="15">
        <f t="shared" si="35"/>
        <v>36659</v>
      </c>
      <c r="B140" s="1">
        <v>134</v>
      </c>
      <c r="C140" s="17">
        <f>ROUND(Data!BO140,2)</f>
        <v>16.77</v>
      </c>
      <c r="D140" s="3">
        <f>ROUND(Data!R140,1)</f>
        <v>8.5</v>
      </c>
      <c r="E140" s="3">
        <f>ROUND(Data!AF140,1)</f>
        <v>-1.7</v>
      </c>
      <c r="F140" s="27">
        <f>Data!BT140</f>
        <v>48.1</v>
      </c>
      <c r="G140" s="3">
        <f>Data!Q140</f>
        <v>0</v>
      </c>
      <c r="H140" s="21">
        <f>Data!BF140</f>
        <v>720</v>
      </c>
      <c r="I140" s="14">
        <f t="shared" si="36"/>
        <v>0</v>
      </c>
      <c r="J140" s="17">
        <f>Data!BX140</f>
        <v>0</v>
      </c>
      <c r="K140" s="53">
        <f t="shared" si="40"/>
        <v>0</v>
      </c>
      <c r="M140" s="27">
        <f t="shared" si="41"/>
        <v>379.95999999999987</v>
      </c>
      <c r="N140" s="27">
        <f t="shared" si="41"/>
        <v>325.81999999999994</v>
      </c>
      <c r="P140" s="24">
        <f t="shared" ref="P140:P157" si="42">(R139+K140)/H140</f>
        <v>0.41555555555555557</v>
      </c>
      <c r="Q140" s="24">
        <f t="shared" ref="Q140:Q157" si="43">IF(P140&gt;Q$1,Q$1,P140)</f>
        <v>0.4</v>
      </c>
      <c r="R140" s="21">
        <f t="shared" ref="R140:R157" si="44">Q140*H140</f>
        <v>288</v>
      </c>
      <c r="S140" s="27">
        <f t="shared" ref="S140:S157" si="45">R140-R139</f>
        <v>-11.199999999999989</v>
      </c>
      <c r="T140" s="27">
        <f t="shared" ref="T140:T157" si="46">K140-S140</f>
        <v>11.199999999999989</v>
      </c>
    </row>
    <row r="141" spans="1:21" x14ac:dyDescent="0.2">
      <c r="A141" s="15">
        <f t="shared" si="35"/>
        <v>36660</v>
      </c>
      <c r="B141" s="1">
        <v>135</v>
      </c>
      <c r="C141" s="17">
        <f>ROUND(Data!BO141,2)</f>
        <v>15.12</v>
      </c>
      <c r="D141" s="3">
        <f>ROUND(Data!R141,1)</f>
        <v>10.5</v>
      </c>
      <c r="E141" s="3">
        <f>ROUND(Data!AF141,1)</f>
        <v>-3.2</v>
      </c>
      <c r="F141" s="27">
        <f>Data!BT141</f>
        <v>30</v>
      </c>
      <c r="G141" s="3">
        <f>Data!Q141</f>
        <v>0</v>
      </c>
      <c r="H141" s="21">
        <f>Data!BF141</f>
        <v>688</v>
      </c>
      <c r="I141" s="14">
        <f t="shared" si="36"/>
        <v>0</v>
      </c>
      <c r="J141" s="17">
        <f>Data!BX141</f>
        <v>0</v>
      </c>
      <c r="K141" s="53">
        <f t="shared" si="40"/>
        <v>0</v>
      </c>
      <c r="M141" s="27">
        <f t="shared" si="41"/>
        <v>379.95999999999987</v>
      </c>
      <c r="N141" s="27">
        <f t="shared" si="41"/>
        <v>325.81999999999994</v>
      </c>
      <c r="P141" s="24">
        <f t="shared" si="42"/>
        <v>0.41860465116279072</v>
      </c>
      <c r="Q141" s="24">
        <f t="shared" si="43"/>
        <v>0.4</v>
      </c>
      <c r="R141" s="21">
        <f t="shared" si="44"/>
        <v>275.2</v>
      </c>
      <c r="S141" s="27">
        <f t="shared" si="45"/>
        <v>-12.800000000000011</v>
      </c>
      <c r="T141" s="27">
        <f t="shared" si="46"/>
        <v>12.800000000000011</v>
      </c>
      <c r="U141" s="40"/>
    </row>
    <row r="142" spans="1:21" x14ac:dyDescent="0.2">
      <c r="A142" s="15">
        <f t="shared" si="35"/>
        <v>36661</v>
      </c>
      <c r="B142" s="1">
        <v>136</v>
      </c>
      <c r="C142" s="17">
        <f>ROUND(Data!BO142,2)</f>
        <v>18.89</v>
      </c>
      <c r="D142" s="3">
        <f>ROUND(Data!R142,1)</f>
        <v>14.4</v>
      </c>
      <c r="E142" s="3">
        <f>ROUND(Data!AF142,1)</f>
        <v>-0.8</v>
      </c>
      <c r="F142" s="27">
        <f>Data!BT142</f>
        <v>30</v>
      </c>
      <c r="G142" s="3">
        <f>Data!Q142</f>
        <v>0</v>
      </c>
      <c r="H142" s="21">
        <f>Data!BF142</f>
        <v>636</v>
      </c>
      <c r="I142" s="14">
        <f t="shared" si="36"/>
        <v>0</v>
      </c>
      <c r="J142" s="17">
        <f>Data!BX142</f>
        <v>0</v>
      </c>
      <c r="K142" s="53">
        <f t="shared" si="40"/>
        <v>0</v>
      </c>
      <c r="M142" s="27">
        <f t="shared" si="41"/>
        <v>379.95999999999987</v>
      </c>
      <c r="N142" s="27">
        <f t="shared" si="41"/>
        <v>325.81999999999994</v>
      </c>
      <c r="P142" s="24">
        <f t="shared" si="42"/>
        <v>0.43270440251572323</v>
      </c>
      <c r="Q142" s="24">
        <f t="shared" si="43"/>
        <v>0.4</v>
      </c>
      <c r="R142" s="21">
        <f t="shared" si="44"/>
        <v>254.4</v>
      </c>
      <c r="S142" s="27">
        <f t="shared" si="45"/>
        <v>-20.799999999999983</v>
      </c>
      <c r="T142" s="27">
        <f t="shared" si="46"/>
        <v>20.799999999999983</v>
      </c>
      <c r="U142" s="40"/>
    </row>
    <row r="143" spans="1:21" x14ac:dyDescent="0.2">
      <c r="A143" s="15">
        <f t="shared" si="35"/>
        <v>36662</v>
      </c>
      <c r="B143" s="1">
        <v>137</v>
      </c>
      <c r="C143" s="17">
        <f>ROUND(Data!BO143,2)</f>
        <v>19.18</v>
      </c>
      <c r="D143" s="3">
        <f>ROUND(Data!R143,1)</f>
        <v>15.9</v>
      </c>
      <c r="E143" s="3">
        <f>ROUND(Data!AF143,1)</f>
        <v>-0.7</v>
      </c>
      <c r="F143" s="27">
        <f>Data!BT143</f>
        <v>28.1</v>
      </c>
      <c r="G143" s="3">
        <f>Data!Q143</f>
        <v>0</v>
      </c>
      <c r="H143" s="21">
        <f>Data!BF143</f>
        <v>597</v>
      </c>
      <c r="I143" s="14">
        <f t="shared" si="36"/>
        <v>0</v>
      </c>
      <c r="J143" s="17">
        <f>Data!BX143</f>
        <v>0</v>
      </c>
      <c r="K143" s="53">
        <f t="shared" si="40"/>
        <v>0</v>
      </c>
      <c r="M143" s="27">
        <f t="shared" si="41"/>
        <v>379.95999999999987</v>
      </c>
      <c r="N143" s="27">
        <f t="shared" si="41"/>
        <v>325.81999999999994</v>
      </c>
      <c r="P143" s="24">
        <f t="shared" si="42"/>
        <v>0.42613065326633165</v>
      </c>
      <c r="Q143" s="24">
        <f t="shared" si="43"/>
        <v>0.4</v>
      </c>
      <c r="R143" s="21">
        <f t="shared" si="44"/>
        <v>238.8</v>
      </c>
      <c r="S143" s="27">
        <f t="shared" si="45"/>
        <v>-15.599999999999994</v>
      </c>
      <c r="T143" s="27">
        <f t="shared" si="46"/>
        <v>15.599999999999994</v>
      </c>
      <c r="U143" s="40"/>
    </row>
    <row r="144" spans="1:21" x14ac:dyDescent="0.2">
      <c r="A144" s="15">
        <f t="shared" si="35"/>
        <v>36663</v>
      </c>
      <c r="B144" s="1">
        <v>138</v>
      </c>
      <c r="C144" s="17">
        <f>ROUND(Data!BO144,2)</f>
        <v>22.89</v>
      </c>
      <c r="D144" s="3">
        <f>ROUND(Data!R144,1)</f>
        <v>12.2</v>
      </c>
      <c r="E144" s="3">
        <f>ROUND(Data!AF144,1)</f>
        <v>-1.1000000000000001</v>
      </c>
      <c r="F144" s="27">
        <f>Data!BT144</f>
        <v>39.4</v>
      </c>
      <c r="G144" s="3">
        <f>Data!Q144</f>
        <v>0</v>
      </c>
      <c r="H144" s="21">
        <f>Data!BF144</f>
        <v>546</v>
      </c>
      <c r="I144" s="14">
        <f t="shared" si="36"/>
        <v>0</v>
      </c>
      <c r="J144" s="17">
        <f>Data!BX144</f>
        <v>0</v>
      </c>
      <c r="K144" s="53">
        <f t="shared" si="40"/>
        <v>0</v>
      </c>
      <c r="M144" s="27">
        <f t="shared" si="41"/>
        <v>379.95999999999987</v>
      </c>
      <c r="N144" s="27">
        <f t="shared" si="41"/>
        <v>325.81999999999994</v>
      </c>
      <c r="P144" s="24">
        <f t="shared" si="42"/>
        <v>0.43736263736263736</v>
      </c>
      <c r="Q144" s="24">
        <f t="shared" si="43"/>
        <v>0.4</v>
      </c>
      <c r="R144" s="21">
        <f t="shared" si="44"/>
        <v>218.4</v>
      </c>
      <c r="S144" s="27">
        <f t="shared" si="45"/>
        <v>-20.400000000000006</v>
      </c>
      <c r="T144" s="27">
        <f t="shared" si="46"/>
        <v>20.400000000000006</v>
      </c>
      <c r="U144" s="40"/>
    </row>
    <row r="145" spans="1:21" x14ac:dyDescent="0.2">
      <c r="A145" s="15">
        <f t="shared" si="35"/>
        <v>36664</v>
      </c>
      <c r="B145" s="1">
        <v>139</v>
      </c>
      <c r="C145" s="17">
        <f>ROUND(Data!BO145,2)</f>
        <v>21.61</v>
      </c>
      <c r="D145" s="3">
        <f>ROUND(Data!R145,1)</f>
        <v>12.1</v>
      </c>
      <c r="E145" s="3">
        <f>ROUND(Data!AF145,1)</f>
        <v>-1.7</v>
      </c>
      <c r="F145" s="27">
        <f>Data!BT145</f>
        <v>32.700000000000003</v>
      </c>
      <c r="G145" s="3">
        <f>Data!Q145</f>
        <v>0</v>
      </c>
      <c r="H145" s="21">
        <f>Data!BF145</f>
        <v>495</v>
      </c>
      <c r="I145" s="14">
        <f t="shared" si="36"/>
        <v>0</v>
      </c>
      <c r="J145" s="17">
        <f>Data!BX145</f>
        <v>0</v>
      </c>
      <c r="K145" s="53">
        <f t="shared" si="40"/>
        <v>0</v>
      </c>
      <c r="M145" s="27">
        <f t="shared" si="41"/>
        <v>379.95999999999987</v>
      </c>
      <c r="N145" s="27">
        <f t="shared" si="41"/>
        <v>325.81999999999994</v>
      </c>
      <c r="P145" s="24">
        <f t="shared" si="42"/>
        <v>0.44121212121212122</v>
      </c>
      <c r="Q145" s="24">
        <f t="shared" si="43"/>
        <v>0.4</v>
      </c>
      <c r="R145" s="21">
        <f t="shared" si="44"/>
        <v>198</v>
      </c>
      <c r="S145" s="27">
        <f t="shared" si="45"/>
        <v>-20.400000000000006</v>
      </c>
      <c r="T145" s="27">
        <f t="shared" si="46"/>
        <v>20.400000000000006</v>
      </c>
      <c r="U145" s="40"/>
    </row>
    <row r="146" spans="1:21" x14ac:dyDescent="0.2">
      <c r="A146" s="15">
        <f t="shared" si="35"/>
        <v>36665</v>
      </c>
      <c r="B146" s="1">
        <v>140</v>
      </c>
      <c r="C146" s="17">
        <f>ROUND(Data!BO146,2)</f>
        <v>15.8</v>
      </c>
      <c r="D146" s="3">
        <f>ROUND(Data!R146,1)</f>
        <v>10.3</v>
      </c>
      <c r="E146" s="3">
        <f>ROUND(Data!AF146,1)</f>
        <v>0.4</v>
      </c>
      <c r="F146" s="27">
        <f>Data!BT146</f>
        <v>58.2</v>
      </c>
      <c r="G146" s="3">
        <f>Data!Q146</f>
        <v>0</v>
      </c>
      <c r="H146" s="21">
        <f>Data!BF146</f>
        <v>441</v>
      </c>
      <c r="I146" s="14">
        <f t="shared" si="36"/>
        <v>0</v>
      </c>
      <c r="J146" s="17">
        <f>Data!BX146</f>
        <v>6.3</v>
      </c>
      <c r="K146" s="53">
        <f t="shared" si="40"/>
        <v>6.6150000000000002</v>
      </c>
      <c r="M146" s="27">
        <f t="shared" si="41"/>
        <v>386.25999999999988</v>
      </c>
      <c r="N146" s="27">
        <f t="shared" si="41"/>
        <v>332.43499999999995</v>
      </c>
      <c r="P146" s="24">
        <f t="shared" si="42"/>
        <v>0.46397959183673471</v>
      </c>
      <c r="Q146" s="24">
        <f t="shared" si="43"/>
        <v>0.4</v>
      </c>
      <c r="R146" s="21">
        <f t="shared" si="44"/>
        <v>176.4</v>
      </c>
      <c r="S146" s="27">
        <f t="shared" si="45"/>
        <v>-21.599999999999994</v>
      </c>
      <c r="T146" s="27">
        <f t="shared" si="46"/>
        <v>28.214999999999996</v>
      </c>
      <c r="U146" s="40"/>
    </row>
    <row r="147" spans="1:21" x14ac:dyDescent="0.2">
      <c r="A147" s="15">
        <f t="shared" si="35"/>
        <v>36666</v>
      </c>
      <c r="B147" s="1">
        <v>141</v>
      </c>
      <c r="C147" s="17">
        <f>ROUND(Data!BO147,2)</f>
        <v>13.05</v>
      </c>
      <c r="D147" s="3">
        <f>ROUND(Data!R147,1)</f>
        <v>9.6</v>
      </c>
      <c r="E147" s="3">
        <f>ROUND(Data!AF147,1)</f>
        <v>-1</v>
      </c>
      <c r="F147" s="27">
        <f>Data!BT147</f>
        <v>51.4</v>
      </c>
      <c r="G147" s="3">
        <f>Data!Q147</f>
        <v>0</v>
      </c>
      <c r="H147" s="21">
        <f>Data!BF147</f>
        <v>387</v>
      </c>
      <c r="I147" s="14">
        <f t="shared" si="36"/>
        <v>0</v>
      </c>
      <c r="J147" s="17">
        <f>Data!BX147</f>
        <v>0</v>
      </c>
      <c r="K147" s="53">
        <f t="shared" si="40"/>
        <v>0</v>
      </c>
      <c r="M147" s="27">
        <f t="shared" si="41"/>
        <v>386.25999999999988</v>
      </c>
      <c r="N147" s="27">
        <f t="shared" si="41"/>
        <v>332.43499999999995</v>
      </c>
      <c r="P147" s="24">
        <f t="shared" si="42"/>
        <v>0.45581395348837211</v>
      </c>
      <c r="Q147" s="24">
        <f t="shared" si="43"/>
        <v>0.4</v>
      </c>
      <c r="R147" s="21">
        <f t="shared" si="44"/>
        <v>154.80000000000001</v>
      </c>
      <c r="S147" s="27">
        <f t="shared" si="45"/>
        <v>-21.599999999999994</v>
      </c>
      <c r="T147" s="27">
        <f t="shared" si="46"/>
        <v>21.599999999999994</v>
      </c>
      <c r="U147" s="40"/>
    </row>
    <row r="148" spans="1:21" x14ac:dyDescent="0.2">
      <c r="A148" s="15">
        <f t="shared" si="35"/>
        <v>36667</v>
      </c>
      <c r="B148" s="1">
        <v>142</v>
      </c>
      <c r="C148" s="17">
        <f>ROUND(Data!BO148,2)</f>
        <v>7.65</v>
      </c>
      <c r="D148" s="3">
        <f>ROUND(Data!R148,1)</f>
        <v>11.1</v>
      </c>
      <c r="E148" s="3">
        <f>ROUND(Data!AF148,1)</f>
        <v>3.5</v>
      </c>
      <c r="F148" s="27">
        <f>Data!BT148</f>
        <v>58.9</v>
      </c>
      <c r="G148" s="3">
        <f>Data!Q148</f>
        <v>0</v>
      </c>
      <c r="H148" s="21">
        <f>Data!BF148</f>
        <v>338</v>
      </c>
      <c r="I148" s="14">
        <f t="shared" si="36"/>
        <v>0</v>
      </c>
      <c r="J148" s="17">
        <f>Data!BX148</f>
        <v>17.639999999999997</v>
      </c>
      <c r="K148" s="53">
        <f t="shared" si="40"/>
        <v>18.521999999999998</v>
      </c>
      <c r="M148" s="27">
        <f t="shared" si="41"/>
        <v>403.89999999999986</v>
      </c>
      <c r="N148" s="27">
        <f t="shared" si="41"/>
        <v>350.95699999999994</v>
      </c>
      <c r="P148" s="24">
        <f t="shared" si="42"/>
        <v>0.51278698224852071</v>
      </c>
      <c r="Q148" s="24">
        <f t="shared" si="43"/>
        <v>0.4</v>
      </c>
      <c r="R148" s="21">
        <f t="shared" si="44"/>
        <v>135.20000000000002</v>
      </c>
      <c r="S148" s="27">
        <f t="shared" si="45"/>
        <v>-19.599999999999994</v>
      </c>
      <c r="T148" s="27">
        <f t="shared" si="46"/>
        <v>38.121999999999993</v>
      </c>
      <c r="U148" s="40"/>
    </row>
    <row r="149" spans="1:21" x14ac:dyDescent="0.2">
      <c r="A149" s="15">
        <f t="shared" si="35"/>
        <v>36668</v>
      </c>
      <c r="B149" s="1">
        <v>143</v>
      </c>
      <c r="C149" s="17">
        <f>ROUND(Data!BO149,2)</f>
        <v>17.350000000000001</v>
      </c>
      <c r="D149" s="3">
        <f>ROUND(Data!R149,1)</f>
        <v>8.6999999999999993</v>
      </c>
      <c r="E149" s="3">
        <f>ROUND(Data!AF149,1)</f>
        <v>-0.7</v>
      </c>
      <c r="F149" s="27">
        <f>Data!BT149</f>
        <v>43.2</v>
      </c>
      <c r="G149" s="3">
        <f>Data!Q149</f>
        <v>0</v>
      </c>
      <c r="H149" s="21">
        <f>Data!BF149</f>
        <v>293</v>
      </c>
      <c r="I149" s="14">
        <f t="shared" si="36"/>
        <v>0</v>
      </c>
      <c r="J149" s="17">
        <f>Data!BX149</f>
        <v>0</v>
      </c>
      <c r="K149" s="53">
        <f t="shared" si="40"/>
        <v>0</v>
      </c>
      <c r="M149" s="27">
        <f t="shared" si="41"/>
        <v>403.89999999999986</v>
      </c>
      <c r="N149" s="27">
        <f t="shared" si="41"/>
        <v>350.95699999999994</v>
      </c>
      <c r="P149" s="24">
        <f t="shared" si="42"/>
        <v>0.46143344709897616</v>
      </c>
      <c r="Q149" s="24">
        <f t="shared" si="43"/>
        <v>0.4</v>
      </c>
      <c r="R149" s="21">
        <f t="shared" si="44"/>
        <v>117.2</v>
      </c>
      <c r="S149" s="27">
        <f t="shared" si="45"/>
        <v>-18.000000000000014</v>
      </c>
      <c r="T149" s="27">
        <f t="shared" si="46"/>
        <v>18.000000000000014</v>
      </c>
      <c r="U149" s="40"/>
    </row>
    <row r="150" spans="1:21" x14ac:dyDescent="0.2">
      <c r="A150" s="15">
        <f t="shared" si="35"/>
        <v>36669</v>
      </c>
      <c r="B150" s="1">
        <v>144</v>
      </c>
      <c r="C150" s="17">
        <f>ROUND(Data!BO150,2)</f>
        <v>29.49</v>
      </c>
      <c r="D150" s="3">
        <f>ROUND(Data!R150,1)</f>
        <v>8.5</v>
      </c>
      <c r="E150" s="3">
        <f>ROUND(Data!AF150,1)</f>
        <v>-2.5</v>
      </c>
      <c r="F150" s="27">
        <f>Data!BT150</f>
        <v>23.4</v>
      </c>
      <c r="G150" s="3">
        <f>Data!Q150</f>
        <v>0</v>
      </c>
      <c r="H150" s="21">
        <f>Data!BF150</f>
        <v>229</v>
      </c>
      <c r="I150" s="14">
        <f t="shared" si="36"/>
        <v>0</v>
      </c>
      <c r="J150" s="17">
        <f>Data!BX150</f>
        <v>0</v>
      </c>
      <c r="K150" s="53">
        <f t="shared" si="40"/>
        <v>0</v>
      </c>
      <c r="M150" s="27">
        <f t="shared" si="41"/>
        <v>403.89999999999986</v>
      </c>
      <c r="N150" s="27">
        <f t="shared" si="41"/>
        <v>350.95699999999994</v>
      </c>
      <c r="P150" s="24">
        <f t="shared" si="42"/>
        <v>0.51179039301310048</v>
      </c>
      <c r="Q150" s="24">
        <f t="shared" si="43"/>
        <v>0.4</v>
      </c>
      <c r="R150" s="21">
        <f t="shared" si="44"/>
        <v>91.600000000000009</v>
      </c>
      <c r="S150" s="27">
        <f t="shared" si="45"/>
        <v>-25.599999999999994</v>
      </c>
      <c r="T150" s="27">
        <f t="shared" si="46"/>
        <v>25.599999999999994</v>
      </c>
      <c r="U150" s="40"/>
    </row>
    <row r="151" spans="1:21" x14ac:dyDescent="0.2">
      <c r="A151" s="15">
        <f t="shared" si="35"/>
        <v>36670</v>
      </c>
      <c r="B151" s="1">
        <v>145</v>
      </c>
      <c r="C151" s="17">
        <f>ROUND(Data!BO151,2)</f>
        <v>26.99</v>
      </c>
      <c r="D151" s="3">
        <f>ROUND(Data!R151,1)</f>
        <v>9.5</v>
      </c>
      <c r="E151" s="3">
        <f>ROUND(Data!AF151,1)</f>
        <v>-4.0999999999999996</v>
      </c>
      <c r="F151" s="27">
        <f>Data!BT151</f>
        <v>24.5</v>
      </c>
      <c r="G151" s="3">
        <f>Data!Q151</f>
        <v>0</v>
      </c>
      <c r="H151" s="21">
        <f>Data!BF151</f>
        <v>177</v>
      </c>
      <c r="I151" s="14">
        <f t="shared" si="36"/>
        <v>0</v>
      </c>
      <c r="J151" s="17">
        <f>Data!BX151</f>
        <v>0</v>
      </c>
      <c r="K151" s="42">
        <f t="shared" si="40"/>
        <v>0</v>
      </c>
      <c r="M151" s="27">
        <f t="shared" si="41"/>
        <v>403.89999999999986</v>
      </c>
      <c r="N151" s="27">
        <f t="shared" si="41"/>
        <v>350.95699999999994</v>
      </c>
      <c r="P151" s="24">
        <f t="shared" si="42"/>
        <v>0.5175141242937854</v>
      </c>
      <c r="Q151" s="24">
        <f t="shared" si="43"/>
        <v>0.4</v>
      </c>
      <c r="R151" s="21">
        <f t="shared" si="44"/>
        <v>70.8</v>
      </c>
      <c r="S151" s="27">
        <f t="shared" si="45"/>
        <v>-20.800000000000011</v>
      </c>
      <c r="T151" s="27">
        <f t="shared" si="46"/>
        <v>20.800000000000011</v>
      </c>
      <c r="U151" s="40"/>
    </row>
    <row r="152" spans="1:21" x14ac:dyDescent="0.2">
      <c r="A152" s="15">
        <f t="shared" si="35"/>
        <v>36671</v>
      </c>
      <c r="B152" s="1">
        <v>146</v>
      </c>
      <c r="C152" s="17">
        <f>ROUND(Data!BO152,2)</f>
        <v>26.6</v>
      </c>
      <c r="D152" s="3">
        <f>ROUND(Data!R152,1)</f>
        <v>11.3</v>
      </c>
      <c r="E152" s="3">
        <f>ROUND(Data!AF152,1)</f>
        <v>-3</v>
      </c>
      <c r="F152" s="27">
        <f>Data!BT152</f>
        <v>17</v>
      </c>
      <c r="G152" s="3">
        <f>Data!Q152</f>
        <v>0</v>
      </c>
      <c r="H152" s="21">
        <f>Data!BF152</f>
        <v>166</v>
      </c>
      <c r="I152" s="14">
        <f t="shared" si="36"/>
        <v>0</v>
      </c>
      <c r="J152" s="17">
        <f>Data!BX152</f>
        <v>0</v>
      </c>
      <c r="K152" s="42">
        <f t="shared" si="40"/>
        <v>0</v>
      </c>
      <c r="M152" s="27">
        <f t="shared" si="41"/>
        <v>403.89999999999986</v>
      </c>
      <c r="N152" s="27">
        <f t="shared" si="41"/>
        <v>350.95699999999994</v>
      </c>
      <c r="P152" s="24">
        <f t="shared" si="42"/>
        <v>0.42650602409638555</v>
      </c>
      <c r="Q152" s="24">
        <f t="shared" si="43"/>
        <v>0.4</v>
      </c>
      <c r="R152" s="21">
        <f t="shared" si="44"/>
        <v>66.400000000000006</v>
      </c>
      <c r="S152" s="27">
        <f t="shared" si="45"/>
        <v>-4.3999999999999915</v>
      </c>
      <c r="T152" s="27">
        <f t="shared" si="46"/>
        <v>4.3999999999999915</v>
      </c>
      <c r="U152" s="40"/>
    </row>
    <row r="153" spans="1:21" x14ac:dyDescent="0.2">
      <c r="A153" s="15">
        <f t="shared" si="35"/>
        <v>36672</v>
      </c>
      <c r="B153" s="1">
        <v>147</v>
      </c>
      <c r="C153" s="17">
        <f>ROUND(Data!BO153,2)</f>
        <v>10.86</v>
      </c>
      <c r="D153" s="3">
        <f>ROUND(Data!R153,1)</f>
        <v>8.1999999999999993</v>
      </c>
      <c r="E153" s="3">
        <f>ROUND(Data!AF153,1)</f>
        <v>-2.7</v>
      </c>
      <c r="F153" s="27">
        <f>Data!BT153</f>
        <v>35.4</v>
      </c>
      <c r="G153" s="3">
        <f>Data!Q153</f>
        <v>0</v>
      </c>
      <c r="H153" s="21">
        <f>Data!BF153</f>
        <v>146</v>
      </c>
      <c r="I153" s="14">
        <f t="shared" si="36"/>
        <v>0</v>
      </c>
      <c r="J153" s="17">
        <f>Data!BX153</f>
        <v>0</v>
      </c>
      <c r="K153" s="42">
        <f t="shared" si="40"/>
        <v>0</v>
      </c>
      <c r="M153" s="27">
        <f t="shared" ref="M153:N168" si="47">J153+M152</f>
        <v>403.89999999999986</v>
      </c>
      <c r="N153" s="27">
        <f t="shared" si="47"/>
        <v>350.95699999999994</v>
      </c>
      <c r="P153" s="24">
        <f t="shared" si="42"/>
        <v>0.45479452054794522</v>
      </c>
      <c r="Q153" s="24">
        <f t="shared" si="43"/>
        <v>0.4</v>
      </c>
      <c r="R153" s="21">
        <f t="shared" si="44"/>
        <v>58.400000000000006</v>
      </c>
      <c r="S153" s="27">
        <f t="shared" si="45"/>
        <v>-8</v>
      </c>
      <c r="T153" s="27">
        <f t="shared" si="46"/>
        <v>8</v>
      </c>
      <c r="U153" s="40"/>
    </row>
    <row r="154" spans="1:21" x14ac:dyDescent="0.2">
      <c r="A154" s="15">
        <f t="shared" si="35"/>
        <v>36673</v>
      </c>
      <c r="B154" s="1">
        <v>148</v>
      </c>
      <c r="C154" s="17">
        <f>ROUND(Data!BO154,2)</f>
        <v>10.36</v>
      </c>
      <c r="D154" s="3">
        <f>ROUND(Data!R154,1)</f>
        <v>8.6</v>
      </c>
      <c r="E154" s="3">
        <f>ROUND(Data!AF154,1)</f>
        <v>0</v>
      </c>
      <c r="F154" s="27">
        <f>Data!BT154</f>
        <v>62.6</v>
      </c>
      <c r="G154" s="3">
        <f>Data!Q154</f>
        <v>0</v>
      </c>
      <c r="H154" s="21">
        <f>Data!BF154</f>
        <v>117</v>
      </c>
      <c r="I154" s="14">
        <f t="shared" si="36"/>
        <v>0</v>
      </c>
      <c r="J154" s="17">
        <f>Data!BX154</f>
        <v>6.8</v>
      </c>
      <c r="K154" s="42">
        <f t="shared" ref="K154:K157" si="48">J154*L$3</f>
        <v>7.14</v>
      </c>
      <c r="M154" s="27">
        <f t="shared" si="47"/>
        <v>410.69999999999987</v>
      </c>
      <c r="N154" s="27">
        <f t="shared" si="47"/>
        <v>358.09699999999992</v>
      </c>
      <c r="P154" s="24">
        <f t="shared" si="42"/>
        <v>0.56017094017094027</v>
      </c>
      <c r="Q154" s="24">
        <f t="shared" si="43"/>
        <v>0.4</v>
      </c>
      <c r="R154" s="21">
        <f t="shared" si="44"/>
        <v>46.800000000000004</v>
      </c>
      <c r="S154" s="27">
        <f t="shared" si="45"/>
        <v>-11.600000000000001</v>
      </c>
      <c r="T154" s="27">
        <f t="shared" si="46"/>
        <v>18.740000000000002</v>
      </c>
      <c r="U154" s="40"/>
    </row>
    <row r="155" spans="1:21" x14ac:dyDescent="0.2">
      <c r="A155" s="15">
        <f t="shared" si="35"/>
        <v>36674</v>
      </c>
      <c r="B155" s="1">
        <v>149</v>
      </c>
      <c r="C155" s="17">
        <f>ROUND(Data!BO155,2)</f>
        <v>19.07</v>
      </c>
      <c r="D155" s="3">
        <f>ROUND(Data!R155,1)</f>
        <v>8.1</v>
      </c>
      <c r="E155" s="3">
        <f>ROUND(Data!AF155,1)</f>
        <v>-0.2</v>
      </c>
      <c r="F155" s="27">
        <f>Data!BT155</f>
        <v>46.4</v>
      </c>
      <c r="G155" s="3">
        <f>Data!Q155</f>
        <v>0</v>
      </c>
      <c r="H155" s="21">
        <f>Data!BF155</f>
        <v>83</v>
      </c>
      <c r="I155" s="14">
        <f t="shared" si="36"/>
        <v>0</v>
      </c>
      <c r="J155" s="17">
        <f>Data!BX155</f>
        <v>8.5</v>
      </c>
      <c r="K155" s="42">
        <f t="shared" si="48"/>
        <v>8.9250000000000007</v>
      </c>
      <c r="M155" s="27">
        <f t="shared" si="47"/>
        <v>419.19999999999987</v>
      </c>
      <c r="N155" s="27">
        <f t="shared" si="47"/>
        <v>367.02199999999993</v>
      </c>
      <c r="P155" s="24">
        <f t="shared" si="42"/>
        <v>0.67138554216867485</v>
      </c>
      <c r="Q155" s="24">
        <f t="shared" si="43"/>
        <v>0.4</v>
      </c>
      <c r="R155" s="21">
        <f t="shared" si="44"/>
        <v>33.200000000000003</v>
      </c>
      <c r="S155" s="27">
        <f t="shared" si="45"/>
        <v>-13.600000000000001</v>
      </c>
      <c r="T155" s="27">
        <f t="shared" si="46"/>
        <v>22.525000000000002</v>
      </c>
      <c r="U155" s="40"/>
    </row>
    <row r="156" spans="1:21" x14ac:dyDescent="0.2">
      <c r="A156" s="15">
        <f t="shared" si="35"/>
        <v>36675</v>
      </c>
      <c r="B156" s="1">
        <v>150</v>
      </c>
      <c r="C156" s="17">
        <f>ROUND(Data!BO156,2)</f>
        <v>13.62</v>
      </c>
      <c r="D156" s="3">
        <f>ROUND(Data!R156,1)</f>
        <v>8.4</v>
      </c>
      <c r="E156" s="3">
        <f>ROUND(Data!AF156,1)</f>
        <v>-2</v>
      </c>
      <c r="F156" s="27">
        <f>Data!BT156</f>
        <v>58.8</v>
      </c>
      <c r="G156" s="3">
        <f>Data!Q156</f>
        <v>0</v>
      </c>
      <c r="H156" s="21">
        <f>Data!BF156</f>
        <v>46</v>
      </c>
      <c r="I156" s="14">
        <f t="shared" si="36"/>
        <v>0</v>
      </c>
      <c r="J156" s="17">
        <f>Data!BX156</f>
        <v>2.1</v>
      </c>
      <c r="K156" s="42">
        <f t="shared" si="48"/>
        <v>2.2050000000000001</v>
      </c>
      <c r="M156" s="27">
        <f t="shared" si="47"/>
        <v>421.2999999999999</v>
      </c>
      <c r="N156" s="27">
        <f t="shared" si="47"/>
        <v>369.22699999999992</v>
      </c>
      <c r="P156" s="24">
        <f t="shared" si="42"/>
        <v>0.76967391304347832</v>
      </c>
      <c r="Q156" s="24">
        <f t="shared" si="43"/>
        <v>0.4</v>
      </c>
      <c r="R156" s="21">
        <f t="shared" si="44"/>
        <v>18.400000000000002</v>
      </c>
      <c r="S156" s="27">
        <f t="shared" si="45"/>
        <v>-14.8</v>
      </c>
      <c r="T156" s="27">
        <f t="shared" si="46"/>
        <v>17.005000000000003</v>
      </c>
      <c r="U156" s="40"/>
    </row>
    <row r="157" spans="1:21" x14ac:dyDescent="0.2">
      <c r="A157" s="15">
        <f t="shared" si="35"/>
        <v>36676</v>
      </c>
      <c r="B157" s="1">
        <v>151</v>
      </c>
      <c r="C157" s="17">
        <f>ROUND(Data!BO157,2)</f>
        <v>17.62</v>
      </c>
      <c r="D157" s="3">
        <f>ROUND(Data!R157,1)</f>
        <v>12.2</v>
      </c>
      <c r="E157" s="3">
        <f>ROUND(Data!AF157,1)</f>
        <v>-3.2</v>
      </c>
      <c r="F157" s="27">
        <f>Data!BT157</f>
        <v>30.7</v>
      </c>
      <c r="G157" s="3">
        <f>Data!Q157</f>
        <v>0</v>
      </c>
      <c r="H157" s="21">
        <f>Data!BF157</f>
        <v>7</v>
      </c>
      <c r="I157" s="14">
        <f t="shared" si="36"/>
        <v>0</v>
      </c>
      <c r="J157" s="17">
        <f>Data!BX157</f>
        <v>2.7</v>
      </c>
      <c r="K157" s="42">
        <f t="shared" si="48"/>
        <v>2.8350000000000004</v>
      </c>
      <c r="M157" s="27">
        <f t="shared" si="47"/>
        <v>423.99999999999989</v>
      </c>
      <c r="N157" s="27">
        <f t="shared" si="47"/>
        <v>372.0619999999999</v>
      </c>
      <c r="P157" s="24">
        <f t="shared" si="42"/>
        <v>3.0335714285714288</v>
      </c>
      <c r="Q157" s="24">
        <f t="shared" si="43"/>
        <v>0.4</v>
      </c>
      <c r="R157" s="21">
        <f t="shared" si="44"/>
        <v>2.8000000000000003</v>
      </c>
      <c r="S157" s="27">
        <f t="shared" si="45"/>
        <v>-15.600000000000001</v>
      </c>
      <c r="T157" s="27">
        <f t="shared" si="46"/>
        <v>18.435000000000002</v>
      </c>
      <c r="U157" s="40"/>
    </row>
    <row r="158" spans="1:21" x14ac:dyDescent="0.2">
      <c r="A158" s="15">
        <f t="shared" si="35"/>
        <v>36677</v>
      </c>
      <c r="B158" s="1">
        <v>152</v>
      </c>
      <c r="C158" s="17">
        <f>ROUND(Data!BO158,2)</f>
        <v>14.33</v>
      </c>
      <c r="D158" s="3">
        <f>ROUND(Data!R158,1)</f>
        <v>10.7</v>
      </c>
      <c r="E158" s="3">
        <f>ROUND(Data!AF158,1)</f>
        <v>-2.2999999999999998</v>
      </c>
      <c r="F158" s="27">
        <f>Data!BT158</f>
        <v>29.8</v>
      </c>
      <c r="G158" s="3">
        <f>Data!Q158</f>
        <v>0</v>
      </c>
      <c r="H158" s="21">
        <f>Data!BF158</f>
        <v>0</v>
      </c>
      <c r="I158" s="14">
        <f t="shared" si="36"/>
        <v>0</v>
      </c>
      <c r="J158" s="17">
        <f>Data!BX158</f>
        <v>0</v>
      </c>
      <c r="K158" s="42">
        <f t="shared" ref="K158:K221" si="49">J158*L$3</f>
        <v>0</v>
      </c>
      <c r="M158" s="27">
        <f t="shared" si="47"/>
        <v>423.99999999999989</v>
      </c>
      <c r="N158" s="27">
        <f t="shared" si="47"/>
        <v>372.0619999999999</v>
      </c>
      <c r="P158" s="36">
        <v>1</v>
      </c>
      <c r="Q158" s="24">
        <f t="shared" ref="Q158" si="50">IF(P158&gt;Q$1,Q$1,P158)</f>
        <v>0.4</v>
      </c>
      <c r="R158" s="21">
        <f t="shared" ref="R158" si="51">Q158*H158</f>
        <v>0</v>
      </c>
      <c r="S158" s="27">
        <f t="shared" ref="S158" si="52">R158-R157</f>
        <v>-2.8000000000000003</v>
      </c>
      <c r="T158" s="27">
        <f t="shared" ref="T158" si="53">K158-S158</f>
        <v>2.8000000000000003</v>
      </c>
      <c r="U158" s="40"/>
    </row>
    <row r="159" spans="1:21" x14ac:dyDescent="0.2">
      <c r="A159" s="15">
        <f t="shared" si="35"/>
        <v>36678</v>
      </c>
      <c r="B159" s="1">
        <v>153</v>
      </c>
      <c r="C159" s="17">
        <f>ROUND(Data!BO159,2)</f>
        <v>0</v>
      </c>
      <c r="D159" s="3">
        <f>ROUND(Data!R159,1)</f>
        <v>10.6</v>
      </c>
      <c r="E159" s="3">
        <f>ROUND(Data!AF159,1)</f>
        <v>-3.6</v>
      </c>
      <c r="F159" s="27">
        <f>Data!BT159</f>
        <v>0</v>
      </c>
      <c r="G159" s="3">
        <f>Data!Q159</f>
        <v>0</v>
      </c>
      <c r="H159" s="21">
        <f>Data!BF159</f>
        <v>0</v>
      </c>
      <c r="I159" s="14">
        <f t="shared" si="36"/>
        <v>0</v>
      </c>
      <c r="J159" s="17">
        <f>Data!BX159</f>
        <v>0</v>
      </c>
      <c r="K159" s="42">
        <f t="shared" si="49"/>
        <v>0</v>
      </c>
      <c r="M159" s="27">
        <f t="shared" si="47"/>
        <v>423.99999999999989</v>
      </c>
      <c r="N159" s="27">
        <f t="shared" si="47"/>
        <v>372.0619999999999</v>
      </c>
    </row>
    <row r="160" spans="1:21" x14ac:dyDescent="0.2">
      <c r="A160" s="15">
        <f t="shared" si="35"/>
        <v>36679</v>
      </c>
      <c r="B160" s="1">
        <v>154</v>
      </c>
      <c r="C160" s="17">
        <f>ROUND(Data!BO160,2)</f>
        <v>0</v>
      </c>
      <c r="D160" s="3">
        <f>ROUND(Data!R160,1)</f>
        <v>10.4</v>
      </c>
      <c r="E160" s="3">
        <f>ROUND(Data!AF160,1)</f>
        <v>-2.4</v>
      </c>
      <c r="F160" s="27">
        <f>Data!BT160</f>
        <v>0</v>
      </c>
      <c r="G160" s="3">
        <f>Data!Q160</f>
        <v>0</v>
      </c>
      <c r="H160" s="21">
        <f>Data!BF160</f>
        <v>0</v>
      </c>
      <c r="I160" s="14">
        <f t="shared" si="36"/>
        <v>0</v>
      </c>
      <c r="J160" s="17">
        <f>Data!BX160</f>
        <v>1.5</v>
      </c>
      <c r="K160" s="42">
        <f t="shared" si="49"/>
        <v>1.5750000000000002</v>
      </c>
      <c r="M160" s="27">
        <f t="shared" si="47"/>
        <v>425.49999999999989</v>
      </c>
      <c r="N160" s="27">
        <f t="shared" si="47"/>
        <v>373.63699999999989</v>
      </c>
    </row>
    <row r="161" spans="1:14" x14ac:dyDescent="0.2">
      <c r="A161" s="15">
        <f t="shared" si="35"/>
        <v>36680</v>
      </c>
      <c r="B161" s="1">
        <v>155</v>
      </c>
      <c r="C161" s="17">
        <f>ROUND(Data!BO161,2)</f>
        <v>0</v>
      </c>
      <c r="D161" s="3">
        <f>ROUND(Data!R161,1)</f>
        <v>15.1</v>
      </c>
      <c r="E161" s="3">
        <f>ROUND(Data!AF161,1)</f>
        <v>-2.1</v>
      </c>
      <c r="F161" s="27">
        <f>Data!BT161</f>
        <v>0</v>
      </c>
      <c r="G161" s="3">
        <f>Data!Q161</f>
        <v>0</v>
      </c>
      <c r="H161" s="21">
        <f>Data!BF161</f>
        <v>0</v>
      </c>
      <c r="I161" s="14">
        <f t="shared" si="36"/>
        <v>0</v>
      </c>
      <c r="J161" s="17">
        <f>Data!BX161</f>
        <v>0</v>
      </c>
      <c r="K161" s="42">
        <f t="shared" si="49"/>
        <v>0</v>
      </c>
      <c r="M161" s="27">
        <f t="shared" si="47"/>
        <v>425.49999999999989</v>
      </c>
      <c r="N161" s="27">
        <f t="shared" si="47"/>
        <v>373.63699999999989</v>
      </c>
    </row>
    <row r="162" spans="1:14" x14ac:dyDescent="0.2">
      <c r="A162" s="15">
        <f t="shared" si="35"/>
        <v>36681</v>
      </c>
      <c r="B162" s="1">
        <v>156</v>
      </c>
      <c r="C162" s="17">
        <f>ROUND(Data!BO162,2)</f>
        <v>0</v>
      </c>
      <c r="D162" s="3">
        <f>ROUND(Data!R162,1)</f>
        <v>16.8</v>
      </c>
      <c r="E162" s="3">
        <f>ROUND(Data!AF162,1)</f>
        <v>-1.8</v>
      </c>
      <c r="F162" s="27">
        <f>Data!BT162</f>
        <v>0</v>
      </c>
      <c r="G162" s="3">
        <f>Data!Q162</f>
        <v>0</v>
      </c>
      <c r="H162" s="21">
        <f>Data!BF162</f>
        <v>0</v>
      </c>
      <c r="I162" s="14">
        <f t="shared" si="36"/>
        <v>0</v>
      </c>
      <c r="J162" s="17">
        <f>Data!BX162</f>
        <v>0</v>
      </c>
      <c r="K162" s="42">
        <f t="shared" si="49"/>
        <v>0</v>
      </c>
      <c r="M162" s="27">
        <f t="shared" si="47"/>
        <v>425.49999999999989</v>
      </c>
      <c r="N162" s="27">
        <f t="shared" si="47"/>
        <v>373.63699999999989</v>
      </c>
    </row>
    <row r="163" spans="1:14" x14ac:dyDescent="0.2">
      <c r="A163" s="15">
        <f t="shared" si="35"/>
        <v>36682</v>
      </c>
      <c r="B163" s="1">
        <v>157</v>
      </c>
      <c r="C163" s="17">
        <f>ROUND(Data!BO163,2)</f>
        <v>0</v>
      </c>
      <c r="D163" s="3">
        <f>ROUND(Data!R163,1)</f>
        <v>14.2</v>
      </c>
      <c r="E163" s="3">
        <f>ROUND(Data!AF163,1)</f>
        <v>1.8</v>
      </c>
      <c r="F163" s="27">
        <f>Data!BT163</f>
        <v>0</v>
      </c>
      <c r="G163" s="3">
        <f>Data!Q163</f>
        <v>0</v>
      </c>
      <c r="H163" s="21">
        <f>Data!BF163</f>
        <v>0</v>
      </c>
      <c r="I163" s="14">
        <f t="shared" si="36"/>
        <v>0</v>
      </c>
      <c r="J163" s="17">
        <f>Data!BX163</f>
        <v>11.7</v>
      </c>
      <c r="K163" s="42">
        <f t="shared" si="49"/>
        <v>12.285</v>
      </c>
      <c r="M163" s="27">
        <f t="shared" si="47"/>
        <v>437.19999999999987</v>
      </c>
      <c r="N163" s="27">
        <f t="shared" si="47"/>
        <v>385.92199999999991</v>
      </c>
    </row>
    <row r="164" spans="1:14" x14ac:dyDescent="0.2">
      <c r="A164" s="15">
        <f t="shared" si="35"/>
        <v>36683</v>
      </c>
      <c r="B164" s="1">
        <v>158</v>
      </c>
      <c r="C164" s="17">
        <f>ROUND(Data!BO164,2)</f>
        <v>0</v>
      </c>
      <c r="D164" s="3">
        <f>ROUND(Data!R164,1)</f>
        <v>12</v>
      </c>
      <c r="E164" s="3">
        <f>ROUND(Data!AF164,1)</f>
        <v>2.2000000000000002</v>
      </c>
      <c r="F164" s="27">
        <f>Data!BT164</f>
        <v>0</v>
      </c>
      <c r="G164" s="3">
        <f>Data!Q164</f>
        <v>0</v>
      </c>
      <c r="H164" s="21">
        <f>Data!BF164</f>
        <v>0</v>
      </c>
      <c r="I164" s="14">
        <f t="shared" si="36"/>
        <v>0</v>
      </c>
      <c r="J164" s="17">
        <f>Data!BX164</f>
        <v>0</v>
      </c>
      <c r="K164" s="42">
        <f t="shared" si="49"/>
        <v>0</v>
      </c>
      <c r="M164" s="27">
        <f t="shared" si="47"/>
        <v>437.19999999999987</v>
      </c>
      <c r="N164" s="27">
        <f t="shared" si="47"/>
        <v>385.92199999999991</v>
      </c>
    </row>
    <row r="165" spans="1:14" x14ac:dyDescent="0.2">
      <c r="A165" s="15">
        <f t="shared" si="35"/>
        <v>36684</v>
      </c>
      <c r="B165" s="1">
        <v>159</v>
      </c>
      <c r="C165" s="17">
        <f>ROUND(Data!BO165,2)</f>
        <v>0</v>
      </c>
      <c r="D165" s="3">
        <f>ROUND(Data!R165,1)</f>
        <v>12.9</v>
      </c>
      <c r="E165" s="3">
        <f>ROUND(Data!AF165,1)</f>
        <v>3</v>
      </c>
      <c r="F165" s="27">
        <f>Data!BT165</f>
        <v>47</v>
      </c>
      <c r="G165" s="3">
        <f>Data!Q165</f>
        <v>0</v>
      </c>
      <c r="H165" s="21">
        <f>Data!BF165</f>
        <v>0</v>
      </c>
      <c r="I165" s="14">
        <f t="shared" si="36"/>
        <v>0</v>
      </c>
      <c r="J165" s="17">
        <f>Data!BX165</f>
        <v>0</v>
      </c>
      <c r="K165" s="42">
        <f t="shared" si="49"/>
        <v>0</v>
      </c>
      <c r="M165" s="27">
        <f t="shared" si="47"/>
        <v>437.19999999999987</v>
      </c>
      <c r="N165" s="27">
        <f t="shared" si="47"/>
        <v>385.92199999999991</v>
      </c>
    </row>
    <row r="166" spans="1:14" x14ac:dyDescent="0.2">
      <c r="A166" s="15">
        <f t="shared" si="35"/>
        <v>36685</v>
      </c>
      <c r="B166" s="1">
        <v>160</v>
      </c>
      <c r="C166" s="17">
        <f>ROUND(Data!BO166,2)</f>
        <v>0</v>
      </c>
      <c r="D166" s="3">
        <f>ROUND(Data!R166,1)</f>
        <v>9.9</v>
      </c>
      <c r="E166" s="3">
        <f>ROUND(Data!AF166,1)</f>
        <v>2.5</v>
      </c>
      <c r="F166" s="27">
        <f>Data!BT166</f>
        <v>76</v>
      </c>
      <c r="G166" s="3">
        <f>Data!Q166</f>
        <v>0</v>
      </c>
      <c r="H166" s="21">
        <f>Data!BF166</f>
        <v>0</v>
      </c>
      <c r="I166" s="14">
        <f t="shared" si="36"/>
        <v>0</v>
      </c>
      <c r="J166" s="17">
        <f>Data!BX166</f>
        <v>7.4</v>
      </c>
      <c r="K166" s="42">
        <f t="shared" si="49"/>
        <v>7.7700000000000005</v>
      </c>
      <c r="M166" s="27">
        <f t="shared" si="47"/>
        <v>444.59999999999985</v>
      </c>
      <c r="N166" s="27">
        <f t="shared" si="47"/>
        <v>393.69199999999989</v>
      </c>
    </row>
    <row r="167" spans="1:14" x14ac:dyDescent="0.2">
      <c r="A167" s="15">
        <f t="shared" si="35"/>
        <v>36686</v>
      </c>
      <c r="B167" s="1">
        <v>161</v>
      </c>
      <c r="C167" s="17">
        <f>ROUND(Data!BO167,2)</f>
        <v>0</v>
      </c>
      <c r="D167" s="3">
        <f>ROUND(Data!R167,1)</f>
        <v>11.3</v>
      </c>
      <c r="E167" s="3">
        <f>ROUND(Data!AF167,1)</f>
        <v>1.4</v>
      </c>
      <c r="F167" s="27">
        <f>Data!BT167</f>
        <v>50</v>
      </c>
      <c r="G167" s="3">
        <f>Data!Q167</f>
        <v>0</v>
      </c>
      <c r="H167" s="21">
        <f>Data!BF167</f>
        <v>0</v>
      </c>
      <c r="I167" s="14">
        <f t="shared" si="36"/>
        <v>0</v>
      </c>
      <c r="J167" s="17">
        <f>Data!BX167</f>
        <v>13.7</v>
      </c>
      <c r="K167" s="42">
        <f t="shared" si="49"/>
        <v>14.385</v>
      </c>
      <c r="M167" s="27">
        <f t="shared" si="47"/>
        <v>458.29999999999984</v>
      </c>
      <c r="N167" s="27">
        <f t="shared" si="47"/>
        <v>408.07699999999988</v>
      </c>
    </row>
    <row r="168" spans="1:14" x14ac:dyDescent="0.2">
      <c r="A168" s="15">
        <f t="shared" si="35"/>
        <v>36687</v>
      </c>
      <c r="B168" s="1">
        <v>162</v>
      </c>
      <c r="C168" s="17">
        <f>ROUND(Data!BO168,2)</f>
        <v>0</v>
      </c>
      <c r="D168" s="3">
        <f>ROUND(Data!R168,1)</f>
        <v>7.4</v>
      </c>
      <c r="E168" s="3">
        <f>ROUND(Data!AF168,1)</f>
        <v>-1.5</v>
      </c>
      <c r="F168" s="27">
        <f>Data!BT168</f>
        <v>64</v>
      </c>
      <c r="G168" s="3">
        <f>Data!Q168</f>
        <v>0</v>
      </c>
      <c r="H168" s="21">
        <f>Data!BF168</f>
        <v>0</v>
      </c>
      <c r="I168" s="14">
        <f t="shared" si="36"/>
        <v>0</v>
      </c>
      <c r="J168" s="17">
        <f>Data!BX168</f>
        <v>6.5</v>
      </c>
      <c r="K168" s="42">
        <f t="shared" si="49"/>
        <v>6.8250000000000002</v>
      </c>
      <c r="M168" s="27">
        <f t="shared" si="47"/>
        <v>464.79999999999984</v>
      </c>
      <c r="N168" s="27">
        <f t="shared" si="47"/>
        <v>414.90199999999987</v>
      </c>
    </row>
    <row r="169" spans="1:14" x14ac:dyDescent="0.2">
      <c r="A169" s="15">
        <f t="shared" si="35"/>
        <v>36688</v>
      </c>
      <c r="B169" s="1">
        <v>163</v>
      </c>
      <c r="C169" s="17">
        <f>ROUND(Data!BO169,2)</f>
        <v>0</v>
      </c>
      <c r="D169" s="3">
        <f>ROUND(Data!R169,1)</f>
        <v>9.8000000000000007</v>
      </c>
      <c r="E169" s="3">
        <f>ROUND(Data!AF169,1)</f>
        <v>-2.2000000000000002</v>
      </c>
      <c r="F169" s="27">
        <f>Data!BT169</f>
        <v>37</v>
      </c>
      <c r="G169" s="3">
        <f>Data!Q169</f>
        <v>0</v>
      </c>
      <c r="H169" s="21">
        <f>Data!BF169</f>
        <v>0</v>
      </c>
      <c r="I169" s="14">
        <f t="shared" si="36"/>
        <v>0</v>
      </c>
      <c r="J169" s="17">
        <f>Data!BX169</f>
        <v>0</v>
      </c>
      <c r="K169" s="42">
        <f t="shared" si="49"/>
        <v>0</v>
      </c>
      <c r="M169" s="27">
        <f t="shared" ref="M169:N184" si="54">J169+M168</f>
        <v>464.79999999999984</v>
      </c>
      <c r="N169" s="27">
        <f t="shared" si="54"/>
        <v>414.90199999999987</v>
      </c>
    </row>
    <row r="170" spans="1:14" x14ac:dyDescent="0.2">
      <c r="A170" s="15">
        <f t="shared" si="35"/>
        <v>36689</v>
      </c>
      <c r="B170" s="1">
        <v>164</v>
      </c>
      <c r="C170" s="17">
        <f>ROUND(Data!BO170,2)</f>
        <v>0</v>
      </c>
      <c r="D170" s="3">
        <f>ROUND(Data!R170,1)</f>
        <v>6.3</v>
      </c>
      <c r="E170" s="3">
        <f>ROUND(Data!AF170,1)</f>
        <v>0.4</v>
      </c>
      <c r="F170" s="27">
        <f>Data!BT170</f>
        <v>66</v>
      </c>
      <c r="G170" s="3">
        <f>Data!Q170</f>
        <v>0</v>
      </c>
      <c r="H170" s="21">
        <f>Data!BF170</f>
        <v>0</v>
      </c>
      <c r="I170" s="14">
        <f t="shared" si="36"/>
        <v>0</v>
      </c>
      <c r="J170" s="17">
        <f>Data!BX170</f>
        <v>16.8</v>
      </c>
      <c r="K170" s="42">
        <f t="shared" si="49"/>
        <v>17.64</v>
      </c>
      <c r="M170" s="27">
        <f t="shared" si="54"/>
        <v>481.59999999999985</v>
      </c>
      <c r="N170" s="27">
        <f t="shared" si="54"/>
        <v>432.54199999999986</v>
      </c>
    </row>
    <row r="171" spans="1:14" x14ac:dyDescent="0.2">
      <c r="A171" s="15">
        <f t="shared" si="35"/>
        <v>36690</v>
      </c>
      <c r="B171" s="1">
        <v>165</v>
      </c>
      <c r="C171" s="17">
        <f>ROUND(Data!BO171,2)</f>
        <v>0</v>
      </c>
      <c r="D171" s="3">
        <f>ROUND(Data!R171,1)</f>
        <v>14.5</v>
      </c>
      <c r="E171" s="3">
        <f>ROUND(Data!AF171,1)</f>
        <v>1.7</v>
      </c>
      <c r="F171" s="27">
        <f>Data!BT171</f>
        <v>61</v>
      </c>
      <c r="G171" s="3">
        <f>Data!Q171</f>
        <v>0</v>
      </c>
      <c r="H171" s="21">
        <f>Data!BF171</f>
        <v>0</v>
      </c>
      <c r="I171" s="14">
        <f t="shared" si="36"/>
        <v>0</v>
      </c>
      <c r="J171" s="17">
        <f>Data!BX171</f>
        <v>0</v>
      </c>
      <c r="K171" s="42">
        <f t="shared" si="49"/>
        <v>0</v>
      </c>
      <c r="M171" s="27">
        <f t="shared" si="54"/>
        <v>481.59999999999985</v>
      </c>
      <c r="N171" s="27">
        <f t="shared" si="54"/>
        <v>432.54199999999986</v>
      </c>
    </row>
    <row r="172" spans="1:14" x14ac:dyDescent="0.2">
      <c r="A172" s="15">
        <f t="shared" si="35"/>
        <v>36691</v>
      </c>
      <c r="B172" s="1">
        <v>166</v>
      </c>
      <c r="C172" s="17">
        <f>ROUND(Data!BO172,2)</f>
        <v>0</v>
      </c>
      <c r="D172" s="3">
        <f>ROUND(Data!R172,1)</f>
        <v>10</v>
      </c>
      <c r="E172" s="3">
        <f>ROUND(Data!AF172,1)</f>
        <v>2.1</v>
      </c>
      <c r="F172" s="27">
        <f>Data!BT172</f>
        <v>72</v>
      </c>
      <c r="G172" s="3">
        <f>Data!Q172</f>
        <v>0</v>
      </c>
      <c r="H172" s="21">
        <f>Data!BF172</f>
        <v>0</v>
      </c>
      <c r="I172" s="14">
        <f t="shared" si="36"/>
        <v>0</v>
      </c>
      <c r="J172" s="17">
        <f>Data!BX172</f>
        <v>6.2</v>
      </c>
      <c r="K172" s="42">
        <f t="shared" si="49"/>
        <v>6.5100000000000007</v>
      </c>
      <c r="M172" s="27">
        <f t="shared" si="54"/>
        <v>487.79999999999984</v>
      </c>
      <c r="N172" s="27">
        <f t="shared" si="54"/>
        <v>439.05199999999985</v>
      </c>
    </row>
    <row r="173" spans="1:14" x14ac:dyDescent="0.2">
      <c r="A173" s="15">
        <f t="shared" si="35"/>
        <v>36692</v>
      </c>
      <c r="B173" s="1">
        <v>167</v>
      </c>
      <c r="C173" s="17">
        <f>ROUND(Data!BO173,2)</f>
        <v>0</v>
      </c>
      <c r="D173" s="3">
        <f>ROUND(Data!R173,1)</f>
        <v>9.5</v>
      </c>
      <c r="E173" s="3">
        <f>ROUND(Data!AF173,1)</f>
        <v>1.2</v>
      </c>
      <c r="F173" s="27">
        <f>Data!BT173</f>
        <v>48</v>
      </c>
      <c r="G173" s="3">
        <f>Data!Q173</f>
        <v>0</v>
      </c>
      <c r="H173" s="21">
        <f>Data!BF173</f>
        <v>0</v>
      </c>
      <c r="I173" s="14">
        <f t="shared" si="36"/>
        <v>0</v>
      </c>
      <c r="J173" s="17">
        <f>Data!BX173</f>
        <v>0</v>
      </c>
      <c r="K173" s="42">
        <f t="shared" si="49"/>
        <v>0</v>
      </c>
      <c r="M173" s="27">
        <f t="shared" si="54"/>
        <v>487.79999999999984</v>
      </c>
      <c r="N173" s="27">
        <f t="shared" si="54"/>
        <v>439.05199999999985</v>
      </c>
    </row>
    <row r="174" spans="1:14" x14ac:dyDescent="0.2">
      <c r="A174" s="15">
        <f t="shared" si="35"/>
        <v>36693</v>
      </c>
      <c r="B174" s="1">
        <v>168</v>
      </c>
      <c r="C174" s="17">
        <f>ROUND(Data!BO174,2)</f>
        <v>0</v>
      </c>
      <c r="D174" s="3">
        <f>ROUND(Data!R174,1)</f>
        <v>15.1</v>
      </c>
      <c r="E174" s="3">
        <f>ROUND(Data!AF174,1)</f>
        <v>1</v>
      </c>
      <c r="F174" s="27">
        <f>Data!BT174</f>
        <v>31</v>
      </c>
      <c r="G174" s="3">
        <f>Data!Q174</f>
        <v>0</v>
      </c>
      <c r="H174" s="21">
        <f>Data!BF174</f>
        <v>0</v>
      </c>
      <c r="I174" s="14">
        <f t="shared" si="36"/>
        <v>0</v>
      </c>
      <c r="J174" s="17">
        <f>Data!BX174</f>
        <v>0</v>
      </c>
      <c r="K174" s="42">
        <f t="shared" si="49"/>
        <v>0</v>
      </c>
      <c r="M174" s="27">
        <f t="shared" si="54"/>
        <v>487.79999999999984</v>
      </c>
      <c r="N174" s="27">
        <f t="shared" si="54"/>
        <v>439.05199999999985</v>
      </c>
    </row>
    <row r="175" spans="1:14" x14ac:dyDescent="0.2">
      <c r="A175" s="15">
        <f t="shared" si="35"/>
        <v>36694</v>
      </c>
      <c r="B175" s="1">
        <v>169</v>
      </c>
      <c r="C175" s="17">
        <f>ROUND(Data!BO175,2)</f>
        <v>0</v>
      </c>
      <c r="D175" s="3">
        <f>ROUND(Data!R175,1)</f>
        <v>15.8</v>
      </c>
      <c r="E175" s="3">
        <f>ROUND(Data!AF175,1)</f>
        <v>3.2</v>
      </c>
      <c r="F175" s="27">
        <f>Data!BT175</f>
        <v>35</v>
      </c>
      <c r="G175" s="3">
        <f>Data!Q175</f>
        <v>0</v>
      </c>
      <c r="H175" s="21">
        <f>Data!BF175</f>
        <v>0</v>
      </c>
      <c r="I175" s="14">
        <f t="shared" si="36"/>
        <v>0</v>
      </c>
      <c r="J175" s="17">
        <f>Data!BX175</f>
        <v>0</v>
      </c>
      <c r="K175" s="42">
        <f t="shared" si="49"/>
        <v>0</v>
      </c>
      <c r="M175" s="27">
        <f t="shared" si="54"/>
        <v>487.79999999999984</v>
      </c>
      <c r="N175" s="27">
        <f t="shared" si="54"/>
        <v>439.05199999999985</v>
      </c>
    </row>
    <row r="176" spans="1:14" x14ac:dyDescent="0.2">
      <c r="A176" s="15">
        <f t="shared" si="35"/>
        <v>36695</v>
      </c>
      <c r="B176" s="1">
        <v>170</v>
      </c>
      <c r="C176" s="17">
        <f>ROUND(Data!BO176,2)</f>
        <v>0</v>
      </c>
      <c r="D176" s="3">
        <f>ROUND(Data!R176,1)</f>
        <v>11.3</v>
      </c>
      <c r="E176" s="3">
        <f>ROUND(Data!AF176,1)</f>
        <v>1.8</v>
      </c>
      <c r="F176" s="27">
        <f>Data!BT176</f>
        <v>48</v>
      </c>
      <c r="G176" s="3">
        <f>Data!Q176</f>
        <v>0</v>
      </c>
      <c r="H176" s="21">
        <f>Data!BF176</f>
        <v>0</v>
      </c>
      <c r="I176" s="14">
        <f t="shared" si="36"/>
        <v>0</v>
      </c>
      <c r="J176" s="17">
        <f>Data!BX176</f>
        <v>7.7</v>
      </c>
      <c r="K176" s="42">
        <f t="shared" si="49"/>
        <v>8.0850000000000009</v>
      </c>
      <c r="M176" s="27">
        <f t="shared" si="54"/>
        <v>495.49999999999983</v>
      </c>
      <c r="N176" s="27">
        <f t="shared" si="54"/>
        <v>447.13699999999983</v>
      </c>
    </row>
    <row r="177" spans="1:14" x14ac:dyDescent="0.2">
      <c r="A177" s="15">
        <f t="shared" si="35"/>
        <v>36696</v>
      </c>
      <c r="B177" s="1">
        <v>171</v>
      </c>
      <c r="C177" s="17">
        <f>ROUND(Data!BO177,2)</f>
        <v>0</v>
      </c>
      <c r="D177" s="3">
        <f>ROUND(Data!R177,1)</f>
        <v>13.4</v>
      </c>
      <c r="E177" s="3">
        <f>ROUND(Data!AF177,1)</f>
        <v>-0.2</v>
      </c>
      <c r="F177" s="27">
        <f>Data!BT177</f>
        <v>31</v>
      </c>
      <c r="G177" s="3">
        <f>Data!Q177</f>
        <v>0</v>
      </c>
      <c r="H177" s="21">
        <f>Data!BF177</f>
        <v>0</v>
      </c>
      <c r="I177" s="14">
        <f t="shared" si="36"/>
        <v>0</v>
      </c>
      <c r="J177" s="17">
        <f>Data!BX177</f>
        <v>0</v>
      </c>
      <c r="K177" s="42">
        <f t="shared" si="49"/>
        <v>0</v>
      </c>
      <c r="M177" s="27">
        <f t="shared" si="54"/>
        <v>495.49999999999983</v>
      </c>
      <c r="N177" s="27">
        <f t="shared" si="54"/>
        <v>447.13699999999983</v>
      </c>
    </row>
    <row r="178" spans="1:14" x14ac:dyDescent="0.2">
      <c r="A178" s="15">
        <f t="shared" si="35"/>
        <v>36697</v>
      </c>
      <c r="B178" s="1">
        <v>172</v>
      </c>
      <c r="C178" s="17">
        <f>ROUND(Data!BO178,2)</f>
        <v>0</v>
      </c>
      <c r="D178" s="3">
        <f>ROUND(Data!R178,1)</f>
        <v>13.7</v>
      </c>
      <c r="E178" s="3">
        <f>ROUND(Data!AF178,1)</f>
        <v>3.2</v>
      </c>
      <c r="F178" s="27">
        <f>Data!BT178</f>
        <v>48</v>
      </c>
      <c r="G178" s="3">
        <f>Data!Q178</f>
        <v>0</v>
      </c>
      <c r="H178" s="21">
        <f>Data!BF178</f>
        <v>0</v>
      </c>
      <c r="I178" s="14">
        <f t="shared" si="36"/>
        <v>0</v>
      </c>
      <c r="J178" s="17">
        <f>Data!BX178</f>
        <v>0.3</v>
      </c>
      <c r="K178" s="42">
        <f t="shared" si="49"/>
        <v>0.315</v>
      </c>
      <c r="M178" s="27">
        <f t="shared" si="54"/>
        <v>495.79999999999984</v>
      </c>
      <c r="N178" s="27">
        <f t="shared" si="54"/>
        <v>447.45199999999983</v>
      </c>
    </row>
    <row r="179" spans="1:14" x14ac:dyDescent="0.2">
      <c r="A179" s="15">
        <f t="shared" si="35"/>
        <v>36698</v>
      </c>
      <c r="B179" s="1">
        <v>173</v>
      </c>
      <c r="C179" s="17">
        <f>ROUND(Data!BO179,2)</f>
        <v>0</v>
      </c>
      <c r="D179" s="3">
        <f>ROUND(Data!R179,1)</f>
        <v>13.4</v>
      </c>
      <c r="E179" s="3">
        <f>ROUND(Data!AF179,1)</f>
        <v>3.1</v>
      </c>
      <c r="F179" s="27">
        <f>Data!BT179</f>
        <v>52</v>
      </c>
      <c r="G179" s="3">
        <f>Data!Q179</f>
        <v>0</v>
      </c>
      <c r="H179" s="21">
        <f>Data!BF179</f>
        <v>0</v>
      </c>
      <c r="I179" s="14">
        <f t="shared" si="36"/>
        <v>0</v>
      </c>
      <c r="J179" s="17">
        <f>Data!BX179</f>
        <v>3.1</v>
      </c>
      <c r="K179" s="42">
        <f t="shared" si="49"/>
        <v>3.2550000000000003</v>
      </c>
      <c r="M179" s="27">
        <f t="shared" si="54"/>
        <v>498.89999999999986</v>
      </c>
      <c r="N179" s="27">
        <f t="shared" si="54"/>
        <v>450.70699999999982</v>
      </c>
    </row>
    <row r="180" spans="1:14" x14ac:dyDescent="0.2">
      <c r="A180" s="15">
        <f t="shared" si="35"/>
        <v>36699</v>
      </c>
      <c r="B180" s="1">
        <v>174</v>
      </c>
      <c r="C180" s="17">
        <f>ROUND(Data!BO180,2)</f>
        <v>0</v>
      </c>
      <c r="D180" s="3">
        <f>ROUND(Data!R180,1)</f>
        <v>13.5</v>
      </c>
      <c r="E180" s="3">
        <f>ROUND(Data!AF180,1)</f>
        <v>2.7</v>
      </c>
      <c r="F180" s="27">
        <f>Data!BT180</f>
        <v>37</v>
      </c>
      <c r="G180" s="3">
        <f>Data!Q180</f>
        <v>0</v>
      </c>
      <c r="H180" s="21">
        <f>Data!BF180</f>
        <v>0</v>
      </c>
      <c r="I180" s="14">
        <f t="shared" si="36"/>
        <v>0</v>
      </c>
      <c r="J180" s="17">
        <f>Data!BX180</f>
        <v>0</v>
      </c>
      <c r="K180" s="42">
        <f t="shared" si="49"/>
        <v>0</v>
      </c>
      <c r="M180" s="27">
        <f t="shared" si="54"/>
        <v>498.89999999999986</v>
      </c>
      <c r="N180" s="27">
        <f t="shared" si="54"/>
        <v>450.70699999999982</v>
      </c>
    </row>
    <row r="181" spans="1:14" x14ac:dyDescent="0.2">
      <c r="A181" s="15">
        <f t="shared" si="35"/>
        <v>36700</v>
      </c>
      <c r="B181" s="1">
        <v>175</v>
      </c>
      <c r="C181" s="17">
        <f>ROUND(Data!BO181,2)</f>
        <v>0</v>
      </c>
      <c r="D181" s="3">
        <f>ROUND(Data!R181,1)</f>
        <v>16.3</v>
      </c>
      <c r="E181" s="3">
        <f>ROUND(Data!AF181,1)</f>
        <v>3.1</v>
      </c>
      <c r="F181" s="27">
        <f>Data!BT181</f>
        <v>31</v>
      </c>
      <c r="G181" s="3">
        <f>Data!Q181</f>
        <v>0</v>
      </c>
      <c r="H181" s="21">
        <f>Data!BF181</f>
        <v>0</v>
      </c>
      <c r="I181" s="14">
        <f t="shared" si="36"/>
        <v>0</v>
      </c>
      <c r="J181" s="17">
        <f>Data!BX181</f>
        <v>0</v>
      </c>
      <c r="K181" s="42">
        <f t="shared" si="49"/>
        <v>0</v>
      </c>
      <c r="M181" s="27">
        <f t="shared" si="54"/>
        <v>498.89999999999986</v>
      </c>
      <c r="N181" s="27">
        <f t="shared" si="54"/>
        <v>450.70699999999982</v>
      </c>
    </row>
    <row r="182" spans="1:14" x14ac:dyDescent="0.2">
      <c r="A182" s="15">
        <f t="shared" si="35"/>
        <v>36701</v>
      </c>
      <c r="B182" s="1">
        <v>176</v>
      </c>
      <c r="C182" s="17">
        <f>ROUND(Data!BO182,2)</f>
        <v>0</v>
      </c>
      <c r="D182" s="3">
        <f>ROUND(Data!R182,1)</f>
        <v>12.7</v>
      </c>
      <c r="E182" s="3">
        <f>ROUND(Data!AF182,1)</f>
        <v>2</v>
      </c>
      <c r="F182" s="27">
        <f>Data!BT182</f>
        <v>49</v>
      </c>
      <c r="G182" s="3">
        <f>Data!Q182</f>
        <v>0</v>
      </c>
      <c r="H182" s="21">
        <f>Data!BF182</f>
        <v>0</v>
      </c>
      <c r="I182" s="14">
        <f t="shared" si="36"/>
        <v>0</v>
      </c>
      <c r="J182" s="17">
        <f>Data!BX182</f>
        <v>7.5</v>
      </c>
      <c r="K182" s="42">
        <f t="shared" si="49"/>
        <v>7.875</v>
      </c>
      <c r="M182" s="27">
        <f t="shared" si="54"/>
        <v>506.39999999999986</v>
      </c>
      <c r="N182" s="27">
        <f t="shared" si="54"/>
        <v>458.58199999999982</v>
      </c>
    </row>
    <row r="183" spans="1:14" x14ac:dyDescent="0.2">
      <c r="A183" s="15">
        <f t="shared" si="35"/>
        <v>36702</v>
      </c>
      <c r="B183" s="1">
        <v>177</v>
      </c>
      <c r="C183" s="17">
        <f>ROUND(Data!BO183,2)</f>
        <v>0</v>
      </c>
      <c r="D183" s="3">
        <f>ROUND(Data!R183,1)</f>
        <v>17.8</v>
      </c>
      <c r="E183" s="3">
        <f>ROUND(Data!AF183,1)</f>
        <v>2.5</v>
      </c>
      <c r="F183" s="27">
        <f>Data!BT183</f>
        <v>29</v>
      </c>
      <c r="G183" s="3">
        <f>Data!Q183</f>
        <v>0</v>
      </c>
      <c r="H183" s="21">
        <f>Data!BF183</f>
        <v>0</v>
      </c>
      <c r="I183" s="14">
        <f t="shared" si="36"/>
        <v>0</v>
      </c>
      <c r="J183" s="17">
        <f>Data!BX183</f>
        <v>0</v>
      </c>
      <c r="K183" s="42">
        <f t="shared" si="49"/>
        <v>0</v>
      </c>
      <c r="M183" s="27">
        <f t="shared" si="54"/>
        <v>506.39999999999986</v>
      </c>
      <c r="N183" s="27">
        <f t="shared" si="54"/>
        <v>458.58199999999982</v>
      </c>
    </row>
    <row r="184" spans="1:14" x14ac:dyDescent="0.2">
      <c r="A184" s="15">
        <f t="shared" si="35"/>
        <v>36703</v>
      </c>
      <c r="B184" s="1">
        <v>178</v>
      </c>
      <c r="C184" s="17">
        <f>ROUND(Data!BO184,2)</f>
        <v>0</v>
      </c>
      <c r="D184" s="3">
        <f>ROUND(Data!R184,1)</f>
        <v>20</v>
      </c>
      <c r="E184" s="3">
        <f>ROUND(Data!AF184,1)</f>
        <v>5.3</v>
      </c>
      <c r="F184" s="27">
        <f>Data!BT184</f>
        <v>21</v>
      </c>
      <c r="G184" s="3">
        <f>Data!Q184</f>
        <v>0</v>
      </c>
      <c r="H184" s="21">
        <f>Data!BF184</f>
        <v>0</v>
      </c>
      <c r="I184" s="14">
        <f t="shared" si="36"/>
        <v>0</v>
      </c>
      <c r="J184" s="17">
        <f>Data!BX184</f>
        <v>0</v>
      </c>
      <c r="K184" s="42">
        <f t="shared" si="49"/>
        <v>0</v>
      </c>
      <c r="M184" s="27">
        <f t="shared" si="54"/>
        <v>506.39999999999986</v>
      </c>
      <c r="N184" s="27">
        <f t="shared" si="54"/>
        <v>458.58199999999982</v>
      </c>
    </row>
    <row r="185" spans="1:14" x14ac:dyDescent="0.2">
      <c r="A185" s="15">
        <f t="shared" si="35"/>
        <v>36704</v>
      </c>
      <c r="B185" s="1">
        <v>179</v>
      </c>
      <c r="C185" s="17">
        <f>ROUND(Data!BO185,2)</f>
        <v>0</v>
      </c>
      <c r="D185" s="3">
        <f>ROUND(Data!R185,1)</f>
        <v>22</v>
      </c>
      <c r="E185" s="3">
        <f>ROUND(Data!AF185,1)</f>
        <v>6.2</v>
      </c>
      <c r="F185" s="27">
        <f>Data!BT185</f>
        <v>19</v>
      </c>
      <c r="G185" s="3">
        <f>Data!Q185</f>
        <v>0</v>
      </c>
      <c r="H185" s="21">
        <f>Data!BF185</f>
        <v>0</v>
      </c>
      <c r="I185" s="14">
        <f t="shared" si="36"/>
        <v>0</v>
      </c>
      <c r="J185" s="17">
        <f>Data!BX185</f>
        <v>0</v>
      </c>
      <c r="K185" s="42">
        <f t="shared" si="49"/>
        <v>0</v>
      </c>
      <c r="M185" s="27">
        <f t="shared" ref="M185:N200" si="55">J185+M184</f>
        <v>506.39999999999986</v>
      </c>
      <c r="N185" s="27">
        <f t="shared" si="55"/>
        <v>458.58199999999982</v>
      </c>
    </row>
    <row r="186" spans="1:14" x14ac:dyDescent="0.2">
      <c r="A186" s="15">
        <f t="shared" si="35"/>
        <v>36705</v>
      </c>
      <c r="B186" s="1">
        <v>180</v>
      </c>
      <c r="C186" s="17">
        <f>ROUND(Data!BO186,2)</f>
        <v>0</v>
      </c>
      <c r="D186" s="3">
        <f>ROUND(Data!R186,1)</f>
        <v>21.7</v>
      </c>
      <c r="E186" s="3">
        <f>ROUND(Data!AF186,1)</f>
        <v>5.9</v>
      </c>
      <c r="F186" s="27">
        <f>Data!BT186</f>
        <v>23</v>
      </c>
      <c r="G186" s="3">
        <f>Data!Q186</f>
        <v>0</v>
      </c>
      <c r="H186" s="21">
        <f>Data!BF186</f>
        <v>0</v>
      </c>
      <c r="I186" s="14">
        <f t="shared" si="36"/>
        <v>0</v>
      </c>
      <c r="J186" s="17">
        <f>Data!BX186</f>
        <v>1.6</v>
      </c>
      <c r="K186" s="42">
        <f t="shared" si="49"/>
        <v>1.6800000000000002</v>
      </c>
      <c r="M186" s="27">
        <f t="shared" si="55"/>
        <v>507.99999999999989</v>
      </c>
      <c r="N186" s="27">
        <f t="shared" si="55"/>
        <v>460.26199999999983</v>
      </c>
    </row>
    <row r="187" spans="1:14" x14ac:dyDescent="0.2">
      <c r="A187" s="15">
        <f t="shared" si="35"/>
        <v>36706</v>
      </c>
      <c r="B187" s="1">
        <v>181</v>
      </c>
      <c r="C187" s="17">
        <f>ROUND(Data!BO187,2)</f>
        <v>0</v>
      </c>
      <c r="D187" s="3">
        <f>ROUND(Data!R187,1)</f>
        <v>19</v>
      </c>
      <c r="E187" s="3">
        <f>ROUND(Data!AF187,1)</f>
        <v>4.5</v>
      </c>
      <c r="F187" s="27">
        <f>Data!BT187</f>
        <v>26</v>
      </c>
      <c r="G187" s="3">
        <f>Data!Q187</f>
        <v>0</v>
      </c>
      <c r="H187" s="21">
        <f>Data!BF187</f>
        <v>0</v>
      </c>
      <c r="I187" s="14">
        <f t="shared" si="36"/>
        <v>0</v>
      </c>
      <c r="J187" s="17">
        <f>Data!BX187</f>
        <v>1.1000000000000001</v>
      </c>
      <c r="K187" s="42">
        <f t="shared" si="49"/>
        <v>1.1550000000000002</v>
      </c>
      <c r="M187" s="27">
        <f t="shared" si="55"/>
        <v>509.09999999999991</v>
      </c>
      <c r="N187" s="27">
        <f t="shared" si="55"/>
        <v>461.4169999999998</v>
      </c>
    </row>
    <row r="188" spans="1:14" x14ac:dyDescent="0.2">
      <c r="A188" s="15">
        <f t="shared" si="35"/>
        <v>36707</v>
      </c>
      <c r="B188" s="1">
        <v>182</v>
      </c>
      <c r="C188" s="17">
        <f>ROUND(Data!BO188,2)</f>
        <v>0</v>
      </c>
      <c r="D188" s="3">
        <f>ROUND(Data!R188,1)</f>
        <v>17.8</v>
      </c>
      <c r="E188" s="3">
        <f>ROUND(Data!AF188,1)</f>
        <v>3.7</v>
      </c>
      <c r="F188" s="27">
        <f>Data!BT188</f>
        <v>34</v>
      </c>
      <c r="G188" s="3">
        <f>Data!Q188</f>
        <v>0</v>
      </c>
      <c r="H188" s="21">
        <f>Data!BF188</f>
        <v>0</v>
      </c>
      <c r="I188" s="14">
        <f t="shared" si="36"/>
        <v>0</v>
      </c>
      <c r="J188" s="17">
        <f>Data!BX188</f>
        <v>0.3</v>
      </c>
      <c r="K188" s="42">
        <f t="shared" si="49"/>
        <v>0.315</v>
      </c>
      <c r="M188" s="27">
        <f t="shared" si="55"/>
        <v>509.39999999999992</v>
      </c>
      <c r="N188" s="27">
        <f t="shared" si="55"/>
        <v>461.7319999999998</v>
      </c>
    </row>
    <row r="189" spans="1:14" x14ac:dyDescent="0.2">
      <c r="A189" s="15">
        <f t="shared" si="35"/>
        <v>36708</v>
      </c>
      <c r="B189" s="1">
        <v>183</v>
      </c>
      <c r="C189" s="17">
        <f>ROUND(Data!BO189,2)</f>
        <v>0</v>
      </c>
      <c r="D189" s="3">
        <f>ROUND(Data!R189,1)</f>
        <v>14.6</v>
      </c>
      <c r="E189" s="3">
        <f>ROUND(Data!AF189,1)</f>
        <v>1.6</v>
      </c>
      <c r="F189" s="27">
        <f>Data!BT189</f>
        <v>41</v>
      </c>
      <c r="G189" s="3">
        <f>Data!Q189</f>
        <v>0</v>
      </c>
      <c r="H189" s="21">
        <f>Data!BF189</f>
        <v>0</v>
      </c>
      <c r="I189" s="14">
        <f t="shared" si="36"/>
        <v>0</v>
      </c>
      <c r="J189" s="17">
        <f>Data!BX189</f>
        <v>7.4</v>
      </c>
      <c r="K189" s="42">
        <f t="shared" si="49"/>
        <v>7.7700000000000005</v>
      </c>
      <c r="M189" s="27">
        <f t="shared" si="55"/>
        <v>516.79999999999995</v>
      </c>
      <c r="N189" s="27">
        <f t="shared" si="55"/>
        <v>469.50199999999978</v>
      </c>
    </row>
    <row r="190" spans="1:14" x14ac:dyDescent="0.2">
      <c r="A190" s="15">
        <f t="shared" si="35"/>
        <v>36709</v>
      </c>
      <c r="B190" s="1">
        <v>184</v>
      </c>
      <c r="C190" s="17">
        <f>ROUND(Data!BO190,2)</f>
        <v>0</v>
      </c>
      <c r="D190" s="3">
        <f>ROUND(Data!R190,1)</f>
        <v>9.8000000000000007</v>
      </c>
      <c r="E190" s="3">
        <f>ROUND(Data!AF190,1)</f>
        <v>0.9</v>
      </c>
      <c r="F190" s="27">
        <f>Data!BT190</f>
        <v>52</v>
      </c>
      <c r="G190" s="3">
        <f>Data!Q190</f>
        <v>0</v>
      </c>
      <c r="H190" s="21">
        <f>Data!BF190</f>
        <v>0</v>
      </c>
      <c r="I190" s="14">
        <f t="shared" si="36"/>
        <v>0</v>
      </c>
      <c r="J190" s="17">
        <f>Data!BX190</f>
        <v>0.8</v>
      </c>
      <c r="K190" s="42">
        <f t="shared" si="49"/>
        <v>0.84000000000000008</v>
      </c>
      <c r="M190" s="27">
        <f t="shared" si="55"/>
        <v>517.59999999999991</v>
      </c>
      <c r="N190" s="27">
        <f t="shared" si="55"/>
        <v>470.34199999999976</v>
      </c>
    </row>
    <row r="191" spans="1:14" x14ac:dyDescent="0.2">
      <c r="A191" s="15">
        <f t="shared" si="35"/>
        <v>36710</v>
      </c>
      <c r="B191" s="1">
        <v>185</v>
      </c>
      <c r="C191" s="17">
        <f>ROUND(Data!BO191,2)</f>
        <v>0</v>
      </c>
      <c r="D191" s="3">
        <f>ROUND(Data!R191,1)</f>
        <v>13.8</v>
      </c>
      <c r="E191" s="3">
        <f>ROUND(Data!AF191,1)</f>
        <v>1.2</v>
      </c>
      <c r="F191" s="27">
        <f>Data!BT191</f>
        <v>40</v>
      </c>
      <c r="G191" s="3">
        <f>Data!Q191</f>
        <v>0</v>
      </c>
      <c r="H191" s="21">
        <f>Data!BF191</f>
        <v>0</v>
      </c>
      <c r="I191" s="14">
        <f t="shared" si="36"/>
        <v>0</v>
      </c>
      <c r="J191" s="17">
        <f>Data!BX191</f>
        <v>0</v>
      </c>
      <c r="K191" s="42">
        <f t="shared" si="49"/>
        <v>0</v>
      </c>
      <c r="M191" s="27">
        <f t="shared" si="55"/>
        <v>517.59999999999991</v>
      </c>
      <c r="N191" s="27">
        <f t="shared" si="55"/>
        <v>470.34199999999976</v>
      </c>
    </row>
    <row r="192" spans="1:14" x14ac:dyDescent="0.2">
      <c r="A192" s="15">
        <f t="shared" si="35"/>
        <v>36711</v>
      </c>
      <c r="B192" s="1">
        <v>186</v>
      </c>
      <c r="C192" s="17">
        <f>ROUND(Data!BO192,2)</f>
        <v>0</v>
      </c>
      <c r="D192" s="3">
        <f>ROUND(Data!R192,1)</f>
        <v>6.5</v>
      </c>
      <c r="E192" s="3">
        <f>ROUND(Data!AF192,1)</f>
        <v>0.9</v>
      </c>
      <c r="F192" s="27">
        <f>Data!BT192</f>
        <v>82</v>
      </c>
      <c r="G192" s="3">
        <f>Data!Q192</f>
        <v>0</v>
      </c>
      <c r="H192" s="21">
        <f>Data!BF192</f>
        <v>0</v>
      </c>
      <c r="I192" s="14">
        <f t="shared" si="36"/>
        <v>0</v>
      </c>
      <c r="J192" s="17">
        <f>Data!BX192</f>
        <v>7.3</v>
      </c>
      <c r="K192" s="42">
        <f t="shared" si="49"/>
        <v>7.665</v>
      </c>
      <c r="M192" s="27">
        <f t="shared" si="55"/>
        <v>524.89999999999986</v>
      </c>
      <c r="N192" s="27">
        <f t="shared" si="55"/>
        <v>478.00699999999978</v>
      </c>
    </row>
    <row r="193" spans="1:14" x14ac:dyDescent="0.2">
      <c r="A193" s="15">
        <f t="shared" si="35"/>
        <v>36712</v>
      </c>
      <c r="B193" s="1">
        <v>187</v>
      </c>
      <c r="C193" s="17">
        <f>ROUND(Data!BO193,2)</f>
        <v>0</v>
      </c>
      <c r="D193" s="3">
        <f>ROUND(Data!R193,1)</f>
        <v>12.4</v>
      </c>
      <c r="E193" s="3">
        <f>ROUND(Data!AF193,1)</f>
        <v>2.1</v>
      </c>
      <c r="F193" s="27">
        <f>Data!BT193</f>
        <v>54</v>
      </c>
      <c r="G193" s="3">
        <f>Data!Q193</f>
        <v>0</v>
      </c>
      <c r="H193" s="21">
        <f>Data!BF193</f>
        <v>0</v>
      </c>
      <c r="I193" s="14">
        <f t="shared" si="36"/>
        <v>0</v>
      </c>
      <c r="J193" s="17">
        <f>Data!BX193</f>
        <v>0</v>
      </c>
      <c r="K193" s="42">
        <f t="shared" si="49"/>
        <v>0</v>
      </c>
      <c r="M193" s="27">
        <f t="shared" si="55"/>
        <v>524.89999999999986</v>
      </c>
      <c r="N193" s="27">
        <f t="shared" si="55"/>
        <v>478.00699999999978</v>
      </c>
    </row>
    <row r="194" spans="1:14" x14ac:dyDescent="0.2">
      <c r="A194" s="15">
        <f t="shared" si="35"/>
        <v>36713</v>
      </c>
      <c r="B194" s="1">
        <v>188</v>
      </c>
      <c r="C194" s="17">
        <f>ROUND(Data!BO194,2)</f>
        <v>0</v>
      </c>
      <c r="D194" s="3">
        <f>ROUND(Data!R194,1)</f>
        <v>14.7</v>
      </c>
      <c r="E194" s="3">
        <f>ROUND(Data!AF194,1)</f>
        <v>2.6</v>
      </c>
      <c r="F194" s="27">
        <f>Data!BT194</f>
        <v>42</v>
      </c>
      <c r="G194" s="3">
        <f>Data!Q194</f>
        <v>0</v>
      </c>
      <c r="H194" s="21">
        <f>Data!BF194</f>
        <v>0</v>
      </c>
      <c r="I194" s="14">
        <f t="shared" si="36"/>
        <v>0</v>
      </c>
      <c r="J194" s="17">
        <f>Data!BX194</f>
        <v>1.8</v>
      </c>
      <c r="K194" s="42">
        <f t="shared" si="49"/>
        <v>1.8900000000000001</v>
      </c>
      <c r="M194" s="27">
        <f t="shared" si="55"/>
        <v>526.69999999999982</v>
      </c>
      <c r="N194" s="27">
        <f t="shared" si="55"/>
        <v>479.89699999999976</v>
      </c>
    </row>
    <row r="195" spans="1:14" x14ac:dyDescent="0.2">
      <c r="A195" s="15">
        <f t="shared" si="35"/>
        <v>36714</v>
      </c>
      <c r="B195" s="1">
        <v>189</v>
      </c>
      <c r="C195" s="17">
        <f>ROUND(Data!BO195,2)</f>
        <v>0</v>
      </c>
      <c r="D195" s="3">
        <f>ROUND(Data!R195,1)</f>
        <v>15.6</v>
      </c>
      <c r="E195" s="3">
        <f>ROUND(Data!AF195,1)</f>
        <v>3.5</v>
      </c>
      <c r="F195" s="27">
        <f>Data!BT195</f>
        <v>50</v>
      </c>
      <c r="G195" s="3">
        <f>Data!Q195</f>
        <v>0</v>
      </c>
      <c r="H195" s="21">
        <f>Data!BF195</f>
        <v>0</v>
      </c>
      <c r="I195" s="14">
        <f t="shared" si="36"/>
        <v>0</v>
      </c>
      <c r="J195" s="17">
        <f>Data!BX195</f>
        <v>2.1</v>
      </c>
      <c r="K195" s="42">
        <f t="shared" si="49"/>
        <v>2.2050000000000001</v>
      </c>
      <c r="M195" s="27">
        <f t="shared" si="55"/>
        <v>528.79999999999984</v>
      </c>
      <c r="N195" s="27">
        <f t="shared" si="55"/>
        <v>482.10199999999975</v>
      </c>
    </row>
    <row r="196" spans="1:14" x14ac:dyDescent="0.2">
      <c r="A196" s="15">
        <f t="shared" si="35"/>
        <v>36715</v>
      </c>
      <c r="B196" s="1">
        <v>190</v>
      </c>
      <c r="C196" s="17">
        <f>ROUND(Data!BO196,2)</f>
        <v>0</v>
      </c>
      <c r="D196" s="3">
        <f>ROUND(Data!R196,1)</f>
        <v>16</v>
      </c>
      <c r="E196" s="3">
        <f>ROUND(Data!AF196,1)</f>
        <v>3.5</v>
      </c>
      <c r="F196" s="27">
        <f>Data!BT196</f>
        <v>39</v>
      </c>
      <c r="G196" s="3">
        <f>Data!Q196</f>
        <v>0</v>
      </c>
      <c r="H196" s="21">
        <f>Data!BF196</f>
        <v>0</v>
      </c>
      <c r="I196" s="14">
        <f t="shared" si="36"/>
        <v>0</v>
      </c>
      <c r="J196" s="17">
        <f>Data!BX196</f>
        <v>1.6</v>
      </c>
      <c r="K196" s="42">
        <f t="shared" si="49"/>
        <v>1.6800000000000002</v>
      </c>
      <c r="M196" s="27">
        <f t="shared" si="55"/>
        <v>530.39999999999986</v>
      </c>
      <c r="N196" s="27">
        <f t="shared" si="55"/>
        <v>483.78199999999975</v>
      </c>
    </row>
    <row r="197" spans="1:14" x14ac:dyDescent="0.2">
      <c r="A197" s="15">
        <f t="shared" si="35"/>
        <v>36716</v>
      </c>
      <c r="B197" s="1">
        <v>191</v>
      </c>
      <c r="C197" s="17">
        <f>ROUND(Data!BO197,2)</f>
        <v>0</v>
      </c>
      <c r="D197" s="3">
        <f>ROUND(Data!R197,1)</f>
        <v>13.4</v>
      </c>
      <c r="E197" s="3">
        <f>ROUND(Data!AF197,1)</f>
        <v>3.2</v>
      </c>
      <c r="F197" s="27">
        <f>Data!BT197</f>
        <v>62</v>
      </c>
      <c r="G197" s="3">
        <f>Data!Q197</f>
        <v>0</v>
      </c>
      <c r="H197" s="21">
        <f>Data!BF197</f>
        <v>0</v>
      </c>
      <c r="I197" s="14">
        <f t="shared" si="36"/>
        <v>0</v>
      </c>
      <c r="J197" s="17">
        <f>Data!BX197</f>
        <v>10.8</v>
      </c>
      <c r="K197" s="42">
        <f t="shared" si="49"/>
        <v>11.340000000000002</v>
      </c>
      <c r="M197" s="27">
        <f t="shared" si="55"/>
        <v>541.19999999999982</v>
      </c>
      <c r="N197" s="27">
        <f t="shared" si="55"/>
        <v>495.12199999999973</v>
      </c>
    </row>
    <row r="198" spans="1:14" x14ac:dyDescent="0.2">
      <c r="A198" s="15">
        <f t="shared" si="35"/>
        <v>36717</v>
      </c>
      <c r="B198" s="1">
        <v>192</v>
      </c>
      <c r="C198" s="17">
        <f>ROUND(Data!BO198,2)</f>
        <v>0</v>
      </c>
      <c r="D198" s="3">
        <f>ROUND(Data!R198,1)</f>
        <v>13.9</v>
      </c>
      <c r="E198" s="3">
        <f>ROUND(Data!AF198,1)</f>
        <v>3.3</v>
      </c>
      <c r="F198" s="27">
        <f>Data!BT198</f>
        <v>63</v>
      </c>
      <c r="G198" s="3">
        <f>Data!Q198</f>
        <v>0</v>
      </c>
      <c r="H198" s="21">
        <f>Data!BF198</f>
        <v>0</v>
      </c>
      <c r="I198" s="14">
        <f t="shared" si="36"/>
        <v>0</v>
      </c>
      <c r="J198" s="17">
        <f>Data!BX198</f>
        <v>0.3</v>
      </c>
      <c r="K198" s="42">
        <f t="shared" si="49"/>
        <v>0.315</v>
      </c>
      <c r="M198" s="27">
        <f t="shared" si="55"/>
        <v>541.49999999999977</v>
      </c>
      <c r="N198" s="27">
        <f t="shared" si="55"/>
        <v>495.43699999999973</v>
      </c>
    </row>
    <row r="199" spans="1:14" x14ac:dyDescent="0.2">
      <c r="A199" s="15">
        <f t="shared" si="35"/>
        <v>36718</v>
      </c>
      <c r="B199" s="1">
        <v>193</v>
      </c>
      <c r="C199" s="17">
        <f>ROUND(Data!BO199,2)</f>
        <v>0</v>
      </c>
      <c r="D199" s="3">
        <f>ROUND(Data!R199,1)</f>
        <v>17.600000000000001</v>
      </c>
      <c r="E199" s="3">
        <f>ROUND(Data!AF199,1)</f>
        <v>4</v>
      </c>
      <c r="F199" s="27">
        <f>Data!BT199</f>
        <v>37</v>
      </c>
      <c r="G199" s="3">
        <f>Data!Q199</f>
        <v>0</v>
      </c>
      <c r="H199" s="21">
        <f>Data!BF199</f>
        <v>0</v>
      </c>
      <c r="I199" s="14">
        <f t="shared" si="36"/>
        <v>0</v>
      </c>
      <c r="J199" s="17">
        <f>Data!BX199</f>
        <v>0</v>
      </c>
      <c r="K199" s="42">
        <f t="shared" si="49"/>
        <v>0</v>
      </c>
      <c r="M199" s="27">
        <f t="shared" si="55"/>
        <v>541.49999999999977</v>
      </c>
      <c r="N199" s="27">
        <f t="shared" si="55"/>
        <v>495.43699999999973</v>
      </c>
    </row>
    <row r="200" spans="1:14" x14ac:dyDescent="0.2">
      <c r="A200" s="15">
        <f t="shared" ref="A200:A263" si="56">A199+1</f>
        <v>36719</v>
      </c>
      <c r="B200" s="1">
        <v>194</v>
      </c>
      <c r="C200" s="17">
        <f>ROUND(Data!BO200,2)</f>
        <v>0</v>
      </c>
      <c r="D200" s="3">
        <f>ROUND(Data!R200,1)</f>
        <v>20.7</v>
      </c>
      <c r="E200" s="3">
        <f>ROUND(Data!AF200,1)</f>
        <v>4.5</v>
      </c>
      <c r="F200" s="27">
        <f>Data!BT200</f>
        <v>25</v>
      </c>
      <c r="G200" s="3">
        <f>Data!Q200</f>
        <v>0</v>
      </c>
      <c r="H200" s="21">
        <f>Data!BF200</f>
        <v>0</v>
      </c>
      <c r="I200" s="14">
        <f t="shared" ref="I200:I263" si="57">IF(H200&gt;H199,ROUND((H200-H199)*I$1,1),0)</f>
        <v>0</v>
      </c>
      <c r="J200" s="17">
        <f>Data!BX200</f>
        <v>0</v>
      </c>
      <c r="K200" s="42">
        <f t="shared" si="49"/>
        <v>0</v>
      </c>
      <c r="M200" s="27">
        <f t="shared" si="55"/>
        <v>541.49999999999977</v>
      </c>
      <c r="N200" s="27">
        <f t="shared" si="55"/>
        <v>495.43699999999973</v>
      </c>
    </row>
    <row r="201" spans="1:14" x14ac:dyDescent="0.2">
      <c r="A201" s="15">
        <f t="shared" si="56"/>
        <v>36720</v>
      </c>
      <c r="B201" s="1">
        <v>195</v>
      </c>
      <c r="C201" s="17">
        <f>ROUND(Data!BO201,2)</f>
        <v>0</v>
      </c>
      <c r="D201" s="3">
        <f>ROUND(Data!R201,1)</f>
        <v>20.6</v>
      </c>
      <c r="E201" s="3">
        <f>ROUND(Data!AF201,1)</f>
        <v>5</v>
      </c>
      <c r="F201" s="27">
        <f>Data!BT201</f>
        <v>27</v>
      </c>
      <c r="G201" s="3">
        <f>Data!Q201</f>
        <v>0</v>
      </c>
      <c r="H201" s="21">
        <f>Data!BF201</f>
        <v>0</v>
      </c>
      <c r="I201" s="14">
        <f t="shared" si="57"/>
        <v>0</v>
      </c>
      <c r="J201" s="17">
        <f>Data!BX201</f>
        <v>0</v>
      </c>
      <c r="K201" s="42">
        <f t="shared" si="49"/>
        <v>0</v>
      </c>
      <c r="M201" s="27">
        <f t="shared" ref="M201:N216" si="58">J201+M200</f>
        <v>541.49999999999977</v>
      </c>
      <c r="N201" s="27">
        <f t="shared" si="58"/>
        <v>495.43699999999973</v>
      </c>
    </row>
    <row r="202" spans="1:14" x14ac:dyDescent="0.2">
      <c r="A202" s="15">
        <f t="shared" si="56"/>
        <v>36721</v>
      </c>
      <c r="B202" s="1">
        <v>196</v>
      </c>
      <c r="C202" s="17">
        <f>ROUND(Data!BO202,2)</f>
        <v>0</v>
      </c>
      <c r="D202" s="3">
        <f>ROUND(Data!R202,1)</f>
        <v>15.5</v>
      </c>
      <c r="E202" s="3">
        <f>ROUND(Data!AF202,1)</f>
        <v>2.6</v>
      </c>
      <c r="F202" s="27">
        <f>Data!BT202</f>
        <v>31</v>
      </c>
      <c r="G202" s="3">
        <f>Data!Q202</f>
        <v>0</v>
      </c>
      <c r="H202" s="21">
        <f>Data!BF202</f>
        <v>0</v>
      </c>
      <c r="I202" s="14">
        <f t="shared" si="57"/>
        <v>0</v>
      </c>
      <c r="J202" s="17">
        <f>Data!BX202</f>
        <v>3.8</v>
      </c>
      <c r="K202" s="42">
        <f t="shared" si="49"/>
        <v>3.9899999999999998</v>
      </c>
      <c r="M202" s="27">
        <f t="shared" si="58"/>
        <v>545.29999999999973</v>
      </c>
      <c r="N202" s="27">
        <f t="shared" si="58"/>
        <v>499.42699999999974</v>
      </c>
    </row>
    <row r="203" spans="1:14" x14ac:dyDescent="0.2">
      <c r="A203" s="15">
        <f t="shared" si="56"/>
        <v>36722</v>
      </c>
      <c r="B203" s="1">
        <v>197</v>
      </c>
      <c r="C203" s="17">
        <f>ROUND(Data!BO203,2)</f>
        <v>0</v>
      </c>
      <c r="D203" s="3">
        <f>ROUND(Data!R203,1)</f>
        <v>13.5</v>
      </c>
      <c r="E203" s="3">
        <f>ROUND(Data!AF203,1)</f>
        <v>2.7</v>
      </c>
      <c r="F203" s="27">
        <f>Data!BT203</f>
        <v>42</v>
      </c>
      <c r="G203" s="3">
        <f>Data!Q203</f>
        <v>0</v>
      </c>
      <c r="H203" s="21">
        <f>Data!BF203</f>
        <v>0</v>
      </c>
      <c r="I203" s="14">
        <f t="shared" si="57"/>
        <v>0</v>
      </c>
      <c r="J203" s="17">
        <f>Data!BX203</f>
        <v>0.8</v>
      </c>
      <c r="K203" s="42">
        <f t="shared" si="49"/>
        <v>0.84000000000000008</v>
      </c>
      <c r="M203" s="27">
        <f t="shared" si="58"/>
        <v>546.09999999999968</v>
      </c>
      <c r="N203" s="27">
        <f t="shared" si="58"/>
        <v>500.26699999999971</v>
      </c>
    </row>
    <row r="204" spans="1:14" x14ac:dyDescent="0.2">
      <c r="A204" s="15">
        <f t="shared" si="56"/>
        <v>36723</v>
      </c>
      <c r="B204" s="1">
        <v>198</v>
      </c>
      <c r="C204" s="17">
        <f>ROUND(Data!BO204,2)</f>
        <v>0</v>
      </c>
      <c r="D204" s="3">
        <f>ROUND(Data!R204,1)</f>
        <v>17.5</v>
      </c>
      <c r="E204" s="3">
        <f>ROUND(Data!AF204,1)</f>
        <v>2.9</v>
      </c>
      <c r="F204" s="27">
        <f>Data!BT204</f>
        <v>31</v>
      </c>
      <c r="G204" s="3">
        <f>Data!Q204</f>
        <v>0</v>
      </c>
      <c r="H204" s="21">
        <f>Data!BF204</f>
        <v>0</v>
      </c>
      <c r="I204" s="14">
        <f t="shared" si="57"/>
        <v>0</v>
      </c>
      <c r="J204" s="17">
        <f>Data!BX204</f>
        <v>0</v>
      </c>
      <c r="K204" s="42">
        <f t="shared" si="49"/>
        <v>0</v>
      </c>
      <c r="M204" s="27">
        <f t="shared" si="58"/>
        <v>546.09999999999968</v>
      </c>
      <c r="N204" s="27">
        <f t="shared" si="58"/>
        <v>500.26699999999971</v>
      </c>
    </row>
    <row r="205" spans="1:14" x14ac:dyDescent="0.2">
      <c r="A205" s="15">
        <f t="shared" si="56"/>
        <v>36724</v>
      </c>
      <c r="B205" s="1">
        <v>199</v>
      </c>
      <c r="C205" s="17">
        <f>ROUND(Data!BO205,2)</f>
        <v>0</v>
      </c>
      <c r="D205" s="3">
        <f>ROUND(Data!R205,1)</f>
        <v>21.4</v>
      </c>
      <c r="E205" s="3">
        <f>ROUND(Data!AF205,1)</f>
        <v>4.5</v>
      </c>
      <c r="F205" s="27">
        <f>Data!BT205</f>
        <v>22</v>
      </c>
      <c r="G205" s="3">
        <f>Data!Q205</f>
        <v>0</v>
      </c>
      <c r="H205" s="21">
        <f>Data!BF205</f>
        <v>0</v>
      </c>
      <c r="I205" s="14">
        <f t="shared" si="57"/>
        <v>0</v>
      </c>
      <c r="J205" s="17">
        <f>Data!BX205</f>
        <v>0</v>
      </c>
      <c r="K205" s="42">
        <f t="shared" si="49"/>
        <v>0</v>
      </c>
      <c r="M205" s="27">
        <f t="shared" si="58"/>
        <v>546.09999999999968</v>
      </c>
      <c r="N205" s="27">
        <f t="shared" si="58"/>
        <v>500.26699999999971</v>
      </c>
    </row>
    <row r="206" spans="1:14" x14ac:dyDescent="0.2">
      <c r="A206" s="15">
        <f t="shared" si="56"/>
        <v>36725</v>
      </c>
      <c r="B206" s="1">
        <v>200</v>
      </c>
      <c r="C206" s="17">
        <f>ROUND(Data!BO206,2)</f>
        <v>0</v>
      </c>
      <c r="D206" s="3">
        <f>ROUND(Data!R206,1)</f>
        <v>21.7</v>
      </c>
      <c r="E206" s="3">
        <f>ROUND(Data!AF206,1)</f>
        <v>6.7</v>
      </c>
      <c r="F206" s="27">
        <f>Data!BT206</f>
        <v>22</v>
      </c>
      <c r="G206" s="3">
        <f>Data!Q206</f>
        <v>0</v>
      </c>
      <c r="H206" s="21">
        <f>Data!BF206</f>
        <v>0</v>
      </c>
      <c r="I206" s="14">
        <f t="shared" si="57"/>
        <v>0</v>
      </c>
      <c r="J206" s="17">
        <f>Data!BX206</f>
        <v>0</v>
      </c>
      <c r="K206" s="42">
        <f t="shared" si="49"/>
        <v>0</v>
      </c>
      <c r="M206" s="27">
        <f t="shared" si="58"/>
        <v>546.09999999999968</v>
      </c>
      <c r="N206" s="27">
        <f t="shared" si="58"/>
        <v>500.26699999999971</v>
      </c>
    </row>
    <row r="207" spans="1:14" x14ac:dyDescent="0.2">
      <c r="A207" s="15">
        <f t="shared" si="56"/>
        <v>36726</v>
      </c>
      <c r="B207" s="1">
        <v>201</v>
      </c>
      <c r="C207" s="17">
        <f>ROUND(Data!BO207,2)</f>
        <v>0</v>
      </c>
      <c r="D207" s="3">
        <f>ROUND(Data!R207,1)</f>
        <v>21.8</v>
      </c>
      <c r="E207" s="3">
        <f>ROUND(Data!AF207,1)</f>
        <v>6.5</v>
      </c>
      <c r="F207" s="27">
        <f>Data!BT207</f>
        <v>28</v>
      </c>
      <c r="G207" s="3">
        <f>Data!Q207</f>
        <v>0</v>
      </c>
      <c r="H207" s="21">
        <f>Data!BF207</f>
        <v>0</v>
      </c>
      <c r="I207" s="14">
        <f t="shared" si="57"/>
        <v>0</v>
      </c>
      <c r="J207" s="17">
        <f>Data!BX207</f>
        <v>0</v>
      </c>
      <c r="K207" s="42">
        <f t="shared" si="49"/>
        <v>0</v>
      </c>
      <c r="M207" s="27">
        <f t="shared" si="58"/>
        <v>546.09999999999968</v>
      </c>
      <c r="N207" s="27">
        <f t="shared" si="58"/>
        <v>500.26699999999971</v>
      </c>
    </row>
    <row r="208" spans="1:14" x14ac:dyDescent="0.2">
      <c r="A208" s="15">
        <f t="shared" si="56"/>
        <v>36727</v>
      </c>
      <c r="B208" s="1">
        <v>202</v>
      </c>
      <c r="C208" s="17">
        <f>ROUND(Data!BO208,2)</f>
        <v>0</v>
      </c>
      <c r="D208" s="3">
        <f>ROUND(Data!R208,1)</f>
        <v>21.4</v>
      </c>
      <c r="E208" s="3">
        <f>ROUND(Data!AF208,1)</f>
        <v>6</v>
      </c>
      <c r="F208" s="27">
        <f>Data!BT208</f>
        <v>38</v>
      </c>
      <c r="G208" s="3">
        <f>Data!Q208</f>
        <v>0</v>
      </c>
      <c r="H208" s="21">
        <f>Data!BF208</f>
        <v>0</v>
      </c>
      <c r="I208" s="14">
        <f t="shared" si="57"/>
        <v>0</v>
      </c>
      <c r="J208" s="17">
        <f>Data!BX208</f>
        <v>2</v>
      </c>
      <c r="K208" s="42">
        <f t="shared" si="49"/>
        <v>2.1</v>
      </c>
      <c r="M208" s="27">
        <f t="shared" si="58"/>
        <v>548.09999999999968</v>
      </c>
      <c r="N208" s="27">
        <f t="shared" si="58"/>
        <v>502.36699999999973</v>
      </c>
    </row>
    <row r="209" spans="1:14" x14ac:dyDescent="0.2">
      <c r="A209" s="15">
        <f t="shared" si="56"/>
        <v>36728</v>
      </c>
      <c r="B209" s="1">
        <v>203</v>
      </c>
      <c r="C209" s="17">
        <f>ROUND(Data!BO209,2)</f>
        <v>0</v>
      </c>
      <c r="D209" s="3">
        <f>ROUND(Data!R209,1)</f>
        <v>23.3</v>
      </c>
      <c r="E209" s="3">
        <f>ROUND(Data!AF209,1)</f>
        <v>5.5</v>
      </c>
      <c r="F209" s="27">
        <f>Data!BT209</f>
        <v>26</v>
      </c>
      <c r="G209" s="3">
        <f>Data!Q209</f>
        <v>0</v>
      </c>
      <c r="H209" s="21">
        <f>Data!BF209</f>
        <v>0</v>
      </c>
      <c r="I209" s="14">
        <f t="shared" si="57"/>
        <v>0</v>
      </c>
      <c r="J209" s="17">
        <f>Data!BX209</f>
        <v>0</v>
      </c>
      <c r="K209" s="42">
        <f t="shared" si="49"/>
        <v>0</v>
      </c>
      <c r="M209" s="27">
        <f t="shared" si="58"/>
        <v>548.09999999999968</v>
      </c>
      <c r="N209" s="27">
        <f t="shared" si="58"/>
        <v>502.36699999999973</v>
      </c>
    </row>
    <row r="210" spans="1:14" x14ac:dyDescent="0.2">
      <c r="A210" s="15">
        <f t="shared" si="56"/>
        <v>36729</v>
      </c>
      <c r="B210" s="1">
        <v>204</v>
      </c>
      <c r="C210" s="17">
        <f>ROUND(Data!BO210,2)</f>
        <v>0</v>
      </c>
      <c r="D210" s="3">
        <f>ROUND(Data!R210,1)</f>
        <v>20</v>
      </c>
      <c r="E210" s="3">
        <f>ROUND(Data!AF210,1)</f>
        <v>4.4000000000000004</v>
      </c>
      <c r="F210" s="27">
        <f>Data!BT210</f>
        <v>39</v>
      </c>
      <c r="G210" s="3">
        <f>Data!Q210</f>
        <v>0</v>
      </c>
      <c r="H210" s="21">
        <f>Data!BF210</f>
        <v>0</v>
      </c>
      <c r="I210" s="14">
        <f t="shared" si="57"/>
        <v>0</v>
      </c>
      <c r="J210" s="17">
        <f>Data!BX210</f>
        <v>25.4</v>
      </c>
      <c r="K210" s="42">
        <f t="shared" si="49"/>
        <v>26.669999999999998</v>
      </c>
      <c r="M210" s="27">
        <f t="shared" si="58"/>
        <v>573.49999999999966</v>
      </c>
      <c r="N210" s="27">
        <f t="shared" si="58"/>
        <v>529.03699999999969</v>
      </c>
    </row>
    <row r="211" spans="1:14" x14ac:dyDescent="0.2">
      <c r="A211" s="15">
        <f t="shared" si="56"/>
        <v>36730</v>
      </c>
      <c r="B211" s="1">
        <v>205</v>
      </c>
      <c r="C211" s="17">
        <f>ROUND(Data!BO211,2)</f>
        <v>0</v>
      </c>
      <c r="D211" s="3">
        <f>ROUND(Data!R211,1)</f>
        <v>12.7</v>
      </c>
      <c r="E211" s="3">
        <f>ROUND(Data!AF211,1)</f>
        <v>3.9</v>
      </c>
      <c r="F211" s="27">
        <f>Data!BT211</f>
        <v>69</v>
      </c>
      <c r="G211" s="3">
        <f>Data!Q211</f>
        <v>0</v>
      </c>
      <c r="H211" s="21">
        <f>Data!BF211</f>
        <v>0</v>
      </c>
      <c r="I211" s="14">
        <f t="shared" si="57"/>
        <v>0</v>
      </c>
      <c r="J211" s="17">
        <f>Data!BX211</f>
        <v>5.7</v>
      </c>
      <c r="K211" s="42">
        <f t="shared" si="49"/>
        <v>5.9850000000000003</v>
      </c>
      <c r="M211" s="27">
        <f t="shared" si="58"/>
        <v>579.1999999999997</v>
      </c>
      <c r="N211" s="27">
        <f t="shared" si="58"/>
        <v>535.02199999999971</v>
      </c>
    </row>
    <row r="212" spans="1:14" x14ac:dyDescent="0.2">
      <c r="A212" s="15">
        <f t="shared" si="56"/>
        <v>36731</v>
      </c>
      <c r="B212" s="1">
        <v>206</v>
      </c>
      <c r="C212" s="17">
        <f>ROUND(Data!BO212,2)</f>
        <v>0</v>
      </c>
      <c r="D212" s="3">
        <f>ROUND(Data!R212,1)</f>
        <v>18.600000000000001</v>
      </c>
      <c r="E212" s="3">
        <f>ROUND(Data!AF212,1)</f>
        <v>3.6</v>
      </c>
      <c r="F212" s="27">
        <f>Data!BT212</f>
        <v>43</v>
      </c>
      <c r="G212" s="3">
        <f>Data!Q212</f>
        <v>0</v>
      </c>
      <c r="H212" s="21">
        <f>Data!BF212</f>
        <v>0</v>
      </c>
      <c r="I212" s="14">
        <f t="shared" si="57"/>
        <v>0</v>
      </c>
      <c r="J212" s="17">
        <f>Data!BX212</f>
        <v>0</v>
      </c>
      <c r="K212" s="42">
        <f t="shared" si="49"/>
        <v>0</v>
      </c>
      <c r="M212" s="27">
        <f t="shared" si="58"/>
        <v>579.1999999999997</v>
      </c>
      <c r="N212" s="27">
        <f t="shared" si="58"/>
        <v>535.02199999999971</v>
      </c>
    </row>
    <row r="213" spans="1:14" x14ac:dyDescent="0.2">
      <c r="A213" s="15">
        <f t="shared" si="56"/>
        <v>36732</v>
      </c>
      <c r="B213" s="1">
        <v>207</v>
      </c>
      <c r="C213" s="17">
        <f>ROUND(Data!BO213,2)</f>
        <v>0</v>
      </c>
      <c r="D213" s="3">
        <f>ROUND(Data!R213,1)</f>
        <v>16.2</v>
      </c>
      <c r="E213" s="3">
        <f>ROUND(Data!AF213,1)</f>
        <v>3.4</v>
      </c>
      <c r="F213" s="27">
        <f>Data!BT213</f>
        <v>51</v>
      </c>
      <c r="G213" s="3">
        <f>Data!Q213</f>
        <v>0</v>
      </c>
      <c r="H213" s="21">
        <f>Data!BF213</f>
        <v>0</v>
      </c>
      <c r="I213" s="14">
        <f t="shared" si="57"/>
        <v>0</v>
      </c>
      <c r="J213" s="17">
        <f>Data!BX213</f>
        <v>2.2999999999999998</v>
      </c>
      <c r="K213" s="42">
        <f t="shared" si="49"/>
        <v>2.415</v>
      </c>
      <c r="M213" s="27">
        <f t="shared" si="58"/>
        <v>581.49999999999966</v>
      </c>
      <c r="N213" s="27">
        <f t="shared" si="58"/>
        <v>537.43699999999967</v>
      </c>
    </row>
    <row r="214" spans="1:14" x14ac:dyDescent="0.2">
      <c r="A214" s="15">
        <f t="shared" si="56"/>
        <v>36733</v>
      </c>
      <c r="B214" s="1">
        <v>208</v>
      </c>
      <c r="C214" s="17">
        <f>ROUND(Data!BO214,2)</f>
        <v>0</v>
      </c>
      <c r="D214" s="3">
        <f>ROUND(Data!R214,1)</f>
        <v>18.2</v>
      </c>
      <c r="E214" s="3">
        <f>ROUND(Data!AF214,1)</f>
        <v>3.4</v>
      </c>
      <c r="F214" s="27">
        <f>Data!BT214</f>
        <v>43</v>
      </c>
      <c r="G214" s="3">
        <f>Data!Q214</f>
        <v>0</v>
      </c>
      <c r="H214" s="21">
        <f>Data!BF214</f>
        <v>0</v>
      </c>
      <c r="I214" s="14">
        <f t="shared" si="57"/>
        <v>0</v>
      </c>
      <c r="J214" s="17">
        <f>Data!BX214</f>
        <v>1.5</v>
      </c>
      <c r="K214" s="42">
        <f t="shared" si="49"/>
        <v>1.5750000000000002</v>
      </c>
      <c r="M214" s="27">
        <f t="shared" si="58"/>
        <v>582.99999999999966</v>
      </c>
      <c r="N214" s="27">
        <f t="shared" si="58"/>
        <v>539.01199999999972</v>
      </c>
    </row>
    <row r="215" spans="1:14" x14ac:dyDescent="0.2">
      <c r="A215" s="15">
        <f t="shared" si="56"/>
        <v>36734</v>
      </c>
      <c r="B215" s="1">
        <v>209</v>
      </c>
      <c r="C215" s="17">
        <f>ROUND(Data!BO215,2)</f>
        <v>0</v>
      </c>
      <c r="D215" s="3">
        <f>ROUND(Data!R215,1)</f>
        <v>15</v>
      </c>
      <c r="E215" s="3">
        <f>ROUND(Data!AF215,1)</f>
        <v>3.2</v>
      </c>
      <c r="F215" s="27">
        <f>Data!BT215</f>
        <v>60</v>
      </c>
      <c r="G215" s="3">
        <f>Data!Q215</f>
        <v>0</v>
      </c>
      <c r="H215" s="21">
        <f>Data!BF215</f>
        <v>0</v>
      </c>
      <c r="I215" s="14">
        <f t="shared" si="57"/>
        <v>0</v>
      </c>
      <c r="J215" s="17">
        <f>Data!BX215</f>
        <v>1.1000000000000001</v>
      </c>
      <c r="K215" s="42">
        <f t="shared" si="49"/>
        <v>1.1550000000000002</v>
      </c>
      <c r="M215" s="27">
        <f t="shared" si="58"/>
        <v>584.09999999999968</v>
      </c>
      <c r="N215" s="27">
        <f t="shared" si="58"/>
        <v>540.16699999999969</v>
      </c>
    </row>
    <row r="216" spans="1:14" x14ac:dyDescent="0.2">
      <c r="A216" s="15">
        <f t="shared" si="56"/>
        <v>36735</v>
      </c>
      <c r="B216" s="1">
        <v>210</v>
      </c>
      <c r="C216" s="17">
        <f>ROUND(Data!BO216,2)</f>
        <v>0</v>
      </c>
      <c r="D216" s="3">
        <f>ROUND(Data!R216,1)</f>
        <v>15.8</v>
      </c>
      <c r="E216" s="3">
        <f>ROUND(Data!AF216,1)</f>
        <v>4</v>
      </c>
      <c r="F216" s="27">
        <f>Data!BT216</f>
        <v>53</v>
      </c>
      <c r="G216" s="3">
        <f>Data!Q216</f>
        <v>0</v>
      </c>
      <c r="H216" s="21">
        <f>Data!BF216</f>
        <v>0</v>
      </c>
      <c r="I216" s="14">
        <f t="shared" si="57"/>
        <v>0</v>
      </c>
      <c r="J216" s="17">
        <f>Data!BX216</f>
        <v>9.6</v>
      </c>
      <c r="K216" s="42">
        <f t="shared" si="49"/>
        <v>10.08</v>
      </c>
      <c r="M216" s="27">
        <f t="shared" si="58"/>
        <v>593.6999999999997</v>
      </c>
      <c r="N216" s="27">
        <f t="shared" si="58"/>
        <v>550.24699999999973</v>
      </c>
    </row>
    <row r="217" spans="1:14" x14ac:dyDescent="0.2">
      <c r="A217" s="15">
        <f t="shared" si="56"/>
        <v>36736</v>
      </c>
      <c r="B217" s="1">
        <v>211</v>
      </c>
      <c r="C217" s="17">
        <f>ROUND(Data!BO217,2)</f>
        <v>0</v>
      </c>
      <c r="D217" s="3">
        <f>ROUND(Data!R217,1)</f>
        <v>18.600000000000001</v>
      </c>
      <c r="E217" s="3">
        <f>ROUND(Data!AF217,1)</f>
        <v>3.4</v>
      </c>
      <c r="F217" s="27">
        <f>Data!BT217</f>
        <v>35</v>
      </c>
      <c r="G217" s="3">
        <f>Data!Q217</f>
        <v>0</v>
      </c>
      <c r="H217" s="21">
        <f>Data!BF217</f>
        <v>0</v>
      </c>
      <c r="I217" s="14">
        <f t="shared" si="57"/>
        <v>0</v>
      </c>
      <c r="J217" s="17">
        <f>Data!BX217</f>
        <v>0.3</v>
      </c>
      <c r="K217" s="42">
        <f t="shared" si="49"/>
        <v>0.315</v>
      </c>
      <c r="M217" s="27">
        <f t="shared" ref="M217:N232" si="59">J217+M216</f>
        <v>593.99999999999966</v>
      </c>
      <c r="N217" s="27">
        <f t="shared" si="59"/>
        <v>550.56199999999978</v>
      </c>
    </row>
    <row r="218" spans="1:14" x14ac:dyDescent="0.2">
      <c r="A218" s="15">
        <f t="shared" si="56"/>
        <v>36737</v>
      </c>
      <c r="B218" s="1">
        <v>212</v>
      </c>
      <c r="C218" s="17">
        <f>ROUND(Data!BO218,2)</f>
        <v>0</v>
      </c>
      <c r="D218" s="3">
        <f>ROUND(Data!R218,1)</f>
        <v>19.100000000000001</v>
      </c>
      <c r="E218" s="3">
        <f>ROUND(Data!AF218,1)</f>
        <v>2.2999999999999998</v>
      </c>
      <c r="F218" s="27">
        <f>Data!BT218</f>
        <v>35</v>
      </c>
      <c r="G218" s="3">
        <f>Data!Q218</f>
        <v>0</v>
      </c>
      <c r="H218" s="21">
        <f>Data!BF218</f>
        <v>0</v>
      </c>
      <c r="I218" s="14">
        <f t="shared" si="57"/>
        <v>0</v>
      </c>
      <c r="J218" s="17">
        <f>Data!BX218</f>
        <v>0</v>
      </c>
      <c r="K218" s="42">
        <f t="shared" si="49"/>
        <v>0</v>
      </c>
      <c r="M218" s="27">
        <f t="shared" si="59"/>
        <v>593.99999999999966</v>
      </c>
      <c r="N218" s="27">
        <f t="shared" si="59"/>
        <v>550.56199999999978</v>
      </c>
    </row>
    <row r="219" spans="1:14" x14ac:dyDescent="0.2">
      <c r="A219" s="15">
        <f t="shared" si="56"/>
        <v>36738</v>
      </c>
      <c r="B219" s="1">
        <v>213</v>
      </c>
      <c r="C219" s="17">
        <f>ROUND(Data!BO219,2)</f>
        <v>0</v>
      </c>
      <c r="D219" s="3">
        <f>ROUND(Data!R219,1)</f>
        <v>18.600000000000001</v>
      </c>
      <c r="E219" s="3">
        <f>ROUND(Data!AF219,1)</f>
        <v>4.4000000000000004</v>
      </c>
      <c r="F219" s="27">
        <f>Data!BT219</f>
        <v>35</v>
      </c>
      <c r="G219" s="3">
        <f>Data!Q219</f>
        <v>0</v>
      </c>
      <c r="H219" s="21">
        <f>Data!BF219</f>
        <v>0</v>
      </c>
      <c r="I219" s="14">
        <f t="shared" si="57"/>
        <v>0</v>
      </c>
      <c r="J219" s="17">
        <f>Data!BX219</f>
        <v>0</v>
      </c>
      <c r="K219" s="42">
        <f t="shared" si="49"/>
        <v>0</v>
      </c>
      <c r="M219" s="27">
        <f t="shared" si="59"/>
        <v>593.99999999999966</v>
      </c>
      <c r="N219" s="27">
        <f t="shared" si="59"/>
        <v>550.56199999999978</v>
      </c>
    </row>
    <row r="220" spans="1:14" x14ac:dyDescent="0.2">
      <c r="A220" s="15">
        <f t="shared" si="56"/>
        <v>36739</v>
      </c>
      <c r="B220" s="1">
        <v>214</v>
      </c>
      <c r="C220" s="17">
        <f>ROUND(Data!BO220,2)</f>
        <v>0</v>
      </c>
      <c r="D220" s="3">
        <f>ROUND(Data!R220,1)</f>
        <v>18.2</v>
      </c>
      <c r="E220" s="3">
        <f>ROUND(Data!AF220,1)</f>
        <v>5.4</v>
      </c>
      <c r="F220" s="27">
        <f>Data!BT220</f>
        <v>31</v>
      </c>
      <c r="G220" s="3">
        <f>Data!Q220</f>
        <v>0</v>
      </c>
      <c r="H220" s="21">
        <f>Data!BF220</f>
        <v>0</v>
      </c>
      <c r="I220" s="14">
        <f t="shared" si="57"/>
        <v>0</v>
      </c>
      <c r="J220" s="17">
        <f>Data!BX220</f>
        <v>0</v>
      </c>
      <c r="K220" s="42">
        <f t="shared" si="49"/>
        <v>0</v>
      </c>
      <c r="M220" s="27">
        <f t="shared" si="59"/>
        <v>593.99999999999966</v>
      </c>
      <c r="N220" s="27">
        <f t="shared" si="59"/>
        <v>550.56199999999978</v>
      </c>
    </row>
    <row r="221" spans="1:14" x14ac:dyDescent="0.2">
      <c r="A221" s="15">
        <f t="shared" si="56"/>
        <v>36740</v>
      </c>
      <c r="B221" s="1">
        <v>215</v>
      </c>
      <c r="C221" s="17">
        <f>ROUND(Data!BO221,2)</f>
        <v>0</v>
      </c>
      <c r="D221" s="3">
        <f>ROUND(Data!R221,1)</f>
        <v>18.899999999999999</v>
      </c>
      <c r="E221" s="3">
        <f>ROUND(Data!AF221,1)</f>
        <v>5</v>
      </c>
      <c r="F221" s="27">
        <f>Data!BT221</f>
        <v>33</v>
      </c>
      <c r="G221" s="3">
        <f>Data!Q221</f>
        <v>0</v>
      </c>
      <c r="H221" s="21">
        <f>Data!BF221</f>
        <v>0</v>
      </c>
      <c r="I221" s="14">
        <f t="shared" si="57"/>
        <v>0</v>
      </c>
      <c r="J221" s="17">
        <f>Data!BX221</f>
        <v>0</v>
      </c>
      <c r="K221" s="42">
        <f t="shared" si="49"/>
        <v>0</v>
      </c>
      <c r="M221" s="27">
        <f t="shared" si="59"/>
        <v>593.99999999999966</v>
      </c>
      <c r="N221" s="27">
        <f t="shared" si="59"/>
        <v>550.56199999999978</v>
      </c>
    </row>
    <row r="222" spans="1:14" x14ac:dyDescent="0.2">
      <c r="A222" s="15">
        <f t="shared" si="56"/>
        <v>36741</v>
      </c>
      <c r="B222" s="1">
        <v>216</v>
      </c>
      <c r="C222" s="17">
        <f>ROUND(Data!BO222,2)</f>
        <v>0</v>
      </c>
      <c r="D222" s="3">
        <f>ROUND(Data!R222,1)</f>
        <v>19.8</v>
      </c>
      <c r="E222" s="3">
        <f>ROUND(Data!AF222,1)</f>
        <v>5.3</v>
      </c>
      <c r="F222" s="27">
        <f>Data!BT222</f>
        <v>43</v>
      </c>
      <c r="G222" s="3">
        <f>Data!Q222</f>
        <v>0</v>
      </c>
      <c r="H222" s="21">
        <f>Data!BF222</f>
        <v>0</v>
      </c>
      <c r="I222" s="14">
        <f t="shared" si="57"/>
        <v>0</v>
      </c>
      <c r="J222" s="17">
        <f>Data!BX222</f>
        <v>0</v>
      </c>
      <c r="K222" s="42">
        <f t="shared" ref="K222:K279" si="60">J222*L$3</f>
        <v>0</v>
      </c>
      <c r="M222" s="27">
        <f t="shared" si="59"/>
        <v>593.99999999999966</v>
      </c>
      <c r="N222" s="27">
        <f t="shared" si="59"/>
        <v>550.56199999999978</v>
      </c>
    </row>
    <row r="223" spans="1:14" x14ac:dyDescent="0.2">
      <c r="A223" s="15">
        <f t="shared" si="56"/>
        <v>36742</v>
      </c>
      <c r="B223" s="1">
        <v>217</v>
      </c>
      <c r="C223" s="17">
        <f>ROUND(Data!BO223,2)</f>
        <v>0</v>
      </c>
      <c r="D223" s="3">
        <f>ROUND(Data!R223,1)</f>
        <v>21.7</v>
      </c>
      <c r="E223" s="3">
        <f>ROUND(Data!AF223,1)</f>
        <v>6.4</v>
      </c>
      <c r="F223" s="27">
        <f>Data!BT223</f>
        <v>32</v>
      </c>
      <c r="G223" s="3">
        <f>Data!Q223</f>
        <v>0</v>
      </c>
      <c r="H223" s="21">
        <f>Data!BF223</f>
        <v>0</v>
      </c>
      <c r="I223" s="14">
        <f t="shared" si="57"/>
        <v>0</v>
      </c>
      <c r="J223" s="17">
        <f>Data!BX223</f>
        <v>0</v>
      </c>
      <c r="K223" s="42">
        <f t="shared" si="60"/>
        <v>0</v>
      </c>
      <c r="M223" s="27">
        <f t="shared" si="59"/>
        <v>593.99999999999966</v>
      </c>
      <c r="N223" s="27">
        <f t="shared" si="59"/>
        <v>550.56199999999978</v>
      </c>
    </row>
    <row r="224" spans="1:14" x14ac:dyDescent="0.2">
      <c r="A224" s="15">
        <f t="shared" si="56"/>
        <v>36743</v>
      </c>
      <c r="B224" s="1">
        <v>218</v>
      </c>
      <c r="C224" s="17">
        <f>ROUND(Data!BO224,2)</f>
        <v>0</v>
      </c>
      <c r="D224" s="3">
        <f>ROUND(Data!R224,1)</f>
        <v>23.3</v>
      </c>
      <c r="E224" s="3">
        <f>ROUND(Data!AF224,1)</f>
        <v>6.4</v>
      </c>
      <c r="F224" s="27">
        <f>Data!BT224</f>
        <v>31</v>
      </c>
      <c r="G224" s="3">
        <f>Data!Q224</f>
        <v>0</v>
      </c>
      <c r="H224" s="21">
        <f>Data!BF224</f>
        <v>0</v>
      </c>
      <c r="I224" s="14">
        <f t="shared" si="57"/>
        <v>0</v>
      </c>
      <c r="J224" s="17">
        <f>Data!BX224</f>
        <v>0</v>
      </c>
      <c r="K224" s="42">
        <f t="shared" si="60"/>
        <v>0</v>
      </c>
      <c r="M224" s="27">
        <f t="shared" si="59"/>
        <v>593.99999999999966</v>
      </c>
      <c r="N224" s="27">
        <f t="shared" si="59"/>
        <v>550.56199999999978</v>
      </c>
    </row>
    <row r="225" spans="1:14" x14ac:dyDescent="0.2">
      <c r="A225" s="15">
        <f t="shared" si="56"/>
        <v>36744</v>
      </c>
      <c r="B225" s="1">
        <v>219</v>
      </c>
      <c r="C225" s="17">
        <f>ROUND(Data!BO225,2)</f>
        <v>0</v>
      </c>
      <c r="D225" s="3">
        <f>ROUND(Data!R225,1)</f>
        <v>20.6</v>
      </c>
      <c r="E225" s="3">
        <f>ROUND(Data!AF225,1)</f>
        <v>6.8</v>
      </c>
      <c r="F225" s="27">
        <f>Data!BT225</f>
        <v>35</v>
      </c>
      <c r="G225" s="3">
        <f>Data!Q225</f>
        <v>0</v>
      </c>
      <c r="H225" s="21">
        <f>Data!BF225</f>
        <v>0</v>
      </c>
      <c r="I225" s="14">
        <f t="shared" si="57"/>
        <v>0</v>
      </c>
      <c r="J225" s="17">
        <f>Data!BX225</f>
        <v>0</v>
      </c>
      <c r="K225" s="42">
        <f t="shared" si="60"/>
        <v>0</v>
      </c>
      <c r="M225" s="27">
        <f t="shared" si="59"/>
        <v>593.99999999999966</v>
      </c>
      <c r="N225" s="27">
        <f t="shared" si="59"/>
        <v>550.56199999999978</v>
      </c>
    </row>
    <row r="226" spans="1:14" x14ac:dyDescent="0.2">
      <c r="A226" s="15">
        <f t="shared" si="56"/>
        <v>36745</v>
      </c>
      <c r="B226" s="1">
        <v>220</v>
      </c>
      <c r="C226" s="17">
        <f>ROUND(Data!BO226,2)</f>
        <v>0</v>
      </c>
      <c r="D226" s="3">
        <f>ROUND(Data!R226,1)</f>
        <v>21.2</v>
      </c>
      <c r="E226" s="3">
        <f>ROUND(Data!AF226,1)</f>
        <v>5.6</v>
      </c>
      <c r="F226" s="27">
        <f>Data!BT226</f>
        <v>30</v>
      </c>
      <c r="G226" s="3">
        <f>Data!Q226</f>
        <v>0</v>
      </c>
      <c r="H226" s="21">
        <f>Data!BF226</f>
        <v>0</v>
      </c>
      <c r="I226" s="14">
        <f t="shared" si="57"/>
        <v>0</v>
      </c>
      <c r="J226" s="17">
        <f>Data!BX226</f>
        <v>0</v>
      </c>
      <c r="K226" s="42">
        <f t="shared" si="60"/>
        <v>0</v>
      </c>
      <c r="M226" s="27">
        <f t="shared" si="59"/>
        <v>593.99999999999966</v>
      </c>
      <c r="N226" s="27">
        <f t="shared" si="59"/>
        <v>550.56199999999978</v>
      </c>
    </row>
    <row r="227" spans="1:14" x14ac:dyDescent="0.2">
      <c r="A227" s="15">
        <f t="shared" si="56"/>
        <v>36746</v>
      </c>
      <c r="B227" s="1">
        <v>221</v>
      </c>
      <c r="C227" s="17">
        <f>ROUND(Data!BO227,2)</f>
        <v>0</v>
      </c>
      <c r="D227" s="3">
        <f>ROUND(Data!R227,1)</f>
        <v>23</v>
      </c>
      <c r="E227" s="3">
        <f>ROUND(Data!AF227,1)</f>
        <v>6.3</v>
      </c>
      <c r="F227" s="27">
        <f>Data!BT227</f>
        <v>31</v>
      </c>
      <c r="G227" s="3">
        <f>Data!Q227</f>
        <v>0</v>
      </c>
      <c r="H227" s="21">
        <f>Data!BF227</f>
        <v>0</v>
      </c>
      <c r="I227" s="14">
        <f t="shared" si="57"/>
        <v>0</v>
      </c>
      <c r="J227" s="17">
        <f>Data!BX227</f>
        <v>0</v>
      </c>
      <c r="K227" s="42">
        <f t="shared" si="60"/>
        <v>0</v>
      </c>
      <c r="M227" s="27">
        <f t="shared" si="59"/>
        <v>593.99999999999966</v>
      </c>
      <c r="N227" s="27">
        <f t="shared" si="59"/>
        <v>550.56199999999978</v>
      </c>
    </row>
    <row r="228" spans="1:14" x14ac:dyDescent="0.2">
      <c r="A228" s="15">
        <f t="shared" si="56"/>
        <v>36747</v>
      </c>
      <c r="B228" s="1">
        <v>222</v>
      </c>
      <c r="C228" s="17">
        <f>ROUND(Data!BO228,2)</f>
        <v>0</v>
      </c>
      <c r="D228" s="3">
        <f>ROUND(Data!R228,1)</f>
        <v>22.1</v>
      </c>
      <c r="E228" s="3">
        <f>ROUND(Data!AF228,1)</f>
        <v>6.2</v>
      </c>
      <c r="F228" s="27">
        <f>Data!BT228</f>
        <v>25</v>
      </c>
      <c r="G228" s="3">
        <f>Data!Q228</f>
        <v>0</v>
      </c>
      <c r="H228" s="21">
        <f>Data!BF228</f>
        <v>0</v>
      </c>
      <c r="I228" s="14">
        <f t="shared" si="57"/>
        <v>0</v>
      </c>
      <c r="J228" s="17">
        <f>Data!BX228</f>
        <v>0</v>
      </c>
      <c r="K228" s="42">
        <f t="shared" si="60"/>
        <v>0</v>
      </c>
      <c r="M228" s="27">
        <f t="shared" si="59"/>
        <v>593.99999999999966</v>
      </c>
      <c r="N228" s="27">
        <f t="shared" si="59"/>
        <v>550.56199999999978</v>
      </c>
    </row>
    <row r="229" spans="1:14" x14ac:dyDescent="0.2">
      <c r="A229" s="15">
        <f t="shared" si="56"/>
        <v>36748</v>
      </c>
      <c r="B229" s="1">
        <v>223</v>
      </c>
      <c r="C229" s="17">
        <f>ROUND(Data!BO229,2)</f>
        <v>0</v>
      </c>
      <c r="D229" s="3">
        <f>ROUND(Data!R229,1)</f>
        <v>20.6</v>
      </c>
      <c r="E229" s="3">
        <f>ROUND(Data!AF229,1)</f>
        <v>5.0999999999999996</v>
      </c>
      <c r="F229" s="27">
        <f>Data!BT229</f>
        <v>28</v>
      </c>
      <c r="G229" s="3">
        <f>Data!Q229</f>
        <v>0</v>
      </c>
      <c r="H229" s="21">
        <f>Data!BF229</f>
        <v>0</v>
      </c>
      <c r="I229" s="14">
        <f t="shared" si="57"/>
        <v>0</v>
      </c>
      <c r="J229" s="17">
        <f>Data!BX229</f>
        <v>0</v>
      </c>
      <c r="K229" s="42">
        <f t="shared" si="60"/>
        <v>0</v>
      </c>
      <c r="M229" s="27">
        <f t="shared" si="59"/>
        <v>593.99999999999966</v>
      </c>
      <c r="N229" s="27">
        <f t="shared" si="59"/>
        <v>550.56199999999978</v>
      </c>
    </row>
    <row r="230" spans="1:14" x14ac:dyDescent="0.2">
      <c r="A230" s="15">
        <f t="shared" si="56"/>
        <v>36749</v>
      </c>
      <c r="B230" s="1">
        <v>224</v>
      </c>
      <c r="C230" s="17">
        <f>ROUND(Data!BO230,2)</f>
        <v>0</v>
      </c>
      <c r="D230" s="3">
        <f>ROUND(Data!R230,1)</f>
        <v>16.3</v>
      </c>
      <c r="E230" s="3">
        <f>ROUND(Data!AF230,1)</f>
        <v>3.4</v>
      </c>
      <c r="F230" s="27">
        <f>Data!BT230</f>
        <v>37</v>
      </c>
      <c r="G230" s="3">
        <f>Data!Q230</f>
        <v>0</v>
      </c>
      <c r="H230" s="21">
        <f>Data!BF230</f>
        <v>0</v>
      </c>
      <c r="I230" s="14">
        <f t="shared" si="57"/>
        <v>0</v>
      </c>
      <c r="J230" s="17">
        <f>Data!BX230</f>
        <v>0</v>
      </c>
      <c r="K230" s="42">
        <f t="shared" si="60"/>
        <v>0</v>
      </c>
      <c r="M230" s="27">
        <f t="shared" si="59"/>
        <v>593.99999999999966</v>
      </c>
      <c r="N230" s="27">
        <f t="shared" si="59"/>
        <v>550.56199999999978</v>
      </c>
    </row>
    <row r="231" spans="1:14" x14ac:dyDescent="0.2">
      <c r="A231" s="15">
        <f t="shared" si="56"/>
        <v>36750</v>
      </c>
      <c r="B231" s="1">
        <v>225</v>
      </c>
      <c r="C231" s="17">
        <f>ROUND(Data!BO231,2)</f>
        <v>0</v>
      </c>
      <c r="D231" s="3">
        <f>ROUND(Data!R231,1)</f>
        <v>17</v>
      </c>
      <c r="E231" s="3">
        <f>ROUND(Data!AF231,1)</f>
        <v>2.6</v>
      </c>
      <c r="F231" s="27">
        <f>Data!BT231</f>
        <v>31</v>
      </c>
      <c r="G231" s="3">
        <f>Data!Q231</f>
        <v>0</v>
      </c>
      <c r="H231" s="21">
        <f>Data!BF231</f>
        <v>0</v>
      </c>
      <c r="I231" s="14">
        <f t="shared" si="57"/>
        <v>0</v>
      </c>
      <c r="J231" s="17">
        <f>Data!BX231</f>
        <v>0</v>
      </c>
      <c r="K231" s="42">
        <f t="shared" si="60"/>
        <v>0</v>
      </c>
      <c r="M231" s="27">
        <f t="shared" si="59"/>
        <v>593.99999999999966</v>
      </c>
      <c r="N231" s="27">
        <f t="shared" si="59"/>
        <v>550.56199999999978</v>
      </c>
    </row>
    <row r="232" spans="1:14" x14ac:dyDescent="0.2">
      <c r="A232" s="15">
        <f t="shared" si="56"/>
        <v>36751</v>
      </c>
      <c r="B232" s="1">
        <v>226</v>
      </c>
      <c r="C232" s="17">
        <f>ROUND(Data!BO232,2)</f>
        <v>0</v>
      </c>
      <c r="D232" s="3">
        <f>ROUND(Data!R232,1)</f>
        <v>15.1</v>
      </c>
      <c r="E232" s="3">
        <f>ROUND(Data!AF232,1)</f>
        <v>3.1</v>
      </c>
      <c r="F232" s="27">
        <f>Data!BT232</f>
        <v>43</v>
      </c>
      <c r="G232" s="3">
        <f>Data!Q232</f>
        <v>0</v>
      </c>
      <c r="H232" s="21">
        <f>Data!BF232</f>
        <v>0</v>
      </c>
      <c r="I232" s="14">
        <f t="shared" si="57"/>
        <v>0</v>
      </c>
      <c r="J232" s="17">
        <f>Data!BX232</f>
        <v>0</v>
      </c>
      <c r="K232" s="42">
        <f t="shared" si="60"/>
        <v>0</v>
      </c>
      <c r="M232" s="27">
        <f t="shared" si="59"/>
        <v>593.99999999999966</v>
      </c>
      <c r="N232" s="27">
        <f t="shared" si="59"/>
        <v>550.56199999999978</v>
      </c>
    </row>
    <row r="233" spans="1:14" x14ac:dyDescent="0.2">
      <c r="A233" s="15">
        <f t="shared" si="56"/>
        <v>36752</v>
      </c>
      <c r="B233" s="1">
        <v>227</v>
      </c>
      <c r="C233" s="17">
        <f>ROUND(Data!BO233,2)</f>
        <v>0</v>
      </c>
      <c r="D233" s="3">
        <f>ROUND(Data!R233,1)</f>
        <v>15.9</v>
      </c>
      <c r="E233" s="3">
        <f>ROUND(Data!AF233,1)</f>
        <v>2</v>
      </c>
      <c r="F233" s="27">
        <f>Data!BT233</f>
        <v>26</v>
      </c>
      <c r="G233" s="3">
        <f>Data!Q233</f>
        <v>0</v>
      </c>
      <c r="H233" s="21">
        <f>Data!BF233</f>
        <v>0</v>
      </c>
      <c r="I233" s="14">
        <f t="shared" si="57"/>
        <v>0</v>
      </c>
      <c r="J233" s="17">
        <f>Data!BX233</f>
        <v>0</v>
      </c>
      <c r="K233" s="42">
        <f t="shared" si="60"/>
        <v>0</v>
      </c>
      <c r="M233" s="27">
        <f t="shared" ref="M233:N248" si="61">J233+M232</f>
        <v>593.99999999999966</v>
      </c>
      <c r="N233" s="27">
        <f t="shared" si="61"/>
        <v>550.56199999999978</v>
      </c>
    </row>
    <row r="234" spans="1:14" x14ac:dyDescent="0.2">
      <c r="A234" s="15">
        <f t="shared" si="56"/>
        <v>36753</v>
      </c>
      <c r="B234" s="1">
        <v>228</v>
      </c>
      <c r="C234" s="17">
        <f>ROUND(Data!BO234,2)</f>
        <v>0</v>
      </c>
      <c r="D234" s="3">
        <f>ROUND(Data!R234,1)</f>
        <v>15.9</v>
      </c>
      <c r="E234" s="3">
        <f>ROUND(Data!AF234,1)</f>
        <v>3.9</v>
      </c>
      <c r="F234" s="27">
        <f>Data!BT234</f>
        <v>35</v>
      </c>
      <c r="G234" s="3">
        <f>Data!Q234</f>
        <v>0</v>
      </c>
      <c r="H234" s="21">
        <f>Data!BF234</f>
        <v>0</v>
      </c>
      <c r="I234" s="14">
        <f t="shared" si="57"/>
        <v>0</v>
      </c>
      <c r="J234" s="17">
        <f>Data!BX234</f>
        <v>0.3</v>
      </c>
      <c r="K234" s="42">
        <f t="shared" si="60"/>
        <v>0.315</v>
      </c>
      <c r="M234" s="27">
        <f t="shared" si="61"/>
        <v>594.29999999999961</v>
      </c>
      <c r="N234" s="27">
        <f t="shared" si="61"/>
        <v>550.87699999999984</v>
      </c>
    </row>
    <row r="235" spans="1:14" x14ac:dyDescent="0.2">
      <c r="A235" s="15">
        <f t="shared" si="56"/>
        <v>36754</v>
      </c>
      <c r="B235" s="1">
        <v>229</v>
      </c>
      <c r="C235" s="17">
        <f>ROUND(Data!BO235,2)</f>
        <v>0</v>
      </c>
      <c r="D235" s="3">
        <f>ROUND(Data!R235,1)</f>
        <v>18.8</v>
      </c>
      <c r="E235" s="3">
        <f>ROUND(Data!AF235,1)</f>
        <v>3.7</v>
      </c>
      <c r="F235" s="27">
        <f>Data!BT235</f>
        <v>23</v>
      </c>
      <c r="G235" s="3">
        <f>Data!Q235</f>
        <v>0</v>
      </c>
      <c r="H235" s="21">
        <f>Data!BF235</f>
        <v>0</v>
      </c>
      <c r="I235" s="14">
        <f t="shared" si="57"/>
        <v>0</v>
      </c>
      <c r="J235" s="17">
        <f>Data!BX235</f>
        <v>0</v>
      </c>
      <c r="K235" s="42">
        <f t="shared" si="60"/>
        <v>0</v>
      </c>
      <c r="M235" s="27">
        <f t="shared" si="61"/>
        <v>594.29999999999961</v>
      </c>
      <c r="N235" s="27">
        <f t="shared" si="61"/>
        <v>550.87699999999984</v>
      </c>
    </row>
    <row r="236" spans="1:14" x14ac:dyDescent="0.2">
      <c r="A236" s="15">
        <f t="shared" si="56"/>
        <v>36755</v>
      </c>
      <c r="B236" s="1">
        <v>230</v>
      </c>
      <c r="C236" s="17">
        <f>ROUND(Data!BO236,2)</f>
        <v>0</v>
      </c>
      <c r="D236" s="3">
        <f>ROUND(Data!R236,1)</f>
        <v>21</v>
      </c>
      <c r="E236" s="3">
        <f>ROUND(Data!AF236,1)</f>
        <v>5</v>
      </c>
      <c r="F236" s="27">
        <f>Data!BT236</f>
        <v>20</v>
      </c>
      <c r="G236" s="3">
        <f>Data!Q236</f>
        <v>0</v>
      </c>
      <c r="H236" s="21">
        <f>Data!BF236</f>
        <v>0</v>
      </c>
      <c r="I236" s="14">
        <f t="shared" si="57"/>
        <v>0</v>
      </c>
      <c r="J236" s="17">
        <f>Data!BX236</f>
        <v>0</v>
      </c>
      <c r="K236" s="42">
        <f t="shared" si="60"/>
        <v>0</v>
      </c>
      <c r="M236" s="27">
        <f t="shared" si="61"/>
        <v>594.29999999999961</v>
      </c>
      <c r="N236" s="27">
        <f t="shared" si="61"/>
        <v>550.87699999999984</v>
      </c>
    </row>
    <row r="237" spans="1:14" x14ac:dyDescent="0.2">
      <c r="A237" s="15">
        <f t="shared" si="56"/>
        <v>36756</v>
      </c>
      <c r="B237" s="1">
        <v>231</v>
      </c>
      <c r="C237" s="17">
        <f>ROUND(Data!BO237,2)</f>
        <v>0</v>
      </c>
      <c r="D237" s="3">
        <f>ROUND(Data!R237,1)</f>
        <v>13.4</v>
      </c>
      <c r="E237" s="3">
        <f>ROUND(Data!AF237,1)</f>
        <v>2</v>
      </c>
      <c r="F237" s="27">
        <f>Data!BT237</f>
        <v>31</v>
      </c>
      <c r="G237" s="3">
        <f>Data!Q237</f>
        <v>0</v>
      </c>
      <c r="H237" s="21">
        <f>Data!BF237</f>
        <v>0</v>
      </c>
      <c r="I237" s="14">
        <f t="shared" si="57"/>
        <v>0</v>
      </c>
      <c r="J237" s="17">
        <f>Data!BX237</f>
        <v>1.8</v>
      </c>
      <c r="K237" s="42">
        <f t="shared" si="60"/>
        <v>1.8900000000000001</v>
      </c>
      <c r="M237" s="27">
        <f t="shared" si="61"/>
        <v>596.09999999999957</v>
      </c>
      <c r="N237" s="27">
        <f t="shared" si="61"/>
        <v>552.76699999999983</v>
      </c>
    </row>
    <row r="238" spans="1:14" x14ac:dyDescent="0.2">
      <c r="A238" s="15">
        <f t="shared" si="56"/>
        <v>36757</v>
      </c>
      <c r="B238" s="1">
        <v>232</v>
      </c>
      <c r="C238" s="17">
        <f>ROUND(Data!BO238,2)</f>
        <v>0</v>
      </c>
      <c r="D238" s="3">
        <f>ROUND(Data!R238,1)</f>
        <v>10</v>
      </c>
      <c r="E238" s="3">
        <f>ROUND(Data!AF238,1)</f>
        <v>1.4</v>
      </c>
      <c r="F238" s="27">
        <f>Data!BT238</f>
        <v>56</v>
      </c>
      <c r="G238" s="3">
        <f>Data!Q238</f>
        <v>0</v>
      </c>
      <c r="H238" s="21">
        <f>Data!BF238</f>
        <v>0</v>
      </c>
      <c r="I238" s="14">
        <f t="shared" si="57"/>
        <v>0</v>
      </c>
      <c r="J238" s="17">
        <f>Data!BX238</f>
        <v>5.7</v>
      </c>
      <c r="K238" s="42">
        <f t="shared" si="60"/>
        <v>5.9850000000000003</v>
      </c>
      <c r="M238" s="27">
        <f t="shared" si="61"/>
        <v>601.79999999999961</v>
      </c>
      <c r="N238" s="27">
        <f t="shared" si="61"/>
        <v>558.75199999999984</v>
      </c>
    </row>
    <row r="239" spans="1:14" x14ac:dyDescent="0.2">
      <c r="A239" s="15">
        <f t="shared" si="56"/>
        <v>36758</v>
      </c>
      <c r="B239" s="1">
        <v>233</v>
      </c>
      <c r="C239" s="17">
        <f>ROUND(Data!BO239,2)</f>
        <v>0</v>
      </c>
      <c r="D239" s="3">
        <f>ROUND(Data!R239,1)</f>
        <v>10.5</v>
      </c>
      <c r="E239" s="3">
        <f>ROUND(Data!AF239,1)</f>
        <v>1.1000000000000001</v>
      </c>
      <c r="F239" s="27">
        <f>Data!BT239</f>
        <v>53</v>
      </c>
      <c r="G239" s="3">
        <f>Data!Q239</f>
        <v>0</v>
      </c>
      <c r="H239" s="21">
        <f>Data!BF239</f>
        <v>0</v>
      </c>
      <c r="I239" s="14">
        <f t="shared" si="57"/>
        <v>0</v>
      </c>
      <c r="J239" s="17">
        <f>Data!BX239</f>
        <v>1.1000000000000001</v>
      </c>
      <c r="K239" s="42">
        <f t="shared" si="60"/>
        <v>1.1550000000000002</v>
      </c>
      <c r="M239" s="27">
        <f t="shared" si="61"/>
        <v>602.89999999999964</v>
      </c>
      <c r="N239" s="27">
        <f t="shared" si="61"/>
        <v>559.90699999999981</v>
      </c>
    </row>
    <row r="240" spans="1:14" x14ac:dyDescent="0.2">
      <c r="A240" s="15">
        <f t="shared" si="56"/>
        <v>36759</v>
      </c>
      <c r="B240" s="1">
        <v>234</v>
      </c>
      <c r="C240" s="17">
        <f>ROUND(Data!BO240,2)</f>
        <v>0</v>
      </c>
      <c r="D240" s="3">
        <f>ROUND(Data!R240,1)</f>
        <v>15.1</v>
      </c>
      <c r="E240" s="3">
        <f>ROUND(Data!AF240,1)</f>
        <v>1.2</v>
      </c>
      <c r="F240" s="27">
        <f>Data!BT240</f>
        <v>37</v>
      </c>
      <c r="G240" s="3">
        <f>Data!Q240</f>
        <v>0</v>
      </c>
      <c r="H240" s="21">
        <f>Data!BF240</f>
        <v>0</v>
      </c>
      <c r="I240" s="14">
        <f t="shared" si="57"/>
        <v>0</v>
      </c>
      <c r="J240" s="17">
        <f>Data!BX240</f>
        <v>0</v>
      </c>
      <c r="K240" s="42">
        <f t="shared" si="60"/>
        <v>0</v>
      </c>
      <c r="M240" s="27">
        <f t="shared" si="61"/>
        <v>602.89999999999964</v>
      </c>
      <c r="N240" s="27">
        <f t="shared" si="61"/>
        <v>559.90699999999981</v>
      </c>
    </row>
    <row r="241" spans="1:14" x14ac:dyDescent="0.2">
      <c r="A241" s="15">
        <f t="shared" si="56"/>
        <v>36760</v>
      </c>
      <c r="B241" s="1">
        <v>235</v>
      </c>
      <c r="C241" s="17">
        <f>ROUND(Data!BO241,2)</f>
        <v>0</v>
      </c>
      <c r="D241" s="3">
        <f>ROUND(Data!R241,1)</f>
        <v>20.6</v>
      </c>
      <c r="E241" s="3">
        <f>ROUND(Data!AF241,1)</f>
        <v>3.5</v>
      </c>
      <c r="F241" s="27">
        <f>Data!BT241</f>
        <v>25</v>
      </c>
      <c r="G241" s="3">
        <f>Data!Q241</f>
        <v>0</v>
      </c>
      <c r="H241" s="21">
        <f>Data!BF241</f>
        <v>0</v>
      </c>
      <c r="I241" s="14">
        <f t="shared" si="57"/>
        <v>0</v>
      </c>
      <c r="J241" s="17">
        <f>Data!BX241</f>
        <v>0</v>
      </c>
      <c r="K241" s="42">
        <f t="shared" si="60"/>
        <v>0</v>
      </c>
      <c r="M241" s="27">
        <f t="shared" si="61"/>
        <v>602.89999999999964</v>
      </c>
      <c r="N241" s="27">
        <f t="shared" si="61"/>
        <v>559.90699999999981</v>
      </c>
    </row>
    <row r="242" spans="1:14" x14ac:dyDescent="0.2">
      <c r="A242" s="15">
        <f t="shared" si="56"/>
        <v>36761</v>
      </c>
      <c r="B242" s="1">
        <v>236</v>
      </c>
      <c r="C242" s="17">
        <f>ROUND(Data!BO242,2)</f>
        <v>0</v>
      </c>
      <c r="D242" s="3">
        <f>ROUND(Data!R242,1)</f>
        <v>21.8</v>
      </c>
      <c r="E242" s="3">
        <f>ROUND(Data!AF242,1)</f>
        <v>6</v>
      </c>
      <c r="F242" s="27">
        <f>Data!BT242</f>
        <v>26</v>
      </c>
      <c r="G242" s="3">
        <f>Data!Q242</f>
        <v>0</v>
      </c>
      <c r="H242" s="21">
        <f>Data!BF242</f>
        <v>0</v>
      </c>
      <c r="I242" s="14">
        <f t="shared" si="57"/>
        <v>0</v>
      </c>
      <c r="J242" s="17">
        <f>Data!BX242</f>
        <v>0</v>
      </c>
      <c r="K242" s="42">
        <f t="shared" si="60"/>
        <v>0</v>
      </c>
      <c r="M242" s="27">
        <f t="shared" si="61"/>
        <v>602.89999999999964</v>
      </c>
      <c r="N242" s="27">
        <f t="shared" si="61"/>
        <v>559.90699999999981</v>
      </c>
    </row>
    <row r="243" spans="1:14" x14ac:dyDescent="0.2">
      <c r="A243" s="15">
        <f t="shared" si="56"/>
        <v>36762</v>
      </c>
      <c r="B243" s="1">
        <v>237</v>
      </c>
      <c r="C243" s="17">
        <f>ROUND(Data!BO243,2)</f>
        <v>0</v>
      </c>
      <c r="D243" s="3">
        <f>ROUND(Data!R243,1)</f>
        <v>17.8</v>
      </c>
      <c r="E243" s="3">
        <f>ROUND(Data!AF243,1)</f>
        <v>6</v>
      </c>
      <c r="F243" s="27">
        <f>Data!BT243</f>
        <v>36</v>
      </c>
      <c r="G243" s="3">
        <f>Data!Q243</f>
        <v>0</v>
      </c>
      <c r="H243" s="21">
        <f>Data!BF243</f>
        <v>0</v>
      </c>
      <c r="I243" s="14">
        <f t="shared" si="57"/>
        <v>0</v>
      </c>
      <c r="J243" s="17">
        <f>Data!BX243</f>
        <v>0</v>
      </c>
      <c r="K243" s="42">
        <f t="shared" si="60"/>
        <v>0</v>
      </c>
      <c r="M243" s="27">
        <f t="shared" si="61"/>
        <v>602.89999999999964</v>
      </c>
      <c r="N243" s="27">
        <f t="shared" si="61"/>
        <v>559.90699999999981</v>
      </c>
    </row>
    <row r="244" spans="1:14" x14ac:dyDescent="0.2">
      <c r="A244" s="15">
        <f t="shared" si="56"/>
        <v>36763</v>
      </c>
      <c r="B244" s="1">
        <v>238</v>
      </c>
      <c r="C244" s="17">
        <f>ROUND(Data!BO244,2)</f>
        <v>0</v>
      </c>
      <c r="D244" s="3">
        <f>ROUND(Data!R244,1)</f>
        <v>18</v>
      </c>
      <c r="E244" s="3">
        <f>ROUND(Data!AF244,1)</f>
        <v>4.5999999999999996</v>
      </c>
      <c r="F244" s="27">
        <f>Data!BT244</f>
        <v>36</v>
      </c>
      <c r="G244" s="3">
        <f>Data!Q244</f>
        <v>0</v>
      </c>
      <c r="H244" s="21">
        <f>Data!BF244</f>
        <v>0</v>
      </c>
      <c r="I244" s="14">
        <f t="shared" si="57"/>
        <v>0</v>
      </c>
      <c r="J244" s="17">
        <f>Data!BX244</f>
        <v>0.3</v>
      </c>
      <c r="K244" s="42">
        <f t="shared" si="60"/>
        <v>0.315</v>
      </c>
      <c r="M244" s="27">
        <f t="shared" si="61"/>
        <v>603.19999999999959</v>
      </c>
      <c r="N244" s="27">
        <f t="shared" si="61"/>
        <v>560.22199999999987</v>
      </c>
    </row>
    <row r="245" spans="1:14" x14ac:dyDescent="0.2">
      <c r="A245" s="15">
        <f t="shared" si="56"/>
        <v>36764</v>
      </c>
      <c r="B245" s="1">
        <v>239</v>
      </c>
      <c r="C245" s="17">
        <f>ROUND(Data!BO245,2)</f>
        <v>0</v>
      </c>
      <c r="D245" s="3">
        <f>ROUND(Data!R245,1)</f>
        <v>12.1</v>
      </c>
      <c r="E245" s="3">
        <f>ROUND(Data!AF245,1)</f>
        <v>1.4</v>
      </c>
      <c r="F245" s="27">
        <f>Data!BT245</f>
        <v>48</v>
      </c>
      <c r="G245" s="3">
        <f>Data!Q245</f>
        <v>0</v>
      </c>
      <c r="H245" s="21">
        <f>Data!BF245</f>
        <v>0</v>
      </c>
      <c r="I245" s="14">
        <f t="shared" si="57"/>
        <v>0</v>
      </c>
      <c r="J245" s="17">
        <f>Data!BX245</f>
        <v>16</v>
      </c>
      <c r="K245" s="42">
        <f t="shared" si="60"/>
        <v>16.8</v>
      </c>
      <c r="M245" s="27">
        <f t="shared" si="61"/>
        <v>619.19999999999959</v>
      </c>
      <c r="N245" s="27">
        <f t="shared" si="61"/>
        <v>577.02199999999982</v>
      </c>
    </row>
    <row r="246" spans="1:14" x14ac:dyDescent="0.2">
      <c r="A246" s="15">
        <f t="shared" si="56"/>
        <v>36765</v>
      </c>
      <c r="B246" s="1">
        <v>240</v>
      </c>
      <c r="C246" s="17">
        <f>ROUND(Data!BO246,2)</f>
        <v>0</v>
      </c>
      <c r="D246" s="3">
        <f>ROUND(Data!R246,1)</f>
        <v>8.6</v>
      </c>
      <c r="E246" s="3">
        <f>ROUND(Data!AF246,1)</f>
        <v>0.4</v>
      </c>
      <c r="F246" s="27">
        <f>Data!BT246</f>
        <v>54</v>
      </c>
      <c r="G246" s="3">
        <f>Data!Q246</f>
        <v>0</v>
      </c>
      <c r="H246" s="21">
        <f>Data!BF246</f>
        <v>0</v>
      </c>
      <c r="I246" s="14">
        <f t="shared" si="57"/>
        <v>0</v>
      </c>
      <c r="J246" s="17">
        <f>Data!BX246</f>
        <v>4.4000000000000004</v>
      </c>
      <c r="K246" s="42">
        <f t="shared" si="60"/>
        <v>4.620000000000001</v>
      </c>
      <c r="M246" s="27">
        <f t="shared" si="61"/>
        <v>623.59999999999957</v>
      </c>
      <c r="N246" s="27">
        <f t="shared" si="61"/>
        <v>581.64199999999983</v>
      </c>
    </row>
    <row r="247" spans="1:14" x14ac:dyDescent="0.2">
      <c r="A247" s="15">
        <f t="shared" si="56"/>
        <v>36766</v>
      </c>
      <c r="B247" s="1">
        <v>241</v>
      </c>
      <c r="C247" s="17">
        <f>ROUND(Data!BO247,2)</f>
        <v>0</v>
      </c>
      <c r="D247" s="3">
        <f>ROUND(Data!R247,1)</f>
        <v>10.8</v>
      </c>
      <c r="E247" s="3">
        <f>ROUND(Data!AF247,1)</f>
        <v>-0.4</v>
      </c>
      <c r="F247" s="27">
        <f>Data!BT247</f>
        <v>46</v>
      </c>
      <c r="G247" s="3">
        <f>Data!Q247</f>
        <v>0</v>
      </c>
      <c r="H247" s="21">
        <f>Data!BF247</f>
        <v>0</v>
      </c>
      <c r="I247" s="14">
        <f t="shared" si="57"/>
        <v>0</v>
      </c>
      <c r="J247" s="17">
        <f>Data!BX247</f>
        <v>0.3</v>
      </c>
      <c r="K247" s="42">
        <f t="shared" si="60"/>
        <v>0.315</v>
      </c>
      <c r="M247" s="27">
        <f t="shared" si="61"/>
        <v>623.89999999999952</v>
      </c>
      <c r="N247" s="27">
        <f t="shared" si="61"/>
        <v>581.95699999999988</v>
      </c>
    </row>
    <row r="248" spans="1:14" x14ac:dyDescent="0.2">
      <c r="A248" s="15">
        <f t="shared" si="56"/>
        <v>36767</v>
      </c>
      <c r="B248" s="1">
        <v>242</v>
      </c>
      <c r="C248" s="17">
        <f>ROUND(Data!BO248,2)</f>
        <v>0</v>
      </c>
      <c r="D248" s="3">
        <f>ROUND(Data!R248,1)</f>
        <v>7.9</v>
      </c>
      <c r="E248" s="3">
        <f>ROUND(Data!AF248,1)</f>
        <v>2</v>
      </c>
      <c r="F248" s="27">
        <f>Data!BT248</f>
        <v>59</v>
      </c>
      <c r="G248" s="3">
        <f>Data!Q248</f>
        <v>0</v>
      </c>
      <c r="H248" s="21">
        <f>Data!BF248</f>
        <v>0</v>
      </c>
      <c r="I248" s="14">
        <f t="shared" si="57"/>
        <v>0</v>
      </c>
      <c r="J248" s="17">
        <f>Data!BX248</f>
        <v>9.3000000000000007</v>
      </c>
      <c r="K248" s="42">
        <f t="shared" si="60"/>
        <v>9.7650000000000006</v>
      </c>
      <c r="M248" s="27">
        <f t="shared" si="61"/>
        <v>633.19999999999948</v>
      </c>
      <c r="N248" s="27">
        <f t="shared" si="61"/>
        <v>591.72199999999987</v>
      </c>
    </row>
    <row r="249" spans="1:14" x14ac:dyDescent="0.2">
      <c r="A249" s="15">
        <f t="shared" si="56"/>
        <v>36768</v>
      </c>
      <c r="B249" s="1">
        <v>243</v>
      </c>
      <c r="C249" s="17">
        <f>ROUND(Data!BO249,2)</f>
        <v>0</v>
      </c>
      <c r="D249" s="3">
        <f>ROUND(Data!R249,1)</f>
        <v>12.5</v>
      </c>
      <c r="E249" s="3">
        <f>ROUND(Data!AF249,1)</f>
        <v>2.2999999999999998</v>
      </c>
      <c r="F249" s="27">
        <f>Data!BT249</f>
        <v>46</v>
      </c>
      <c r="G249" s="3">
        <f>Data!Q249</f>
        <v>0</v>
      </c>
      <c r="H249" s="21">
        <f>Data!BF249</f>
        <v>0</v>
      </c>
      <c r="I249" s="14">
        <f t="shared" si="57"/>
        <v>0</v>
      </c>
      <c r="J249" s="17">
        <f>Data!BX249</f>
        <v>0.3</v>
      </c>
      <c r="K249" s="42">
        <f t="shared" si="60"/>
        <v>0.315</v>
      </c>
      <c r="M249" s="27">
        <f t="shared" ref="M249:N264" si="62">J249+M248</f>
        <v>633.49999999999943</v>
      </c>
      <c r="N249" s="27">
        <f t="shared" si="62"/>
        <v>592.03699999999992</v>
      </c>
    </row>
    <row r="250" spans="1:14" x14ac:dyDescent="0.2">
      <c r="A250" s="15">
        <f t="shared" si="56"/>
        <v>36769</v>
      </c>
      <c r="B250" s="1">
        <v>244</v>
      </c>
      <c r="C250" s="17">
        <f>ROUND(Data!BO250,2)</f>
        <v>0</v>
      </c>
      <c r="D250" s="3">
        <f>ROUND(Data!R250,1)</f>
        <v>13.3</v>
      </c>
      <c r="E250" s="3">
        <f>ROUND(Data!AF250,1)</f>
        <v>2.1</v>
      </c>
      <c r="F250" s="27">
        <f>Data!BT250</f>
        <v>45</v>
      </c>
      <c r="G250" s="3">
        <f>Data!Q250</f>
        <v>0</v>
      </c>
      <c r="H250" s="21">
        <f>Data!BF250</f>
        <v>0</v>
      </c>
      <c r="I250" s="14">
        <f t="shared" si="57"/>
        <v>0</v>
      </c>
      <c r="J250" s="17">
        <f>Data!BX250</f>
        <v>13.5</v>
      </c>
      <c r="K250" s="42">
        <f t="shared" si="60"/>
        <v>14.175000000000001</v>
      </c>
      <c r="M250" s="27">
        <f t="shared" si="62"/>
        <v>646.99999999999943</v>
      </c>
      <c r="N250" s="27">
        <f t="shared" si="62"/>
        <v>606.21199999999988</v>
      </c>
    </row>
    <row r="251" spans="1:14" x14ac:dyDescent="0.2">
      <c r="A251" s="15">
        <f t="shared" si="56"/>
        <v>36770</v>
      </c>
      <c r="B251" s="1">
        <v>245</v>
      </c>
      <c r="C251" s="17">
        <f>ROUND(Data!BO251,2)</f>
        <v>0</v>
      </c>
      <c r="D251" s="3">
        <f>ROUND(Data!R251,1)</f>
        <v>10.8</v>
      </c>
      <c r="E251" s="3">
        <f>ROUND(Data!AF251,1)</f>
        <v>1.8</v>
      </c>
      <c r="F251" s="27">
        <f>Data!BT251</f>
        <v>54</v>
      </c>
      <c r="G251" s="3">
        <f>Data!Q251</f>
        <v>0</v>
      </c>
      <c r="H251" s="21">
        <f>Data!BF251</f>
        <v>0</v>
      </c>
      <c r="I251" s="14">
        <f t="shared" si="57"/>
        <v>0</v>
      </c>
      <c r="J251" s="17">
        <f>Data!BX251</f>
        <v>2.9</v>
      </c>
      <c r="K251" s="42">
        <f t="shared" si="60"/>
        <v>3.0449999999999999</v>
      </c>
      <c r="M251" s="27">
        <f t="shared" si="62"/>
        <v>649.89999999999941</v>
      </c>
      <c r="N251" s="27">
        <f t="shared" si="62"/>
        <v>609.25699999999983</v>
      </c>
    </row>
    <row r="252" spans="1:14" x14ac:dyDescent="0.2">
      <c r="A252" s="15">
        <f t="shared" si="56"/>
        <v>36771</v>
      </c>
      <c r="B252" s="1">
        <v>246</v>
      </c>
      <c r="C252" s="17">
        <f>ROUND(Data!BO252,2)</f>
        <v>0</v>
      </c>
      <c r="D252" s="3">
        <f>ROUND(Data!R252,1)</f>
        <v>7</v>
      </c>
      <c r="E252" s="3">
        <f>ROUND(Data!AF252,1)</f>
        <v>1.4</v>
      </c>
      <c r="F252" s="27">
        <f>Data!BT252</f>
        <v>82</v>
      </c>
      <c r="G252" s="3">
        <f>Data!Q252</f>
        <v>0</v>
      </c>
      <c r="H252" s="21">
        <f>Data!BF252</f>
        <v>0</v>
      </c>
      <c r="I252" s="14">
        <f t="shared" si="57"/>
        <v>0</v>
      </c>
      <c r="J252" s="17">
        <f>Data!BX252</f>
        <v>2.9</v>
      </c>
      <c r="K252" s="42">
        <f t="shared" si="60"/>
        <v>3.0449999999999999</v>
      </c>
      <c r="M252" s="27">
        <f t="shared" si="62"/>
        <v>652.79999999999939</v>
      </c>
      <c r="N252" s="27">
        <f t="shared" si="62"/>
        <v>612.30199999999979</v>
      </c>
    </row>
    <row r="253" spans="1:14" x14ac:dyDescent="0.2">
      <c r="A253" s="15">
        <f t="shared" si="56"/>
        <v>36772</v>
      </c>
      <c r="B253" s="1">
        <v>247</v>
      </c>
      <c r="C253" s="17">
        <f>ROUND(Data!BO253,2)</f>
        <v>0</v>
      </c>
      <c r="D253" s="3">
        <f>ROUND(Data!R253,1)</f>
        <v>5.7</v>
      </c>
      <c r="E253" s="3">
        <f>ROUND(Data!AF253,1)</f>
        <v>0.9</v>
      </c>
      <c r="F253" s="27">
        <f>Data!BT253</f>
        <v>82</v>
      </c>
      <c r="G253" s="3">
        <f>Data!Q253</f>
        <v>0</v>
      </c>
      <c r="H253" s="21">
        <f>Data!BF253</f>
        <v>0</v>
      </c>
      <c r="I253" s="14">
        <f t="shared" si="57"/>
        <v>0</v>
      </c>
      <c r="J253" s="17">
        <f>Data!BX253</f>
        <v>9.4</v>
      </c>
      <c r="K253" s="42">
        <f t="shared" si="60"/>
        <v>9.870000000000001</v>
      </c>
      <c r="M253" s="27">
        <f t="shared" si="62"/>
        <v>662.19999999999936</v>
      </c>
      <c r="N253" s="27">
        <f t="shared" si="62"/>
        <v>622.1719999999998</v>
      </c>
    </row>
    <row r="254" spans="1:14" x14ac:dyDescent="0.2">
      <c r="A254" s="15">
        <f t="shared" si="56"/>
        <v>36773</v>
      </c>
      <c r="B254" s="1">
        <v>248</v>
      </c>
      <c r="C254" s="17">
        <f>ROUND(Data!BO254,2)</f>
        <v>0</v>
      </c>
      <c r="D254" s="3">
        <f>ROUND(Data!R254,1)</f>
        <v>9.6</v>
      </c>
      <c r="E254" s="3">
        <f>ROUND(Data!AF254,1)</f>
        <v>0.6</v>
      </c>
      <c r="F254" s="27">
        <f>Data!BT254</f>
        <v>59</v>
      </c>
      <c r="G254" s="3">
        <f>Data!Q254</f>
        <v>0</v>
      </c>
      <c r="H254" s="21">
        <f>Data!BF254</f>
        <v>0</v>
      </c>
      <c r="I254" s="14">
        <f t="shared" si="57"/>
        <v>0</v>
      </c>
      <c r="J254" s="17">
        <f>Data!BX254</f>
        <v>2</v>
      </c>
      <c r="K254" s="42">
        <f t="shared" si="60"/>
        <v>2.1</v>
      </c>
      <c r="M254" s="27">
        <f t="shared" si="62"/>
        <v>664.19999999999936</v>
      </c>
      <c r="N254" s="27">
        <f t="shared" si="62"/>
        <v>624.27199999999982</v>
      </c>
    </row>
    <row r="255" spans="1:14" x14ac:dyDescent="0.2">
      <c r="A255" s="15">
        <f t="shared" si="56"/>
        <v>36774</v>
      </c>
      <c r="B255" s="1">
        <v>249</v>
      </c>
      <c r="C255" s="17">
        <f>ROUND(Data!BO255,2)</f>
        <v>0</v>
      </c>
      <c r="D255" s="3">
        <f>ROUND(Data!R255,1)</f>
        <v>8.5</v>
      </c>
      <c r="E255" s="3">
        <f>ROUND(Data!AF255,1)</f>
        <v>0.4</v>
      </c>
      <c r="F255" s="27">
        <f>Data!BT255</f>
        <v>73</v>
      </c>
      <c r="G255" s="3">
        <f>Data!Q255</f>
        <v>0</v>
      </c>
      <c r="H255" s="21">
        <f>Data!BF255</f>
        <v>0</v>
      </c>
      <c r="I255" s="14">
        <f t="shared" si="57"/>
        <v>0</v>
      </c>
      <c r="J255" s="17">
        <f>Data!BX255</f>
        <v>2.4</v>
      </c>
      <c r="K255" s="42">
        <f t="shared" si="60"/>
        <v>2.52</v>
      </c>
      <c r="M255" s="27">
        <f t="shared" si="62"/>
        <v>666.59999999999934</v>
      </c>
      <c r="N255" s="27">
        <f t="shared" si="62"/>
        <v>626.7919999999998</v>
      </c>
    </row>
    <row r="256" spans="1:14" x14ac:dyDescent="0.2">
      <c r="A256" s="15">
        <f t="shared" si="56"/>
        <v>36775</v>
      </c>
      <c r="B256" s="1">
        <v>250</v>
      </c>
      <c r="C256" s="17">
        <f>ROUND(Data!BO256,2)</f>
        <v>0</v>
      </c>
      <c r="D256" s="3">
        <f>ROUND(Data!R256,1)</f>
        <v>13.6</v>
      </c>
      <c r="E256" s="3">
        <f>ROUND(Data!AF256,1)</f>
        <v>2.8</v>
      </c>
      <c r="F256" s="27">
        <f>Data!BT256</f>
        <v>39</v>
      </c>
      <c r="G256" s="3">
        <f>Data!Q256</f>
        <v>0</v>
      </c>
      <c r="H256" s="21">
        <f>Data!BF256</f>
        <v>0</v>
      </c>
      <c r="I256" s="14">
        <f t="shared" si="57"/>
        <v>0</v>
      </c>
      <c r="J256" s="17">
        <f>Data!BX256</f>
        <v>0</v>
      </c>
      <c r="K256" s="42">
        <f t="shared" si="60"/>
        <v>0</v>
      </c>
      <c r="M256" s="27">
        <f t="shared" si="62"/>
        <v>666.59999999999934</v>
      </c>
      <c r="N256" s="27">
        <f t="shared" si="62"/>
        <v>626.7919999999998</v>
      </c>
    </row>
    <row r="257" spans="1:14" x14ac:dyDescent="0.2">
      <c r="A257" s="15">
        <f t="shared" si="56"/>
        <v>36776</v>
      </c>
      <c r="B257" s="1">
        <v>251</v>
      </c>
      <c r="C257" s="17">
        <f>ROUND(Data!BO257,2)</f>
        <v>0</v>
      </c>
      <c r="D257" s="3">
        <f>ROUND(Data!R257,1)</f>
        <v>11.3</v>
      </c>
      <c r="E257" s="3">
        <f>ROUND(Data!AF257,1)</f>
        <v>2.5</v>
      </c>
      <c r="F257" s="27">
        <f>Data!BT257</f>
        <v>56</v>
      </c>
      <c r="G257" s="3">
        <f>Data!Q257</f>
        <v>0</v>
      </c>
      <c r="H257" s="21">
        <f>Data!BF257</f>
        <v>0</v>
      </c>
      <c r="I257" s="14">
        <f t="shared" si="57"/>
        <v>0</v>
      </c>
      <c r="J257" s="17">
        <f>Data!BX257</f>
        <v>7.4</v>
      </c>
      <c r="K257" s="42">
        <f t="shared" si="60"/>
        <v>7.7700000000000005</v>
      </c>
      <c r="M257" s="27">
        <f t="shared" si="62"/>
        <v>673.99999999999932</v>
      </c>
      <c r="N257" s="27">
        <f t="shared" si="62"/>
        <v>634.56199999999978</v>
      </c>
    </row>
    <row r="258" spans="1:14" x14ac:dyDescent="0.2">
      <c r="A258" s="15">
        <f t="shared" si="56"/>
        <v>36777</v>
      </c>
      <c r="B258" s="1">
        <v>252</v>
      </c>
      <c r="C258" s="17">
        <f>ROUND(Data!BO258,2)</f>
        <v>0</v>
      </c>
      <c r="D258" s="3">
        <f>ROUND(Data!R258,1)</f>
        <v>7.1</v>
      </c>
      <c r="E258" s="3">
        <f>ROUND(Data!AF258,1)</f>
        <v>0.3</v>
      </c>
      <c r="F258" s="27">
        <f>Data!BT258</f>
        <v>64</v>
      </c>
      <c r="G258" s="3">
        <f>Data!Q258</f>
        <v>0</v>
      </c>
      <c r="H258" s="21">
        <f>Data!BF258</f>
        <v>0</v>
      </c>
      <c r="I258" s="14">
        <f t="shared" si="57"/>
        <v>0</v>
      </c>
      <c r="J258" s="17">
        <f>Data!BX258</f>
        <v>11.7</v>
      </c>
      <c r="K258" s="42">
        <f t="shared" si="60"/>
        <v>12.285</v>
      </c>
      <c r="M258" s="27">
        <f t="shared" si="62"/>
        <v>685.69999999999936</v>
      </c>
      <c r="N258" s="27">
        <f t="shared" si="62"/>
        <v>646.84699999999975</v>
      </c>
    </row>
    <row r="259" spans="1:14" x14ac:dyDescent="0.2">
      <c r="A259" s="15">
        <f t="shared" si="56"/>
        <v>36778</v>
      </c>
      <c r="B259" s="1">
        <v>253</v>
      </c>
      <c r="C259" s="17">
        <f>ROUND(Data!BO259,2)</f>
        <v>0</v>
      </c>
      <c r="D259" s="3">
        <f>ROUND(Data!R259,1)</f>
        <v>4.8</v>
      </c>
      <c r="E259" s="3">
        <f>ROUND(Data!AF259,1)</f>
        <v>0.4</v>
      </c>
      <c r="F259" s="27">
        <f>Data!BT259</f>
        <v>74</v>
      </c>
      <c r="G259" s="3">
        <f>Data!Q259</f>
        <v>0</v>
      </c>
      <c r="H259" s="21">
        <f>Data!BF259</f>
        <v>0</v>
      </c>
      <c r="I259" s="14">
        <f t="shared" si="57"/>
        <v>0</v>
      </c>
      <c r="J259" s="17">
        <f>Data!BX259</f>
        <v>7.7</v>
      </c>
      <c r="K259" s="42">
        <f t="shared" si="60"/>
        <v>8.0850000000000009</v>
      </c>
      <c r="M259" s="27">
        <f t="shared" si="62"/>
        <v>693.39999999999941</v>
      </c>
      <c r="N259" s="27">
        <f t="shared" si="62"/>
        <v>654.93199999999979</v>
      </c>
    </row>
    <row r="260" spans="1:14" x14ac:dyDescent="0.2">
      <c r="A260" s="15">
        <f t="shared" si="56"/>
        <v>36779</v>
      </c>
      <c r="B260" s="1">
        <v>254</v>
      </c>
      <c r="C260" s="17">
        <f>ROUND(Data!BO260,2)</f>
        <v>0</v>
      </c>
      <c r="D260" s="3">
        <f>ROUND(Data!R260,1)</f>
        <v>9.3000000000000007</v>
      </c>
      <c r="E260" s="3">
        <f>ROUND(Data!AF260,1)</f>
        <v>-0.6</v>
      </c>
      <c r="F260" s="27">
        <f>Data!BT260</f>
        <v>44</v>
      </c>
      <c r="G260" s="3">
        <f>Data!Q260</f>
        <v>0</v>
      </c>
      <c r="H260" s="21">
        <f>Data!BF260</f>
        <v>0</v>
      </c>
      <c r="I260" s="14">
        <f t="shared" si="57"/>
        <v>0</v>
      </c>
      <c r="J260" s="17">
        <f>Data!BX260</f>
        <v>1</v>
      </c>
      <c r="K260" s="42">
        <f t="shared" si="60"/>
        <v>1.05</v>
      </c>
      <c r="M260" s="27">
        <f t="shared" si="62"/>
        <v>694.39999999999941</v>
      </c>
      <c r="N260" s="27">
        <f t="shared" si="62"/>
        <v>655.98199999999974</v>
      </c>
    </row>
    <row r="261" spans="1:14" x14ac:dyDescent="0.2">
      <c r="A261" s="15">
        <f t="shared" si="56"/>
        <v>36780</v>
      </c>
      <c r="B261" s="1">
        <v>255</v>
      </c>
      <c r="C261" s="17">
        <f>ROUND(Data!BO261,2)</f>
        <v>0</v>
      </c>
      <c r="D261" s="3">
        <f>ROUND(Data!R261,1)</f>
        <v>9.5</v>
      </c>
      <c r="E261" s="3">
        <f>ROUND(Data!AF261,1)</f>
        <v>-0.2</v>
      </c>
      <c r="F261" s="27">
        <f>Data!BT261</f>
        <v>54</v>
      </c>
      <c r="G261" s="3">
        <f>Data!Q261</f>
        <v>0</v>
      </c>
      <c r="H261" s="21">
        <f>Data!BF261</f>
        <v>0</v>
      </c>
      <c r="I261" s="14">
        <f t="shared" si="57"/>
        <v>0</v>
      </c>
      <c r="J261" s="17">
        <f>Data!BX261</f>
        <v>0.3</v>
      </c>
      <c r="K261" s="42">
        <f t="shared" si="60"/>
        <v>0.315</v>
      </c>
      <c r="M261" s="27">
        <f t="shared" si="62"/>
        <v>694.69999999999936</v>
      </c>
      <c r="N261" s="27">
        <f t="shared" si="62"/>
        <v>656.2969999999998</v>
      </c>
    </row>
    <row r="262" spans="1:14" x14ac:dyDescent="0.2">
      <c r="A262" s="15">
        <f t="shared" si="56"/>
        <v>36781</v>
      </c>
      <c r="B262" s="1">
        <v>256</v>
      </c>
      <c r="C262" s="17">
        <f>ROUND(Data!BO262,2)</f>
        <v>0</v>
      </c>
      <c r="D262" s="3">
        <f>ROUND(Data!R262,1)</f>
        <v>13</v>
      </c>
      <c r="E262" s="3">
        <f>ROUND(Data!AF262,1)</f>
        <v>2.6</v>
      </c>
      <c r="F262" s="27">
        <f>Data!BT262</f>
        <v>54</v>
      </c>
      <c r="G262" s="3">
        <f>Data!Q262</f>
        <v>0</v>
      </c>
      <c r="H262" s="21">
        <f>Data!BF262</f>
        <v>0</v>
      </c>
      <c r="I262" s="14">
        <f t="shared" si="57"/>
        <v>0</v>
      </c>
      <c r="J262" s="17">
        <f>Data!BX262</f>
        <v>0</v>
      </c>
      <c r="K262" s="42">
        <f t="shared" si="60"/>
        <v>0</v>
      </c>
      <c r="M262" s="27">
        <f t="shared" si="62"/>
        <v>694.69999999999936</v>
      </c>
      <c r="N262" s="27">
        <f t="shared" si="62"/>
        <v>656.2969999999998</v>
      </c>
    </row>
    <row r="263" spans="1:14" x14ac:dyDescent="0.2">
      <c r="A263" s="15">
        <f t="shared" si="56"/>
        <v>36782</v>
      </c>
      <c r="B263" s="1">
        <v>257</v>
      </c>
      <c r="C263" s="17">
        <f>ROUND(Data!BO263,2)</f>
        <v>0</v>
      </c>
      <c r="D263" s="3">
        <f>ROUND(Data!R263,1)</f>
        <v>16.5</v>
      </c>
      <c r="E263" s="3">
        <f>ROUND(Data!AF263,1)</f>
        <v>2.5</v>
      </c>
      <c r="F263" s="27">
        <f>Data!BT263</f>
        <v>40</v>
      </c>
      <c r="G263" s="3">
        <f>Data!Q263</f>
        <v>0</v>
      </c>
      <c r="H263" s="21">
        <f>Data!BF263</f>
        <v>0</v>
      </c>
      <c r="I263" s="14">
        <f t="shared" si="57"/>
        <v>0</v>
      </c>
      <c r="J263" s="17">
        <f>Data!BX263</f>
        <v>0</v>
      </c>
      <c r="K263" s="42">
        <f t="shared" si="60"/>
        <v>0</v>
      </c>
      <c r="M263" s="27">
        <f t="shared" si="62"/>
        <v>694.69999999999936</v>
      </c>
      <c r="N263" s="27">
        <f t="shared" si="62"/>
        <v>656.2969999999998</v>
      </c>
    </row>
    <row r="264" spans="1:14" x14ac:dyDescent="0.2">
      <c r="A264" s="15">
        <f t="shared" ref="A264:A327" si="63">A263+1</f>
        <v>36783</v>
      </c>
      <c r="B264" s="1">
        <v>258</v>
      </c>
      <c r="C264" s="17">
        <f>ROUND(Data!BO264,2)</f>
        <v>0</v>
      </c>
      <c r="D264" s="3">
        <f>ROUND(Data!R264,1)</f>
        <v>20.6</v>
      </c>
      <c r="E264" s="3">
        <f>ROUND(Data!AF264,1)</f>
        <v>4.3</v>
      </c>
      <c r="F264" s="27">
        <f>Data!BT264</f>
        <v>30</v>
      </c>
      <c r="G264" s="3">
        <f>Data!Q264</f>
        <v>0</v>
      </c>
      <c r="H264" s="21">
        <f>Data!BF264</f>
        <v>0</v>
      </c>
      <c r="I264" s="14">
        <f t="shared" ref="I264:I327" si="64">IF(H264&gt;H263,ROUND((H264-H263)*I$1,1),0)</f>
        <v>0</v>
      </c>
      <c r="J264" s="17">
        <f>Data!BX264</f>
        <v>0</v>
      </c>
      <c r="K264" s="42">
        <f t="shared" si="60"/>
        <v>0</v>
      </c>
      <c r="M264" s="27">
        <f t="shared" si="62"/>
        <v>694.69999999999936</v>
      </c>
      <c r="N264" s="27">
        <f t="shared" si="62"/>
        <v>656.2969999999998</v>
      </c>
    </row>
    <row r="265" spans="1:14" x14ac:dyDescent="0.2">
      <c r="A265" s="15">
        <f t="shared" si="63"/>
        <v>36784</v>
      </c>
      <c r="B265" s="1">
        <v>259</v>
      </c>
      <c r="C265" s="17">
        <f>ROUND(Data!BO265,2)</f>
        <v>0</v>
      </c>
      <c r="D265" s="3">
        <f>ROUND(Data!R265,1)</f>
        <v>17.5</v>
      </c>
      <c r="E265" s="3">
        <f>ROUND(Data!AF265,1)</f>
        <v>5.7</v>
      </c>
      <c r="F265" s="27">
        <f>Data!BT265</f>
        <v>44</v>
      </c>
      <c r="G265" s="3">
        <f>Data!Q265</f>
        <v>0</v>
      </c>
      <c r="H265" s="21">
        <f>Data!BF265</f>
        <v>0</v>
      </c>
      <c r="I265" s="14">
        <f t="shared" si="64"/>
        <v>0</v>
      </c>
      <c r="J265" s="17">
        <f>Data!BX265</f>
        <v>0</v>
      </c>
      <c r="K265" s="42">
        <f t="shared" si="60"/>
        <v>0</v>
      </c>
      <c r="M265" s="27">
        <f t="shared" ref="M265:N280" si="65">J265+M264</f>
        <v>694.69999999999936</v>
      </c>
      <c r="N265" s="27">
        <f t="shared" si="65"/>
        <v>656.2969999999998</v>
      </c>
    </row>
    <row r="266" spans="1:14" x14ac:dyDescent="0.2">
      <c r="A266" s="15">
        <f t="shared" si="63"/>
        <v>36785</v>
      </c>
      <c r="B266" s="1">
        <v>260</v>
      </c>
      <c r="C266" s="17">
        <f>ROUND(Data!BO266,2)</f>
        <v>0</v>
      </c>
      <c r="D266" s="3">
        <f>ROUND(Data!R266,1)</f>
        <v>18.399999999999999</v>
      </c>
      <c r="E266" s="3">
        <f>ROUND(Data!AF266,1)</f>
        <v>4.8</v>
      </c>
      <c r="F266" s="27">
        <f>Data!BT266</f>
        <v>47</v>
      </c>
      <c r="G266" s="3">
        <f>Data!Q266</f>
        <v>0</v>
      </c>
      <c r="H266" s="21">
        <f>Data!BF266</f>
        <v>0</v>
      </c>
      <c r="I266" s="14">
        <f t="shared" si="64"/>
        <v>0</v>
      </c>
      <c r="J266" s="17">
        <f>Data!BX266</f>
        <v>0</v>
      </c>
      <c r="K266" s="42">
        <f t="shared" si="60"/>
        <v>0</v>
      </c>
      <c r="M266" s="27">
        <f t="shared" si="65"/>
        <v>694.69999999999936</v>
      </c>
      <c r="N266" s="27">
        <f t="shared" si="65"/>
        <v>656.2969999999998</v>
      </c>
    </row>
    <row r="267" spans="1:14" x14ac:dyDescent="0.2">
      <c r="A267" s="15">
        <f t="shared" si="63"/>
        <v>36786</v>
      </c>
      <c r="B267" s="1">
        <v>261</v>
      </c>
      <c r="C267" s="17">
        <f>ROUND(Data!BO267,2)</f>
        <v>0</v>
      </c>
      <c r="D267" s="3">
        <f>ROUND(Data!R267,1)</f>
        <v>15.5</v>
      </c>
      <c r="E267" s="3">
        <f>ROUND(Data!AF267,1)</f>
        <v>4.8</v>
      </c>
      <c r="F267" s="27">
        <f>Data!BT267</f>
        <v>55</v>
      </c>
      <c r="G267" s="3">
        <f>Data!Q267</f>
        <v>0</v>
      </c>
      <c r="H267" s="21">
        <f>Data!BF267</f>
        <v>0</v>
      </c>
      <c r="I267" s="14">
        <f t="shared" si="64"/>
        <v>0</v>
      </c>
      <c r="J267" s="17">
        <f>Data!BX267</f>
        <v>0</v>
      </c>
      <c r="K267" s="42">
        <f t="shared" si="60"/>
        <v>0</v>
      </c>
      <c r="M267" s="27">
        <f t="shared" si="65"/>
        <v>694.69999999999936</v>
      </c>
      <c r="N267" s="27">
        <f t="shared" si="65"/>
        <v>656.2969999999998</v>
      </c>
    </row>
    <row r="268" spans="1:14" x14ac:dyDescent="0.2">
      <c r="A268" s="15">
        <f t="shared" si="63"/>
        <v>36787</v>
      </c>
      <c r="B268" s="1">
        <v>262</v>
      </c>
      <c r="C268" s="17">
        <f>ROUND(Data!BO268,2)</f>
        <v>0</v>
      </c>
      <c r="D268" s="3">
        <f>ROUND(Data!R268,1)</f>
        <v>11.5</v>
      </c>
      <c r="E268" s="3">
        <f>ROUND(Data!AF268,1)</f>
        <v>2.1</v>
      </c>
      <c r="F268" s="27">
        <f>Data!BT268</f>
        <v>63</v>
      </c>
      <c r="G268" s="3">
        <f>Data!Q268</f>
        <v>0</v>
      </c>
      <c r="H268" s="21">
        <f>Data!BF268</f>
        <v>0</v>
      </c>
      <c r="I268" s="14">
        <f t="shared" si="64"/>
        <v>0</v>
      </c>
      <c r="J268" s="17">
        <f>Data!BX268</f>
        <v>7.9</v>
      </c>
      <c r="K268" s="42">
        <f t="shared" si="60"/>
        <v>8.2949999999999999</v>
      </c>
      <c r="M268" s="27">
        <f t="shared" si="65"/>
        <v>702.59999999999934</v>
      </c>
      <c r="N268" s="27">
        <f t="shared" si="65"/>
        <v>664.59199999999976</v>
      </c>
    </row>
    <row r="269" spans="1:14" x14ac:dyDescent="0.2">
      <c r="A269" s="15">
        <f t="shared" si="63"/>
        <v>36788</v>
      </c>
      <c r="B269" s="1">
        <v>263</v>
      </c>
      <c r="C269" s="17">
        <f>ROUND(Data!BO269,2)</f>
        <v>16.66</v>
      </c>
      <c r="D269" s="3">
        <f>ROUND(Data!R269,1)</f>
        <v>10.9</v>
      </c>
      <c r="E269" s="3">
        <f>ROUND(Data!AF269,1)</f>
        <v>-0.2</v>
      </c>
      <c r="F269" s="27">
        <f>Data!BT269</f>
        <v>45.1</v>
      </c>
      <c r="G269" s="3">
        <f>Data!Q269</f>
        <v>0</v>
      </c>
      <c r="H269" s="21">
        <f>Data!BF269</f>
        <v>0</v>
      </c>
      <c r="I269" s="14">
        <f t="shared" si="64"/>
        <v>0</v>
      </c>
      <c r="J269" s="17">
        <f>Data!BX269</f>
        <v>0</v>
      </c>
      <c r="K269" s="42">
        <f t="shared" si="60"/>
        <v>0</v>
      </c>
      <c r="M269" s="27">
        <f t="shared" si="65"/>
        <v>702.59999999999934</v>
      </c>
      <c r="N269" s="27">
        <f t="shared" si="65"/>
        <v>664.59199999999976</v>
      </c>
    </row>
    <row r="270" spans="1:14" x14ac:dyDescent="0.2">
      <c r="A270" s="15">
        <f t="shared" si="63"/>
        <v>36789</v>
      </c>
      <c r="B270" s="1">
        <v>264</v>
      </c>
      <c r="C270" s="17">
        <f>ROUND(Data!BO270,2)</f>
        <v>4.45</v>
      </c>
      <c r="D270" s="3">
        <f>ROUND(Data!R270,1)</f>
        <v>6.8</v>
      </c>
      <c r="E270" s="3">
        <f>ROUND(Data!AF270,1)</f>
        <v>1.5</v>
      </c>
      <c r="F270" s="27">
        <f>Data!BT270</f>
        <v>73.2</v>
      </c>
      <c r="G270" s="3">
        <f>Data!Q270</f>
        <v>0</v>
      </c>
      <c r="H270" s="21">
        <f>Data!BF270</f>
        <v>0</v>
      </c>
      <c r="I270" s="14">
        <f t="shared" si="64"/>
        <v>0</v>
      </c>
      <c r="J270" s="17">
        <f>Data!BX270</f>
        <v>7.6</v>
      </c>
      <c r="K270" s="42">
        <f t="shared" si="60"/>
        <v>7.9799999999999995</v>
      </c>
      <c r="M270" s="27">
        <f t="shared" si="65"/>
        <v>710.19999999999936</v>
      </c>
      <c r="N270" s="27">
        <f t="shared" si="65"/>
        <v>672.57199999999978</v>
      </c>
    </row>
    <row r="271" spans="1:14" x14ac:dyDescent="0.2">
      <c r="A271" s="15">
        <f t="shared" si="63"/>
        <v>36790</v>
      </c>
      <c r="B271" s="1">
        <v>265</v>
      </c>
      <c r="C271" s="17">
        <f>ROUND(Data!BO271,2)</f>
        <v>14.21</v>
      </c>
      <c r="D271" s="3">
        <f>ROUND(Data!R271,1)</f>
        <v>6.1</v>
      </c>
      <c r="E271" s="3">
        <f>ROUND(Data!AF271,1)</f>
        <v>-2.4</v>
      </c>
      <c r="F271" s="27">
        <f>Data!BT271</f>
        <v>33.9</v>
      </c>
      <c r="G271" s="3">
        <f>Data!Q271</f>
        <v>0</v>
      </c>
      <c r="H271" s="21">
        <f>Data!BF271</f>
        <v>0</v>
      </c>
      <c r="I271" s="14">
        <f t="shared" si="64"/>
        <v>0</v>
      </c>
      <c r="J271" s="17">
        <f>Data!BX271</f>
        <v>0</v>
      </c>
      <c r="K271" s="42">
        <f t="shared" si="60"/>
        <v>0</v>
      </c>
      <c r="M271" s="27">
        <f t="shared" si="65"/>
        <v>710.19999999999936</v>
      </c>
      <c r="N271" s="27">
        <f t="shared" si="65"/>
        <v>672.57199999999978</v>
      </c>
    </row>
    <row r="272" spans="1:14" x14ac:dyDescent="0.2">
      <c r="A272" s="15">
        <f t="shared" si="63"/>
        <v>36791</v>
      </c>
      <c r="B272" s="1">
        <v>266</v>
      </c>
      <c r="C272" s="17">
        <f>ROUND(Data!BO272,2)</f>
        <v>18.28</v>
      </c>
      <c r="D272" s="3">
        <f>ROUND(Data!R272,1)</f>
        <v>5.6</v>
      </c>
      <c r="E272" s="3">
        <f>ROUND(Data!AF272,1)</f>
        <v>-6</v>
      </c>
      <c r="F272" s="27">
        <f>Data!BT272</f>
        <v>24.6</v>
      </c>
      <c r="G272" s="3">
        <f>Data!Q272</f>
        <v>0</v>
      </c>
      <c r="H272" s="21">
        <f>Data!BF272</f>
        <v>0</v>
      </c>
      <c r="I272" s="14">
        <f t="shared" si="64"/>
        <v>0</v>
      </c>
      <c r="J272" s="17">
        <f>Data!BX272</f>
        <v>0</v>
      </c>
      <c r="K272" s="42">
        <f t="shared" si="60"/>
        <v>0</v>
      </c>
      <c r="M272" s="27">
        <f t="shared" si="65"/>
        <v>710.19999999999936</v>
      </c>
      <c r="N272" s="27">
        <f t="shared" si="65"/>
        <v>672.57199999999978</v>
      </c>
    </row>
    <row r="273" spans="1:20" x14ac:dyDescent="0.2">
      <c r="A273" s="15">
        <f t="shared" si="63"/>
        <v>36792</v>
      </c>
      <c r="B273" s="1">
        <v>267</v>
      </c>
      <c r="C273" s="17">
        <f>ROUND(Data!BO273,2)</f>
        <v>17.350000000000001</v>
      </c>
      <c r="D273" s="3">
        <f>ROUND(Data!R273,1)</f>
        <v>10</v>
      </c>
      <c r="E273" s="3">
        <f>ROUND(Data!AF273,1)</f>
        <v>-6.4</v>
      </c>
      <c r="F273" s="27">
        <f>Data!BT273</f>
        <v>24.9</v>
      </c>
      <c r="G273" s="3">
        <f>Data!Q273</f>
        <v>0</v>
      </c>
      <c r="H273" s="21">
        <f>Data!BF273</f>
        <v>0</v>
      </c>
      <c r="I273" s="14">
        <f t="shared" si="64"/>
        <v>0</v>
      </c>
      <c r="J273" s="17">
        <f>Data!BX273</f>
        <v>0</v>
      </c>
      <c r="K273" s="42">
        <f t="shared" si="60"/>
        <v>0</v>
      </c>
      <c r="M273" s="27">
        <f t="shared" si="65"/>
        <v>710.19999999999936</v>
      </c>
      <c r="N273" s="27">
        <f t="shared" si="65"/>
        <v>672.57199999999978</v>
      </c>
    </row>
    <row r="274" spans="1:20" x14ac:dyDescent="0.2">
      <c r="A274" s="15">
        <f t="shared" si="63"/>
        <v>36793</v>
      </c>
      <c r="B274" s="1">
        <v>268</v>
      </c>
      <c r="C274" s="17">
        <f>ROUND(Data!BO274,2)</f>
        <v>17.25</v>
      </c>
      <c r="D274" s="3">
        <f>ROUND(Data!R274,1)</f>
        <v>14.1</v>
      </c>
      <c r="E274" s="3">
        <f>ROUND(Data!AF274,1)</f>
        <v>-4</v>
      </c>
      <c r="F274" s="27">
        <f>Data!BT274</f>
        <v>32.799999999999997</v>
      </c>
      <c r="G274" s="3">
        <f>Data!Q274</f>
        <v>0</v>
      </c>
      <c r="H274" s="21">
        <f>Data!BF274</f>
        <v>0</v>
      </c>
      <c r="I274" s="14">
        <f t="shared" si="64"/>
        <v>0</v>
      </c>
      <c r="J274" s="17">
        <f>Data!BX274</f>
        <v>0</v>
      </c>
      <c r="K274" s="42">
        <f t="shared" si="60"/>
        <v>0</v>
      </c>
      <c r="M274" s="27">
        <f t="shared" si="65"/>
        <v>710.19999999999936</v>
      </c>
      <c r="N274" s="27">
        <f t="shared" si="65"/>
        <v>672.57199999999978</v>
      </c>
    </row>
    <row r="275" spans="1:20" x14ac:dyDescent="0.2">
      <c r="A275" s="15">
        <f t="shared" si="63"/>
        <v>36794</v>
      </c>
      <c r="B275" s="1">
        <v>269</v>
      </c>
      <c r="C275" s="17">
        <f>ROUND(Data!BO275,2)</f>
        <v>17.2</v>
      </c>
      <c r="D275" s="3">
        <f>ROUND(Data!R275,1)</f>
        <v>16.2</v>
      </c>
      <c r="E275" s="3">
        <f>ROUND(Data!AF275,1)</f>
        <v>-2.6</v>
      </c>
      <c r="F275" s="27">
        <f>Data!BT275</f>
        <v>30.4</v>
      </c>
      <c r="G275" s="3">
        <f>Data!Q275</f>
        <v>0</v>
      </c>
      <c r="H275" s="21">
        <f>Data!BF275</f>
        <v>0</v>
      </c>
      <c r="I275" s="14">
        <f t="shared" si="64"/>
        <v>0</v>
      </c>
      <c r="J275" s="17">
        <f>Data!BX275</f>
        <v>0</v>
      </c>
      <c r="K275" s="42">
        <f t="shared" si="60"/>
        <v>0</v>
      </c>
      <c r="M275" s="27">
        <f t="shared" si="65"/>
        <v>710.19999999999936</v>
      </c>
      <c r="N275" s="27">
        <f t="shared" si="65"/>
        <v>672.57199999999978</v>
      </c>
    </row>
    <row r="276" spans="1:20" x14ac:dyDescent="0.2">
      <c r="A276" s="15">
        <f t="shared" si="63"/>
        <v>36795</v>
      </c>
      <c r="B276" s="1">
        <v>270</v>
      </c>
      <c r="C276" s="17">
        <f>ROUND(Data!BO276,2)</f>
        <v>16.91</v>
      </c>
      <c r="D276" s="3">
        <f>ROUND(Data!R276,1)</f>
        <v>16.399999999999999</v>
      </c>
      <c r="E276" s="3">
        <f>ROUND(Data!AF276,1)</f>
        <v>-2.2000000000000002</v>
      </c>
      <c r="F276" s="27">
        <f>Data!BT276</f>
        <v>26.5</v>
      </c>
      <c r="G276" s="3">
        <f>Data!Q276</f>
        <v>0</v>
      </c>
      <c r="H276" s="21">
        <f>Data!BF276</f>
        <v>0</v>
      </c>
      <c r="I276" s="14">
        <f t="shared" si="64"/>
        <v>0</v>
      </c>
      <c r="J276" s="17">
        <f>Data!BX276</f>
        <v>0</v>
      </c>
      <c r="K276" s="42">
        <f t="shared" si="60"/>
        <v>0</v>
      </c>
      <c r="M276" s="27">
        <f t="shared" si="65"/>
        <v>710.19999999999936</v>
      </c>
      <c r="N276" s="27">
        <f t="shared" si="65"/>
        <v>672.57199999999978</v>
      </c>
    </row>
    <row r="277" spans="1:20" x14ac:dyDescent="0.2">
      <c r="A277" s="15">
        <f t="shared" si="63"/>
        <v>36796</v>
      </c>
      <c r="B277" s="1">
        <v>271</v>
      </c>
      <c r="C277" s="17">
        <f>ROUND(Data!BO277,2)</f>
        <v>16.36</v>
      </c>
      <c r="D277" s="3">
        <f>ROUND(Data!R277,1)</f>
        <v>17.7</v>
      </c>
      <c r="E277" s="3">
        <f>ROUND(Data!AF277,1)</f>
        <v>-1.6</v>
      </c>
      <c r="F277" s="27">
        <f>Data!BT277</f>
        <v>18.7</v>
      </c>
      <c r="G277" s="3">
        <f>Data!Q277</f>
        <v>0</v>
      </c>
      <c r="H277" s="21">
        <f>Data!BF277</f>
        <v>0</v>
      </c>
      <c r="I277" s="14">
        <f t="shared" si="64"/>
        <v>0</v>
      </c>
      <c r="J277" s="17">
        <f>Data!BX277</f>
        <v>0</v>
      </c>
      <c r="K277" s="42">
        <f t="shared" si="60"/>
        <v>0</v>
      </c>
      <c r="M277" s="27">
        <f t="shared" si="65"/>
        <v>710.19999999999936</v>
      </c>
      <c r="N277" s="27">
        <f t="shared" si="65"/>
        <v>672.57199999999978</v>
      </c>
    </row>
    <row r="278" spans="1:20" x14ac:dyDescent="0.2">
      <c r="A278" s="15">
        <f t="shared" si="63"/>
        <v>36797</v>
      </c>
      <c r="B278" s="1">
        <v>272</v>
      </c>
      <c r="C278" s="17">
        <f>ROUND(Data!BO278,2)</f>
        <v>13.19</v>
      </c>
      <c r="D278" s="3">
        <f>ROUND(Data!R278,1)</f>
        <v>14.6</v>
      </c>
      <c r="E278" s="3">
        <f>ROUND(Data!AF278,1)</f>
        <v>-0.1</v>
      </c>
      <c r="F278" s="27">
        <f>Data!BT278</f>
        <v>25.6</v>
      </c>
      <c r="G278" s="3">
        <f>Data!Q278</f>
        <v>0</v>
      </c>
      <c r="H278" s="21">
        <f>Data!BF278</f>
        <v>0</v>
      </c>
      <c r="I278" s="14">
        <f t="shared" si="64"/>
        <v>0</v>
      </c>
      <c r="J278" s="17">
        <f>Data!BX278</f>
        <v>0</v>
      </c>
      <c r="K278" s="42">
        <f t="shared" si="60"/>
        <v>0</v>
      </c>
      <c r="M278" s="27">
        <f t="shared" si="65"/>
        <v>710.19999999999936</v>
      </c>
      <c r="N278" s="27">
        <f t="shared" si="65"/>
        <v>672.57199999999978</v>
      </c>
    </row>
    <row r="279" spans="1:20" x14ac:dyDescent="0.2">
      <c r="A279" s="15">
        <f t="shared" si="63"/>
        <v>36798</v>
      </c>
      <c r="B279" s="1">
        <v>273</v>
      </c>
      <c r="C279" s="17">
        <f>ROUND(Data!BO279,2)</f>
        <v>3.62</v>
      </c>
      <c r="D279" s="3">
        <f>ROUND(Data!R279,1)</f>
        <v>11</v>
      </c>
      <c r="E279" s="3">
        <f>ROUND(Data!AF279,1)</f>
        <v>4</v>
      </c>
      <c r="F279" s="27">
        <f>Data!BT279</f>
        <v>59.5</v>
      </c>
      <c r="G279" s="3">
        <f>Data!Q279</f>
        <v>0</v>
      </c>
      <c r="H279" s="21">
        <f>Data!BF279</f>
        <v>0</v>
      </c>
      <c r="I279" s="14">
        <f t="shared" si="64"/>
        <v>0</v>
      </c>
      <c r="J279" s="17">
        <f>Data!BX279</f>
        <v>17.8</v>
      </c>
      <c r="K279" s="42">
        <f t="shared" si="60"/>
        <v>18.690000000000001</v>
      </c>
      <c r="M279" s="27">
        <f t="shared" si="65"/>
        <v>727.99999999999932</v>
      </c>
      <c r="N279" s="27">
        <f t="shared" si="65"/>
        <v>691.26199999999983</v>
      </c>
    </row>
    <row r="280" spans="1:20" x14ac:dyDescent="0.2">
      <c r="A280" s="15">
        <f t="shared" si="63"/>
        <v>36799</v>
      </c>
      <c r="B280" s="1">
        <v>274</v>
      </c>
      <c r="C280" s="17">
        <f>ROUND(Data!BO280,2)</f>
        <v>12.76</v>
      </c>
      <c r="D280" s="3">
        <f>ROUND(Data!R280,1)</f>
        <v>10.5</v>
      </c>
      <c r="E280" s="3">
        <f>ROUND(Data!AF280,1)</f>
        <v>-0.3</v>
      </c>
      <c r="F280" s="27">
        <f>Data!BT280</f>
        <v>50</v>
      </c>
      <c r="G280" s="3">
        <f>Data!Q280</f>
        <v>0</v>
      </c>
      <c r="H280" s="21">
        <f>Data!BF280</f>
        <v>0</v>
      </c>
      <c r="I280" s="14">
        <f t="shared" si="64"/>
        <v>0</v>
      </c>
      <c r="J280" s="17">
        <f>Data!BX280</f>
        <v>2.5</v>
      </c>
      <c r="K280" s="42">
        <f>J280*L$3</f>
        <v>2.625</v>
      </c>
      <c r="M280" s="27">
        <f t="shared" si="65"/>
        <v>730.49999999999932</v>
      </c>
      <c r="N280" s="27">
        <f t="shared" si="65"/>
        <v>693.88699999999983</v>
      </c>
    </row>
    <row r="281" spans="1:20" x14ac:dyDescent="0.2">
      <c r="A281" s="15">
        <f t="shared" si="63"/>
        <v>36800</v>
      </c>
      <c r="B281" s="1">
        <v>275</v>
      </c>
      <c r="C281" s="17">
        <f>ROUND(Data!BO281,2)</f>
        <v>12.66</v>
      </c>
      <c r="D281" s="3">
        <f>ROUND(Data!R281,1)</f>
        <v>6.4</v>
      </c>
      <c r="E281" s="3">
        <f>ROUND(Data!AF281,1)</f>
        <v>-2.1</v>
      </c>
      <c r="F281" s="27">
        <f>Data!BT281</f>
        <v>46.1</v>
      </c>
      <c r="G281" s="3">
        <f>Data!Q281</f>
        <v>0</v>
      </c>
      <c r="H281" s="21">
        <f>Data!BF281</f>
        <v>0</v>
      </c>
      <c r="I281" s="14">
        <f t="shared" si="64"/>
        <v>0</v>
      </c>
      <c r="J281" s="17">
        <f>Data!BX281</f>
        <v>1.1000000000000001</v>
      </c>
      <c r="K281" s="42">
        <f t="shared" ref="K281:K308" si="66">J281*L$3</f>
        <v>1.1550000000000002</v>
      </c>
      <c r="M281" s="27">
        <f t="shared" ref="M281:N296" si="67">J281+M280</f>
        <v>731.59999999999934</v>
      </c>
      <c r="N281" s="27">
        <f t="shared" si="67"/>
        <v>695.0419999999998</v>
      </c>
    </row>
    <row r="282" spans="1:20" x14ac:dyDescent="0.2">
      <c r="A282" s="15">
        <f t="shared" si="63"/>
        <v>36801</v>
      </c>
      <c r="B282" s="1">
        <v>276</v>
      </c>
      <c r="C282" s="17">
        <f>ROUND(Data!BO282,2)</f>
        <v>7.14</v>
      </c>
      <c r="D282" s="3">
        <f>ROUND(Data!R282,1)</f>
        <v>3.9</v>
      </c>
      <c r="E282" s="3">
        <f>ROUND(Data!AF282,1)</f>
        <v>-3.5</v>
      </c>
      <c r="F282" s="27">
        <f>Data!BT282</f>
        <v>60.4</v>
      </c>
      <c r="G282" s="3">
        <f>Data!Q282</f>
        <v>0</v>
      </c>
      <c r="H282" s="21">
        <f>Data!BF282</f>
        <v>0</v>
      </c>
      <c r="I282" s="14">
        <f t="shared" si="64"/>
        <v>0</v>
      </c>
      <c r="J282" s="17">
        <f>Data!BX282</f>
        <v>0.3</v>
      </c>
      <c r="K282" s="42">
        <f t="shared" si="66"/>
        <v>0.315</v>
      </c>
      <c r="M282" s="27">
        <f t="shared" si="67"/>
        <v>731.8999999999993</v>
      </c>
      <c r="N282" s="27">
        <f t="shared" si="67"/>
        <v>695.35699999999986</v>
      </c>
    </row>
    <row r="283" spans="1:20" x14ac:dyDescent="0.2">
      <c r="A283" s="15">
        <f t="shared" si="63"/>
        <v>36802</v>
      </c>
      <c r="B283" s="1">
        <v>277</v>
      </c>
      <c r="C283" s="17">
        <f>ROUND(Data!BO283,2)</f>
        <v>11.28</v>
      </c>
      <c r="D283" s="3">
        <f>ROUND(Data!R283,1)</f>
        <v>4.0999999999999996</v>
      </c>
      <c r="E283" s="3">
        <f>ROUND(Data!AF283,1)</f>
        <v>-6.2</v>
      </c>
      <c r="F283" s="27">
        <f>Data!BT283</f>
        <v>41.9</v>
      </c>
      <c r="G283" s="3">
        <f>Data!Q283</f>
        <v>0</v>
      </c>
      <c r="H283" s="21">
        <f>Data!BF283</f>
        <v>0</v>
      </c>
      <c r="I283" s="14">
        <f t="shared" si="64"/>
        <v>0</v>
      </c>
      <c r="J283" s="17">
        <f>Data!BX283</f>
        <v>0.6</v>
      </c>
      <c r="K283" s="42">
        <f t="shared" si="66"/>
        <v>0.63</v>
      </c>
      <c r="M283" s="27">
        <f t="shared" si="67"/>
        <v>732.49999999999932</v>
      </c>
      <c r="N283" s="27">
        <f t="shared" si="67"/>
        <v>695.98699999999985</v>
      </c>
    </row>
    <row r="284" spans="1:20" x14ac:dyDescent="0.2">
      <c r="A284" s="15">
        <f t="shared" si="63"/>
        <v>36803</v>
      </c>
      <c r="B284" s="1">
        <v>278</v>
      </c>
      <c r="C284" s="17">
        <f>ROUND(Data!BO284,2)</f>
        <v>9.5299999999999994</v>
      </c>
      <c r="D284" s="3">
        <f>ROUND(Data!R284,1)</f>
        <v>2.2000000000000002</v>
      </c>
      <c r="E284" s="3">
        <f>ROUND(Data!AF284,1)</f>
        <v>-8.1</v>
      </c>
      <c r="F284" s="27">
        <f>Data!BT284</f>
        <v>41.1</v>
      </c>
      <c r="G284" s="3">
        <f>Data!Q284</f>
        <v>0</v>
      </c>
      <c r="H284" s="21">
        <f>Data!BF284</f>
        <v>0</v>
      </c>
      <c r="I284" s="14">
        <f t="shared" si="64"/>
        <v>0</v>
      </c>
      <c r="J284" s="17">
        <f>Data!BX284</f>
        <v>0</v>
      </c>
      <c r="K284" s="42">
        <f t="shared" si="66"/>
        <v>0</v>
      </c>
      <c r="M284" s="27">
        <f t="shared" si="67"/>
        <v>732.49999999999932</v>
      </c>
      <c r="N284" s="27">
        <f t="shared" si="67"/>
        <v>695.98699999999985</v>
      </c>
    </row>
    <row r="285" spans="1:20" x14ac:dyDescent="0.2">
      <c r="A285" s="15">
        <f t="shared" si="63"/>
        <v>36804</v>
      </c>
      <c r="B285" s="1">
        <v>279</v>
      </c>
      <c r="C285" s="17">
        <f>ROUND(Data!BO285,2)</f>
        <v>14.96</v>
      </c>
      <c r="D285" s="3">
        <f>ROUND(Data!R285,1)</f>
        <v>4.0999999999999996</v>
      </c>
      <c r="E285" s="3">
        <f>ROUND(Data!AF285,1)</f>
        <v>-10.3</v>
      </c>
      <c r="F285" s="27">
        <f>Data!BT285</f>
        <v>23.9</v>
      </c>
      <c r="G285" s="3">
        <f>Data!Q285</f>
        <v>0</v>
      </c>
      <c r="H285" s="21">
        <f>Data!BF285</f>
        <v>0</v>
      </c>
      <c r="I285" s="14">
        <f t="shared" si="64"/>
        <v>0</v>
      </c>
      <c r="J285" s="17">
        <f>Data!BX285</f>
        <v>0</v>
      </c>
      <c r="K285" s="42">
        <f t="shared" si="66"/>
        <v>0</v>
      </c>
      <c r="M285" s="27">
        <f t="shared" si="67"/>
        <v>732.49999999999932</v>
      </c>
      <c r="N285" s="27">
        <f t="shared" si="67"/>
        <v>695.98699999999985</v>
      </c>
    </row>
    <row r="286" spans="1:20" x14ac:dyDescent="0.2">
      <c r="A286" s="15">
        <f t="shared" si="63"/>
        <v>36805</v>
      </c>
      <c r="B286" s="1">
        <v>280</v>
      </c>
      <c r="C286" s="17">
        <f>ROUND(Data!BO286,2)</f>
        <v>14.66</v>
      </c>
      <c r="D286" s="3">
        <f>ROUND(Data!R286,1)</f>
        <v>12.4</v>
      </c>
      <c r="E286" s="3">
        <f>ROUND(Data!AF286,1)</f>
        <v>-8.6</v>
      </c>
      <c r="F286" s="27">
        <f>Data!BT286</f>
        <v>23.5</v>
      </c>
      <c r="G286" s="3">
        <f>Data!Q286</f>
        <v>0</v>
      </c>
      <c r="H286" s="21">
        <f>Data!BF286</f>
        <v>0</v>
      </c>
      <c r="I286" s="14">
        <f t="shared" si="64"/>
        <v>0</v>
      </c>
      <c r="J286" s="17">
        <f>Data!BX286</f>
        <v>0</v>
      </c>
      <c r="K286" s="42">
        <f t="shared" si="66"/>
        <v>0</v>
      </c>
      <c r="M286" s="27">
        <f t="shared" si="67"/>
        <v>732.49999999999932</v>
      </c>
      <c r="N286" s="27">
        <f t="shared" si="67"/>
        <v>695.98699999999985</v>
      </c>
      <c r="P286" s="37"/>
      <c r="Q286" s="37"/>
      <c r="R286" s="38"/>
      <c r="S286" s="39"/>
      <c r="T286" s="39"/>
    </row>
    <row r="287" spans="1:20" x14ac:dyDescent="0.2">
      <c r="A287" s="15">
        <f t="shared" si="63"/>
        <v>36806</v>
      </c>
      <c r="B287" s="1">
        <v>281</v>
      </c>
      <c r="C287" s="17">
        <f>ROUND(Data!BO287,2)</f>
        <v>14.41</v>
      </c>
      <c r="D287" s="3">
        <f>ROUND(Data!R287,1)</f>
        <v>15.9</v>
      </c>
      <c r="E287" s="3">
        <f>ROUND(Data!AF287,1)</f>
        <v>-3.1</v>
      </c>
      <c r="F287" s="27">
        <f>Data!BT287</f>
        <v>23.5</v>
      </c>
      <c r="G287" s="3">
        <f>Data!Q287</f>
        <v>0</v>
      </c>
      <c r="H287" s="21">
        <f>Data!BF287</f>
        <v>0</v>
      </c>
      <c r="I287" s="14">
        <f t="shared" si="64"/>
        <v>0</v>
      </c>
      <c r="J287" s="17">
        <f>Data!BX287</f>
        <v>0</v>
      </c>
      <c r="K287" s="42">
        <f t="shared" si="66"/>
        <v>0</v>
      </c>
      <c r="M287" s="27">
        <f t="shared" si="67"/>
        <v>732.49999999999932</v>
      </c>
      <c r="N287" s="27">
        <f t="shared" si="67"/>
        <v>695.98699999999985</v>
      </c>
      <c r="P287" s="37"/>
      <c r="Q287" s="37"/>
      <c r="R287" s="38"/>
      <c r="S287" s="39"/>
      <c r="T287" s="39"/>
    </row>
    <row r="288" spans="1:20" x14ac:dyDescent="0.2">
      <c r="A288" s="15">
        <f t="shared" si="63"/>
        <v>36807</v>
      </c>
      <c r="B288" s="1">
        <v>282</v>
      </c>
      <c r="C288" s="17">
        <f>ROUND(Data!BO288,2)</f>
        <v>7.85</v>
      </c>
      <c r="D288" s="3">
        <f>ROUND(Data!R288,1)</f>
        <v>14.5</v>
      </c>
      <c r="E288" s="3">
        <f>ROUND(Data!AF288,1)</f>
        <v>-2.2999999999999998</v>
      </c>
      <c r="F288" s="27">
        <f>Data!BT288</f>
        <v>23.1</v>
      </c>
      <c r="G288" s="3">
        <f>Data!Q288</f>
        <v>0</v>
      </c>
      <c r="H288" s="21">
        <f>Data!BF288</f>
        <v>0</v>
      </c>
      <c r="I288" s="14">
        <f t="shared" si="64"/>
        <v>0</v>
      </c>
      <c r="J288" s="17">
        <f>Data!BX288</f>
        <v>0</v>
      </c>
      <c r="K288" s="42">
        <f t="shared" si="66"/>
        <v>0</v>
      </c>
      <c r="M288" s="27">
        <f t="shared" si="67"/>
        <v>732.49999999999932</v>
      </c>
      <c r="N288" s="27">
        <f t="shared" si="67"/>
        <v>695.98699999999985</v>
      </c>
      <c r="P288" s="37"/>
      <c r="Q288" s="37"/>
      <c r="R288" s="38"/>
      <c r="S288" s="39"/>
      <c r="T288" s="39"/>
    </row>
    <row r="289" spans="1:20" x14ac:dyDescent="0.2">
      <c r="A289" s="15">
        <f t="shared" si="63"/>
        <v>36808</v>
      </c>
      <c r="B289" s="1">
        <v>283</v>
      </c>
      <c r="C289" s="17">
        <f>ROUND(Data!BO289,2)</f>
        <v>8.67</v>
      </c>
      <c r="D289" s="3">
        <f>ROUND(Data!R289,1)</f>
        <v>13.7</v>
      </c>
      <c r="E289" s="3">
        <f>ROUND(Data!AF289,1)</f>
        <v>2</v>
      </c>
      <c r="F289" s="27">
        <f>Data!BT289</f>
        <v>29.6</v>
      </c>
      <c r="G289" s="3">
        <f>Data!Q289</f>
        <v>0</v>
      </c>
      <c r="H289" s="21">
        <f>Data!BF289</f>
        <v>0</v>
      </c>
      <c r="I289" s="14">
        <f t="shared" si="64"/>
        <v>0</v>
      </c>
      <c r="J289" s="17">
        <f>Data!BX289</f>
        <v>0</v>
      </c>
      <c r="K289" s="42">
        <f t="shared" si="66"/>
        <v>0</v>
      </c>
      <c r="M289" s="27">
        <f t="shared" si="67"/>
        <v>732.49999999999932</v>
      </c>
      <c r="N289" s="27">
        <f t="shared" si="67"/>
        <v>695.98699999999985</v>
      </c>
      <c r="P289" s="37"/>
      <c r="Q289" s="37"/>
      <c r="R289" s="38"/>
      <c r="S289" s="39"/>
      <c r="T289" s="39"/>
    </row>
    <row r="290" spans="1:20" x14ac:dyDescent="0.2">
      <c r="A290" s="15">
        <f t="shared" si="63"/>
        <v>36809</v>
      </c>
      <c r="B290" s="1">
        <v>284</v>
      </c>
      <c r="C290" s="17">
        <f>ROUND(Data!BO290,2)</f>
        <v>7.88</v>
      </c>
      <c r="D290" s="3">
        <f>ROUND(Data!R290,1)</f>
        <v>8.5</v>
      </c>
      <c r="E290" s="3">
        <f>ROUND(Data!AF290,1)</f>
        <v>-0.9</v>
      </c>
      <c r="F290" s="27">
        <f>Data!BT290</f>
        <v>46.8</v>
      </c>
      <c r="G290" s="3">
        <f>Data!Q290</f>
        <v>0</v>
      </c>
      <c r="H290" s="21">
        <f>Data!BF290</f>
        <v>0</v>
      </c>
      <c r="I290" s="14">
        <f t="shared" si="64"/>
        <v>0</v>
      </c>
      <c r="J290" s="17">
        <f>Data!BX290</f>
        <v>0</v>
      </c>
      <c r="K290" s="42">
        <f t="shared" si="66"/>
        <v>0</v>
      </c>
      <c r="M290" s="27">
        <f t="shared" si="67"/>
        <v>732.49999999999932</v>
      </c>
      <c r="N290" s="27">
        <f t="shared" si="67"/>
        <v>695.98699999999985</v>
      </c>
      <c r="P290" s="37"/>
      <c r="Q290" s="37"/>
      <c r="R290" s="38"/>
      <c r="S290" s="39"/>
      <c r="T290" s="39"/>
    </row>
    <row r="291" spans="1:20" x14ac:dyDescent="0.2">
      <c r="A291" s="15">
        <f t="shared" si="63"/>
        <v>36810</v>
      </c>
      <c r="B291" s="1">
        <v>285</v>
      </c>
      <c r="C291" s="17">
        <f>ROUND(Data!BO291,2)</f>
        <v>3.02</v>
      </c>
      <c r="D291" s="3">
        <f>ROUND(Data!R291,1)</f>
        <v>4.3</v>
      </c>
      <c r="E291" s="3">
        <f>ROUND(Data!AF291,1)</f>
        <v>0.5</v>
      </c>
      <c r="F291" s="27">
        <f>Data!BT291</f>
        <v>88.2</v>
      </c>
      <c r="G291" s="3">
        <f>Data!Q291</f>
        <v>0</v>
      </c>
      <c r="H291" s="21">
        <f>Data!BF291</f>
        <v>0</v>
      </c>
      <c r="I291" s="14">
        <f t="shared" si="64"/>
        <v>0</v>
      </c>
      <c r="J291" s="17">
        <f>Data!BX291</f>
        <v>0</v>
      </c>
      <c r="K291" s="42">
        <f t="shared" si="66"/>
        <v>0</v>
      </c>
      <c r="M291" s="27">
        <f t="shared" si="67"/>
        <v>732.49999999999932</v>
      </c>
      <c r="N291" s="27">
        <f t="shared" si="67"/>
        <v>695.98699999999985</v>
      </c>
      <c r="P291" s="37"/>
      <c r="Q291" s="37"/>
      <c r="R291" s="38"/>
      <c r="S291" s="39"/>
      <c r="T291" s="39"/>
    </row>
    <row r="292" spans="1:20" x14ac:dyDescent="0.2">
      <c r="A292" s="15">
        <f t="shared" si="63"/>
        <v>36811</v>
      </c>
      <c r="B292" s="1">
        <v>286</v>
      </c>
      <c r="C292" s="17">
        <f>ROUND(Data!BO292,2)</f>
        <v>12.11</v>
      </c>
      <c r="D292" s="3">
        <f>ROUND(Data!R292,1)</f>
        <v>12.4</v>
      </c>
      <c r="E292" s="3">
        <f>ROUND(Data!AF292,1)</f>
        <v>-2.2000000000000002</v>
      </c>
      <c r="F292" s="27">
        <f>Data!BT292</f>
        <v>33.6</v>
      </c>
      <c r="G292" s="3">
        <f>Data!Q292</f>
        <v>0</v>
      </c>
      <c r="H292" s="21">
        <f>Data!BF292</f>
        <v>0</v>
      </c>
      <c r="I292" s="14">
        <f t="shared" si="64"/>
        <v>0</v>
      </c>
      <c r="J292" s="17">
        <f>Data!BX292</f>
        <v>0</v>
      </c>
      <c r="K292" s="42">
        <f t="shared" si="66"/>
        <v>0</v>
      </c>
      <c r="M292" s="27">
        <f t="shared" si="67"/>
        <v>732.49999999999932</v>
      </c>
      <c r="N292" s="27">
        <f t="shared" si="67"/>
        <v>695.98699999999985</v>
      </c>
      <c r="P292" s="37"/>
      <c r="Q292" s="37"/>
      <c r="R292" s="38"/>
      <c r="S292" s="39"/>
      <c r="T292" s="39"/>
    </row>
    <row r="293" spans="1:20" x14ac:dyDescent="0.2">
      <c r="A293" s="15">
        <f t="shared" si="63"/>
        <v>36812</v>
      </c>
      <c r="B293" s="1">
        <v>287</v>
      </c>
      <c r="C293" s="17">
        <f>ROUND(Data!BO293,2)</f>
        <v>12.56</v>
      </c>
      <c r="D293" s="3">
        <f>ROUND(Data!R293,1)</f>
        <v>8.5</v>
      </c>
      <c r="E293" s="3">
        <f>ROUND(Data!AF293,1)</f>
        <v>-4.2</v>
      </c>
      <c r="F293" s="27">
        <f>Data!BT293</f>
        <v>51.1</v>
      </c>
      <c r="G293" s="3">
        <f>Data!Q293</f>
        <v>0</v>
      </c>
      <c r="H293" s="21">
        <f>Data!BF293</f>
        <v>0</v>
      </c>
      <c r="I293" s="14">
        <f t="shared" si="64"/>
        <v>0</v>
      </c>
      <c r="J293" s="17">
        <f>Data!BX293</f>
        <v>0.3</v>
      </c>
      <c r="K293" s="42">
        <f t="shared" si="66"/>
        <v>0.315</v>
      </c>
      <c r="M293" s="27">
        <f t="shared" si="67"/>
        <v>732.79999999999927</v>
      </c>
      <c r="N293" s="27">
        <f t="shared" si="67"/>
        <v>696.30199999999991</v>
      </c>
      <c r="P293" s="37"/>
      <c r="Q293" s="37"/>
      <c r="R293" s="38"/>
      <c r="S293" s="39"/>
      <c r="T293" s="39"/>
    </row>
    <row r="294" spans="1:20" x14ac:dyDescent="0.2">
      <c r="A294" s="15">
        <f t="shared" si="63"/>
        <v>36813</v>
      </c>
      <c r="B294" s="1">
        <v>288</v>
      </c>
      <c r="C294" s="17">
        <f>ROUND(Data!BO294,2)</f>
        <v>2.64</v>
      </c>
      <c r="D294" s="3">
        <f>ROUND(Data!R294,1)</f>
        <v>3.7</v>
      </c>
      <c r="E294" s="3">
        <f>ROUND(Data!AF294,1)</f>
        <v>-1.7</v>
      </c>
      <c r="F294" s="27">
        <f>Data!BT294</f>
        <v>82.8</v>
      </c>
      <c r="G294" s="3">
        <f>Data!Q294</f>
        <v>0</v>
      </c>
      <c r="H294" s="21">
        <f>Data!BF294</f>
        <v>0</v>
      </c>
      <c r="I294" s="14">
        <f t="shared" si="64"/>
        <v>0</v>
      </c>
      <c r="J294" s="17">
        <f>Data!BX294</f>
        <v>2.1</v>
      </c>
      <c r="K294" s="42">
        <f t="shared" si="66"/>
        <v>2.2050000000000001</v>
      </c>
      <c r="M294" s="27">
        <f t="shared" si="67"/>
        <v>734.8999999999993</v>
      </c>
      <c r="N294" s="27">
        <f t="shared" si="67"/>
        <v>698.50699999999995</v>
      </c>
      <c r="P294" s="37"/>
      <c r="Q294" s="37"/>
      <c r="R294" s="38"/>
      <c r="S294" s="39"/>
      <c r="T294" s="39"/>
    </row>
    <row r="295" spans="1:20" x14ac:dyDescent="0.2">
      <c r="A295" s="15">
        <f t="shared" si="63"/>
        <v>36814</v>
      </c>
      <c r="B295" s="1">
        <v>289</v>
      </c>
      <c r="C295" s="17">
        <f>ROUND(Data!BO295,2)</f>
        <v>7.77</v>
      </c>
      <c r="D295" s="3">
        <f>ROUND(Data!R295,1)</f>
        <v>6.2</v>
      </c>
      <c r="E295" s="3">
        <f>ROUND(Data!AF295,1)</f>
        <v>-4.4000000000000004</v>
      </c>
      <c r="F295" s="27">
        <f>Data!BT295</f>
        <v>56.2</v>
      </c>
      <c r="G295" s="3">
        <f>Data!Q295</f>
        <v>0</v>
      </c>
      <c r="H295" s="21">
        <f>Data!BF295</f>
        <v>0</v>
      </c>
      <c r="I295" s="14">
        <f t="shared" si="64"/>
        <v>0</v>
      </c>
      <c r="J295" s="17">
        <f>Data!BX295</f>
        <v>0.3</v>
      </c>
      <c r="K295" s="42">
        <f t="shared" si="66"/>
        <v>0.315</v>
      </c>
      <c r="M295" s="27">
        <f t="shared" si="67"/>
        <v>735.19999999999925</v>
      </c>
      <c r="N295" s="27">
        <f t="shared" si="67"/>
        <v>698.822</v>
      </c>
      <c r="P295" s="37"/>
      <c r="Q295" s="37"/>
      <c r="R295" s="38"/>
      <c r="S295" s="39"/>
      <c r="T295" s="39"/>
    </row>
    <row r="296" spans="1:20" x14ac:dyDescent="0.2">
      <c r="A296" s="15">
        <f t="shared" si="63"/>
        <v>36815</v>
      </c>
      <c r="B296" s="1">
        <v>290</v>
      </c>
      <c r="C296" s="17">
        <f>ROUND(Data!BO296,2)</f>
        <v>2.4500000000000002</v>
      </c>
      <c r="D296" s="3">
        <f>ROUND(Data!R296,1)</f>
        <v>3.4</v>
      </c>
      <c r="E296" s="3">
        <f>ROUND(Data!AF296,1)</f>
        <v>0</v>
      </c>
      <c r="F296" s="27">
        <f>Data!BT296</f>
        <v>62.7</v>
      </c>
      <c r="G296" s="3">
        <f>Data!Q296</f>
        <v>0</v>
      </c>
      <c r="H296" s="21">
        <f>Data!BF296</f>
        <v>0</v>
      </c>
      <c r="I296" s="14">
        <f t="shared" si="64"/>
        <v>0</v>
      </c>
      <c r="J296" s="17">
        <f>Data!BX296</f>
        <v>14.7</v>
      </c>
      <c r="K296" s="42">
        <f t="shared" si="66"/>
        <v>15.435</v>
      </c>
      <c r="M296" s="27">
        <f t="shared" si="67"/>
        <v>749.8999999999993</v>
      </c>
      <c r="N296" s="27">
        <f t="shared" si="67"/>
        <v>714.25699999999995</v>
      </c>
      <c r="P296" s="37"/>
      <c r="Q296" s="37"/>
      <c r="R296" s="38"/>
      <c r="S296" s="39"/>
      <c r="T296" s="39"/>
    </row>
    <row r="297" spans="1:20" x14ac:dyDescent="0.2">
      <c r="A297" s="15">
        <f t="shared" si="63"/>
        <v>36816</v>
      </c>
      <c r="B297" s="1">
        <v>291</v>
      </c>
      <c r="C297" s="17">
        <f>ROUND(Data!BO297,2)</f>
        <v>4.7300000000000004</v>
      </c>
      <c r="D297" s="3">
        <f>ROUND(Data!R297,1)</f>
        <v>8.8000000000000007</v>
      </c>
      <c r="E297" s="3">
        <f>ROUND(Data!AF297,1)</f>
        <v>0.3</v>
      </c>
      <c r="F297" s="27">
        <f>Data!BT297</f>
        <v>54.2</v>
      </c>
      <c r="G297" s="3">
        <f>Data!Q297</f>
        <v>0</v>
      </c>
      <c r="H297" s="21">
        <f>Data!BF297</f>
        <v>0</v>
      </c>
      <c r="I297" s="14">
        <f t="shared" si="64"/>
        <v>0</v>
      </c>
      <c r="J297" s="17">
        <f>Data!BX297</f>
        <v>8.1</v>
      </c>
      <c r="K297" s="42">
        <f t="shared" si="66"/>
        <v>8.5050000000000008</v>
      </c>
      <c r="M297" s="27">
        <f t="shared" ref="M297:N312" si="68">J297+M296</f>
        <v>757.99999999999932</v>
      </c>
      <c r="N297" s="27">
        <f t="shared" si="68"/>
        <v>722.76199999999994</v>
      </c>
      <c r="P297" s="37"/>
      <c r="Q297" s="37"/>
      <c r="R297" s="38"/>
      <c r="S297" s="39"/>
      <c r="T297" s="39"/>
    </row>
    <row r="298" spans="1:20" x14ac:dyDescent="0.2">
      <c r="A298" s="15">
        <f t="shared" si="63"/>
        <v>36817</v>
      </c>
      <c r="B298" s="1">
        <v>292</v>
      </c>
      <c r="C298" s="17">
        <f>ROUND(Data!BO298,2)</f>
        <v>5.77</v>
      </c>
      <c r="D298" s="3">
        <f>ROUND(Data!R298,1)</f>
        <v>8.6</v>
      </c>
      <c r="E298" s="3">
        <f>ROUND(Data!AF298,1)</f>
        <v>-2.2999999999999998</v>
      </c>
      <c r="F298" s="27">
        <f>Data!BT298</f>
        <v>54.2</v>
      </c>
      <c r="G298" s="3">
        <f>Data!Q298</f>
        <v>0</v>
      </c>
      <c r="H298" s="21">
        <f>Data!BF298</f>
        <v>0</v>
      </c>
      <c r="I298" s="14">
        <f t="shared" si="64"/>
        <v>0</v>
      </c>
      <c r="J298" s="17">
        <f>Data!BX298</f>
        <v>1.3</v>
      </c>
      <c r="K298" s="42">
        <f t="shared" si="66"/>
        <v>1.3650000000000002</v>
      </c>
      <c r="M298" s="27">
        <f t="shared" si="68"/>
        <v>759.29999999999927</v>
      </c>
      <c r="N298" s="27">
        <f t="shared" si="68"/>
        <v>724.12699999999995</v>
      </c>
      <c r="P298" s="37"/>
      <c r="Q298" s="37"/>
      <c r="R298" s="38"/>
      <c r="S298" s="39"/>
      <c r="T298" s="39"/>
    </row>
    <row r="299" spans="1:20" x14ac:dyDescent="0.2">
      <c r="A299" s="15">
        <f t="shared" si="63"/>
        <v>36818</v>
      </c>
      <c r="B299" s="1">
        <v>293</v>
      </c>
      <c r="C299" s="17">
        <f>ROUND(Data!BO299,2)</f>
        <v>6.79</v>
      </c>
      <c r="D299" s="3">
        <f>ROUND(Data!R299,1)</f>
        <v>4</v>
      </c>
      <c r="E299" s="3">
        <f>ROUND(Data!AF299,1)</f>
        <v>-5.3</v>
      </c>
      <c r="F299" s="27">
        <f>Data!BT299</f>
        <v>39.299999999999997</v>
      </c>
      <c r="G299" s="3">
        <f>Data!Q299</f>
        <v>0</v>
      </c>
      <c r="H299" s="21">
        <f>Data!BF299</f>
        <v>0</v>
      </c>
      <c r="I299" s="14">
        <f t="shared" si="64"/>
        <v>0</v>
      </c>
      <c r="J299" s="17">
        <f>Data!BX299</f>
        <v>6.6</v>
      </c>
      <c r="K299" s="42">
        <f t="shared" si="66"/>
        <v>6.93</v>
      </c>
      <c r="M299" s="27">
        <f t="shared" si="68"/>
        <v>765.8999999999993</v>
      </c>
      <c r="N299" s="27">
        <f t="shared" si="68"/>
        <v>731.0569999999999</v>
      </c>
      <c r="P299" s="37"/>
      <c r="Q299" s="37"/>
      <c r="R299" s="38"/>
      <c r="S299" s="39"/>
      <c r="T299" s="39"/>
    </row>
    <row r="300" spans="1:20" x14ac:dyDescent="0.2">
      <c r="A300" s="15">
        <f t="shared" si="63"/>
        <v>36819</v>
      </c>
      <c r="B300" s="1">
        <v>294</v>
      </c>
      <c r="C300" s="17">
        <f>ROUND(Data!BO300,2)</f>
        <v>4.1500000000000004</v>
      </c>
      <c r="D300" s="3">
        <f>ROUND(Data!R300,1)</f>
        <v>6.6</v>
      </c>
      <c r="E300" s="3">
        <f>ROUND(Data!AF300,1)</f>
        <v>-1.2</v>
      </c>
      <c r="F300" s="27">
        <f>Data!BT300</f>
        <v>75.5</v>
      </c>
      <c r="G300" s="3">
        <f>Data!Q300</f>
        <v>0</v>
      </c>
      <c r="H300" s="21">
        <f>Data!BF300</f>
        <v>0</v>
      </c>
      <c r="I300" s="14">
        <f t="shared" si="64"/>
        <v>0</v>
      </c>
      <c r="J300" s="17">
        <f>Data!BX300</f>
        <v>6</v>
      </c>
      <c r="K300" s="42">
        <f t="shared" si="66"/>
        <v>6.3000000000000007</v>
      </c>
      <c r="M300" s="27">
        <f t="shared" si="68"/>
        <v>771.8999999999993</v>
      </c>
      <c r="N300" s="27">
        <f t="shared" si="68"/>
        <v>737.35699999999986</v>
      </c>
      <c r="P300" s="37"/>
      <c r="Q300" s="37"/>
      <c r="R300" s="38"/>
      <c r="S300" s="39"/>
      <c r="T300" s="39"/>
    </row>
    <row r="301" spans="1:20" x14ac:dyDescent="0.2">
      <c r="A301" s="15">
        <f t="shared" si="63"/>
        <v>36820</v>
      </c>
      <c r="B301" s="1">
        <v>295</v>
      </c>
      <c r="C301" s="17">
        <f>ROUND(Data!BO301,2)</f>
        <v>6.43</v>
      </c>
      <c r="D301" s="3">
        <f>ROUND(Data!R301,1)</f>
        <v>-0.2</v>
      </c>
      <c r="E301" s="3">
        <f>ROUND(Data!AF301,1)</f>
        <v>-8.4</v>
      </c>
      <c r="F301" s="27">
        <f>Data!BT301</f>
        <v>65.7</v>
      </c>
      <c r="G301" s="3">
        <f>Data!Q301</f>
        <v>0</v>
      </c>
      <c r="H301" s="21">
        <f>Data!BF301</f>
        <v>0</v>
      </c>
      <c r="I301" s="14">
        <f t="shared" si="64"/>
        <v>0</v>
      </c>
      <c r="J301" s="17">
        <f>Data!BX301</f>
        <v>0.3</v>
      </c>
      <c r="K301" s="42">
        <f t="shared" si="66"/>
        <v>0.315</v>
      </c>
      <c r="M301" s="27">
        <f t="shared" si="68"/>
        <v>772.19999999999925</v>
      </c>
      <c r="N301" s="27">
        <f t="shared" si="68"/>
        <v>737.67199999999991</v>
      </c>
      <c r="P301" s="37"/>
      <c r="Q301" s="37"/>
      <c r="R301" s="38"/>
      <c r="S301" s="39"/>
      <c r="T301" s="39"/>
    </row>
    <row r="302" spans="1:20" x14ac:dyDescent="0.2">
      <c r="A302" s="15">
        <f t="shared" si="63"/>
        <v>36821</v>
      </c>
      <c r="B302" s="1">
        <v>296</v>
      </c>
      <c r="C302" s="17">
        <f>ROUND(Data!BO302,2)</f>
        <v>5.26</v>
      </c>
      <c r="D302" s="3">
        <f>ROUND(Data!R302,1)</f>
        <v>2</v>
      </c>
      <c r="E302" s="3">
        <f>ROUND(Data!AF302,1)</f>
        <v>-8.1999999999999993</v>
      </c>
      <c r="F302" s="27">
        <f>Data!BT302</f>
        <v>62</v>
      </c>
      <c r="G302" s="3">
        <f>Data!Q302</f>
        <v>0</v>
      </c>
      <c r="H302" s="21">
        <f>Data!BF302</f>
        <v>0</v>
      </c>
      <c r="I302" s="14">
        <f t="shared" si="64"/>
        <v>0</v>
      </c>
      <c r="J302" s="17">
        <f>Data!BX302</f>
        <v>0</v>
      </c>
      <c r="K302" s="42">
        <f t="shared" si="66"/>
        <v>0</v>
      </c>
      <c r="M302" s="27">
        <f t="shared" si="68"/>
        <v>772.19999999999925</v>
      </c>
      <c r="N302" s="27">
        <f t="shared" si="68"/>
        <v>737.67199999999991</v>
      </c>
      <c r="P302" s="37"/>
      <c r="Q302" s="37"/>
      <c r="R302" s="38"/>
      <c r="S302" s="39"/>
      <c r="T302" s="39"/>
    </row>
    <row r="303" spans="1:20" x14ac:dyDescent="0.2">
      <c r="A303" s="15">
        <f t="shared" si="63"/>
        <v>36822</v>
      </c>
      <c r="B303" s="1">
        <v>297</v>
      </c>
      <c r="C303" s="17">
        <f>ROUND(Data!BO303,2)</f>
        <v>10.98</v>
      </c>
      <c r="D303" s="3">
        <f>ROUND(Data!R303,1)</f>
        <v>11.6</v>
      </c>
      <c r="E303" s="3">
        <f>ROUND(Data!AF303,1)</f>
        <v>-1.8</v>
      </c>
      <c r="F303" s="27">
        <f>Data!BT303</f>
        <v>42.3</v>
      </c>
      <c r="G303" s="3">
        <f>Data!Q303</f>
        <v>0</v>
      </c>
      <c r="H303" s="21">
        <f>Data!BF303</f>
        <v>0</v>
      </c>
      <c r="I303" s="14">
        <f t="shared" si="64"/>
        <v>0</v>
      </c>
      <c r="J303" s="17">
        <f>Data!BX303</f>
        <v>0</v>
      </c>
      <c r="K303" s="42">
        <f t="shared" si="66"/>
        <v>0</v>
      </c>
      <c r="M303" s="27">
        <f t="shared" si="68"/>
        <v>772.19999999999925</v>
      </c>
      <c r="N303" s="27">
        <f t="shared" si="68"/>
        <v>737.67199999999991</v>
      </c>
      <c r="P303" s="37"/>
      <c r="Q303" s="37"/>
      <c r="R303" s="38"/>
      <c r="S303" s="39"/>
      <c r="T303" s="39"/>
    </row>
    <row r="304" spans="1:20" x14ac:dyDescent="0.2">
      <c r="A304" s="15">
        <f t="shared" si="63"/>
        <v>36823</v>
      </c>
      <c r="B304" s="1">
        <v>298</v>
      </c>
      <c r="C304" s="17">
        <f>ROUND(Data!BO304,2)</f>
        <v>6.86</v>
      </c>
      <c r="D304" s="3">
        <f>ROUND(Data!R304,1)</f>
        <v>9.9</v>
      </c>
      <c r="E304" s="3">
        <f>ROUND(Data!AF304,1)</f>
        <v>-2.2999999999999998</v>
      </c>
      <c r="F304" s="27">
        <f>Data!BT304</f>
        <v>39.9</v>
      </c>
      <c r="G304" s="3">
        <f>Data!Q304</f>
        <v>0</v>
      </c>
      <c r="H304" s="21">
        <f>Data!BF304</f>
        <v>0</v>
      </c>
      <c r="I304" s="14">
        <f t="shared" si="64"/>
        <v>0</v>
      </c>
      <c r="J304" s="17">
        <f>Data!BX304</f>
        <v>0</v>
      </c>
      <c r="K304" s="42">
        <f t="shared" si="66"/>
        <v>0</v>
      </c>
      <c r="M304" s="27">
        <f t="shared" si="68"/>
        <v>772.19999999999925</v>
      </c>
      <c r="N304" s="27">
        <f t="shared" si="68"/>
        <v>737.67199999999991</v>
      </c>
      <c r="P304" s="37"/>
      <c r="Q304" s="37"/>
      <c r="R304" s="38"/>
      <c r="S304" s="39"/>
      <c r="T304" s="39"/>
    </row>
    <row r="305" spans="1:20" x14ac:dyDescent="0.2">
      <c r="A305" s="15">
        <f t="shared" si="63"/>
        <v>36824</v>
      </c>
      <c r="B305" s="1">
        <v>299</v>
      </c>
      <c r="C305" s="17">
        <f>ROUND(Data!BO305,2)</f>
        <v>8.65</v>
      </c>
      <c r="D305" s="3">
        <f>ROUND(Data!R305,1)</f>
        <v>9.6</v>
      </c>
      <c r="E305" s="3">
        <f>ROUND(Data!AF305,1)</f>
        <v>-3.8</v>
      </c>
      <c r="F305" s="27">
        <f>Data!BT305</f>
        <v>40.299999999999997</v>
      </c>
      <c r="G305" s="3">
        <f>Data!Q305</f>
        <v>0</v>
      </c>
      <c r="H305" s="21">
        <f>Data!BF305</f>
        <v>0</v>
      </c>
      <c r="I305" s="14">
        <f t="shared" si="64"/>
        <v>0</v>
      </c>
      <c r="J305" s="17">
        <f>Data!BX305</f>
        <v>0</v>
      </c>
      <c r="K305" s="42">
        <f t="shared" si="66"/>
        <v>0</v>
      </c>
      <c r="M305" s="27">
        <f t="shared" si="68"/>
        <v>772.19999999999925</v>
      </c>
      <c r="N305" s="27">
        <f t="shared" si="68"/>
        <v>737.67199999999991</v>
      </c>
      <c r="P305" s="37"/>
      <c r="Q305" s="37"/>
      <c r="R305" s="38"/>
      <c r="S305" s="39"/>
      <c r="T305" s="39"/>
    </row>
    <row r="306" spans="1:20" x14ac:dyDescent="0.2">
      <c r="A306" s="15">
        <f t="shared" si="63"/>
        <v>36825</v>
      </c>
      <c r="B306" s="1">
        <v>300</v>
      </c>
      <c r="C306" s="17">
        <f>ROUND(Data!BO306,2)</f>
        <v>9.36</v>
      </c>
      <c r="D306" s="3">
        <f>ROUND(Data!R306,1)</f>
        <v>12</v>
      </c>
      <c r="E306" s="3">
        <f>ROUND(Data!AF306,1)</f>
        <v>-3.7</v>
      </c>
      <c r="F306" s="27">
        <f>Data!BT306</f>
        <v>39.200000000000003</v>
      </c>
      <c r="G306" s="3">
        <f>Data!Q306</f>
        <v>0</v>
      </c>
      <c r="H306" s="21">
        <f>Data!BF306</f>
        <v>0</v>
      </c>
      <c r="I306" s="14">
        <f t="shared" si="64"/>
        <v>0</v>
      </c>
      <c r="J306" s="17">
        <f>Data!BX306</f>
        <v>0.3</v>
      </c>
      <c r="K306" s="42">
        <f t="shared" si="66"/>
        <v>0.315</v>
      </c>
      <c r="M306" s="27">
        <f t="shared" si="68"/>
        <v>772.4999999999992</v>
      </c>
      <c r="N306" s="27">
        <f t="shared" si="68"/>
        <v>737.98699999999997</v>
      </c>
      <c r="P306" s="37"/>
      <c r="Q306" s="37"/>
      <c r="R306" s="38"/>
      <c r="S306" s="39"/>
      <c r="T306" s="39"/>
    </row>
    <row r="307" spans="1:20" x14ac:dyDescent="0.2">
      <c r="A307" s="15">
        <f t="shared" si="63"/>
        <v>36826</v>
      </c>
      <c r="B307" s="1">
        <v>301</v>
      </c>
      <c r="C307" s="17">
        <f>ROUND(Data!BO307,2)</f>
        <v>1.23</v>
      </c>
      <c r="D307" s="3">
        <f>ROUND(Data!R307,1)</f>
        <v>5.4</v>
      </c>
      <c r="E307" s="3">
        <f>ROUND(Data!AF307,1)</f>
        <v>1.7</v>
      </c>
      <c r="F307" s="27">
        <f>Data!BT307</f>
        <v>75.3</v>
      </c>
      <c r="G307" s="3">
        <f>Data!Q307</f>
        <v>0</v>
      </c>
      <c r="H307" s="21">
        <f>Data!BF307</f>
        <v>0</v>
      </c>
      <c r="I307" s="14">
        <f t="shared" si="64"/>
        <v>0</v>
      </c>
      <c r="J307" s="17">
        <f>Data!BX307</f>
        <v>1.2</v>
      </c>
      <c r="K307" s="42">
        <f t="shared" si="66"/>
        <v>1.26</v>
      </c>
      <c r="M307" s="27">
        <f t="shared" si="68"/>
        <v>773.69999999999925</v>
      </c>
      <c r="N307" s="27">
        <f t="shared" si="68"/>
        <v>739.24699999999996</v>
      </c>
      <c r="P307" s="37"/>
      <c r="Q307" s="37"/>
      <c r="R307" s="38"/>
      <c r="S307" s="39"/>
      <c r="T307" s="39"/>
    </row>
    <row r="308" spans="1:20" x14ac:dyDescent="0.2">
      <c r="A308" s="15">
        <f t="shared" si="63"/>
        <v>36827</v>
      </c>
      <c r="B308" s="1">
        <v>302</v>
      </c>
      <c r="C308" s="17">
        <f>ROUND(Data!BO308,2)</f>
        <v>1.88</v>
      </c>
      <c r="D308" s="3">
        <f>ROUND(Data!R308,1)</f>
        <v>3.5</v>
      </c>
      <c r="E308" s="3">
        <f>ROUND(Data!AF308,1)</f>
        <v>-3.6</v>
      </c>
      <c r="F308" s="27">
        <f>Data!BT308</f>
        <v>80.2</v>
      </c>
      <c r="G308" s="3">
        <f>Data!Q308</f>
        <v>0</v>
      </c>
      <c r="H308" s="21">
        <f>Data!BF308</f>
        <v>0</v>
      </c>
      <c r="I308" s="14">
        <f t="shared" si="64"/>
        <v>0</v>
      </c>
      <c r="J308" s="17">
        <f>Data!BX308</f>
        <v>6.3</v>
      </c>
      <c r="K308" s="42">
        <f t="shared" si="66"/>
        <v>6.6150000000000002</v>
      </c>
      <c r="M308" s="27">
        <f t="shared" si="68"/>
        <v>779.9999999999992</v>
      </c>
      <c r="N308" s="27">
        <f t="shared" si="68"/>
        <v>745.86199999999997</v>
      </c>
      <c r="P308" s="36">
        <v>1</v>
      </c>
      <c r="Q308" s="24"/>
      <c r="R308" s="21">
        <f t="shared" ref="R308" si="69">Q308*H308</f>
        <v>0</v>
      </c>
      <c r="S308" s="27"/>
      <c r="T308" s="27"/>
    </row>
    <row r="309" spans="1:20" x14ac:dyDescent="0.2">
      <c r="A309" s="15">
        <f t="shared" si="63"/>
        <v>36828</v>
      </c>
      <c r="B309" s="1">
        <v>303</v>
      </c>
      <c r="C309" s="17">
        <f>ROUND(Data!BO309,2)</f>
        <v>3.52</v>
      </c>
      <c r="D309" s="3">
        <f>ROUND(Data!R309,1)</f>
        <v>1.3</v>
      </c>
      <c r="E309" s="3">
        <f>ROUND(Data!AF309,1)</f>
        <v>-4.3</v>
      </c>
      <c r="F309" s="27">
        <f>Data!BT309</f>
        <v>87.4</v>
      </c>
      <c r="G309" s="3">
        <f>Data!Q309</f>
        <v>0</v>
      </c>
      <c r="H309" s="21">
        <f>Data!BF309</f>
        <v>7</v>
      </c>
      <c r="I309" s="14">
        <f t="shared" si="64"/>
        <v>0.9</v>
      </c>
      <c r="J309" s="17">
        <f>Data!BX309</f>
        <v>6.5</v>
      </c>
      <c r="K309" s="42">
        <f>J309*L$3</f>
        <v>6.8250000000000002</v>
      </c>
      <c r="M309" s="27">
        <f t="shared" si="68"/>
        <v>786.4999999999992</v>
      </c>
      <c r="N309" s="27">
        <f t="shared" si="68"/>
        <v>752.68700000000001</v>
      </c>
      <c r="P309" s="24">
        <f t="shared" ref="P309:P362" si="70">(R308+K309)/H309</f>
        <v>0.97499999999999998</v>
      </c>
      <c r="Q309" s="24">
        <f t="shared" ref="Q309:Q362" si="71">IF(P309&gt;Q$1,Q$1,P309)</f>
        <v>0.4</v>
      </c>
      <c r="R309" s="21">
        <f t="shared" ref="R309:R361" si="72">Q309*H309</f>
        <v>2.8000000000000003</v>
      </c>
      <c r="S309" s="27">
        <f t="shared" ref="S309:S362" si="73">R309-R308</f>
        <v>2.8000000000000003</v>
      </c>
      <c r="T309" s="27">
        <f t="shared" ref="T309:T362" si="74">K309-S309</f>
        <v>4.0250000000000004</v>
      </c>
    </row>
    <row r="310" spans="1:20" x14ac:dyDescent="0.2">
      <c r="A310" s="15">
        <f t="shared" si="63"/>
        <v>36829</v>
      </c>
      <c r="B310" s="1">
        <v>304</v>
      </c>
      <c r="C310" s="17">
        <f>ROUND(Data!BO310,2)</f>
        <v>3.15</v>
      </c>
      <c r="D310" s="3">
        <f>ROUND(Data!R310,1)</f>
        <v>2.1</v>
      </c>
      <c r="E310" s="3">
        <f>ROUND(Data!AF310,1)</f>
        <v>-2.8</v>
      </c>
      <c r="F310" s="27">
        <f>Data!BT310</f>
        <v>77.900000000000006</v>
      </c>
      <c r="G310" s="3">
        <f>Data!Q310</f>
        <v>0</v>
      </c>
      <c r="H310" s="21">
        <f>Data!BF310</f>
        <v>16</v>
      </c>
      <c r="I310" s="14">
        <f t="shared" si="64"/>
        <v>1.2</v>
      </c>
      <c r="J310" s="17">
        <f>Data!BX310</f>
        <v>0.3</v>
      </c>
      <c r="K310" s="42">
        <f>J310*L$3</f>
        <v>0.315</v>
      </c>
      <c r="M310" s="27">
        <f t="shared" si="68"/>
        <v>786.79999999999916</v>
      </c>
      <c r="N310" s="27">
        <f t="shared" si="68"/>
        <v>753.00200000000007</v>
      </c>
      <c r="P310" s="24">
        <f t="shared" si="70"/>
        <v>0.19468750000000001</v>
      </c>
      <c r="Q310" s="24">
        <f t="shared" si="71"/>
        <v>0.19468750000000001</v>
      </c>
      <c r="R310" s="21">
        <f t="shared" si="72"/>
        <v>3.1150000000000002</v>
      </c>
      <c r="S310" s="27">
        <f t="shared" si="73"/>
        <v>0.31499999999999995</v>
      </c>
      <c r="T310" s="27">
        <f t="shared" si="74"/>
        <v>0</v>
      </c>
    </row>
    <row r="311" spans="1:20" x14ac:dyDescent="0.2">
      <c r="A311" s="15">
        <f t="shared" si="63"/>
        <v>36830</v>
      </c>
      <c r="B311" s="1">
        <v>305</v>
      </c>
      <c r="C311" s="17">
        <f>ROUND(Data!BO311,2)</f>
        <v>0.48</v>
      </c>
      <c r="D311" s="3">
        <f>ROUND(Data!R311,1)</f>
        <v>-0.2</v>
      </c>
      <c r="E311" s="3">
        <f>ROUND(Data!AF311,1)</f>
        <v>-2</v>
      </c>
      <c r="F311" s="27">
        <f>Data!BT311</f>
        <v>78.5</v>
      </c>
      <c r="G311" s="3">
        <f>Data!Q311</f>
        <v>0</v>
      </c>
      <c r="H311" s="21">
        <f>Data!BF311</f>
        <v>11</v>
      </c>
      <c r="I311" s="14">
        <f t="shared" si="64"/>
        <v>0</v>
      </c>
      <c r="J311" s="17">
        <f>Data!BX311</f>
        <v>4.8</v>
      </c>
      <c r="K311" s="42">
        <f>J311*L$3</f>
        <v>5.04</v>
      </c>
      <c r="M311" s="27">
        <f t="shared" si="68"/>
        <v>791.59999999999911</v>
      </c>
      <c r="N311" s="27">
        <f t="shared" si="68"/>
        <v>758.04200000000003</v>
      </c>
      <c r="P311" s="24">
        <f t="shared" si="70"/>
        <v>0.74136363636363645</v>
      </c>
      <c r="Q311" s="24">
        <f t="shared" si="71"/>
        <v>0.4</v>
      </c>
      <c r="R311" s="21">
        <f t="shared" si="72"/>
        <v>4.4000000000000004</v>
      </c>
      <c r="S311" s="27">
        <f t="shared" si="73"/>
        <v>1.2850000000000001</v>
      </c>
      <c r="T311" s="27">
        <f t="shared" si="74"/>
        <v>3.7549999999999999</v>
      </c>
    </row>
    <row r="312" spans="1:20" x14ac:dyDescent="0.2">
      <c r="A312" s="15">
        <f t="shared" si="63"/>
        <v>36831</v>
      </c>
      <c r="B312" s="1">
        <v>306</v>
      </c>
      <c r="C312" s="17">
        <f>ROUND(Data!BO312,2)</f>
        <v>2.84</v>
      </c>
      <c r="D312" s="3">
        <f>ROUND(Data!R312,1)</f>
        <v>0.8</v>
      </c>
      <c r="E312" s="3">
        <f>ROUND(Data!AF312,1)</f>
        <v>-9.8000000000000007</v>
      </c>
      <c r="F312" s="27">
        <f>Data!BT312</f>
        <v>75.099999999999994</v>
      </c>
      <c r="G312" s="3">
        <f>Data!Q312</f>
        <v>0</v>
      </c>
      <c r="H312" s="21">
        <f>Data!BF312</f>
        <v>54</v>
      </c>
      <c r="I312" s="14">
        <f t="shared" si="64"/>
        <v>5.6</v>
      </c>
      <c r="J312" s="17">
        <f>Data!BX312</f>
        <v>0.8</v>
      </c>
      <c r="K312" s="35">
        <f t="shared" ref="K312:K365" si="75">I312</f>
        <v>5.6</v>
      </c>
      <c r="M312" s="27">
        <f t="shared" si="68"/>
        <v>792.39999999999907</v>
      </c>
      <c r="N312" s="27">
        <f t="shared" si="68"/>
        <v>763.64200000000005</v>
      </c>
      <c r="P312" s="24">
        <f t="shared" si="70"/>
        <v>0.18518518518518517</v>
      </c>
      <c r="Q312" s="24">
        <f t="shared" si="71"/>
        <v>0.18518518518518517</v>
      </c>
      <c r="R312" s="21">
        <f t="shared" si="72"/>
        <v>10</v>
      </c>
      <c r="S312" s="27">
        <f t="shared" si="73"/>
        <v>5.6</v>
      </c>
      <c r="T312" s="27">
        <f t="shared" si="74"/>
        <v>0</v>
      </c>
    </row>
    <row r="313" spans="1:20" x14ac:dyDescent="0.2">
      <c r="A313" s="15">
        <f t="shared" si="63"/>
        <v>36832</v>
      </c>
      <c r="B313" s="1">
        <v>307</v>
      </c>
      <c r="C313" s="17">
        <f>ROUND(Data!BO313,2)</f>
        <v>5.67</v>
      </c>
      <c r="D313" s="3">
        <f>ROUND(Data!R313,1)</f>
        <v>2.6</v>
      </c>
      <c r="E313" s="3">
        <f>ROUND(Data!AF313,1)</f>
        <v>-9.6999999999999993</v>
      </c>
      <c r="F313" s="27">
        <f>Data!BT313</f>
        <v>63.8</v>
      </c>
      <c r="G313" s="3">
        <f>Data!Q313</f>
        <v>0</v>
      </c>
      <c r="H313" s="21">
        <f>Data!BF313</f>
        <v>41</v>
      </c>
      <c r="I313" s="14">
        <f t="shared" si="64"/>
        <v>0</v>
      </c>
      <c r="J313" s="17">
        <f>Data!BX313</f>
        <v>0.6</v>
      </c>
      <c r="K313" s="35">
        <f t="shared" si="75"/>
        <v>0</v>
      </c>
      <c r="M313" s="27">
        <f t="shared" ref="M313:N328" si="76">J313+M312</f>
        <v>792.99999999999909</v>
      </c>
      <c r="N313" s="27">
        <f t="shared" si="76"/>
        <v>763.64200000000005</v>
      </c>
      <c r="P313" s="24">
        <f t="shared" si="70"/>
        <v>0.24390243902439024</v>
      </c>
      <c r="Q313" s="24">
        <f t="shared" si="71"/>
        <v>0.24390243902439024</v>
      </c>
      <c r="R313" s="21">
        <f t="shared" si="72"/>
        <v>10</v>
      </c>
      <c r="S313" s="27">
        <f t="shared" si="73"/>
        <v>0</v>
      </c>
      <c r="T313" s="27">
        <f t="shared" si="74"/>
        <v>0</v>
      </c>
    </row>
    <row r="314" spans="1:20" x14ac:dyDescent="0.2">
      <c r="A314" s="15">
        <f t="shared" si="63"/>
        <v>36833</v>
      </c>
      <c r="B314" s="1">
        <v>308</v>
      </c>
      <c r="C314" s="17">
        <f>ROUND(Data!BO314,2)</f>
        <v>2.56</v>
      </c>
      <c r="D314" s="3">
        <f>ROUND(Data!R314,1)</f>
        <v>3.1</v>
      </c>
      <c r="E314" s="3">
        <f>ROUND(Data!AF314,1)</f>
        <v>-4.5999999999999996</v>
      </c>
      <c r="F314" s="27">
        <f>Data!BT314</f>
        <v>83.6</v>
      </c>
      <c r="G314" s="3">
        <f>Data!Q314</f>
        <v>0</v>
      </c>
      <c r="H314" s="21">
        <f>Data!BF314</f>
        <v>45</v>
      </c>
      <c r="I314" s="14">
        <f t="shared" si="64"/>
        <v>0.5</v>
      </c>
      <c r="J314" s="17">
        <f>Data!BX314</f>
        <v>0</v>
      </c>
      <c r="K314" s="35">
        <f t="shared" si="75"/>
        <v>0.5</v>
      </c>
      <c r="M314" s="27">
        <f t="shared" si="76"/>
        <v>792.99999999999909</v>
      </c>
      <c r="N314" s="27">
        <f t="shared" si="76"/>
        <v>764.14200000000005</v>
      </c>
      <c r="P314" s="24">
        <f t="shared" si="70"/>
        <v>0.23333333333333334</v>
      </c>
      <c r="Q314" s="24">
        <f t="shared" si="71"/>
        <v>0.23333333333333334</v>
      </c>
      <c r="R314" s="21">
        <f t="shared" si="72"/>
        <v>10.5</v>
      </c>
      <c r="S314" s="27">
        <f t="shared" si="73"/>
        <v>0.5</v>
      </c>
      <c r="T314" s="27">
        <f t="shared" si="74"/>
        <v>0</v>
      </c>
    </row>
    <row r="315" spans="1:20" x14ac:dyDescent="0.2">
      <c r="A315" s="15">
        <f t="shared" si="63"/>
        <v>36834</v>
      </c>
      <c r="B315" s="1">
        <v>309</v>
      </c>
      <c r="C315" s="17">
        <f>ROUND(Data!BO315,2)</f>
        <v>0.68</v>
      </c>
      <c r="D315" s="3">
        <f>ROUND(Data!R315,1)</f>
        <v>3</v>
      </c>
      <c r="E315" s="3">
        <f>ROUND(Data!AF315,1)</f>
        <v>-3.2</v>
      </c>
      <c r="F315" s="27">
        <f>Data!BT315</f>
        <v>84.1</v>
      </c>
      <c r="G315" s="3">
        <f>Data!Q315</f>
        <v>0</v>
      </c>
      <c r="H315" s="21">
        <f>Data!BF315</f>
        <v>130</v>
      </c>
      <c r="I315" s="14">
        <f t="shared" si="64"/>
        <v>11.1</v>
      </c>
      <c r="J315" s="17">
        <f>Data!BX315</f>
        <v>0</v>
      </c>
      <c r="K315" s="35">
        <f t="shared" si="75"/>
        <v>11.1</v>
      </c>
      <c r="M315" s="27">
        <f t="shared" si="76"/>
        <v>792.99999999999909</v>
      </c>
      <c r="N315" s="27">
        <f t="shared" si="76"/>
        <v>775.24200000000008</v>
      </c>
      <c r="P315" s="24">
        <f t="shared" si="70"/>
        <v>0.16615384615384615</v>
      </c>
      <c r="Q315" s="24">
        <f t="shared" si="71"/>
        <v>0.16615384615384615</v>
      </c>
      <c r="R315" s="21">
        <f t="shared" si="72"/>
        <v>21.6</v>
      </c>
      <c r="S315" s="27">
        <f t="shared" si="73"/>
        <v>11.100000000000001</v>
      </c>
      <c r="T315" s="27">
        <f t="shared" si="74"/>
        <v>0</v>
      </c>
    </row>
    <row r="316" spans="1:20" x14ac:dyDescent="0.2">
      <c r="A316" s="15">
        <f t="shared" si="63"/>
        <v>36835</v>
      </c>
      <c r="B316" s="1">
        <v>310</v>
      </c>
      <c r="C316" s="17">
        <f>ROUND(Data!BO316,2)</f>
        <v>4.2699999999999996</v>
      </c>
      <c r="D316" s="3">
        <f>ROUND(Data!R316,1)</f>
        <v>-0.7</v>
      </c>
      <c r="E316" s="3">
        <f>ROUND(Data!AF316,1)</f>
        <v>-12.2</v>
      </c>
      <c r="F316" s="27">
        <f>Data!BT316</f>
        <v>90.1</v>
      </c>
      <c r="G316" s="3">
        <f>Data!Q316</f>
        <v>0</v>
      </c>
      <c r="H316" s="21">
        <f>Data!BF316</f>
        <v>123</v>
      </c>
      <c r="I316" s="14">
        <f t="shared" si="64"/>
        <v>0</v>
      </c>
      <c r="J316" s="17">
        <f>Data!BX316</f>
        <v>0</v>
      </c>
      <c r="K316" s="35">
        <f t="shared" si="75"/>
        <v>0</v>
      </c>
      <c r="M316" s="27">
        <f t="shared" si="76"/>
        <v>792.99999999999909</v>
      </c>
      <c r="N316" s="27">
        <f t="shared" si="76"/>
        <v>775.24200000000008</v>
      </c>
      <c r="P316" s="24">
        <f t="shared" si="70"/>
        <v>0.17560975609756099</v>
      </c>
      <c r="Q316" s="24">
        <f t="shared" si="71"/>
        <v>0.17560975609756099</v>
      </c>
      <c r="R316" s="21">
        <f t="shared" si="72"/>
        <v>21.6</v>
      </c>
      <c r="S316" s="27">
        <f t="shared" si="73"/>
        <v>0</v>
      </c>
      <c r="T316" s="27">
        <f t="shared" si="74"/>
        <v>0</v>
      </c>
    </row>
    <row r="317" spans="1:20" x14ac:dyDescent="0.2">
      <c r="A317" s="15">
        <f t="shared" si="63"/>
        <v>36836</v>
      </c>
      <c r="B317" s="1">
        <v>311</v>
      </c>
      <c r="C317" s="17">
        <f>ROUND(Data!BO317,2)</f>
        <v>4.13</v>
      </c>
      <c r="D317" s="3">
        <f>ROUND(Data!R317,1)</f>
        <v>-2.6</v>
      </c>
      <c r="E317" s="3">
        <f>ROUND(Data!AF317,1)</f>
        <v>-12.1</v>
      </c>
      <c r="F317" s="27">
        <f>Data!BT317</f>
        <v>87.6</v>
      </c>
      <c r="G317" s="3">
        <f>Data!Q317</f>
        <v>0</v>
      </c>
      <c r="H317" s="21">
        <f>Data!BF317</f>
        <v>122</v>
      </c>
      <c r="I317" s="14">
        <f t="shared" si="64"/>
        <v>0</v>
      </c>
      <c r="J317" s="17">
        <f>Data!BX317</f>
        <v>0</v>
      </c>
      <c r="K317" s="35">
        <f t="shared" si="75"/>
        <v>0</v>
      </c>
      <c r="M317" s="27">
        <f t="shared" si="76"/>
        <v>792.99999999999909</v>
      </c>
      <c r="N317" s="27">
        <f t="shared" si="76"/>
        <v>775.24200000000008</v>
      </c>
      <c r="P317" s="24">
        <f t="shared" si="70"/>
        <v>0.17704918032786887</v>
      </c>
      <c r="Q317" s="24">
        <f t="shared" si="71"/>
        <v>0.17704918032786887</v>
      </c>
      <c r="R317" s="21">
        <f t="shared" si="72"/>
        <v>21.6</v>
      </c>
      <c r="S317" s="27">
        <f t="shared" si="73"/>
        <v>0</v>
      </c>
      <c r="T317" s="27">
        <f t="shared" si="74"/>
        <v>0</v>
      </c>
    </row>
    <row r="318" spans="1:20" x14ac:dyDescent="0.2">
      <c r="A318" s="15">
        <f t="shared" si="63"/>
        <v>36837</v>
      </c>
      <c r="B318" s="1">
        <v>312</v>
      </c>
      <c r="C318" s="17">
        <f>ROUND(Data!BO318,2)</f>
        <v>1.82</v>
      </c>
      <c r="D318" s="3">
        <f>ROUND(Data!R318,1)</f>
        <v>-2.6</v>
      </c>
      <c r="E318" s="3">
        <f>ROUND(Data!AF318,1)</f>
        <v>-5.5</v>
      </c>
      <c r="F318" s="27">
        <f>Data!BT318</f>
        <v>82.7</v>
      </c>
      <c r="G318" s="3">
        <f>Data!Q318</f>
        <v>0</v>
      </c>
      <c r="H318" s="21">
        <f>Data!BF318</f>
        <v>124</v>
      </c>
      <c r="I318" s="14">
        <f t="shared" si="64"/>
        <v>0.3</v>
      </c>
      <c r="J318" s="17">
        <f>Data!BX318</f>
        <v>0</v>
      </c>
      <c r="K318" s="35">
        <f t="shared" si="75"/>
        <v>0.3</v>
      </c>
      <c r="M318" s="27">
        <f t="shared" si="76"/>
        <v>792.99999999999909</v>
      </c>
      <c r="N318" s="27">
        <f t="shared" si="76"/>
        <v>775.54200000000003</v>
      </c>
      <c r="P318" s="24">
        <f t="shared" si="70"/>
        <v>0.17661290322580647</v>
      </c>
      <c r="Q318" s="24">
        <f t="shared" si="71"/>
        <v>0.17661290322580647</v>
      </c>
      <c r="R318" s="21">
        <f t="shared" si="72"/>
        <v>21.900000000000002</v>
      </c>
      <c r="S318" s="27">
        <f t="shared" si="73"/>
        <v>0.30000000000000071</v>
      </c>
      <c r="T318" s="27">
        <f t="shared" si="74"/>
        <v>-7.2164496600635175E-16</v>
      </c>
    </row>
    <row r="319" spans="1:20" x14ac:dyDescent="0.2">
      <c r="A319" s="15">
        <f t="shared" si="63"/>
        <v>36838</v>
      </c>
      <c r="B319" s="1">
        <v>313</v>
      </c>
      <c r="C319" s="17">
        <f>ROUND(Data!BO319,2)</f>
        <v>4.01</v>
      </c>
      <c r="D319" s="3">
        <f>ROUND(Data!R319,1)</f>
        <v>-1.5</v>
      </c>
      <c r="E319" s="3">
        <f>ROUND(Data!AF319,1)</f>
        <v>-6.4</v>
      </c>
      <c r="F319" s="27">
        <f>Data!BT319</f>
        <v>67.599999999999994</v>
      </c>
      <c r="G319" s="3">
        <f>Data!Q319</f>
        <v>0</v>
      </c>
      <c r="H319" s="21">
        <f>Data!BF319</f>
        <v>123</v>
      </c>
      <c r="I319" s="14">
        <f t="shared" si="64"/>
        <v>0</v>
      </c>
      <c r="J319" s="17">
        <f>Data!BX319</f>
        <v>0</v>
      </c>
      <c r="K319" s="35">
        <f t="shared" si="75"/>
        <v>0</v>
      </c>
      <c r="M319" s="27">
        <f t="shared" si="76"/>
        <v>792.99999999999909</v>
      </c>
      <c r="N319" s="27">
        <f t="shared" si="76"/>
        <v>775.54200000000003</v>
      </c>
      <c r="P319" s="24">
        <f t="shared" si="70"/>
        <v>0.1780487804878049</v>
      </c>
      <c r="Q319" s="24">
        <f t="shared" si="71"/>
        <v>0.1780487804878049</v>
      </c>
      <c r="R319" s="21">
        <f t="shared" si="72"/>
        <v>21.900000000000002</v>
      </c>
      <c r="S319" s="27">
        <f t="shared" si="73"/>
        <v>0</v>
      </c>
      <c r="T319" s="27">
        <f t="shared" si="74"/>
        <v>0</v>
      </c>
    </row>
    <row r="320" spans="1:20" x14ac:dyDescent="0.2">
      <c r="A320" s="15">
        <f t="shared" si="63"/>
        <v>36839</v>
      </c>
      <c r="B320" s="1">
        <v>314</v>
      </c>
      <c r="C320" s="17">
        <f>ROUND(Data!BO320,2)</f>
        <v>4.5599999999999996</v>
      </c>
      <c r="D320" s="3">
        <f>ROUND(Data!R320,1)</f>
        <v>-2.2999999999999998</v>
      </c>
      <c r="E320" s="3">
        <f>ROUND(Data!AF320,1)</f>
        <v>-12.4</v>
      </c>
      <c r="F320" s="27">
        <f>Data!BT320</f>
        <v>50.8</v>
      </c>
      <c r="G320" s="3">
        <f>Data!Q320</f>
        <v>0</v>
      </c>
      <c r="H320" s="21">
        <f>Data!BF320</f>
        <v>122</v>
      </c>
      <c r="I320" s="14">
        <f t="shared" si="64"/>
        <v>0</v>
      </c>
      <c r="J320" s="17">
        <f>Data!BX320</f>
        <v>0</v>
      </c>
      <c r="K320" s="35">
        <f t="shared" si="75"/>
        <v>0</v>
      </c>
      <c r="M320" s="27">
        <f t="shared" si="76"/>
        <v>792.99999999999909</v>
      </c>
      <c r="N320" s="27">
        <f t="shared" si="76"/>
        <v>775.54200000000003</v>
      </c>
      <c r="P320" s="24">
        <f t="shared" si="70"/>
        <v>0.17950819672131149</v>
      </c>
      <c r="Q320" s="24">
        <f t="shared" si="71"/>
        <v>0.17950819672131149</v>
      </c>
      <c r="R320" s="21">
        <f t="shared" si="72"/>
        <v>21.900000000000002</v>
      </c>
      <c r="S320" s="27">
        <f t="shared" si="73"/>
        <v>0</v>
      </c>
      <c r="T320" s="27">
        <f t="shared" si="74"/>
        <v>0</v>
      </c>
    </row>
    <row r="321" spans="1:20" x14ac:dyDescent="0.2">
      <c r="A321" s="15">
        <f t="shared" si="63"/>
        <v>36840</v>
      </c>
      <c r="B321" s="1">
        <v>315</v>
      </c>
      <c r="C321" s="17">
        <f>ROUND(Data!BO321,2)</f>
        <v>3.2</v>
      </c>
      <c r="D321" s="3">
        <f>ROUND(Data!R321,1)</f>
        <v>-6.7</v>
      </c>
      <c r="E321" s="3">
        <f>ROUND(Data!AF321,1)</f>
        <v>-14.6</v>
      </c>
      <c r="F321" s="27">
        <f>Data!BT321</f>
        <v>71.099999999999994</v>
      </c>
      <c r="G321" s="3">
        <f>Data!Q321</f>
        <v>0</v>
      </c>
      <c r="H321" s="21">
        <f>Data!BF321</f>
        <v>128</v>
      </c>
      <c r="I321" s="14">
        <f t="shared" si="64"/>
        <v>0.8</v>
      </c>
      <c r="J321" s="17">
        <f>Data!BX321</f>
        <v>0</v>
      </c>
      <c r="K321" s="35">
        <f t="shared" si="75"/>
        <v>0.8</v>
      </c>
      <c r="M321" s="27">
        <f t="shared" si="76"/>
        <v>792.99999999999909</v>
      </c>
      <c r="N321" s="27">
        <f t="shared" si="76"/>
        <v>776.34199999999998</v>
      </c>
      <c r="P321" s="24">
        <f t="shared" si="70"/>
        <v>0.17734375000000002</v>
      </c>
      <c r="Q321" s="24">
        <f t="shared" si="71"/>
        <v>0.17734375000000002</v>
      </c>
      <c r="R321" s="21">
        <f t="shared" si="72"/>
        <v>22.700000000000003</v>
      </c>
      <c r="S321" s="27">
        <f t="shared" si="73"/>
        <v>0.80000000000000071</v>
      </c>
      <c r="T321" s="27">
        <f t="shared" si="74"/>
        <v>0</v>
      </c>
    </row>
    <row r="322" spans="1:20" x14ac:dyDescent="0.2">
      <c r="A322" s="15">
        <f t="shared" si="63"/>
        <v>36841</v>
      </c>
      <c r="B322" s="1">
        <v>316</v>
      </c>
      <c r="C322" s="17">
        <f>ROUND(Data!BO322,2)</f>
        <v>2.75</v>
      </c>
      <c r="D322" s="3">
        <f>ROUND(Data!R322,1)</f>
        <v>-8.6999999999999993</v>
      </c>
      <c r="E322" s="3">
        <f>ROUND(Data!AF322,1)</f>
        <v>-11.2</v>
      </c>
      <c r="F322" s="27">
        <f>Data!BT322</f>
        <v>90.5</v>
      </c>
      <c r="G322" s="3">
        <f>Data!Q322</f>
        <v>0</v>
      </c>
      <c r="H322" s="21">
        <f>Data!BF322</f>
        <v>166</v>
      </c>
      <c r="I322" s="14">
        <f t="shared" si="64"/>
        <v>4.9000000000000004</v>
      </c>
      <c r="J322" s="17">
        <f>Data!BX322</f>
        <v>0</v>
      </c>
      <c r="K322" s="35">
        <f t="shared" si="75"/>
        <v>4.9000000000000004</v>
      </c>
      <c r="M322" s="27">
        <f t="shared" si="76"/>
        <v>792.99999999999909</v>
      </c>
      <c r="N322" s="27">
        <f t="shared" si="76"/>
        <v>781.24199999999996</v>
      </c>
      <c r="P322" s="24">
        <f t="shared" si="70"/>
        <v>0.16626506024096385</v>
      </c>
      <c r="Q322" s="24">
        <f t="shared" si="71"/>
        <v>0.16626506024096385</v>
      </c>
      <c r="R322" s="21">
        <f t="shared" si="72"/>
        <v>27.599999999999998</v>
      </c>
      <c r="S322" s="27">
        <f t="shared" si="73"/>
        <v>4.899999999999995</v>
      </c>
      <c r="T322" s="27">
        <f t="shared" si="74"/>
        <v>0</v>
      </c>
    </row>
    <row r="323" spans="1:20" x14ac:dyDescent="0.2">
      <c r="A323" s="15">
        <f t="shared" si="63"/>
        <v>36842</v>
      </c>
      <c r="B323" s="1">
        <v>317</v>
      </c>
      <c r="C323" s="17">
        <f>ROUND(Data!BO323,2)</f>
        <v>3.93</v>
      </c>
      <c r="D323" s="3">
        <f>ROUND(Data!R323,1)</f>
        <v>-4.5999999999999996</v>
      </c>
      <c r="E323" s="3">
        <f>ROUND(Data!AF323,1)</f>
        <v>-9.4</v>
      </c>
      <c r="F323" s="27">
        <f>Data!BT323</f>
        <v>87.3</v>
      </c>
      <c r="G323" s="3">
        <f>Data!Q323</f>
        <v>0</v>
      </c>
      <c r="H323" s="21">
        <f>Data!BF323</f>
        <v>155</v>
      </c>
      <c r="I323" s="14">
        <f t="shared" si="64"/>
        <v>0</v>
      </c>
      <c r="J323" s="17">
        <f>Data!BX323</f>
        <v>0</v>
      </c>
      <c r="K323" s="35">
        <f t="shared" si="75"/>
        <v>0</v>
      </c>
      <c r="M323" s="27">
        <f t="shared" si="76"/>
        <v>792.99999999999909</v>
      </c>
      <c r="N323" s="27">
        <f t="shared" si="76"/>
        <v>781.24199999999996</v>
      </c>
      <c r="P323" s="24">
        <f t="shared" si="70"/>
        <v>0.17806451612903224</v>
      </c>
      <c r="Q323" s="24">
        <f t="shared" si="71"/>
        <v>0.17806451612903224</v>
      </c>
      <c r="R323" s="21">
        <f t="shared" si="72"/>
        <v>27.599999999999998</v>
      </c>
      <c r="S323" s="27">
        <f t="shared" si="73"/>
        <v>0</v>
      </c>
      <c r="T323" s="27">
        <f t="shared" si="74"/>
        <v>0</v>
      </c>
    </row>
    <row r="324" spans="1:20" x14ac:dyDescent="0.2">
      <c r="A324" s="15">
        <f t="shared" si="63"/>
        <v>36843</v>
      </c>
      <c r="B324" s="1">
        <v>318</v>
      </c>
      <c r="C324" s="17">
        <f>ROUND(Data!BO324,2)</f>
        <v>2.11</v>
      </c>
      <c r="D324" s="3">
        <f>ROUND(Data!R324,1)</f>
        <v>-6.2</v>
      </c>
      <c r="E324" s="3">
        <f>ROUND(Data!AF324,1)</f>
        <v>-15</v>
      </c>
      <c r="F324" s="27">
        <f>Data!BT324</f>
        <v>86.5</v>
      </c>
      <c r="G324" s="3">
        <f>Data!Q324</f>
        <v>0</v>
      </c>
      <c r="H324" s="21">
        <f>Data!BF324</f>
        <v>150</v>
      </c>
      <c r="I324" s="14">
        <f t="shared" si="64"/>
        <v>0</v>
      </c>
      <c r="J324" s="17">
        <f>Data!BX324</f>
        <v>0</v>
      </c>
      <c r="K324" s="35">
        <f t="shared" si="75"/>
        <v>0</v>
      </c>
      <c r="M324" s="27">
        <f t="shared" si="76"/>
        <v>792.99999999999909</v>
      </c>
      <c r="N324" s="27">
        <f t="shared" si="76"/>
        <v>781.24199999999996</v>
      </c>
      <c r="P324" s="24">
        <f t="shared" si="70"/>
        <v>0.184</v>
      </c>
      <c r="Q324" s="24">
        <f t="shared" si="71"/>
        <v>0.184</v>
      </c>
      <c r="R324" s="21">
        <f t="shared" si="72"/>
        <v>27.599999999999998</v>
      </c>
      <c r="S324" s="27">
        <f t="shared" si="73"/>
        <v>0</v>
      </c>
      <c r="T324" s="27">
        <f t="shared" si="74"/>
        <v>0</v>
      </c>
    </row>
    <row r="325" spans="1:20" x14ac:dyDescent="0.2">
      <c r="A325" s="15">
        <f t="shared" si="63"/>
        <v>36844</v>
      </c>
      <c r="B325" s="1">
        <v>319</v>
      </c>
      <c r="C325" s="17">
        <f>ROUND(Data!BO325,2)</f>
        <v>3.06</v>
      </c>
      <c r="D325" s="3">
        <f>ROUND(Data!R325,1)</f>
        <v>-7.4</v>
      </c>
      <c r="E325" s="3">
        <f>ROUND(Data!AF325,1)</f>
        <v>-15.6</v>
      </c>
      <c r="F325" s="27">
        <f>Data!BT325</f>
        <v>86</v>
      </c>
      <c r="G325" s="3">
        <f>Data!Q325</f>
        <v>0</v>
      </c>
      <c r="H325" s="21">
        <f>Data!BF325</f>
        <v>144</v>
      </c>
      <c r="I325" s="14">
        <f t="shared" si="64"/>
        <v>0</v>
      </c>
      <c r="J325" s="17">
        <f>Data!BX325</f>
        <v>0</v>
      </c>
      <c r="K325" s="35">
        <f t="shared" si="75"/>
        <v>0</v>
      </c>
      <c r="M325" s="27">
        <f t="shared" si="76"/>
        <v>792.99999999999909</v>
      </c>
      <c r="N325" s="27">
        <f t="shared" si="76"/>
        <v>781.24199999999996</v>
      </c>
      <c r="P325" s="24">
        <f t="shared" si="70"/>
        <v>0.19166666666666665</v>
      </c>
      <c r="Q325" s="24">
        <f t="shared" si="71"/>
        <v>0.19166666666666665</v>
      </c>
      <c r="R325" s="21">
        <f t="shared" si="72"/>
        <v>27.599999999999998</v>
      </c>
      <c r="S325" s="27">
        <f t="shared" si="73"/>
        <v>0</v>
      </c>
      <c r="T325" s="27">
        <f t="shared" si="74"/>
        <v>0</v>
      </c>
    </row>
    <row r="326" spans="1:20" x14ac:dyDescent="0.2">
      <c r="A326" s="15">
        <f t="shared" si="63"/>
        <v>36845</v>
      </c>
      <c r="B326" s="1">
        <v>320</v>
      </c>
      <c r="C326" s="17">
        <f>ROUND(Data!BO326,2)</f>
        <v>1.05</v>
      </c>
      <c r="D326" s="3">
        <f>ROUND(Data!R326,1)</f>
        <v>-8.1</v>
      </c>
      <c r="E326" s="3">
        <f>ROUND(Data!AF326,1)</f>
        <v>-9.1</v>
      </c>
      <c r="F326" s="27">
        <f>Data!BT326</f>
        <v>92.8</v>
      </c>
      <c r="G326" s="3">
        <f>Data!Q326</f>
        <v>0</v>
      </c>
      <c r="H326" s="21">
        <f>Data!BF326</f>
        <v>142</v>
      </c>
      <c r="I326" s="14">
        <f t="shared" si="64"/>
        <v>0</v>
      </c>
      <c r="J326" s="17">
        <f>Data!BX326</f>
        <v>0</v>
      </c>
      <c r="K326" s="35">
        <f t="shared" si="75"/>
        <v>0</v>
      </c>
      <c r="M326" s="27">
        <f t="shared" si="76"/>
        <v>792.99999999999909</v>
      </c>
      <c r="N326" s="27">
        <f t="shared" si="76"/>
        <v>781.24199999999996</v>
      </c>
      <c r="P326" s="24">
        <f t="shared" si="70"/>
        <v>0.19436619718309858</v>
      </c>
      <c r="Q326" s="24">
        <f t="shared" si="71"/>
        <v>0.19436619718309858</v>
      </c>
      <c r="R326" s="21">
        <f t="shared" si="72"/>
        <v>27.599999999999998</v>
      </c>
      <c r="S326" s="27">
        <f t="shared" si="73"/>
        <v>0</v>
      </c>
      <c r="T326" s="27">
        <f t="shared" si="74"/>
        <v>0</v>
      </c>
    </row>
    <row r="327" spans="1:20" x14ac:dyDescent="0.2">
      <c r="A327" s="15">
        <f t="shared" si="63"/>
        <v>36846</v>
      </c>
      <c r="B327" s="1">
        <v>321</v>
      </c>
      <c r="C327" s="17">
        <f>ROUND(Data!BO327,2)</f>
        <v>0.61</v>
      </c>
      <c r="D327" s="3">
        <f>ROUND(Data!R327,1)</f>
        <v>-8.9</v>
      </c>
      <c r="E327" s="3">
        <f>ROUND(Data!AF327,1)</f>
        <v>-9.9</v>
      </c>
      <c r="F327" s="27">
        <f>Data!BT327</f>
        <v>92.2</v>
      </c>
      <c r="G327" s="3">
        <f>Data!Q327</f>
        <v>0</v>
      </c>
      <c r="H327" s="21">
        <f>Data!BF327</f>
        <v>141</v>
      </c>
      <c r="I327" s="14">
        <f t="shared" si="64"/>
        <v>0</v>
      </c>
      <c r="J327" s="17">
        <f>Data!BX327</f>
        <v>0</v>
      </c>
      <c r="K327" s="35">
        <f t="shared" si="75"/>
        <v>0</v>
      </c>
      <c r="M327" s="27">
        <f t="shared" si="76"/>
        <v>792.99999999999909</v>
      </c>
      <c r="N327" s="27">
        <f t="shared" si="76"/>
        <v>781.24199999999996</v>
      </c>
      <c r="P327" s="24">
        <f t="shared" si="70"/>
        <v>0.19574468085106381</v>
      </c>
      <c r="Q327" s="24">
        <f t="shared" si="71"/>
        <v>0.19574468085106381</v>
      </c>
      <c r="R327" s="21">
        <f t="shared" si="72"/>
        <v>27.599999999999998</v>
      </c>
      <c r="S327" s="27">
        <f t="shared" si="73"/>
        <v>0</v>
      </c>
      <c r="T327" s="27">
        <f t="shared" si="74"/>
        <v>0</v>
      </c>
    </row>
    <row r="328" spans="1:20" x14ac:dyDescent="0.2">
      <c r="A328" s="15">
        <f t="shared" ref="A328:A372" si="77">A327+1</f>
        <v>36847</v>
      </c>
      <c r="B328" s="1">
        <v>322</v>
      </c>
      <c r="C328" s="17">
        <f>ROUND(Data!BO328,2)</f>
        <v>2.12</v>
      </c>
      <c r="D328" s="3">
        <f>ROUND(Data!R328,1)</f>
        <v>-7.6</v>
      </c>
      <c r="E328" s="3">
        <f>ROUND(Data!AF328,1)</f>
        <v>-10.3</v>
      </c>
      <c r="F328" s="27">
        <f>Data!BT328</f>
        <v>90.6</v>
      </c>
      <c r="G328" s="3">
        <f>Data!Q328</f>
        <v>0</v>
      </c>
      <c r="H328" s="21">
        <f>Data!BF328</f>
        <v>157</v>
      </c>
      <c r="I328" s="14">
        <f t="shared" ref="I328:I372" si="78">IF(H328&gt;H327,ROUND((H328-H327)*I$1,1),0)</f>
        <v>2.1</v>
      </c>
      <c r="J328" s="17">
        <f>Data!BX328</f>
        <v>0</v>
      </c>
      <c r="K328" s="35">
        <f t="shared" si="75"/>
        <v>2.1</v>
      </c>
      <c r="M328" s="27">
        <f t="shared" si="76"/>
        <v>792.99999999999909</v>
      </c>
      <c r="N328" s="27">
        <f t="shared" si="76"/>
        <v>783.34199999999998</v>
      </c>
      <c r="P328" s="24">
        <f t="shared" si="70"/>
        <v>0.18917197452229298</v>
      </c>
      <c r="Q328" s="24">
        <f t="shared" si="71"/>
        <v>0.18917197452229298</v>
      </c>
      <c r="R328" s="21">
        <f t="shared" si="72"/>
        <v>29.7</v>
      </c>
      <c r="S328" s="27">
        <f t="shared" si="73"/>
        <v>2.1000000000000014</v>
      </c>
      <c r="T328" s="27">
        <f t="shared" si="74"/>
        <v>0</v>
      </c>
    </row>
    <row r="329" spans="1:20" x14ac:dyDescent="0.2">
      <c r="A329" s="15">
        <f t="shared" si="77"/>
        <v>36848</v>
      </c>
      <c r="B329" s="1">
        <v>323</v>
      </c>
      <c r="C329" s="17">
        <f>ROUND(Data!BO329,2)</f>
        <v>1.5</v>
      </c>
      <c r="D329" s="3">
        <f>ROUND(Data!R329,1)</f>
        <v>-0.8</v>
      </c>
      <c r="E329" s="3">
        <f>ROUND(Data!AF329,1)</f>
        <v>-8.6</v>
      </c>
      <c r="F329" s="27">
        <f>Data!BT329</f>
        <v>92</v>
      </c>
      <c r="G329" s="3">
        <f>Data!Q329</f>
        <v>0</v>
      </c>
      <c r="H329" s="21">
        <f>Data!BF329</f>
        <v>157</v>
      </c>
      <c r="I329" s="14">
        <f t="shared" si="78"/>
        <v>0</v>
      </c>
      <c r="J329" s="17">
        <f>Data!BX329</f>
        <v>0</v>
      </c>
      <c r="K329" s="35">
        <f t="shared" si="75"/>
        <v>0</v>
      </c>
      <c r="M329" s="27">
        <f t="shared" ref="M329:N344" si="79">J329+M328</f>
        <v>792.99999999999909</v>
      </c>
      <c r="N329" s="27">
        <f t="shared" si="79"/>
        <v>783.34199999999998</v>
      </c>
      <c r="P329" s="24">
        <f t="shared" si="70"/>
        <v>0.18917197452229298</v>
      </c>
      <c r="Q329" s="24">
        <f t="shared" si="71"/>
        <v>0.18917197452229298</v>
      </c>
      <c r="R329" s="21">
        <f t="shared" si="72"/>
        <v>29.7</v>
      </c>
      <c r="S329" s="27">
        <f t="shared" si="73"/>
        <v>0</v>
      </c>
      <c r="T329" s="27">
        <f t="shared" si="74"/>
        <v>0</v>
      </c>
    </row>
    <row r="330" spans="1:20" x14ac:dyDescent="0.2">
      <c r="A330" s="15">
        <f t="shared" si="77"/>
        <v>36849</v>
      </c>
      <c r="B330" s="1">
        <v>324</v>
      </c>
      <c r="C330" s="17">
        <f>ROUND(Data!BO330,2)</f>
        <v>1.27</v>
      </c>
      <c r="D330" s="3">
        <f>ROUND(Data!R330,1)</f>
        <v>-2.4</v>
      </c>
      <c r="E330" s="3">
        <f>ROUND(Data!AF330,1)</f>
        <v>-11.4</v>
      </c>
      <c r="F330" s="27">
        <f>Data!BT330</f>
        <v>89</v>
      </c>
      <c r="G330" s="3">
        <f>Data!Q330</f>
        <v>0</v>
      </c>
      <c r="H330" s="21">
        <f>Data!BF330</f>
        <v>156</v>
      </c>
      <c r="I330" s="14">
        <f t="shared" si="78"/>
        <v>0</v>
      </c>
      <c r="J330" s="17">
        <f>Data!BX330</f>
        <v>0</v>
      </c>
      <c r="K330" s="35">
        <f t="shared" si="75"/>
        <v>0</v>
      </c>
      <c r="M330" s="27">
        <f t="shared" si="79"/>
        <v>792.99999999999909</v>
      </c>
      <c r="N330" s="27">
        <f t="shared" si="79"/>
        <v>783.34199999999998</v>
      </c>
      <c r="P330" s="24">
        <f t="shared" si="70"/>
        <v>0.19038461538461537</v>
      </c>
      <c r="Q330" s="24">
        <f t="shared" si="71"/>
        <v>0.19038461538461537</v>
      </c>
      <c r="R330" s="21">
        <f t="shared" si="72"/>
        <v>29.7</v>
      </c>
      <c r="S330" s="27">
        <f t="shared" si="73"/>
        <v>0</v>
      </c>
      <c r="T330" s="27">
        <f t="shared" si="74"/>
        <v>0</v>
      </c>
    </row>
    <row r="331" spans="1:20" x14ac:dyDescent="0.2">
      <c r="A331" s="15">
        <f t="shared" si="77"/>
        <v>36850</v>
      </c>
      <c r="B331" s="1">
        <v>325</v>
      </c>
      <c r="C331" s="17">
        <f>ROUND(Data!BO331,2)</f>
        <v>3.37</v>
      </c>
      <c r="D331" s="3">
        <f>ROUND(Data!R331,1)</f>
        <v>0.6</v>
      </c>
      <c r="E331" s="3">
        <f>ROUND(Data!AF331,1)</f>
        <v>-12.4</v>
      </c>
      <c r="F331" s="27">
        <f>Data!BT331</f>
        <v>76.099999999999994</v>
      </c>
      <c r="G331" s="3">
        <f>Data!Q331</f>
        <v>0</v>
      </c>
      <c r="H331" s="21">
        <f>Data!BF331</f>
        <v>146</v>
      </c>
      <c r="I331" s="14">
        <f t="shared" si="78"/>
        <v>0</v>
      </c>
      <c r="J331" s="17">
        <f>Data!BX331</f>
        <v>0</v>
      </c>
      <c r="K331" s="35">
        <f t="shared" si="75"/>
        <v>0</v>
      </c>
      <c r="M331" s="27">
        <f t="shared" si="79"/>
        <v>792.99999999999909</v>
      </c>
      <c r="N331" s="27">
        <f t="shared" si="79"/>
        <v>783.34199999999998</v>
      </c>
      <c r="P331" s="24">
        <f t="shared" si="70"/>
        <v>0.20342465753424657</v>
      </c>
      <c r="Q331" s="24">
        <f t="shared" si="71"/>
        <v>0.20342465753424657</v>
      </c>
      <c r="R331" s="21">
        <f t="shared" si="72"/>
        <v>29.7</v>
      </c>
      <c r="S331" s="27">
        <f t="shared" si="73"/>
        <v>0</v>
      </c>
      <c r="T331" s="27">
        <f t="shared" si="74"/>
        <v>0</v>
      </c>
    </row>
    <row r="332" spans="1:20" x14ac:dyDescent="0.2">
      <c r="A332" s="15">
        <f t="shared" si="77"/>
        <v>36851</v>
      </c>
      <c r="B332" s="1">
        <v>326</v>
      </c>
      <c r="C332" s="17">
        <f>ROUND(Data!BO332,2)</f>
        <v>4.71</v>
      </c>
      <c r="D332" s="3">
        <f>ROUND(Data!R332,1)</f>
        <v>2.5</v>
      </c>
      <c r="E332" s="3">
        <f>ROUND(Data!AF332,1)</f>
        <v>-11.4</v>
      </c>
      <c r="F332" s="27">
        <f>Data!BT332</f>
        <v>72.599999999999994</v>
      </c>
      <c r="G332" s="3">
        <f>Data!Q332</f>
        <v>0</v>
      </c>
      <c r="H332" s="21">
        <f>Data!BF332</f>
        <v>145</v>
      </c>
      <c r="I332" s="14">
        <f t="shared" si="78"/>
        <v>0</v>
      </c>
      <c r="J332" s="17">
        <f>Data!BX332</f>
        <v>0</v>
      </c>
      <c r="K332" s="35">
        <f t="shared" si="75"/>
        <v>0</v>
      </c>
      <c r="M332" s="27">
        <f t="shared" si="79"/>
        <v>792.99999999999909</v>
      </c>
      <c r="N332" s="27">
        <f t="shared" si="79"/>
        <v>783.34199999999998</v>
      </c>
      <c r="P332" s="24">
        <f t="shared" si="70"/>
        <v>0.20482758620689653</v>
      </c>
      <c r="Q332" s="24">
        <f t="shared" si="71"/>
        <v>0.20482758620689653</v>
      </c>
      <c r="R332" s="21">
        <f t="shared" si="72"/>
        <v>29.699999999999996</v>
      </c>
      <c r="S332" s="27">
        <f t="shared" si="73"/>
        <v>0</v>
      </c>
      <c r="T332" s="27">
        <f t="shared" si="74"/>
        <v>0</v>
      </c>
    </row>
    <row r="333" spans="1:20" x14ac:dyDescent="0.2">
      <c r="A333" s="15">
        <f t="shared" si="77"/>
        <v>36852</v>
      </c>
      <c r="B333" s="1">
        <v>327</v>
      </c>
      <c r="C333" s="17">
        <f>ROUND(Data!BO333,2)</f>
        <v>5.82</v>
      </c>
      <c r="D333" s="3">
        <f>ROUND(Data!R333,1)</f>
        <v>2.1</v>
      </c>
      <c r="E333" s="3">
        <f>ROUND(Data!AF333,1)</f>
        <v>-13.3</v>
      </c>
      <c r="F333" s="27">
        <f>Data!BT333</f>
        <v>62</v>
      </c>
      <c r="G333" s="3">
        <f>Data!Q333</f>
        <v>0</v>
      </c>
      <c r="H333" s="21">
        <f>Data!BF333</f>
        <v>143</v>
      </c>
      <c r="I333" s="14">
        <f t="shared" si="78"/>
        <v>0</v>
      </c>
      <c r="J333" s="17">
        <f>Data!BX333</f>
        <v>0</v>
      </c>
      <c r="K333" s="35">
        <f t="shared" si="75"/>
        <v>0</v>
      </c>
      <c r="M333" s="27">
        <f t="shared" si="79"/>
        <v>792.99999999999909</v>
      </c>
      <c r="N333" s="27">
        <f t="shared" si="79"/>
        <v>783.34199999999998</v>
      </c>
      <c r="P333" s="24">
        <f t="shared" si="70"/>
        <v>0.20769230769230768</v>
      </c>
      <c r="Q333" s="24">
        <f t="shared" si="71"/>
        <v>0.20769230769230768</v>
      </c>
      <c r="R333" s="21">
        <f t="shared" si="72"/>
        <v>29.7</v>
      </c>
      <c r="S333" s="27">
        <f t="shared" si="73"/>
        <v>0</v>
      </c>
      <c r="T333" s="27">
        <f t="shared" si="74"/>
        <v>0</v>
      </c>
    </row>
    <row r="334" spans="1:20" x14ac:dyDescent="0.2">
      <c r="A334" s="15">
        <f t="shared" si="77"/>
        <v>36853</v>
      </c>
      <c r="B334" s="1">
        <v>328</v>
      </c>
      <c r="C334" s="17">
        <f>ROUND(Data!BO334,2)</f>
        <v>0.63</v>
      </c>
      <c r="D334" s="3">
        <f>ROUND(Data!R334,1)</f>
        <v>-1</v>
      </c>
      <c r="E334" s="3">
        <f>ROUND(Data!AF334,1)</f>
        <v>-12.6</v>
      </c>
      <c r="F334" s="27">
        <f>Data!BT334</f>
        <v>82.7</v>
      </c>
      <c r="G334" s="3">
        <f>Data!Q334</f>
        <v>0</v>
      </c>
      <c r="H334" s="21">
        <f>Data!BF334</f>
        <v>190</v>
      </c>
      <c r="I334" s="14">
        <f t="shared" si="78"/>
        <v>6.1</v>
      </c>
      <c r="J334" s="17">
        <f>Data!BX334</f>
        <v>0</v>
      </c>
      <c r="K334" s="35">
        <f t="shared" si="75"/>
        <v>6.1</v>
      </c>
      <c r="M334" s="27">
        <f t="shared" si="79"/>
        <v>792.99999999999909</v>
      </c>
      <c r="N334" s="27">
        <f t="shared" si="79"/>
        <v>789.44200000000001</v>
      </c>
      <c r="P334" s="24">
        <f t="shared" si="70"/>
        <v>0.18842105263157893</v>
      </c>
      <c r="Q334" s="24">
        <f t="shared" si="71"/>
        <v>0.18842105263157893</v>
      </c>
      <c r="R334" s="21">
        <f t="shared" si="72"/>
        <v>35.799999999999997</v>
      </c>
      <c r="S334" s="27">
        <f t="shared" si="73"/>
        <v>6.0999999999999979</v>
      </c>
      <c r="T334" s="27">
        <f t="shared" si="74"/>
        <v>0</v>
      </c>
    </row>
    <row r="335" spans="1:20" x14ac:dyDescent="0.2">
      <c r="A335" s="15">
        <f t="shared" si="77"/>
        <v>36854</v>
      </c>
      <c r="B335" s="1">
        <v>329</v>
      </c>
      <c r="C335" s="17">
        <f>ROUND(Data!BO335,2)</f>
        <v>0.47</v>
      </c>
      <c r="D335" s="3">
        <f>ROUND(Data!R335,1)</f>
        <v>-1.3</v>
      </c>
      <c r="E335" s="3">
        <f>ROUND(Data!AF335,1)</f>
        <v>-5.4</v>
      </c>
      <c r="F335" s="27">
        <f>Data!BT335</f>
        <v>79.400000000000006</v>
      </c>
      <c r="G335" s="3">
        <f>Data!Q335</f>
        <v>0</v>
      </c>
      <c r="H335" s="21">
        <f>Data!BF335</f>
        <v>210</v>
      </c>
      <c r="I335" s="14">
        <f t="shared" si="78"/>
        <v>2.6</v>
      </c>
      <c r="J335" s="17">
        <f>Data!BX335</f>
        <v>0</v>
      </c>
      <c r="K335" s="35">
        <f t="shared" si="75"/>
        <v>2.6</v>
      </c>
      <c r="M335" s="27">
        <f t="shared" si="79"/>
        <v>792.99999999999909</v>
      </c>
      <c r="N335" s="27">
        <f t="shared" si="79"/>
        <v>792.04200000000003</v>
      </c>
      <c r="P335" s="24">
        <f t="shared" si="70"/>
        <v>0.18285714285714286</v>
      </c>
      <c r="Q335" s="24">
        <f t="shared" si="71"/>
        <v>0.18285714285714286</v>
      </c>
      <c r="R335" s="21">
        <f t="shared" si="72"/>
        <v>38.4</v>
      </c>
      <c r="S335" s="27">
        <f t="shared" si="73"/>
        <v>2.6000000000000014</v>
      </c>
      <c r="T335" s="27">
        <f t="shared" si="74"/>
        <v>0</v>
      </c>
    </row>
    <row r="336" spans="1:20" x14ac:dyDescent="0.2">
      <c r="A336" s="15">
        <f t="shared" si="77"/>
        <v>36855</v>
      </c>
      <c r="B336" s="1">
        <v>330</v>
      </c>
      <c r="C336" s="17">
        <f>ROUND(Data!BO336,2)</f>
        <v>0.19</v>
      </c>
      <c r="D336" s="3">
        <f>ROUND(Data!R336,1)</f>
        <v>-1.6</v>
      </c>
      <c r="E336" s="3">
        <f>ROUND(Data!AF336,1)</f>
        <v>-4.4000000000000004</v>
      </c>
      <c r="F336" s="27">
        <f>Data!BT336</f>
        <v>71.099999999999994</v>
      </c>
      <c r="G336" s="3">
        <f>Data!Q336</f>
        <v>0</v>
      </c>
      <c r="H336" s="21">
        <f>Data!BF336</f>
        <v>230</v>
      </c>
      <c r="I336" s="14">
        <f t="shared" si="78"/>
        <v>2.6</v>
      </c>
      <c r="J336" s="17">
        <f>Data!BX336</f>
        <v>0</v>
      </c>
      <c r="K336" s="35">
        <f t="shared" si="75"/>
        <v>2.6</v>
      </c>
      <c r="M336" s="27">
        <f t="shared" si="79"/>
        <v>792.99999999999909</v>
      </c>
      <c r="N336" s="27">
        <f t="shared" si="79"/>
        <v>794.64200000000005</v>
      </c>
      <c r="P336" s="24">
        <f t="shared" si="70"/>
        <v>0.17826086956521739</v>
      </c>
      <c r="Q336" s="24">
        <f t="shared" si="71"/>
        <v>0.17826086956521739</v>
      </c>
      <c r="R336" s="21">
        <f t="shared" si="72"/>
        <v>41</v>
      </c>
      <c r="S336" s="27">
        <f t="shared" si="73"/>
        <v>2.6000000000000014</v>
      </c>
      <c r="T336" s="27">
        <f t="shared" si="74"/>
        <v>0</v>
      </c>
    </row>
    <row r="337" spans="1:20" x14ac:dyDescent="0.2">
      <c r="A337" s="15">
        <f t="shared" si="77"/>
        <v>36856</v>
      </c>
      <c r="B337" s="1">
        <v>331</v>
      </c>
      <c r="C337" s="17">
        <f>ROUND(Data!BO337,2)</f>
        <v>0.53</v>
      </c>
      <c r="D337" s="3">
        <f>ROUND(Data!R337,1)</f>
        <v>-1.2</v>
      </c>
      <c r="E337" s="3">
        <f>ROUND(Data!AF337,1)</f>
        <v>-5.5</v>
      </c>
      <c r="F337" s="27">
        <f>Data!BT337</f>
        <v>70.3</v>
      </c>
      <c r="G337" s="3">
        <f>Data!Q337</f>
        <v>0</v>
      </c>
      <c r="H337" s="21">
        <f>Data!BF337</f>
        <v>277</v>
      </c>
      <c r="I337" s="14">
        <f t="shared" si="78"/>
        <v>6.1</v>
      </c>
      <c r="J337" s="17">
        <f>Data!BX337</f>
        <v>0</v>
      </c>
      <c r="K337" s="35">
        <f t="shared" si="75"/>
        <v>6.1</v>
      </c>
      <c r="M337" s="27">
        <f t="shared" si="79"/>
        <v>792.99999999999909</v>
      </c>
      <c r="N337" s="27">
        <f t="shared" si="79"/>
        <v>800.74200000000008</v>
      </c>
      <c r="P337" s="24">
        <f t="shared" si="70"/>
        <v>0.17003610108303249</v>
      </c>
      <c r="Q337" s="24">
        <f t="shared" si="71"/>
        <v>0.17003610108303249</v>
      </c>
      <c r="R337" s="21">
        <f t="shared" si="72"/>
        <v>47.1</v>
      </c>
      <c r="S337" s="27">
        <f t="shared" si="73"/>
        <v>6.1000000000000014</v>
      </c>
      <c r="T337" s="27">
        <f t="shared" si="74"/>
        <v>0</v>
      </c>
    </row>
    <row r="338" spans="1:20" x14ac:dyDescent="0.2">
      <c r="A338" s="15">
        <f t="shared" si="77"/>
        <v>36857</v>
      </c>
      <c r="B338" s="1">
        <v>332</v>
      </c>
      <c r="C338" s="17">
        <f>ROUND(Data!BO338,2)</f>
        <v>0.19</v>
      </c>
      <c r="D338" s="3">
        <f>ROUND(Data!R338,1)</f>
        <v>-4.0999999999999996</v>
      </c>
      <c r="E338" s="3">
        <f>ROUND(Data!AF338,1)</f>
        <v>-8.6999999999999993</v>
      </c>
      <c r="F338" s="27">
        <f>Data!BT338</f>
        <v>93.2</v>
      </c>
      <c r="G338" s="3">
        <f>Data!Q338</f>
        <v>0</v>
      </c>
      <c r="H338" s="21">
        <f>Data!BF338</f>
        <v>291</v>
      </c>
      <c r="I338" s="14">
        <f t="shared" si="78"/>
        <v>1.8</v>
      </c>
      <c r="J338" s="17">
        <f>Data!BX338</f>
        <v>0</v>
      </c>
      <c r="K338" s="35">
        <f t="shared" si="75"/>
        <v>1.8</v>
      </c>
      <c r="M338" s="27">
        <f t="shared" si="79"/>
        <v>792.99999999999909</v>
      </c>
      <c r="N338" s="27">
        <f t="shared" si="79"/>
        <v>802.54200000000003</v>
      </c>
      <c r="P338" s="24">
        <f t="shared" si="70"/>
        <v>0.16804123711340205</v>
      </c>
      <c r="Q338" s="24">
        <f t="shared" si="71"/>
        <v>0.16804123711340205</v>
      </c>
      <c r="R338" s="21">
        <f t="shared" si="72"/>
        <v>48.9</v>
      </c>
      <c r="S338" s="27">
        <f t="shared" si="73"/>
        <v>1.7999999999999972</v>
      </c>
      <c r="T338" s="27">
        <f t="shared" si="74"/>
        <v>2.886579864025407E-15</v>
      </c>
    </row>
    <row r="339" spans="1:20" x14ac:dyDescent="0.2">
      <c r="A339" s="15">
        <f t="shared" si="77"/>
        <v>36858</v>
      </c>
      <c r="B339" s="1">
        <v>333</v>
      </c>
      <c r="C339" s="17">
        <f>ROUND(Data!BO339,2)</f>
        <v>2.58</v>
      </c>
      <c r="D339" s="3">
        <f>ROUND(Data!R339,1)</f>
        <v>-0.8</v>
      </c>
      <c r="E339" s="3">
        <f>ROUND(Data!AF339,1)</f>
        <v>-11.1</v>
      </c>
      <c r="F339" s="27">
        <f>Data!BT339</f>
        <v>55.7</v>
      </c>
      <c r="G339" s="3">
        <f>Data!Q339</f>
        <v>0</v>
      </c>
      <c r="H339" s="21">
        <f>Data!BF339</f>
        <v>272</v>
      </c>
      <c r="I339" s="14">
        <f t="shared" si="78"/>
        <v>0</v>
      </c>
      <c r="J339" s="17">
        <f>Data!BX339</f>
        <v>0</v>
      </c>
      <c r="K339" s="35">
        <f t="shared" si="75"/>
        <v>0</v>
      </c>
      <c r="M339" s="27">
        <f t="shared" si="79"/>
        <v>792.99999999999909</v>
      </c>
      <c r="N339" s="27">
        <f t="shared" si="79"/>
        <v>802.54200000000003</v>
      </c>
      <c r="P339" s="24">
        <f t="shared" si="70"/>
        <v>0.17977941176470588</v>
      </c>
      <c r="Q339" s="24">
        <f t="shared" si="71"/>
        <v>0.17977941176470588</v>
      </c>
      <c r="R339" s="21">
        <f t="shared" si="72"/>
        <v>48.9</v>
      </c>
      <c r="S339" s="27">
        <f t="shared" si="73"/>
        <v>0</v>
      </c>
      <c r="T339" s="27">
        <f t="shared" si="74"/>
        <v>0</v>
      </c>
    </row>
    <row r="340" spans="1:20" x14ac:dyDescent="0.2">
      <c r="A340" s="15">
        <f t="shared" si="77"/>
        <v>36859</v>
      </c>
      <c r="B340" s="1">
        <v>334</v>
      </c>
      <c r="C340" s="17">
        <f>ROUND(Data!BO340,2)</f>
        <v>0.56000000000000005</v>
      </c>
      <c r="D340" s="3">
        <f>ROUND(Data!R340,1)</f>
        <v>-3.4</v>
      </c>
      <c r="E340" s="3">
        <f>ROUND(Data!AF340,1)</f>
        <v>-6.7</v>
      </c>
      <c r="F340" s="27">
        <f>Data!BT340</f>
        <v>55.6</v>
      </c>
      <c r="G340" s="3">
        <f>Data!Q340</f>
        <v>0</v>
      </c>
      <c r="H340" s="21">
        <f>Data!BF340</f>
        <v>358</v>
      </c>
      <c r="I340" s="14">
        <f t="shared" si="78"/>
        <v>11.2</v>
      </c>
      <c r="J340" s="17">
        <f>Data!BX340</f>
        <v>0</v>
      </c>
      <c r="K340" s="35">
        <f t="shared" si="75"/>
        <v>11.2</v>
      </c>
      <c r="M340" s="27">
        <f t="shared" si="79"/>
        <v>792.99999999999909</v>
      </c>
      <c r="N340" s="27">
        <f t="shared" si="79"/>
        <v>813.74200000000008</v>
      </c>
      <c r="P340" s="24">
        <f t="shared" si="70"/>
        <v>0.16787709497206701</v>
      </c>
      <c r="Q340" s="24">
        <f t="shared" si="71"/>
        <v>0.16787709497206701</v>
      </c>
      <c r="R340" s="21">
        <f t="shared" si="72"/>
        <v>60.099999999999994</v>
      </c>
      <c r="S340" s="27">
        <f t="shared" si="73"/>
        <v>11.199999999999996</v>
      </c>
      <c r="T340" s="27">
        <f t="shared" si="74"/>
        <v>0</v>
      </c>
    </row>
    <row r="341" spans="1:20" x14ac:dyDescent="0.2">
      <c r="A341" s="15">
        <f t="shared" si="77"/>
        <v>36860</v>
      </c>
      <c r="B341" s="1">
        <v>335</v>
      </c>
      <c r="C341" s="17">
        <f>ROUND(Data!BO341,2)</f>
        <v>0.67</v>
      </c>
      <c r="D341" s="3">
        <f>ROUND(Data!R341,1)</f>
        <v>-1.7</v>
      </c>
      <c r="E341" s="3">
        <f>ROUND(Data!AF341,1)</f>
        <v>-6.6</v>
      </c>
      <c r="F341" s="27">
        <f>Data!BT341</f>
        <v>90</v>
      </c>
      <c r="G341" s="3">
        <f>Data!Q341</f>
        <v>0</v>
      </c>
      <c r="H341" s="21">
        <f>Data!BF341</f>
        <v>329</v>
      </c>
      <c r="I341" s="14">
        <f t="shared" si="78"/>
        <v>0</v>
      </c>
      <c r="J341" s="17">
        <f>Data!BX341</f>
        <v>0</v>
      </c>
      <c r="K341" s="35">
        <f t="shared" si="75"/>
        <v>0</v>
      </c>
      <c r="M341" s="27">
        <f t="shared" si="79"/>
        <v>792.99999999999909</v>
      </c>
      <c r="N341" s="27">
        <f t="shared" si="79"/>
        <v>813.74200000000008</v>
      </c>
      <c r="P341" s="24">
        <f t="shared" si="70"/>
        <v>0.18267477203647414</v>
      </c>
      <c r="Q341" s="24">
        <f t="shared" si="71"/>
        <v>0.18267477203647414</v>
      </c>
      <c r="R341" s="21">
        <f t="shared" si="72"/>
        <v>60.099999999999994</v>
      </c>
      <c r="S341" s="27">
        <f t="shared" si="73"/>
        <v>0</v>
      </c>
      <c r="T341" s="27">
        <f t="shared" si="74"/>
        <v>0</v>
      </c>
    </row>
    <row r="342" spans="1:20" x14ac:dyDescent="0.2">
      <c r="A342" s="15">
        <f t="shared" si="77"/>
        <v>36861</v>
      </c>
      <c r="B342" s="1">
        <v>336</v>
      </c>
      <c r="C342" s="17">
        <f>ROUND(Data!BO342,2)</f>
        <v>1.05</v>
      </c>
      <c r="D342" s="3">
        <f>ROUND(Data!R342,1)</f>
        <v>0.1</v>
      </c>
      <c r="E342" s="3">
        <f>ROUND(Data!AF342,1)</f>
        <v>-6.3</v>
      </c>
      <c r="F342" s="27">
        <f>Data!BT342</f>
        <v>67.5</v>
      </c>
      <c r="G342" s="3">
        <f>Data!Q342</f>
        <v>0</v>
      </c>
      <c r="H342" s="21">
        <f>Data!BF342</f>
        <v>318</v>
      </c>
      <c r="I342" s="14">
        <f t="shared" si="78"/>
        <v>0</v>
      </c>
      <c r="J342" s="17">
        <f>Data!BX342</f>
        <v>0</v>
      </c>
      <c r="K342" s="35">
        <f t="shared" si="75"/>
        <v>0</v>
      </c>
      <c r="M342" s="27">
        <f t="shared" si="79"/>
        <v>792.99999999999909</v>
      </c>
      <c r="N342" s="27">
        <f t="shared" si="79"/>
        <v>813.74200000000008</v>
      </c>
      <c r="P342" s="24">
        <f t="shared" si="70"/>
        <v>0.18899371069182389</v>
      </c>
      <c r="Q342" s="24">
        <f t="shared" si="71"/>
        <v>0.18899371069182389</v>
      </c>
      <c r="R342" s="21">
        <f t="shared" si="72"/>
        <v>60.099999999999994</v>
      </c>
      <c r="S342" s="27">
        <f t="shared" si="73"/>
        <v>0</v>
      </c>
      <c r="T342" s="27">
        <f t="shared" si="74"/>
        <v>0</v>
      </c>
    </row>
    <row r="343" spans="1:20" x14ac:dyDescent="0.2">
      <c r="A343" s="15">
        <f t="shared" si="77"/>
        <v>36862</v>
      </c>
      <c r="B343" s="1">
        <v>337</v>
      </c>
      <c r="C343" s="17">
        <f>ROUND(Data!BO343,2)</f>
        <v>1.04</v>
      </c>
      <c r="D343" s="3">
        <f>ROUND(Data!R343,1)</f>
        <v>0.3</v>
      </c>
      <c r="E343" s="3">
        <f>ROUND(Data!AF343,1)</f>
        <v>-2.7</v>
      </c>
      <c r="F343" s="27">
        <f>Data!BT343</f>
        <v>70.2</v>
      </c>
      <c r="G343" s="3">
        <f>Data!Q343</f>
        <v>0</v>
      </c>
      <c r="H343" s="21">
        <f>Data!BF343</f>
        <v>330</v>
      </c>
      <c r="I343" s="14">
        <f t="shared" si="78"/>
        <v>1.6</v>
      </c>
      <c r="J343" s="17">
        <f>Data!BX343</f>
        <v>0</v>
      </c>
      <c r="K343" s="35">
        <f t="shared" si="75"/>
        <v>1.6</v>
      </c>
      <c r="M343" s="27">
        <f t="shared" si="79"/>
        <v>792.99999999999909</v>
      </c>
      <c r="N343" s="27">
        <f t="shared" si="79"/>
        <v>815.3420000000001</v>
      </c>
      <c r="P343" s="24">
        <f t="shared" si="70"/>
        <v>0.18696969696969695</v>
      </c>
      <c r="Q343" s="24">
        <f t="shared" si="71"/>
        <v>0.18696969696969695</v>
      </c>
      <c r="R343" s="21">
        <f t="shared" si="72"/>
        <v>61.699999999999996</v>
      </c>
      <c r="S343" s="27">
        <f t="shared" si="73"/>
        <v>1.6000000000000014</v>
      </c>
      <c r="T343" s="27">
        <f t="shared" si="74"/>
        <v>0</v>
      </c>
    </row>
    <row r="344" spans="1:20" x14ac:dyDescent="0.2">
      <c r="A344" s="15">
        <f t="shared" si="77"/>
        <v>36863</v>
      </c>
      <c r="B344" s="1">
        <v>338</v>
      </c>
      <c r="C344" s="17">
        <f>ROUND(Data!BO344,2)</f>
        <v>1.88</v>
      </c>
      <c r="D344" s="3">
        <f>ROUND(Data!R344,1)</f>
        <v>-0.2</v>
      </c>
      <c r="E344" s="3">
        <f>ROUND(Data!AF344,1)</f>
        <v>-16.100000000000001</v>
      </c>
      <c r="F344" s="27">
        <f>Data!BT344</f>
        <v>77.900000000000006</v>
      </c>
      <c r="G344" s="3">
        <f>Data!Q344</f>
        <v>0</v>
      </c>
      <c r="H344" s="21">
        <f>Data!BF344</f>
        <v>291</v>
      </c>
      <c r="I344" s="14">
        <f t="shared" si="78"/>
        <v>0</v>
      </c>
      <c r="J344" s="17">
        <f>Data!BX344</f>
        <v>0</v>
      </c>
      <c r="K344" s="35">
        <f t="shared" si="75"/>
        <v>0</v>
      </c>
      <c r="M344" s="27">
        <f t="shared" si="79"/>
        <v>792.99999999999909</v>
      </c>
      <c r="N344" s="27">
        <f t="shared" si="79"/>
        <v>815.3420000000001</v>
      </c>
      <c r="P344" s="24">
        <f t="shared" si="70"/>
        <v>0.2120274914089347</v>
      </c>
      <c r="Q344" s="24">
        <f t="shared" si="71"/>
        <v>0.2120274914089347</v>
      </c>
      <c r="R344" s="21">
        <f t="shared" si="72"/>
        <v>61.699999999999996</v>
      </c>
      <c r="S344" s="27">
        <f t="shared" si="73"/>
        <v>0</v>
      </c>
      <c r="T344" s="27">
        <f t="shared" si="74"/>
        <v>0</v>
      </c>
    </row>
    <row r="345" spans="1:20" x14ac:dyDescent="0.2">
      <c r="A345" s="15">
        <f t="shared" si="77"/>
        <v>36864</v>
      </c>
      <c r="B345" s="1">
        <v>339</v>
      </c>
      <c r="C345" s="17">
        <f>ROUND(Data!BO345,2)</f>
        <v>2.36</v>
      </c>
      <c r="D345" s="3">
        <f>ROUND(Data!R345,1)</f>
        <v>-1.8</v>
      </c>
      <c r="E345" s="3">
        <f>ROUND(Data!AF345,1)</f>
        <v>-16.3</v>
      </c>
      <c r="F345" s="27">
        <f>Data!BT345</f>
        <v>75.400000000000006</v>
      </c>
      <c r="G345" s="3">
        <f>Data!Q345</f>
        <v>0</v>
      </c>
      <c r="H345" s="21">
        <f>Data!BF345</f>
        <v>294</v>
      </c>
      <c r="I345" s="14">
        <f t="shared" si="78"/>
        <v>0.4</v>
      </c>
      <c r="J345" s="17">
        <f>Data!BX345</f>
        <v>0</v>
      </c>
      <c r="K345" s="35">
        <f t="shared" si="75"/>
        <v>0.4</v>
      </c>
      <c r="M345" s="27">
        <f t="shared" ref="M345:N360" si="80">J345+M344</f>
        <v>792.99999999999909</v>
      </c>
      <c r="N345" s="27">
        <f t="shared" si="80"/>
        <v>815.74200000000008</v>
      </c>
      <c r="P345" s="24">
        <f t="shared" si="70"/>
        <v>0.21122448979591835</v>
      </c>
      <c r="Q345" s="24">
        <f t="shared" si="71"/>
        <v>0.21122448979591835</v>
      </c>
      <c r="R345" s="21">
        <f t="shared" si="72"/>
        <v>62.099999999999994</v>
      </c>
      <c r="S345" s="27">
        <f t="shared" si="73"/>
        <v>0.39999999999999858</v>
      </c>
      <c r="T345" s="27">
        <f t="shared" si="74"/>
        <v>1.4432899320127035E-15</v>
      </c>
    </row>
    <row r="346" spans="1:20" x14ac:dyDescent="0.2">
      <c r="A346" s="15">
        <f t="shared" si="77"/>
        <v>36865</v>
      </c>
      <c r="B346" s="1">
        <v>340</v>
      </c>
      <c r="C346" s="17">
        <f>ROUND(Data!BO346,2)</f>
        <v>2.67</v>
      </c>
      <c r="D346" s="3">
        <f>ROUND(Data!R346,1)</f>
        <v>-3</v>
      </c>
      <c r="E346" s="3">
        <f>ROUND(Data!AF346,1)</f>
        <v>-12.2</v>
      </c>
      <c r="F346" s="27">
        <f>Data!BT346</f>
        <v>77.400000000000006</v>
      </c>
      <c r="G346" s="3">
        <f>Data!Q346</f>
        <v>0</v>
      </c>
      <c r="H346" s="21">
        <f>Data!BF346</f>
        <v>294</v>
      </c>
      <c r="I346" s="14">
        <f t="shared" si="78"/>
        <v>0</v>
      </c>
      <c r="J346" s="17">
        <f>Data!BX346</f>
        <v>0</v>
      </c>
      <c r="K346" s="35">
        <f t="shared" si="75"/>
        <v>0</v>
      </c>
      <c r="M346" s="27">
        <f t="shared" si="80"/>
        <v>792.99999999999909</v>
      </c>
      <c r="N346" s="27">
        <f t="shared" si="80"/>
        <v>815.74200000000008</v>
      </c>
      <c r="P346" s="24">
        <f t="shared" si="70"/>
        <v>0.21122448979591835</v>
      </c>
      <c r="Q346" s="24">
        <f t="shared" si="71"/>
        <v>0.21122448979591835</v>
      </c>
      <c r="R346" s="21">
        <f t="shared" si="72"/>
        <v>62.099999999999994</v>
      </c>
      <c r="S346" s="27">
        <f t="shared" si="73"/>
        <v>0</v>
      </c>
      <c r="T346" s="27">
        <f t="shared" si="74"/>
        <v>0</v>
      </c>
    </row>
    <row r="347" spans="1:20" x14ac:dyDescent="0.2">
      <c r="A347" s="15">
        <f t="shared" si="77"/>
        <v>36866</v>
      </c>
      <c r="B347" s="1">
        <v>341</v>
      </c>
      <c r="C347" s="17">
        <f>ROUND(Data!BO347,2)</f>
        <v>4.67</v>
      </c>
      <c r="D347" s="3">
        <f>ROUND(Data!R347,1)</f>
        <v>1.5</v>
      </c>
      <c r="E347" s="3">
        <f>ROUND(Data!AF347,1)</f>
        <v>-8.4</v>
      </c>
      <c r="F347" s="27">
        <f>Data!BT347</f>
        <v>67.2</v>
      </c>
      <c r="G347" s="3">
        <f>Data!Q347</f>
        <v>0</v>
      </c>
      <c r="H347" s="21">
        <f>Data!BF347</f>
        <v>290</v>
      </c>
      <c r="I347" s="14">
        <f t="shared" si="78"/>
        <v>0</v>
      </c>
      <c r="J347" s="17">
        <f>Data!BX347</f>
        <v>0</v>
      </c>
      <c r="K347" s="35">
        <f t="shared" si="75"/>
        <v>0</v>
      </c>
      <c r="M347" s="27">
        <f t="shared" si="80"/>
        <v>792.99999999999909</v>
      </c>
      <c r="N347" s="27">
        <f t="shared" si="80"/>
        <v>815.74200000000008</v>
      </c>
      <c r="P347" s="24">
        <f t="shared" si="70"/>
        <v>0.21413793103448273</v>
      </c>
      <c r="Q347" s="24">
        <f t="shared" si="71"/>
        <v>0.21413793103448273</v>
      </c>
      <c r="R347" s="21">
        <f t="shared" si="72"/>
        <v>62.099999999999987</v>
      </c>
      <c r="S347" s="27">
        <f t="shared" si="73"/>
        <v>0</v>
      </c>
      <c r="T347" s="27">
        <f t="shared" si="74"/>
        <v>0</v>
      </c>
    </row>
    <row r="348" spans="1:20" x14ac:dyDescent="0.2">
      <c r="A348" s="15">
        <f t="shared" si="77"/>
        <v>36867</v>
      </c>
      <c r="B348" s="1">
        <v>342</v>
      </c>
      <c r="C348" s="17">
        <f>ROUND(Data!BO348,2)</f>
        <v>2.57</v>
      </c>
      <c r="D348" s="3">
        <f>ROUND(Data!R348,1)</f>
        <v>-5</v>
      </c>
      <c r="E348" s="3">
        <f>ROUND(Data!AF348,1)</f>
        <v>-14.7</v>
      </c>
      <c r="F348" s="27">
        <f>Data!BT348</f>
        <v>87.4</v>
      </c>
      <c r="G348" s="3">
        <f>Data!Q348</f>
        <v>0</v>
      </c>
      <c r="H348" s="21">
        <f>Data!BF348</f>
        <v>285</v>
      </c>
      <c r="I348" s="14">
        <f t="shared" si="78"/>
        <v>0</v>
      </c>
      <c r="J348" s="17">
        <f>Data!BX348</f>
        <v>0</v>
      </c>
      <c r="K348" s="35">
        <f t="shared" si="75"/>
        <v>0</v>
      </c>
      <c r="M348" s="27">
        <f t="shared" si="80"/>
        <v>792.99999999999909</v>
      </c>
      <c r="N348" s="27">
        <f t="shared" si="80"/>
        <v>815.74200000000008</v>
      </c>
      <c r="P348" s="24">
        <f t="shared" si="70"/>
        <v>0.21789473684210522</v>
      </c>
      <c r="Q348" s="24">
        <f t="shared" si="71"/>
        <v>0.21789473684210522</v>
      </c>
      <c r="R348" s="21">
        <f t="shared" si="72"/>
        <v>62.099999999999987</v>
      </c>
      <c r="S348" s="27">
        <f t="shared" si="73"/>
        <v>0</v>
      </c>
      <c r="T348" s="27">
        <f t="shared" si="74"/>
        <v>0</v>
      </c>
    </row>
    <row r="349" spans="1:20" x14ac:dyDescent="0.2">
      <c r="A349" s="15">
        <f t="shared" si="77"/>
        <v>36868</v>
      </c>
      <c r="B349" s="1">
        <v>343</v>
      </c>
      <c r="C349" s="17">
        <f>ROUND(Data!BO349,2)</f>
        <v>1.31</v>
      </c>
      <c r="D349" s="3">
        <f>ROUND(Data!R349,1)</f>
        <v>-4.5999999999999996</v>
      </c>
      <c r="E349" s="3">
        <f>ROUND(Data!AF349,1)</f>
        <v>-13.3</v>
      </c>
      <c r="F349" s="27">
        <f>Data!BT349</f>
        <v>88.9</v>
      </c>
      <c r="G349" s="3">
        <f>Data!Q349</f>
        <v>0</v>
      </c>
      <c r="H349" s="21">
        <f>Data!BF349</f>
        <v>289</v>
      </c>
      <c r="I349" s="14">
        <f t="shared" si="78"/>
        <v>0.5</v>
      </c>
      <c r="J349" s="17">
        <f>Data!BX349</f>
        <v>0</v>
      </c>
      <c r="K349" s="35">
        <f t="shared" si="75"/>
        <v>0.5</v>
      </c>
      <c r="M349" s="27">
        <f t="shared" si="80"/>
        <v>792.99999999999909</v>
      </c>
      <c r="N349" s="27">
        <f t="shared" si="80"/>
        <v>816.24200000000008</v>
      </c>
      <c r="P349" s="24">
        <f t="shared" si="70"/>
        <v>0.21660899653979235</v>
      </c>
      <c r="Q349" s="24">
        <f t="shared" si="71"/>
        <v>0.21660899653979235</v>
      </c>
      <c r="R349" s="21">
        <f t="shared" si="72"/>
        <v>62.599999999999987</v>
      </c>
      <c r="S349" s="27">
        <f t="shared" si="73"/>
        <v>0.5</v>
      </c>
      <c r="T349" s="27">
        <f t="shared" si="74"/>
        <v>0</v>
      </c>
    </row>
    <row r="350" spans="1:20" x14ac:dyDescent="0.2">
      <c r="A350" s="15">
        <f t="shared" si="77"/>
        <v>36869</v>
      </c>
      <c r="B350" s="1">
        <v>344</v>
      </c>
      <c r="C350" s="17">
        <f>ROUND(Data!BO350,2)</f>
        <v>0.25</v>
      </c>
      <c r="D350" s="3">
        <f>ROUND(Data!R350,1)</f>
        <v>-8.6999999999999993</v>
      </c>
      <c r="E350" s="3">
        <f>ROUND(Data!AF350,1)</f>
        <v>-13.7</v>
      </c>
      <c r="F350" s="27">
        <f>Data!BT350</f>
        <v>88.9</v>
      </c>
      <c r="G350" s="3">
        <f>Data!Q350</f>
        <v>0</v>
      </c>
      <c r="H350" s="21">
        <f>Data!BF350</f>
        <v>360</v>
      </c>
      <c r="I350" s="14">
        <f t="shared" si="78"/>
        <v>9.1999999999999993</v>
      </c>
      <c r="J350" s="17">
        <f>Data!BX350</f>
        <v>0</v>
      </c>
      <c r="K350" s="35">
        <f t="shared" si="75"/>
        <v>9.1999999999999993</v>
      </c>
      <c r="M350" s="27">
        <f t="shared" si="80"/>
        <v>792.99999999999909</v>
      </c>
      <c r="N350" s="27">
        <f t="shared" si="80"/>
        <v>825.44200000000012</v>
      </c>
      <c r="P350" s="24">
        <f t="shared" si="70"/>
        <v>0.1994444444444444</v>
      </c>
      <c r="Q350" s="24">
        <f t="shared" si="71"/>
        <v>0.1994444444444444</v>
      </c>
      <c r="R350" s="21">
        <f t="shared" si="72"/>
        <v>71.799999999999983</v>
      </c>
      <c r="S350" s="27">
        <f t="shared" si="73"/>
        <v>9.1999999999999957</v>
      </c>
      <c r="T350" s="27">
        <f t="shared" si="74"/>
        <v>0</v>
      </c>
    </row>
    <row r="351" spans="1:20" x14ac:dyDescent="0.2">
      <c r="A351" s="15">
        <f t="shared" si="77"/>
        <v>36870</v>
      </c>
      <c r="B351" s="1">
        <v>345</v>
      </c>
      <c r="C351" s="17">
        <f>ROUND(Data!BO351,2)</f>
        <v>0.5</v>
      </c>
      <c r="D351" s="3">
        <f>ROUND(Data!R351,1)</f>
        <v>-13.2</v>
      </c>
      <c r="E351" s="3">
        <f>ROUND(Data!AF351,1)</f>
        <v>-19</v>
      </c>
      <c r="F351" s="27">
        <f>Data!BT351</f>
        <v>82.8</v>
      </c>
      <c r="G351" s="3">
        <f>Data!Q351</f>
        <v>0</v>
      </c>
      <c r="H351" s="21">
        <f>Data!BF351</f>
        <v>360</v>
      </c>
      <c r="I351" s="14">
        <f t="shared" si="78"/>
        <v>0</v>
      </c>
      <c r="J351" s="17">
        <f>Data!BX351</f>
        <v>0</v>
      </c>
      <c r="K351" s="35">
        <f t="shared" si="75"/>
        <v>0</v>
      </c>
      <c r="M351" s="27">
        <f t="shared" si="80"/>
        <v>792.99999999999909</v>
      </c>
      <c r="N351" s="27">
        <f t="shared" si="80"/>
        <v>825.44200000000012</v>
      </c>
      <c r="P351" s="24">
        <f t="shared" si="70"/>
        <v>0.1994444444444444</v>
      </c>
      <c r="Q351" s="24">
        <f t="shared" si="71"/>
        <v>0.1994444444444444</v>
      </c>
      <c r="R351" s="21">
        <f t="shared" si="72"/>
        <v>71.799999999999983</v>
      </c>
      <c r="S351" s="27">
        <f t="shared" si="73"/>
        <v>0</v>
      </c>
      <c r="T351" s="27">
        <f t="shared" si="74"/>
        <v>0</v>
      </c>
    </row>
    <row r="352" spans="1:20" x14ac:dyDescent="0.2">
      <c r="A352" s="15">
        <f t="shared" si="77"/>
        <v>36871</v>
      </c>
      <c r="B352" s="1">
        <v>346</v>
      </c>
      <c r="C352" s="17">
        <f>ROUND(Data!BO352,2)</f>
        <v>1.1100000000000001</v>
      </c>
      <c r="D352" s="3">
        <f>ROUND(Data!R352,1)</f>
        <v>-9.6</v>
      </c>
      <c r="E352" s="3">
        <f>ROUND(Data!AF352,1)</f>
        <v>-25.5</v>
      </c>
      <c r="F352" s="27">
        <f>Data!BT352</f>
        <v>77.400000000000006</v>
      </c>
      <c r="G352" s="3">
        <f>Data!Q352</f>
        <v>0</v>
      </c>
      <c r="H352" s="21">
        <f>Data!BF352</f>
        <v>361</v>
      </c>
      <c r="I352" s="14">
        <f t="shared" si="78"/>
        <v>0.1</v>
      </c>
      <c r="J352" s="17">
        <f>Data!BX352</f>
        <v>0</v>
      </c>
      <c r="K352" s="35">
        <f t="shared" si="75"/>
        <v>0.1</v>
      </c>
      <c r="M352" s="27">
        <f t="shared" si="80"/>
        <v>792.99999999999909</v>
      </c>
      <c r="N352" s="27">
        <f t="shared" si="80"/>
        <v>825.54200000000014</v>
      </c>
      <c r="P352" s="24">
        <f t="shared" si="70"/>
        <v>0.19916897506925202</v>
      </c>
      <c r="Q352" s="24">
        <f t="shared" si="71"/>
        <v>0.19916897506925202</v>
      </c>
      <c r="R352" s="21">
        <f t="shared" si="72"/>
        <v>71.899999999999977</v>
      </c>
      <c r="S352" s="27">
        <f t="shared" si="73"/>
        <v>9.9999999999994316E-2</v>
      </c>
      <c r="T352" s="27">
        <f t="shared" si="74"/>
        <v>5.6898930012039273E-15</v>
      </c>
    </row>
    <row r="353" spans="1:20" x14ac:dyDescent="0.2">
      <c r="A353" s="15">
        <f t="shared" si="77"/>
        <v>36872</v>
      </c>
      <c r="B353" s="1">
        <v>347</v>
      </c>
      <c r="C353" s="17">
        <f>ROUND(Data!BO353,2)</f>
        <v>0.6</v>
      </c>
      <c r="D353" s="3">
        <f>ROUND(Data!R353,1)</f>
        <v>-14.3</v>
      </c>
      <c r="E353" s="3">
        <f>ROUND(Data!AF353,1)</f>
        <v>-26.1</v>
      </c>
      <c r="F353" s="27">
        <f>Data!BT353</f>
        <v>76.400000000000006</v>
      </c>
      <c r="G353" s="3">
        <f>Data!Q353</f>
        <v>0</v>
      </c>
      <c r="H353" s="21">
        <f>Data!BF353</f>
        <v>365</v>
      </c>
      <c r="I353" s="14">
        <f t="shared" si="78"/>
        <v>0.5</v>
      </c>
      <c r="J353" s="17">
        <f>Data!BX353</f>
        <v>0</v>
      </c>
      <c r="K353" s="35">
        <f t="shared" si="75"/>
        <v>0.5</v>
      </c>
      <c r="M353" s="27">
        <f t="shared" si="80"/>
        <v>792.99999999999909</v>
      </c>
      <c r="N353" s="27">
        <f t="shared" si="80"/>
        <v>826.04200000000014</v>
      </c>
      <c r="P353" s="24">
        <f t="shared" si="70"/>
        <v>0.19835616438356157</v>
      </c>
      <c r="Q353" s="24">
        <f t="shared" si="71"/>
        <v>0.19835616438356157</v>
      </c>
      <c r="R353" s="21">
        <f t="shared" si="72"/>
        <v>72.399999999999977</v>
      </c>
      <c r="S353" s="27">
        <f t="shared" si="73"/>
        <v>0.5</v>
      </c>
      <c r="T353" s="27">
        <f t="shared" si="74"/>
        <v>0</v>
      </c>
    </row>
    <row r="354" spans="1:20" x14ac:dyDescent="0.2">
      <c r="A354" s="15">
        <f t="shared" si="77"/>
        <v>36873</v>
      </c>
      <c r="B354" s="1">
        <v>348</v>
      </c>
      <c r="C354" s="17">
        <f>ROUND(Data!BO354,2)</f>
        <v>0.68</v>
      </c>
      <c r="D354" s="3">
        <f>ROUND(Data!R354,1)</f>
        <v>-12.7</v>
      </c>
      <c r="E354" s="3">
        <f>ROUND(Data!AF354,1)</f>
        <v>-25</v>
      </c>
      <c r="F354" s="27">
        <f>Data!BT354</f>
        <v>74.3</v>
      </c>
      <c r="G354" s="3">
        <f>Data!Q354</f>
        <v>0</v>
      </c>
      <c r="H354" s="21">
        <f>Data!BF354</f>
        <v>359</v>
      </c>
      <c r="I354" s="14">
        <f t="shared" si="78"/>
        <v>0</v>
      </c>
      <c r="J354" s="17">
        <f>Data!BX354</f>
        <v>0</v>
      </c>
      <c r="K354" s="35">
        <f t="shared" si="75"/>
        <v>0</v>
      </c>
      <c r="M354" s="27">
        <f t="shared" si="80"/>
        <v>792.99999999999909</v>
      </c>
      <c r="N354" s="27">
        <f t="shared" si="80"/>
        <v>826.04200000000014</v>
      </c>
      <c r="P354" s="24">
        <f t="shared" si="70"/>
        <v>0.2016713091922005</v>
      </c>
      <c r="Q354" s="24">
        <f t="shared" si="71"/>
        <v>0.2016713091922005</v>
      </c>
      <c r="R354" s="21">
        <f t="shared" si="72"/>
        <v>72.399999999999977</v>
      </c>
      <c r="S354" s="27">
        <f t="shared" si="73"/>
        <v>0</v>
      </c>
      <c r="T354" s="27">
        <f t="shared" si="74"/>
        <v>0</v>
      </c>
    </row>
    <row r="355" spans="1:20" x14ac:dyDescent="0.2">
      <c r="A355" s="15">
        <f t="shared" si="77"/>
        <v>36874</v>
      </c>
      <c r="B355" s="1">
        <v>349</v>
      </c>
      <c r="C355" s="17">
        <f>ROUND(Data!BO355,2)</f>
        <v>0.18</v>
      </c>
      <c r="D355" s="3">
        <f>ROUND(Data!R355,1)</f>
        <v>-11</v>
      </c>
      <c r="E355" s="3">
        <f>ROUND(Data!AF355,1)</f>
        <v>-24.4</v>
      </c>
      <c r="F355" s="27">
        <f>Data!BT355</f>
        <v>77</v>
      </c>
      <c r="G355" s="3">
        <f>Data!Q355</f>
        <v>0</v>
      </c>
      <c r="H355" s="21">
        <f>Data!BF355</f>
        <v>450</v>
      </c>
      <c r="I355" s="14">
        <f t="shared" si="78"/>
        <v>11.8</v>
      </c>
      <c r="J355" s="17">
        <f>Data!BX355</f>
        <v>0</v>
      </c>
      <c r="K355" s="35">
        <f t="shared" si="75"/>
        <v>11.8</v>
      </c>
      <c r="M355" s="27">
        <f t="shared" si="80"/>
        <v>792.99999999999909</v>
      </c>
      <c r="N355" s="27">
        <f t="shared" si="80"/>
        <v>837.8420000000001</v>
      </c>
      <c r="P355" s="24">
        <f t="shared" si="70"/>
        <v>0.18711111111111106</v>
      </c>
      <c r="Q355" s="24">
        <f t="shared" si="71"/>
        <v>0.18711111111111106</v>
      </c>
      <c r="R355" s="21">
        <f t="shared" si="72"/>
        <v>84.199999999999974</v>
      </c>
      <c r="S355" s="27">
        <f t="shared" si="73"/>
        <v>11.799999999999997</v>
      </c>
      <c r="T355" s="27">
        <f t="shared" si="74"/>
        <v>0</v>
      </c>
    </row>
    <row r="356" spans="1:20" x14ac:dyDescent="0.2">
      <c r="A356" s="15">
        <f t="shared" si="77"/>
        <v>36875</v>
      </c>
      <c r="B356" s="1">
        <v>350</v>
      </c>
      <c r="C356" s="17">
        <f>ROUND(Data!BO356,2)</f>
        <v>0.68</v>
      </c>
      <c r="D356" s="3">
        <f>ROUND(Data!R356,1)</f>
        <v>-13.4</v>
      </c>
      <c r="E356" s="3">
        <f>ROUND(Data!AF356,1)</f>
        <v>-28.2</v>
      </c>
      <c r="F356" s="27">
        <f>Data!BT356</f>
        <v>71.400000000000006</v>
      </c>
      <c r="G356" s="3">
        <f>Data!Q356</f>
        <v>0</v>
      </c>
      <c r="H356" s="21">
        <f>Data!BF356</f>
        <v>553</v>
      </c>
      <c r="I356" s="14">
        <f t="shared" si="78"/>
        <v>13.4</v>
      </c>
      <c r="J356" s="17">
        <f>Data!BX356</f>
        <v>0</v>
      </c>
      <c r="K356" s="35">
        <f t="shared" si="75"/>
        <v>13.4</v>
      </c>
      <c r="M356" s="27">
        <f t="shared" si="80"/>
        <v>792.99999999999909</v>
      </c>
      <c r="N356" s="27">
        <f t="shared" si="80"/>
        <v>851.24200000000008</v>
      </c>
      <c r="P356" s="24">
        <f t="shared" si="70"/>
        <v>0.17649186256781191</v>
      </c>
      <c r="Q356" s="24">
        <f t="shared" si="71"/>
        <v>0.17649186256781191</v>
      </c>
      <c r="R356" s="21">
        <f t="shared" si="72"/>
        <v>97.59999999999998</v>
      </c>
      <c r="S356" s="27">
        <f t="shared" si="73"/>
        <v>13.400000000000006</v>
      </c>
      <c r="T356" s="27">
        <f t="shared" si="74"/>
        <v>0</v>
      </c>
    </row>
    <row r="357" spans="1:20" x14ac:dyDescent="0.2">
      <c r="A357" s="15">
        <f t="shared" si="77"/>
        <v>36876</v>
      </c>
      <c r="B357" s="1">
        <v>351</v>
      </c>
      <c r="C357" s="17">
        <f>ROUND(Data!BO357,2)</f>
        <v>0.16</v>
      </c>
      <c r="D357" s="3">
        <f>ROUND(Data!R357,1)</f>
        <v>-8.4</v>
      </c>
      <c r="E357" s="3">
        <f>ROUND(Data!AF357,1)</f>
        <v>-24.2</v>
      </c>
      <c r="F357" s="27">
        <f>Data!BT357</f>
        <v>79.3</v>
      </c>
      <c r="G357" s="3">
        <f>Data!Q357</f>
        <v>0</v>
      </c>
      <c r="H357" s="21">
        <f>Data!BF357</f>
        <v>578</v>
      </c>
      <c r="I357" s="14">
        <f t="shared" si="78"/>
        <v>3.3</v>
      </c>
      <c r="J357" s="17">
        <f>Data!BX357</f>
        <v>0</v>
      </c>
      <c r="K357" s="35">
        <f t="shared" si="75"/>
        <v>3.3</v>
      </c>
      <c r="M357" s="27">
        <f t="shared" si="80"/>
        <v>792.99999999999909</v>
      </c>
      <c r="N357" s="27">
        <f t="shared" si="80"/>
        <v>854.54200000000003</v>
      </c>
      <c r="P357" s="24">
        <f t="shared" si="70"/>
        <v>0.17456747404844286</v>
      </c>
      <c r="Q357" s="24">
        <f t="shared" si="71"/>
        <v>0.17456747404844286</v>
      </c>
      <c r="R357" s="21">
        <f t="shared" si="72"/>
        <v>100.89999999999998</v>
      </c>
      <c r="S357" s="27">
        <f t="shared" si="73"/>
        <v>3.2999999999999972</v>
      </c>
      <c r="T357" s="27">
        <f t="shared" si="74"/>
        <v>0</v>
      </c>
    </row>
    <row r="358" spans="1:20" x14ac:dyDescent="0.2">
      <c r="A358" s="15">
        <f t="shared" si="77"/>
        <v>36877</v>
      </c>
      <c r="B358" s="1">
        <v>352</v>
      </c>
      <c r="C358" s="17">
        <f>ROUND(Data!BO358,2)</f>
        <v>0.16</v>
      </c>
      <c r="D358" s="3">
        <f>ROUND(Data!R358,1)</f>
        <v>-6.2</v>
      </c>
      <c r="E358" s="3">
        <f>ROUND(Data!AF358,1)</f>
        <v>-13</v>
      </c>
      <c r="F358" s="27">
        <f>Data!BT358</f>
        <v>87.9</v>
      </c>
      <c r="G358" s="3">
        <f>Data!Q358</f>
        <v>0</v>
      </c>
      <c r="H358" s="21">
        <f>Data!BF358</f>
        <v>555</v>
      </c>
      <c r="I358" s="14">
        <f t="shared" si="78"/>
        <v>0</v>
      </c>
      <c r="J358" s="17">
        <f>Data!BX358</f>
        <v>0</v>
      </c>
      <c r="K358" s="35">
        <f t="shared" si="75"/>
        <v>0</v>
      </c>
      <c r="M358" s="27">
        <f t="shared" si="80"/>
        <v>792.99999999999909</v>
      </c>
      <c r="N358" s="27">
        <f t="shared" si="80"/>
        <v>854.54200000000003</v>
      </c>
      <c r="P358" s="24">
        <f t="shared" si="70"/>
        <v>0.18180180180180175</v>
      </c>
      <c r="Q358" s="24">
        <f t="shared" si="71"/>
        <v>0.18180180180180175</v>
      </c>
      <c r="R358" s="21">
        <f t="shared" si="72"/>
        <v>100.89999999999998</v>
      </c>
      <c r="S358" s="27">
        <f t="shared" si="73"/>
        <v>0</v>
      </c>
      <c r="T358" s="27">
        <f t="shared" si="74"/>
        <v>0</v>
      </c>
    </row>
    <row r="359" spans="1:20" x14ac:dyDescent="0.2">
      <c r="A359" s="15">
        <f t="shared" si="77"/>
        <v>36878</v>
      </c>
      <c r="B359" s="1">
        <v>353</v>
      </c>
      <c r="C359" s="17">
        <f>ROUND(Data!BO359,2)</f>
        <v>0.08</v>
      </c>
      <c r="D359" s="3">
        <f>ROUND(Data!R359,1)</f>
        <v>-6.1</v>
      </c>
      <c r="E359" s="3">
        <f>ROUND(Data!AF359,1)</f>
        <v>-15.2</v>
      </c>
      <c r="F359" s="27">
        <f>Data!BT359</f>
        <v>85.5</v>
      </c>
      <c r="G359" s="3">
        <f>Data!Q359</f>
        <v>0</v>
      </c>
      <c r="H359" s="21">
        <f>Data!BF359</f>
        <v>555</v>
      </c>
      <c r="I359" s="14">
        <f t="shared" si="78"/>
        <v>0</v>
      </c>
      <c r="J359" s="17">
        <f>Data!BX359</f>
        <v>0</v>
      </c>
      <c r="K359" s="35">
        <f t="shared" si="75"/>
        <v>0</v>
      </c>
      <c r="M359" s="27">
        <f t="shared" si="80"/>
        <v>792.99999999999909</v>
      </c>
      <c r="N359" s="27">
        <f t="shared" si="80"/>
        <v>854.54200000000003</v>
      </c>
      <c r="P359" s="24">
        <f t="shared" si="70"/>
        <v>0.18180180180180175</v>
      </c>
      <c r="Q359" s="24">
        <f t="shared" si="71"/>
        <v>0.18180180180180175</v>
      </c>
      <c r="R359" s="21">
        <f t="shared" si="72"/>
        <v>100.89999999999998</v>
      </c>
      <c r="S359" s="27">
        <f t="shared" si="73"/>
        <v>0</v>
      </c>
      <c r="T359" s="27">
        <f t="shared" si="74"/>
        <v>0</v>
      </c>
    </row>
    <row r="360" spans="1:20" x14ac:dyDescent="0.2">
      <c r="A360" s="15">
        <f t="shared" si="77"/>
        <v>36879</v>
      </c>
      <c r="B360" s="1">
        <v>354</v>
      </c>
      <c r="C360" s="17">
        <f>ROUND(Data!BO360,2)</f>
        <v>0.2</v>
      </c>
      <c r="D360" s="3">
        <f>ROUND(Data!R360,1)</f>
        <v>-7.1</v>
      </c>
      <c r="E360" s="3">
        <f>ROUND(Data!AF360,1)</f>
        <v>-11.5</v>
      </c>
      <c r="F360" s="27">
        <f>Data!BT360</f>
        <v>89.3</v>
      </c>
      <c r="G360" s="3">
        <f>Data!Q360</f>
        <v>0</v>
      </c>
      <c r="H360" s="21">
        <f>Data!BF360</f>
        <v>556</v>
      </c>
      <c r="I360" s="14">
        <f t="shared" si="78"/>
        <v>0.1</v>
      </c>
      <c r="J360" s="17">
        <f>Data!BX360</f>
        <v>0</v>
      </c>
      <c r="K360" s="35">
        <f t="shared" si="75"/>
        <v>0.1</v>
      </c>
      <c r="M360" s="27">
        <f t="shared" si="80"/>
        <v>792.99999999999909</v>
      </c>
      <c r="N360" s="27">
        <f t="shared" si="80"/>
        <v>854.64200000000005</v>
      </c>
      <c r="P360" s="24">
        <f t="shared" si="70"/>
        <v>0.18165467625899276</v>
      </c>
      <c r="Q360" s="24">
        <f t="shared" si="71"/>
        <v>0.18165467625899276</v>
      </c>
      <c r="R360" s="21">
        <f t="shared" si="72"/>
        <v>100.99999999999997</v>
      </c>
      <c r="S360" s="27">
        <f t="shared" si="73"/>
        <v>9.9999999999994316E-2</v>
      </c>
      <c r="T360" s="27">
        <f t="shared" si="74"/>
        <v>5.6898930012039273E-15</v>
      </c>
    </row>
    <row r="361" spans="1:20" x14ac:dyDescent="0.2">
      <c r="A361" s="15">
        <f t="shared" si="77"/>
        <v>36880</v>
      </c>
      <c r="B361" s="1">
        <v>355</v>
      </c>
      <c r="C361" s="17">
        <f>ROUND(Data!BO361,2)</f>
        <v>1.47</v>
      </c>
      <c r="D361" s="3">
        <f>ROUND(Data!R361,1)</f>
        <v>-6.8</v>
      </c>
      <c r="E361" s="3">
        <f>ROUND(Data!AF361,1)</f>
        <v>-21.7</v>
      </c>
      <c r="F361" s="27">
        <f>Data!BT361</f>
        <v>67.7</v>
      </c>
      <c r="G361" s="3">
        <f>Data!Q361</f>
        <v>0</v>
      </c>
      <c r="H361" s="21">
        <f>Data!BF361</f>
        <v>549</v>
      </c>
      <c r="I361" s="14">
        <f t="shared" si="78"/>
        <v>0</v>
      </c>
      <c r="J361" s="17">
        <f>Data!BX361</f>
        <v>0</v>
      </c>
      <c r="K361" s="35">
        <f t="shared" si="75"/>
        <v>0</v>
      </c>
      <c r="M361" s="27">
        <f t="shared" ref="M361:N372" si="81">J361+M360</f>
        <v>792.99999999999909</v>
      </c>
      <c r="N361" s="27">
        <f t="shared" si="81"/>
        <v>854.64200000000005</v>
      </c>
      <c r="P361" s="24">
        <f t="shared" si="70"/>
        <v>0.18397085610200359</v>
      </c>
      <c r="Q361" s="24">
        <f t="shared" si="71"/>
        <v>0.18397085610200359</v>
      </c>
      <c r="R361" s="21">
        <f t="shared" si="72"/>
        <v>100.99999999999997</v>
      </c>
      <c r="S361" s="27">
        <f t="shared" si="73"/>
        <v>0</v>
      </c>
      <c r="T361" s="27">
        <f t="shared" si="74"/>
        <v>0</v>
      </c>
    </row>
    <row r="362" spans="1:20" x14ac:dyDescent="0.2">
      <c r="A362" s="15">
        <f t="shared" si="77"/>
        <v>36881</v>
      </c>
      <c r="B362" s="1">
        <v>356</v>
      </c>
      <c r="C362" s="17">
        <f>ROUND(Data!BO362,2)</f>
        <v>0.22</v>
      </c>
      <c r="D362" s="3">
        <f>ROUND(Data!R362,1)</f>
        <v>-4.5999999999999996</v>
      </c>
      <c r="E362" s="3">
        <f>ROUND(Data!AF362,1)</f>
        <v>-21.8</v>
      </c>
      <c r="F362" s="27">
        <f>Data!BT362</f>
        <v>78.5</v>
      </c>
      <c r="G362" s="3">
        <f>Data!Q362</f>
        <v>0</v>
      </c>
      <c r="H362" s="21">
        <f>Data!BF362</f>
        <v>566</v>
      </c>
      <c r="I362" s="14">
        <f t="shared" si="78"/>
        <v>2.2000000000000002</v>
      </c>
      <c r="J362" s="17">
        <f>Data!BX362</f>
        <v>0</v>
      </c>
      <c r="K362" s="35">
        <f t="shared" si="75"/>
        <v>2.2000000000000002</v>
      </c>
      <c r="M362" s="27">
        <f t="shared" si="81"/>
        <v>792.99999999999909</v>
      </c>
      <c r="N362" s="27">
        <f t="shared" si="81"/>
        <v>856.8420000000001</v>
      </c>
      <c r="P362" s="24">
        <f t="shared" si="70"/>
        <v>0.18233215547703174</v>
      </c>
      <c r="Q362" s="24">
        <f t="shared" si="71"/>
        <v>0.18233215547703174</v>
      </c>
      <c r="R362" s="21">
        <f t="shared" ref="R362:R372" si="82">Q362*H362</f>
        <v>103.19999999999996</v>
      </c>
      <c r="S362" s="27">
        <f t="shared" si="73"/>
        <v>2.1999999999999886</v>
      </c>
      <c r="T362" s="27">
        <f t="shared" si="74"/>
        <v>1.1546319456101628E-14</v>
      </c>
    </row>
    <row r="363" spans="1:20" x14ac:dyDescent="0.2">
      <c r="A363" s="15">
        <f t="shared" si="77"/>
        <v>36882</v>
      </c>
      <c r="B363" s="1">
        <v>357</v>
      </c>
      <c r="C363" s="17">
        <f>ROUND(Data!BO363,2)</f>
        <v>0.25</v>
      </c>
      <c r="D363" s="3">
        <f>ROUND(Data!R363,1)</f>
        <v>-2.6</v>
      </c>
      <c r="E363" s="3">
        <f>ROUND(Data!AF363,1)</f>
        <v>-7.7</v>
      </c>
      <c r="F363" s="27">
        <f>Data!BT363</f>
        <v>84.9</v>
      </c>
      <c r="G363" s="3">
        <f>Data!Q363</f>
        <v>0</v>
      </c>
      <c r="H363" s="21">
        <f>Data!BF363</f>
        <v>553</v>
      </c>
      <c r="I363" s="14">
        <f t="shared" si="78"/>
        <v>0</v>
      </c>
      <c r="J363" s="17">
        <f>Data!BX363</f>
        <v>0</v>
      </c>
      <c r="K363" s="35">
        <f t="shared" si="75"/>
        <v>0</v>
      </c>
      <c r="M363" s="27">
        <f t="shared" si="81"/>
        <v>792.99999999999909</v>
      </c>
      <c r="N363" s="27">
        <f t="shared" si="81"/>
        <v>856.8420000000001</v>
      </c>
      <c r="P363" s="24">
        <f t="shared" ref="P363:P372" si="83">(R362+K363)/H363</f>
        <v>0.18661844484629286</v>
      </c>
      <c r="Q363" s="24">
        <f t="shared" ref="Q363:Q372" si="84">IF(P363&gt;Q$1,Q$1,P363)</f>
        <v>0.18661844484629286</v>
      </c>
      <c r="R363" s="21">
        <f t="shared" si="82"/>
        <v>103.19999999999996</v>
      </c>
      <c r="S363" s="27">
        <f t="shared" ref="S363:S372" si="85">R363-R362</f>
        <v>0</v>
      </c>
      <c r="T363" s="27">
        <f t="shared" ref="T363:T372" si="86">K363-S363</f>
        <v>0</v>
      </c>
    </row>
    <row r="364" spans="1:20" x14ac:dyDescent="0.2">
      <c r="A364" s="15">
        <f t="shared" si="77"/>
        <v>36883</v>
      </c>
      <c r="B364" s="1">
        <v>358</v>
      </c>
      <c r="C364" s="17">
        <f>ROUND(Data!BO364,2)</f>
        <v>1.1299999999999999</v>
      </c>
      <c r="D364" s="3">
        <f>ROUND(Data!R364,1)</f>
        <v>0.6</v>
      </c>
      <c r="E364" s="3">
        <f>ROUND(Data!AF364,1)</f>
        <v>-7.1</v>
      </c>
      <c r="F364" s="27">
        <f>Data!BT364</f>
        <v>68</v>
      </c>
      <c r="G364" s="3">
        <f>Data!Q364</f>
        <v>0</v>
      </c>
      <c r="H364" s="21">
        <f>Data!BF364</f>
        <v>539</v>
      </c>
      <c r="I364" s="14">
        <f t="shared" si="78"/>
        <v>0</v>
      </c>
      <c r="J364" s="17">
        <f>Data!BX364</f>
        <v>0</v>
      </c>
      <c r="K364" s="35">
        <f t="shared" si="75"/>
        <v>0</v>
      </c>
      <c r="M364" s="27">
        <f t="shared" si="81"/>
        <v>792.99999999999909</v>
      </c>
      <c r="N364" s="27">
        <f t="shared" si="81"/>
        <v>856.8420000000001</v>
      </c>
      <c r="P364" s="24">
        <f t="shared" si="83"/>
        <v>0.19146567717996282</v>
      </c>
      <c r="Q364" s="24">
        <f t="shared" si="84"/>
        <v>0.19146567717996282</v>
      </c>
      <c r="R364" s="21">
        <f t="shared" si="82"/>
        <v>103.19999999999996</v>
      </c>
      <c r="S364" s="27">
        <f t="shared" si="85"/>
        <v>0</v>
      </c>
      <c r="T364" s="27">
        <f t="shared" si="86"/>
        <v>0</v>
      </c>
    </row>
    <row r="365" spans="1:20" x14ac:dyDescent="0.2">
      <c r="A365" s="15">
        <f t="shared" si="77"/>
        <v>36884</v>
      </c>
      <c r="B365" s="1">
        <v>359</v>
      </c>
      <c r="C365" s="17">
        <f>ROUND(Data!BO365,2)</f>
        <v>0.25</v>
      </c>
      <c r="D365" s="3">
        <f>ROUND(Data!R365,1)</f>
        <v>-2.1</v>
      </c>
      <c r="E365" s="3">
        <f>ROUND(Data!AF365,1)</f>
        <v>-7.3</v>
      </c>
      <c r="F365" s="27">
        <f>Data!BT365</f>
        <v>89.5</v>
      </c>
      <c r="G365" s="3">
        <f>Data!Q365</f>
        <v>0</v>
      </c>
      <c r="H365" s="21">
        <f>Data!BF365</f>
        <v>520</v>
      </c>
      <c r="I365" s="14">
        <f t="shared" si="78"/>
        <v>0</v>
      </c>
      <c r="J365" s="17">
        <f>Data!BX365</f>
        <v>0</v>
      </c>
      <c r="K365" s="35">
        <f t="shared" si="75"/>
        <v>0</v>
      </c>
      <c r="M365" s="27">
        <f t="shared" si="81"/>
        <v>792.99999999999909</v>
      </c>
      <c r="N365" s="27">
        <f t="shared" si="81"/>
        <v>856.8420000000001</v>
      </c>
      <c r="P365" s="24">
        <f t="shared" si="83"/>
        <v>0.19846153846153838</v>
      </c>
      <c r="Q365" s="24">
        <f t="shared" si="84"/>
        <v>0.19846153846153838</v>
      </c>
      <c r="R365" s="21">
        <f t="shared" si="82"/>
        <v>103.19999999999996</v>
      </c>
      <c r="S365" s="27">
        <f t="shared" si="85"/>
        <v>0</v>
      </c>
      <c r="T365" s="27">
        <f t="shared" si="86"/>
        <v>0</v>
      </c>
    </row>
    <row r="366" spans="1:20" x14ac:dyDescent="0.2">
      <c r="A366" s="15">
        <f t="shared" si="77"/>
        <v>36885</v>
      </c>
      <c r="B366" s="1">
        <v>360</v>
      </c>
      <c r="C366" s="17">
        <f>ROUND(Data!BO366,2)</f>
        <v>0.23</v>
      </c>
      <c r="D366" s="3">
        <f>ROUND(Data!R366,1)</f>
        <v>-2</v>
      </c>
      <c r="E366" s="3">
        <f>ROUND(Data!AF366,1)</f>
        <v>-8.4</v>
      </c>
      <c r="F366" s="27">
        <f>Data!BT366</f>
        <v>77.5</v>
      </c>
      <c r="G366" s="3">
        <f>Data!Q366</f>
        <v>0</v>
      </c>
      <c r="H366" s="21">
        <f>Data!BF366</f>
        <v>538</v>
      </c>
      <c r="I366" s="14">
        <f t="shared" si="78"/>
        <v>2.2999999999999998</v>
      </c>
      <c r="J366" s="17">
        <f>Data!BX366</f>
        <v>0</v>
      </c>
      <c r="K366" s="35">
        <f t="shared" ref="K366:K367" si="87">I366</f>
        <v>2.2999999999999998</v>
      </c>
      <c r="M366" s="27">
        <f t="shared" si="81"/>
        <v>792.99999999999909</v>
      </c>
      <c r="N366" s="27">
        <f t="shared" si="81"/>
        <v>859.14200000000005</v>
      </c>
      <c r="P366" s="24">
        <f t="shared" si="83"/>
        <v>0.19609665427509285</v>
      </c>
      <c r="Q366" s="24">
        <f t="shared" si="84"/>
        <v>0.19609665427509285</v>
      </c>
      <c r="R366" s="21">
        <f t="shared" si="82"/>
        <v>105.49999999999996</v>
      </c>
      <c r="S366" s="27">
        <f t="shared" si="85"/>
        <v>2.2999999999999972</v>
      </c>
      <c r="T366" s="27">
        <f t="shared" si="86"/>
        <v>0</v>
      </c>
    </row>
    <row r="367" spans="1:20" x14ac:dyDescent="0.2">
      <c r="A367" s="15">
        <f t="shared" si="77"/>
        <v>36886</v>
      </c>
      <c r="B367" s="1">
        <v>361</v>
      </c>
      <c r="C367" s="17">
        <f>ROUND(Data!BO367,2)</f>
        <v>0.11</v>
      </c>
      <c r="D367" s="3">
        <f>ROUND(Data!R367,1)</f>
        <v>-2.1</v>
      </c>
      <c r="E367" s="3">
        <f>ROUND(Data!AF367,1)</f>
        <v>-4</v>
      </c>
      <c r="F367" s="27">
        <f>Data!BT367</f>
        <v>95.5</v>
      </c>
      <c r="G367" s="3">
        <f>Data!Q367</f>
        <v>0</v>
      </c>
      <c r="H367" s="21">
        <f>Data!BF367</f>
        <v>574</v>
      </c>
      <c r="I367" s="14">
        <f t="shared" si="78"/>
        <v>4.7</v>
      </c>
      <c r="J367" s="17">
        <f>Data!BX367</f>
        <v>0</v>
      </c>
      <c r="K367" s="35">
        <f t="shared" si="87"/>
        <v>4.7</v>
      </c>
      <c r="M367" s="27">
        <f t="shared" si="81"/>
        <v>792.99999999999909</v>
      </c>
      <c r="N367" s="27">
        <f t="shared" si="81"/>
        <v>863.8420000000001</v>
      </c>
      <c r="P367" s="24">
        <f t="shared" si="83"/>
        <v>0.19198606271776997</v>
      </c>
      <c r="Q367" s="24">
        <f t="shared" si="84"/>
        <v>0.19198606271776997</v>
      </c>
      <c r="R367" s="21">
        <f t="shared" si="82"/>
        <v>110.19999999999996</v>
      </c>
      <c r="S367" s="27">
        <f t="shared" si="85"/>
        <v>4.7000000000000028</v>
      </c>
      <c r="T367" s="27">
        <f t="shared" si="86"/>
        <v>0</v>
      </c>
    </row>
    <row r="368" spans="1:20" x14ac:dyDescent="0.2">
      <c r="A368" s="15">
        <f t="shared" si="77"/>
        <v>36887</v>
      </c>
      <c r="B368" s="1">
        <v>362</v>
      </c>
      <c r="C368" s="17">
        <f>ROUND(Data!BO368,2)</f>
        <v>0.14000000000000001</v>
      </c>
      <c r="D368" s="3">
        <f>ROUND(Data!R368,1)</f>
        <v>-1.8</v>
      </c>
      <c r="E368" s="3">
        <f>ROUND(Data!AF368,1)</f>
        <v>-11</v>
      </c>
      <c r="F368" s="27">
        <f>Data!BT368</f>
        <v>92</v>
      </c>
      <c r="G368" s="3">
        <f>Data!Q368</f>
        <v>0</v>
      </c>
      <c r="H368" s="21">
        <f>Data!BF368</f>
        <v>635</v>
      </c>
      <c r="I368" s="14">
        <f t="shared" si="78"/>
        <v>7.9</v>
      </c>
      <c r="J368" s="17">
        <f>Data!BX368</f>
        <v>0</v>
      </c>
      <c r="K368" s="35">
        <f>I368</f>
        <v>7.9</v>
      </c>
      <c r="M368" s="27">
        <f t="shared" si="81"/>
        <v>792.99999999999909</v>
      </c>
      <c r="N368" s="27">
        <f t="shared" si="81"/>
        <v>871.74200000000008</v>
      </c>
      <c r="P368" s="24">
        <f t="shared" si="83"/>
        <v>0.18598425196850388</v>
      </c>
      <c r="Q368" s="24">
        <f t="shared" si="84"/>
        <v>0.18598425196850388</v>
      </c>
      <c r="R368" s="21">
        <f t="shared" si="82"/>
        <v>118.09999999999997</v>
      </c>
      <c r="S368" s="27">
        <f t="shared" si="85"/>
        <v>7.9000000000000057</v>
      </c>
      <c r="T368" s="27">
        <f t="shared" si="86"/>
        <v>0</v>
      </c>
    </row>
    <row r="369" spans="1:20" x14ac:dyDescent="0.2">
      <c r="A369" s="15">
        <f t="shared" si="77"/>
        <v>36888</v>
      </c>
      <c r="B369" s="1">
        <v>363</v>
      </c>
      <c r="C369" s="17">
        <f>ROUND(Data!BO369,2)</f>
        <v>1.64</v>
      </c>
      <c r="D369" s="3">
        <f>ROUND(Data!R369,1)</f>
        <v>-3.8</v>
      </c>
      <c r="E369" s="3">
        <f>ROUND(Data!AF369,1)</f>
        <v>-16.2</v>
      </c>
      <c r="F369" s="27">
        <f>Data!BT369</f>
        <v>82.5</v>
      </c>
      <c r="G369" s="3">
        <f>Data!Q369</f>
        <v>0</v>
      </c>
      <c r="H369" s="21">
        <f>Data!BF369</f>
        <v>630</v>
      </c>
      <c r="I369" s="14">
        <f t="shared" si="78"/>
        <v>0</v>
      </c>
      <c r="J369" s="17">
        <f>Data!BX369</f>
        <v>0</v>
      </c>
      <c r="K369" s="35">
        <f>I369</f>
        <v>0</v>
      </c>
      <c r="M369" s="27">
        <f t="shared" si="81"/>
        <v>792.99999999999909</v>
      </c>
      <c r="N369" s="27">
        <f t="shared" si="81"/>
        <v>871.74200000000008</v>
      </c>
      <c r="P369" s="24">
        <f t="shared" si="83"/>
        <v>0.18746031746031741</v>
      </c>
      <c r="Q369" s="24">
        <f t="shared" si="84"/>
        <v>0.18746031746031741</v>
      </c>
      <c r="R369" s="21">
        <f t="shared" si="82"/>
        <v>118.09999999999997</v>
      </c>
      <c r="S369" s="27">
        <f t="shared" si="85"/>
        <v>0</v>
      </c>
      <c r="T369" s="27">
        <f t="shared" si="86"/>
        <v>0</v>
      </c>
    </row>
    <row r="370" spans="1:20" x14ac:dyDescent="0.2">
      <c r="A370" s="15">
        <f t="shared" si="77"/>
        <v>36889</v>
      </c>
      <c r="B370" s="1">
        <v>364</v>
      </c>
      <c r="C370" s="17">
        <f>ROUND(Data!BO370,2)</f>
        <v>0.36</v>
      </c>
      <c r="D370" s="3">
        <f>ROUND(Data!R370,1)</f>
        <v>-3.2</v>
      </c>
      <c r="E370" s="3">
        <f>ROUND(Data!AF370,1)</f>
        <v>-7.9</v>
      </c>
      <c r="F370" s="27">
        <f>Data!BT370</f>
        <v>83.3</v>
      </c>
      <c r="G370" s="3">
        <f>Data!Q370</f>
        <v>0</v>
      </c>
      <c r="H370" s="21">
        <f>Data!BF370</f>
        <v>606</v>
      </c>
      <c r="I370" s="14">
        <f t="shared" si="78"/>
        <v>0</v>
      </c>
      <c r="J370" s="17">
        <f>Data!BX370</f>
        <v>0</v>
      </c>
      <c r="K370" s="35">
        <f>I370</f>
        <v>0</v>
      </c>
      <c r="M370" s="27">
        <f t="shared" si="81"/>
        <v>792.99999999999909</v>
      </c>
      <c r="N370" s="27">
        <f t="shared" si="81"/>
        <v>871.74200000000008</v>
      </c>
      <c r="P370" s="24">
        <f t="shared" si="83"/>
        <v>0.19488448844884482</v>
      </c>
      <c r="Q370" s="24">
        <f t="shared" si="84"/>
        <v>0.19488448844884482</v>
      </c>
      <c r="R370" s="21">
        <f t="shared" si="82"/>
        <v>118.09999999999997</v>
      </c>
      <c r="S370" s="27">
        <f t="shared" si="85"/>
        <v>0</v>
      </c>
      <c r="T370" s="27">
        <f t="shared" si="86"/>
        <v>0</v>
      </c>
    </row>
    <row r="371" spans="1:20" x14ac:dyDescent="0.2">
      <c r="A371" s="15">
        <f t="shared" si="77"/>
        <v>36890</v>
      </c>
      <c r="B371" s="1">
        <v>365</v>
      </c>
      <c r="C371" s="17">
        <f>ROUND(Data!BO371,2)</f>
        <v>3.41</v>
      </c>
      <c r="D371" s="3">
        <f>ROUND(Data!R371,1)</f>
        <v>1</v>
      </c>
      <c r="E371" s="3">
        <f>ROUND(Data!AF371,1)</f>
        <v>-9.4</v>
      </c>
      <c r="F371" s="27">
        <f>Data!BT371</f>
        <v>65.400000000000006</v>
      </c>
      <c r="G371" s="3">
        <f>Data!Q371</f>
        <v>0</v>
      </c>
      <c r="H371" s="21">
        <f>Data!BF371</f>
        <v>589</v>
      </c>
      <c r="I371" s="14">
        <f t="shared" si="78"/>
        <v>0</v>
      </c>
      <c r="J371" s="17">
        <f>Data!BX371</f>
        <v>0</v>
      </c>
      <c r="K371" s="35">
        <f>I371</f>
        <v>0</v>
      </c>
      <c r="M371" s="27">
        <f t="shared" si="81"/>
        <v>792.99999999999909</v>
      </c>
      <c r="N371" s="27">
        <f t="shared" si="81"/>
        <v>871.74200000000008</v>
      </c>
      <c r="P371" s="24">
        <f t="shared" si="83"/>
        <v>0.20050933786078093</v>
      </c>
      <c r="Q371" s="24">
        <f t="shared" si="84"/>
        <v>0.20050933786078093</v>
      </c>
      <c r="R371" s="21">
        <f t="shared" si="82"/>
        <v>118.09999999999997</v>
      </c>
      <c r="S371" s="27">
        <f t="shared" si="85"/>
        <v>0</v>
      </c>
      <c r="T371" s="27">
        <f t="shared" si="86"/>
        <v>0</v>
      </c>
    </row>
    <row r="372" spans="1:20" x14ac:dyDescent="0.2">
      <c r="A372" s="15">
        <f t="shared" si="77"/>
        <v>36891</v>
      </c>
      <c r="B372" s="23">
        <v>366</v>
      </c>
      <c r="C372" s="17">
        <f>ROUND(Data!BO372,2)</f>
        <v>0.35</v>
      </c>
      <c r="D372" s="3">
        <f>ROUND(Data!R372,1)</f>
        <v>-1.4</v>
      </c>
      <c r="E372" s="3">
        <f>ROUND(Data!AF372,1)</f>
        <v>-11.8</v>
      </c>
      <c r="F372" s="27">
        <f>Data!BT372</f>
        <v>87</v>
      </c>
      <c r="G372" s="3">
        <f>Data!Q372</f>
        <v>0</v>
      </c>
      <c r="H372" s="21">
        <f>Data!BF372</f>
        <v>606</v>
      </c>
      <c r="I372" s="14">
        <f t="shared" si="78"/>
        <v>2.2000000000000002</v>
      </c>
      <c r="J372" s="17">
        <f>Data!BX372</f>
        <v>0</v>
      </c>
      <c r="K372" s="35">
        <f>I372</f>
        <v>2.2000000000000002</v>
      </c>
      <c r="M372" s="27">
        <f t="shared" si="81"/>
        <v>792.99999999999909</v>
      </c>
      <c r="N372" s="27">
        <f t="shared" si="81"/>
        <v>873.94200000000012</v>
      </c>
      <c r="P372" s="24">
        <f t="shared" si="83"/>
        <v>0.19851485148514847</v>
      </c>
      <c r="Q372" s="24">
        <f t="shared" si="84"/>
        <v>0.19851485148514847</v>
      </c>
      <c r="R372" s="21">
        <f t="shared" si="82"/>
        <v>120.29999999999997</v>
      </c>
      <c r="S372" s="27">
        <f t="shared" si="85"/>
        <v>2.2000000000000028</v>
      </c>
      <c r="T372" s="27">
        <f t="shared" si="86"/>
        <v>0</v>
      </c>
    </row>
    <row r="373" spans="1:20" x14ac:dyDescent="0.2">
      <c r="A373" s="15"/>
      <c r="B373" s="23"/>
      <c r="C373" s="17"/>
      <c r="F373" s="27"/>
      <c r="H373" s="21"/>
      <c r="I373" s="14"/>
      <c r="J373" s="17"/>
      <c r="K373" s="14"/>
      <c r="M373" s="27"/>
      <c r="N373" s="27"/>
      <c r="P373" s="24"/>
      <c r="Q373" s="24"/>
      <c r="R373" s="21"/>
      <c r="S373" s="27"/>
      <c r="T373" s="27"/>
    </row>
    <row r="375" spans="1:20" x14ac:dyDescent="0.2">
      <c r="A375" s="3" t="s">
        <v>134</v>
      </c>
    </row>
    <row r="376" spans="1:20" x14ac:dyDescent="0.2">
      <c r="A376" s="3" t="s">
        <v>101</v>
      </c>
      <c r="K376" s="54">
        <f>ROUND(SUM(K7:K37),1)</f>
        <v>120.1</v>
      </c>
    </row>
    <row r="377" spans="1:20" x14ac:dyDescent="0.2">
      <c r="A377" s="3" t="s">
        <v>102</v>
      </c>
      <c r="K377" s="54">
        <f>ROUND(SUM(K38:K66),1)</f>
        <v>83.8</v>
      </c>
    </row>
    <row r="378" spans="1:20" x14ac:dyDescent="0.2">
      <c r="A378" s="3" t="s">
        <v>103</v>
      </c>
      <c r="K378" s="41">
        <f>ROUND(SUM(K67:K97),1)</f>
        <v>79.599999999999994</v>
      </c>
    </row>
    <row r="379" spans="1:20" x14ac:dyDescent="0.2">
      <c r="A379" s="3" t="s">
        <v>104</v>
      </c>
      <c r="K379" s="41">
        <f>ROUND(SUM(K98:K127),1)</f>
        <v>29.6</v>
      </c>
    </row>
    <row r="380" spans="1:20" x14ac:dyDescent="0.2">
      <c r="A380" s="3" t="s">
        <v>105</v>
      </c>
      <c r="K380" s="45">
        <f>ROUND(SUM(K128:K158),1)</f>
        <v>58.9</v>
      </c>
    </row>
    <row r="381" spans="1:20" x14ac:dyDescent="0.2">
      <c r="A381" s="3" t="s">
        <v>106</v>
      </c>
      <c r="K381" s="45">
        <f>ROUND(SUM(K159:K188),1)</f>
        <v>89.7</v>
      </c>
    </row>
    <row r="382" spans="1:20" x14ac:dyDescent="0.2">
      <c r="A382" s="3" t="s">
        <v>107</v>
      </c>
      <c r="K382" s="45">
        <f>ROUND(SUM(K189:K219),1)</f>
        <v>88.8</v>
      </c>
    </row>
    <row r="383" spans="1:20" x14ac:dyDescent="0.2">
      <c r="A383" s="3" t="s">
        <v>108</v>
      </c>
      <c r="K383" s="45">
        <f>ROUND(SUM(K220:K250),1)</f>
        <v>55.7</v>
      </c>
    </row>
    <row r="384" spans="1:20" x14ac:dyDescent="0.2">
      <c r="A384" s="3" t="s">
        <v>109</v>
      </c>
      <c r="K384" s="45">
        <f>ROUND(SUM(K251:K280),1)</f>
        <v>87.7</v>
      </c>
    </row>
    <row r="385" spans="1:11" x14ac:dyDescent="0.2">
      <c r="A385" s="3" t="s">
        <v>110</v>
      </c>
      <c r="K385" s="45">
        <f>ROUND(SUM(K281:K311),1)</f>
        <v>64.2</v>
      </c>
    </row>
    <row r="386" spans="1:11" x14ac:dyDescent="0.2">
      <c r="A386" s="3" t="s">
        <v>111</v>
      </c>
      <c r="K386" s="41">
        <f>ROUND(SUM(K312:K341),1)</f>
        <v>55.7</v>
      </c>
    </row>
    <row r="387" spans="1:11" x14ac:dyDescent="0.2">
      <c r="A387" s="3" t="s">
        <v>112</v>
      </c>
      <c r="K387" s="41">
        <f>ROUND(SUM(K342:K372),1)</f>
        <v>60.2</v>
      </c>
    </row>
    <row r="389" spans="1:11" x14ac:dyDescent="0.2">
      <c r="K389" s="14">
        <f>SUM(K376:K387)</f>
        <v>874.00000000000023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00"/>
  <sheetViews>
    <sheetView tabSelected="1" workbookViewId="0">
      <pane xSplit="2" ySplit="5" topLeftCell="CB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63" width="6.7109375" style="1" customWidth="1"/>
    <col min="64" max="69" width="6.7109375" style="2" customWidth="1"/>
    <col min="70" max="143" width="6.7109375" style="1" customWidth="1"/>
    <col min="144" max="16384" width="9.140625" style="1"/>
  </cols>
  <sheetData>
    <row r="1" spans="1:123" x14ac:dyDescent="0.2">
      <c r="A1" s="1" t="s">
        <v>66</v>
      </c>
      <c r="D1" s="1" t="s">
        <v>62</v>
      </c>
      <c r="J1" s="1" t="s">
        <v>76</v>
      </c>
      <c r="P1" s="1" t="s">
        <v>63</v>
      </c>
      <c r="BF1" s="1">
        <v>3493</v>
      </c>
      <c r="BL1" s="5"/>
      <c r="BM1" s="3"/>
      <c r="BN1" s="3">
        <f>2.02</f>
        <v>2.02</v>
      </c>
      <c r="BO1" s="2" t="s">
        <v>68</v>
      </c>
      <c r="BR1" s="1" t="s">
        <v>67</v>
      </c>
      <c r="BS1" s="1">
        <v>1.59</v>
      </c>
      <c r="BV1" s="1" t="s">
        <v>79</v>
      </c>
    </row>
    <row r="2" spans="1:123" x14ac:dyDescent="0.2">
      <c r="A2" s="1" t="s">
        <v>237</v>
      </c>
      <c r="C2" s="1" t="s">
        <v>65</v>
      </c>
      <c r="F2" s="1" t="s">
        <v>55</v>
      </c>
      <c r="I2" s="1" t="s">
        <v>54</v>
      </c>
      <c r="L2" s="1" t="s">
        <v>64</v>
      </c>
      <c r="BL2" s="5"/>
      <c r="BM2" s="3"/>
      <c r="BO2" s="4">
        <v>0.98</v>
      </c>
      <c r="BP2" s="4">
        <v>1.1000000000000001</v>
      </c>
      <c r="BR2" s="1">
        <v>110</v>
      </c>
      <c r="BS2" s="1">
        <v>-75.7</v>
      </c>
      <c r="BX2" s="47">
        <v>1.4</v>
      </c>
      <c r="BZ2" s="50">
        <v>1.4</v>
      </c>
      <c r="CB2" s="3" t="s">
        <v>187</v>
      </c>
    </row>
    <row r="3" spans="1:123" x14ac:dyDescent="0.2">
      <c r="C3" s="6" t="s">
        <v>0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0</v>
      </c>
      <c r="R3" s="6" t="s">
        <v>2</v>
      </c>
      <c r="S3" s="6" t="s">
        <v>3</v>
      </c>
      <c r="T3" s="6" t="s">
        <v>4</v>
      </c>
      <c r="U3" s="6" t="s">
        <v>3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3</v>
      </c>
      <c r="AF3" s="6" t="s">
        <v>5</v>
      </c>
      <c r="AG3" s="6" t="s">
        <v>3</v>
      </c>
      <c r="AH3" s="6" t="s">
        <v>5</v>
      </c>
      <c r="AI3" s="6" t="s">
        <v>3</v>
      </c>
      <c r="AJ3" s="6" t="s">
        <v>5</v>
      </c>
      <c r="AK3" s="6" t="s">
        <v>5</v>
      </c>
      <c r="AL3" s="6" t="s">
        <v>5</v>
      </c>
      <c r="AM3" s="6" t="s">
        <v>5</v>
      </c>
      <c r="AN3" s="6" t="s">
        <v>5</v>
      </c>
      <c r="AO3" s="6" t="s">
        <v>5</v>
      </c>
      <c r="AP3" s="6" t="s">
        <v>5</v>
      </c>
      <c r="AQ3" s="6" t="s">
        <v>5</v>
      </c>
      <c r="AR3" s="7" t="s">
        <v>6</v>
      </c>
      <c r="BM3" s="1"/>
      <c r="BN3" s="3"/>
      <c r="BO3" s="2" t="s">
        <v>69</v>
      </c>
      <c r="BR3" s="1">
        <v>99</v>
      </c>
      <c r="BS3" s="1">
        <v>0.88</v>
      </c>
      <c r="BU3" s="61" t="s">
        <v>185</v>
      </c>
      <c r="BV3" s="56" t="s">
        <v>167</v>
      </c>
      <c r="CC3" s="64"/>
      <c r="CD3" s="64"/>
      <c r="CE3" s="64"/>
      <c r="CF3" s="64"/>
      <c r="CG3" s="64"/>
      <c r="CH3" s="64"/>
      <c r="CI3" s="64"/>
      <c r="CJ3" s="64"/>
      <c r="CK3" s="64"/>
      <c r="DB3" s="1" t="s">
        <v>188</v>
      </c>
      <c r="DD3"/>
      <c r="DE3"/>
      <c r="DF3"/>
      <c r="DG3"/>
      <c r="DH3"/>
      <c r="DK3" s="1" t="s">
        <v>116</v>
      </c>
      <c r="DQ3" s="1" t="s">
        <v>138</v>
      </c>
    </row>
    <row r="4" spans="1:123" x14ac:dyDescent="0.2"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61</v>
      </c>
      <c r="K4" s="6" t="s">
        <v>61</v>
      </c>
      <c r="L4" s="6" t="s">
        <v>14</v>
      </c>
      <c r="M4" s="6" t="s">
        <v>14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9</v>
      </c>
      <c r="S4" s="6" t="s">
        <v>18</v>
      </c>
      <c r="T4" s="6" t="s">
        <v>10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61</v>
      </c>
      <c r="Z4" s="6" t="s">
        <v>61</v>
      </c>
      <c r="AA4" s="6" t="s">
        <v>14</v>
      </c>
      <c r="AB4" s="6" t="s">
        <v>14</v>
      </c>
      <c r="AC4" s="6" t="s">
        <v>14</v>
      </c>
      <c r="AD4" s="6" t="s">
        <v>19</v>
      </c>
      <c r="AE4" s="6" t="s">
        <v>20</v>
      </c>
      <c r="AF4" s="6" t="s">
        <v>9</v>
      </c>
      <c r="AG4" s="6" t="s">
        <v>18</v>
      </c>
      <c r="AH4" s="6" t="s">
        <v>10</v>
      </c>
      <c r="AI4" s="6" t="s">
        <v>10</v>
      </c>
      <c r="AJ4" s="6" t="s">
        <v>11</v>
      </c>
      <c r="AK4" s="6" t="s">
        <v>12</v>
      </c>
      <c r="AL4" s="6" t="s">
        <v>13</v>
      </c>
      <c r="AM4" s="6" t="s">
        <v>61</v>
      </c>
      <c r="AN4" s="6" t="s">
        <v>61</v>
      </c>
      <c r="AO4" s="6" t="s">
        <v>14</v>
      </c>
      <c r="AP4" s="6" t="s">
        <v>14</v>
      </c>
      <c r="AQ4" s="6" t="s">
        <v>14</v>
      </c>
      <c r="AZ4" s="6" t="s">
        <v>21</v>
      </c>
      <c r="BA4" s="6" t="s">
        <v>22</v>
      </c>
      <c r="BB4" s="6" t="s">
        <v>23</v>
      </c>
      <c r="BC4" s="6" t="s">
        <v>53</v>
      </c>
      <c r="BD4" s="6" t="s">
        <v>50</v>
      </c>
      <c r="BE4" s="6" t="s">
        <v>50</v>
      </c>
      <c r="BF4" s="9" t="s">
        <v>48</v>
      </c>
      <c r="BG4" s="6" t="s">
        <v>47</v>
      </c>
      <c r="BH4" s="9" t="s">
        <v>52</v>
      </c>
      <c r="BI4" s="9" t="s">
        <v>52</v>
      </c>
      <c r="BJ4" s="9" t="s">
        <v>51</v>
      </c>
      <c r="BK4" s="9" t="s">
        <v>51</v>
      </c>
      <c r="BL4" s="3"/>
      <c r="BM4" s="3" t="s">
        <v>71</v>
      </c>
      <c r="BN4" s="3" t="s">
        <v>72</v>
      </c>
      <c r="BO4" s="2" t="s">
        <v>70</v>
      </c>
      <c r="BP4" s="2" t="s">
        <v>8</v>
      </c>
      <c r="BQ4" s="2">
        <f>MAX(BR7:BR372)</f>
        <v>100</v>
      </c>
      <c r="BS4" s="8">
        <v>-6</v>
      </c>
      <c r="BU4" s="6" t="s">
        <v>184</v>
      </c>
      <c r="BV4" s="6" t="s">
        <v>45</v>
      </c>
      <c r="BX4" s="47" t="s">
        <v>135</v>
      </c>
      <c r="BZ4" s="50" t="s">
        <v>136</v>
      </c>
      <c r="CB4" s="6" t="s">
        <v>70</v>
      </c>
      <c r="CC4" s="3" t="s">
        <v>8</v>
      </c>
      <c r="CD4" s="8" t="s">
        <v>189</v>
      </c>
      <c r="CE4" s="8" t="s">
        <v>190</v>
      </c>
      <c r="CF4" s="8" t="s">
        <v>191</v>
      </c>
      <c r="CG4" s="8" t="s">
        <v>192</v>
      </c>
      <c r="CH4" s="8" t="s">
        <v>193</v>
      </c>
      <c r="CI4" s="8" t="s">
        <v>194</v>
      </c>
      <c r="CJ4" s="8" t="s">
        <v>195</v>
      </c>
      <c r="CK4" s="8" t="s">
        <v>196</v>
      </c>
      <c r="CL4" s="3" t="s">
        <v>197</v>
      </c>
      <c r="CM4" s="8" t="s">
        <v>198</v>
      </c>
      <c r="CN4" s="8" t="s">
        <v>199</v>
      </c>
      <c r="CO4" s="8" t="s">
        <v>200</v>
      </c>
      <c r="CP4" s="8" t="s">
        <v>201</v>
      </c>
      <c r="CQ4" s="8" t="s">
        <v>202</v>
      </c>
      <c r="CR4" s="8" t="s">
        <v>203</v>
      </c>
      <c r="CS4" s="3" t="s">
        <v>204</v>
      </c>
      <c r="CT4" s="3" t="s">
        <v>205</v>
      </c>
      <c r="CU4" s="8" t="s">
        <v>206</v>
      </c>
      <c r="CV4" s="8" t="s">
        <v>207</v>
      </c>
      <c r="CW4" s="8" t="s">
        <v>208</v>
      </c>
      <c r="CX4" s="8" t="s">
        <v>209</v>
      </c>
      <c r="CY4" s="8" t="s">
        <v>210</v>
      </c>
      <c r="CZ4" s="8" t="s">
        <v>211</v>
      </c>
      <c r="DA4" s="3" t="s">
        <v>212</v>
      </c>
      <c r="DB4" s="3" t="s">
        <v>126</v>
      </c>
      <c r="DC4" s="1" t="s">
        <v>117</v>
      </c>
      <c r="DD4" s="6" t="s">
        <v>84</v>
      </c>
      <c r="DE4" s="6" t="s">
        <v>92</v>
      </c>
      <c r="DF4" s="8" t="s">
        <v>213</v>
      </c>
      <c r="DG4" s="8" t="s">
        <v>214</v>
      </c>
      <c r="DH4" s="1" t="s">
        <v>215</v>
      </c>
      <c r="DK4" s="1" t="s">
        <v>59</v>
      </c>
      <c r="DL4" s="1" t="s">
        <v>59</v>
      </c>
      <c r="DM4" s="1" t="s">
        <v>59</v>
      </c>
      <c r="DN4" s="1" t="s">
        <v>60</v>
      </c>
      <c r="DO4" s="1" t="s">
        <v>60</v>
      </c>
      <c r="DQ4" s="1" t="s">
        <v>59</v>
      </c>
      <c r="DR4" s="1" t="s">
        <v>59</v>
      </c>
      <c r="DS4" s="1" t="s">
        <v>59</v>
      </c>
    </row>
    <row r="5" spans="1:123" x14ac:dyDescent="0.2">
      <c r="A5" s="9" t="s">
        <v>43</v>
      </c>
      <c r="B5" s="6" t="s">
        <v>24</v>
      </c>
      <c r="C5" s="10" t="s">
        <v>57</v>
      </c>
      <c r="D5" s="11" t="s">
        <v>58</v>
      </c>
      <c r="E5" s="10" t="s">
        <v>59</v>
      </c>
      <c r="F5" s="12" t="s">
        <v>60</v>
      </c>
      <c r="G5" s="12" t="s">
        <v>59</v>
      </c>
      <c r="H5" s="12" t="s">
        <v>59</v>
      </c>
      <c r="I5" s="12" t="s">
        <v>59</v>
      </c>
      <c r="J5" s="10" t="s">
        <v>25</v>
      </c>
      <c r="K5" s="10" t="s">
        <v>26</v>
      </c>
      <c r="L5" s="10" t="s">
        <v>27</v>
      </c>
      <c r="M5" s="10" t="s">
        <v>28</v>
      </c>
      <c r="N5" s="10" t="s">
        <v>29</v>
      </c>
      <c r="O5" s="10" t="s">
        <v>30</v>
      </c>
      <c r="P5" s="10" t="s">
        <v>31</v>
      </c>
      <c r="Q5" s="10" t="s">
        <v>49</v>
      </c>
      <c r="R5" s="10" t="s">
        <v>59</v>
      </c>
      <c r="S5" s="12"/>
      <c r="T5" s="12" t="s">
        <v>60</v>
      </c>
      <c r="U5" s="12"/>
      <c r="V5" s="10" t="s">
        <v>59</v>
      </c>
      <c r="W5" s="10" t="s">
        <v>59</v>
      </c>
      <c r="X5" s="10" t="s">
        <v>59</v>
      </c>
      <c r="Y5" s="10" t="s">
        <v>25</v>
      </c>
      <c r="Z5" s="10" t="s">
        <v>26</v>
      </c>
      <c r="AA5" s="10" t="s">
        <v>27</v>
      </c>
      <c r="AB5" s="10" t="s">
        <v>28</v>
      </c>
      <c r="AC5" s="10" t="s">
        <v>29</v>
      </c>
      <c r="AD5" s="12" t="s">
        <v>44</v>
      </c>
      <c r="AE5" s="12" t="s">
        <v>44</v>
      </c>
      <c r="AF5" s="12" t="s">
        <v>59</v>
      </c>
      <c r="AG5" s="12" t="s">
        <v>59</v>
      </c>
      <c r="AH5" s="12" t="s">
        <v>60</v>
      </c>
      <c r="AI5" s="12"/>
      <c r="AJ5" s="12" t="s">
        <v>59</v>
      </c>
      <c r="AK5" s="12" t="s">
        <v>59</v>
      </c>
      <c r="AL5" s="12" t="s">
        <v>59</v>
      </c>
      <c r="AM5" s="6" t="s">
        <v>25</v>
      </c>
      <c r="AN5" s="6" t="s">
        <v>26</v>
      </c>
      <c r="AO5" s="6" t="s">
        <v>27</v>
      </c>
      <c r="AP5" s="6" t="s">
        <v>28</v>
      </c>
      <c r="AQ5" s="6" t="s">
        <v>29</v>
      </c>
      <c r="AR5" s="6" t="s">
        <v>32</v>
      </c>
      <c r="AS5" s="6" t="s">
        <v>33</v>
      </c>
      <c r="AT5" s="6" t="s">
        <v>34</v>
      </c>
      <c r="AU5" s="6" t="s">
        <v>35</v>
      </c>
      <c r="AV5" s="6" t="s">
        <v>36</v>
      </c>
      <c r="AW5" s="6" t="s">
        <v>37</v>
      </c>
      <c r="AX5" s="6" t="s">
        <v>38</v>
      </c>
      <c r="AY5" s="6" t="s">
        <v>39</v>
      </c>
      <c r="AZ5" s="6" t="s">
        <v>40</v>
      </c>
      <c r="BA5" s="6" t="s">
        <v>41</v>
      </c>
      <c r="BB5" s="6" t="s">
        <v>42</v>
      </c>
      <c r="BD5" s="6" t="s">
        <v>52</v>
      </c>
      <c r="BE5" s="6" t="s">
        <v>51</v>
      </c>
      <c r="BF5" s="9" t="s">
        <v>49</v>
      </c>
      <c r="BG5" s="6" t="s">
        <v>56</v>
      </c>
      <c r="BH5" s="6" t="s">
        <v>56</v>
      </c>
      <c r="BI5" s="6" t="s">
        <v>40</v>
      </c>
      <c r="BJ5" s="6" t="s">
        <v>56</v>
      </c>
      <c r="BK5" s="6" t="s">
        <v>40</v>
      </c>
      <c r="BL5" s="3"/>
      <c r="BM5" s="12" t="s">
        <v>57</v>
      </c>
      <c r="BN5" s="3" t="s">
        <v>58</v>
      </c>
      <c r="BR5" s="1" t="s">
        <v>74</v>
      </c>
      <c r="BS5" s="1" t="s">
        <v>73</v>
      </c>
      <c r="BT5" s="1" t="s">
        <v>75</v>
      </c>
      <c r="BU5" s="13" t="s">
        <v>46</v>
      </c>
      <c r="BV5" s="13" t="s">
        <v>46</v>
      </c>
      <c r="BX5" s="1" t="s">
        <v>116</v>
      </c>
      <c r="CB5" s="10" t="s">
        <v>57</v>
      </c>
      <c r="CC5" s="3" t="s">
        <v>58</v>
      </c>
      <c r="CD5" s="10" t="s">
        <v>59</v>
      </c>
      <c r="CE5" s="10" t="s">
        <v>59</v>
      </c>
      <c r="CF5" s="10" t="s">
        <v>59</v>
      </c>
      <c r="CG5" s="10" t="s">
        <v>59</v>
      </c>
      <c r="CH5" s="10" t="s">
        <v>59</v>
      </c>
      <c r="CI5" s="10" t="s">
        <v>59</v>
      </c>
      <c r="CJ5" s="10" t="s">
        <v>59</v>
      </c>
      <c r="CK5" s="12" t="s">
        <v>60</v>
      </c>
      <c r="CL5" s="10" t="s">
        <v>59</v>
      </c>
      <c r="CM5" s="10" t="s">
        <v>59</v>
      </c>
      <c r="CN5" s="10" t="s">
        <v>59</v>
      </c>
      <c r="CO5" s="10" t="s">
        <v>59</v>
      </c>
      <c r="CP5" s="10" t="s">
        <v>59</v>
      </c>
      <c r="CQ5" s="10" t="s">
        <v>59</v>
      </c>
      <c r="CR5" s="10" t="s">
        <v>59</v>
      </c>
      <c r="CS5" s="12" t="s">
        <v>60</v>
      </c>
      <c r="CT5" s="10" t="s">
        <v>59</v>
      </c>
      <c r="CU5" s="10" t="s">
        <v>59</v>
      </c>
      <c r="CV5" s="10" t="s">
        <v>59</v>
      </c>
      <c r="CW5" s="10" t="s">
        <v>59</v>
      </c>
      <c r="CX5" s="10" t="s">
        <v>59</v>
      </c>
      <c r="CY5" s="10" t="s">
        <v>59</v>
      </c>
      <c r="CZ5" s="10" t="s">
        <v>59</v>
      </c>
      <c r="DA5" s="12" t="s">
        <v>60</v>
      </c>
      <c r="DB5" s="1" t="s">
        <v>49</v>
      </c>
      <c r="DC5" s="1" t="s">
        <v>216</v>
      </c>
      <c r="DD5" s="1" t="s">
        <v>44</v>
      </c>
      <c r="DE5" s="1" t="s">
        <v>44</v>
      </c>
      <c r="DF5" s="1" t="s">
        <v>46</v>
      </c>
      <c r="DG5" s="1" t="s">
        <v>46</v>
      </c>
      <c r="DH5" s="1" t="s">
        <v>217</v>
      </c>
      <c r="DK5" s="1" t="s">
        <v>139</v>
      </c>
      <c r="DL5" s="1" t="s">
        <v>123</v>
      </c>
      <c r="DM5" s="1" t="s">
        <v>124</v>
      </c>
      <c r="DN5" s="1" t="s">
        <v>140</v>
      </c>
      <c r="DO5" s="1" t="s">
        <v>125</v>
      </c>
      <c r="DQ5" s="1" t="s">
        <v>139</v>
      </c>
      <c r="DR5" s="1" t="s">
        <v>123</v>
      </c>
      <c r="DS5" s="1" t="s">
        <v>124</v>
      </c>
    </row>
    <row r="6" spans="1:123" x14ac:dyDescent="0.2">
      <c r="BL6" s="3"/>
      <c r="BM6" s="3"/>
      <c r="BN6" s="3"/>
      <c r="BU6" s="19"/>
      <c r="BV6" s="63"/>
      <c r="CB6"/>
      <c r="CC6"/>
      <c r="CD6"/>
      <c r="CE6"/>
      <c r="CF6"/>
      <c r="CG6"/>
      <c r="CH6"/>
      <c r="CI6"/>
      <c r="CJ6"/>
      <c r="CK6"/>
      <c r="DD6"/>
      <c r="DE6"/>
      <c r="DF6"/>
      <c r="DG6"/>
    </row>
    <row r="7" spans="1:123" x14ac:dyDescent="0.2">
      <c r="A7" s="15">
        <v>36526</v>
      </c>
      <c r="B7" s="1">
        <v>1</v>
      </c>
      <c r="E7" s="50">
        <f>ROUND(0.77*DQ7-6.2,1)</f>
        <v>-9.1</v>
      </c>
      <c r="F7" s="2"/>
      <c r="R7" s="50">
        <f>ROUND(DR7*0.69-5.3,1)</f>
        <v>-6.8</v>
      </c>
      <c r="AF7" s="50">
        <f>ROUND(2*E7-R7,1)</f>
        <v>-11.4</v>
      </c>
      <c r="BL7" s="16"/>
      <c r="BM7" s="17">
        <v>4.59</v>
      </c>
      <c r="BN7" s="17">
        <f t="shared" ref="BN7:BN70" si="0">BM7*$BN$1</f>
        <v>9.2717999999999989</v>
      </c>
      <c r="BO7" s="18"/>
      <c r="BP7" s="18"/>
      <c r="BU7" s="62">
        <f t="shared" ref="BU7:BU38" si="1">ROUND((0.6105*(EXP((17.273*AF7)/(AF7+237.3)))),3)</f>
        <v>0.255</v>
      </c>
      <c r="BV7" s="62">
        <f t="shared" ref="BV7:BV38" si="2">ROUND((0.6105*(EXP((17.273*R7)/(R7+237.3))))-BU7,3)</f>
        <v>0.112</v>
      </c>
      <c r="BX7" s="51">
        <f>BZ7*BZ$2</f>
        <v>12.319999999999995</v>
      </c>
      <c r="BY7" s="46">
        <v>8.32</v>
      </c>
      <c r="BZ7" s="1">
        <v>8.7999999999999972</v>
      </c>
      <c r="CB7" s="17" t="s">
        <v>218</v>
      </c>
      <c r="CC7" s="17" t="s">
        <v>218</v>
      </c>
      <c r="CD7" s="3">
        <f>ROUND(E7,1)</f>
        <v>-9.1</v>
      </c>
      <c r="CE7" s="17" t="s">
        <v>218</v>
      </c>
      <c r="CF7" s="17" t="s">
        <v>218</v>
      </c>
      <c r="CG7" s="17" t="s">
        <v>218</v>
      </c>
      <c r="CH7" s="17" t="s">
        <v>218</v>
      </c>
      <c r="CI7" s="17" t="s">
        <v>218</v>
      </c>
      <c r="CJ7" s="17" t="s">
        <v>218</v>
      </c>
      <c r="CK7" s="17" t="s">
        <v>218</v>
      </c>
      <c r="CL7" s="1">
        <f>ROUND(R7,1)</f>
        <v>-6.8</v>
      </c>
      <c r="CM7" s="17" t="s">
        <v>218</v>
      </c>
      <c r="CN7" s="17" t="s">
        <v>218</v>
      </c>
      <c r="CO7" s="17" t="s">
        <v>218</v>
      </c>
      <c r="CP7" s="17" t="s">
        <v>218</v>
      </c>
      <c r="CQ7" s="17" t="s">
        <v>218</v>
      </c>
      <c r="CR7" s="17" t="s">
        <v>218</v>
      </c>
      <c r="CS7" s="17" t="s">
        <v>218</v>
      </c>
      <c r="CT7" s="1">
        <f>ROUND(AF7,1)</f>
        <v>-11.4</v>
      </c>
      <c r="CU7" s="17" t="s">
        <v>218</v>
      </c>
      <c r="CV7" s="17" t="s">
        <v>218</v>
      </c>
      <c r="CW7" s="17" t="s">
        <v>218</v>
      </c>
      <c r="CX7" s="17" t="s">
        <v>218</v>
      </c>
      <c r="CY7" s="17" t="s">
        <v>218</v>
      </c>
      <c r="CZ7" s="17" t="s">
        <v>218</v>
      </c>
      <c r="DA7" s="17" t="s">
        <v>218</v>
      </c>
      <c r="DB7" s="17" t="s">
        <v>218</v>
      </c>
      <c r="DC7" s="1">
        <f>ROUND(PPTest!K7,1)</f>
        <v>12.9</v>
      </c>
      <c r="DD7" s="17" t="s">
        <v>218</v>
      </c>
      <c r="DE7" s="17" t="s">
        <v>218</v>
      </c>
      <c r="DF7" s="24">
        <f>BU7</f>
        <v>0.255</v>
      </c>
      <c r="DG7" s="24">
        <f>BV7</f>
        <v>0.112</v>
      </c>
      <c r="DH7" s="17" t="s">
        <v>218</v>
      </c>
      <c r="DQ7" s="1">
        <v>-3.8</v>
      </c>
      <c r="DR7" s="1">
        <v>-2.2000000000000002</v>
      </c>
      <c r="DS7" s="1">
        <v>-5.4</v>
      </c>
    </row>
    <row r="8" spans="1:123" x14ac:dyDescent="0.2">
      <c r="A8" s="15">
        <f t="shared" ref="A8:A72" si="3">A7+1</f>
        <v>36527</v>
      </c>
      <c r="B8" s="1">
        <v>2</v>
      </c>
      <c r="E8" s="50">
        <f t="shared" ref="E8:E67" si="4">ROUND(0.77*DQ8-6.2,1)</f>
        <v>-7.6</v>
      </c>
      <c r="F8" s="2"/>
      <c r="R8" s="50">
        <f t="shared" ref="R8:R67" si="5">ROUND(DR8*0.69-5.3,1)</f>
        <v>-5</v>
      </c>
      <c r="AF8" s="50">
        <f t="shared" ref="AF8:AF67" si="6">ROUND(2*E8-R8,1)</f>
        <v>-10.199999999999999</v>
      </c>
      <c r="BM8" s="17">
        <v>4.63</v>
      </c>
      <c r="BN8" s="17">
        <f t="shared" si="0"/>
        <v>9.3526000000000007</v>
      </c>
      <c r="BO8" s="18"/>
      <c r="BP8" s="18"/>
      <c r="BU8" s="62">
        <f t="shared" si="1"/>
        <v>0.28100000000000003</v>
      </c>
      <c r="BV8" s="62">
        <f t="shared" si="2"/>
        <v>0.14000000000000001</v>
      </c>
      <c r="BX8" s="51">
        <f t="shared" ref="BX8:BX71" si="7">BZ8*BZ$2</f>
        <v>4.0600000000000005</v>
      </c>
      <c r="BY8" s="46">
        <v>4.03</v>
      </c>
      <c r="BZ8" s="1">
        <v>2.9000000000000004</v>
      </c>
      <c r="CB8" s="17" t="s">
        <v>218</v>
      </c>
      <c r="CC8" s="17" t="s">
        <v>218</v>
      </c>
      <c r="CD8" s="3">
        <f t="shared" ref="CD8:CD71" si="8">ROUND(E8,1)</f>
        <v>-7.6</v>
      </c>
      <c r="CE8" s="17" t="s">
        <v>218</v>
      </c>
      <c r="CF8" s="17" t="s">
        <v>218</v>
      </c>
      <c r="CG8" s="17" t="s">
        <v>218</v>
      </c>
      <c r="CH8" s="17" t="s">
        <v>218</v>
      </c>
      <c r="CI8" s="17" t="s">
        <v>218</v>
      </c>
      <c r="CJ8" s="17" t="s">
        <v>218</v>
      </c>
      <c r="CK8" s="17" t="s">
        <v>218</v>
      </c>
      <c r="CL8" s="1">
        <f t="shared" ref="CL8:CL71" si="9">ROUND(R8,1)</f>
        <v>-5</v>
      </c>
      <c r="CM8" s="17" t="s">
        <v>218</v>
      </c>
      <c r="CN8" s="17" t="s">
        <v>218</v>
      </c>
      <c r="CO8" s="17" t="s">
        <v>218</v>
      </c>
      <c r="CP8" s="17" t="s">
        <v>218</v>
      </c>
      <c r="CQ8" s="17" t="s">
        <v>218</v>
      </c>
      <c r="CR8" s="17" t="s">
        <v>218</v>
      </c>
      <c r="CS8" s="17" t="s">
        <v>218</v>
      </c>
      <c r="CT8" s="1">
        <f t="shared" ref="CT8:CT71" si="10">ROUND(AF8,1)</f>
        <v>-10.199999999999999</v>
      </c>
      <c r="CU8" s="17" t="s">
        <v>218</v>
      </c>
      <c r="CV8" s="17" t="s">
        <v>218</v>
      </c>
      <c r="CW8" s="17" t="s">
        <v>218</v>
      </c>
      <c r="CX8" s="17" t="s">
        <v>218</v>
      </c>
      <c r="CY8" s="17" t="s">
        <v>218</v>
      </c>
      <c r="CZ8" s="17" t="s">
        <v>218</v>
      </c>
      <c r="DA8" s="17" t="s">
        <v>218</v>
      </c>
      <c r="DB8" s="17" t="s">
        <v>218</v>
      </c>
      <c r="DC8" s="1">
        <f>ROUND(PPTest!K8,1)</f>
        <v>4.3</v>
      </c>
      <c r="DD8" s="17" t="s">
        <v>218</v>
      </c>
      <c r="DE8" s="17" t="s">
        <v>218</v>
      </c>
      <c r="DF8" s="24">
        <f t="shared" ref="DF8:DF71" si="11">BU8</f>
        <v>0.28100000000000003</v>
      </c>
      <c r="DG8" s="24">
        <f t="shared" ref="DG8:DG71" si="12">BV8</f>
        <v>0.14000000000000001</v>
      </c>
      <c r="DH8" s="17" t="s">
        <v>218</v>
      </c>
      <c r="DQ8" s="1">
        <v>-1.8</v>
      </c>
      <c r="DR8" s="1">
        <v>0.5</v>
      </c>
      <c r="DS8" s="1">
        <v>-4</v>
      </c>
    </row>
    <row r="9" spans="1:123" x14ac:dyDescent="0.2">
      <c r="A9" s="15">
        <f t="shared" si="3"/>
        <v>36528</v>
      </c>
      <c r="B9" s="1">
        <v>3</v>
      </c>
      <c r="E9" s="50">
        <f t="shared" si="4"/>
        <v>-7.4</v>
      </c>
      <c r="F9" s="2"/>
      <c r="R9" s="50">
        <f t="shared" si="5"/>
        <v>-5.4</v>
      </c>
      <c r="AF9" s="50">
        <f t="shared" si="6"/>
        <v>-9.4</v>
      </c>
      <c r="BM9" s="17">
        <v>4.67</v>
      </c>
      <c r="BN9" s="17">
        <f t="shared" si="0"/>
        <v>9.4334000000000007</v>
      </c>
      <c r="BO9" s="18"/>
      <c r="BP9" s="18"/>
      <c r="BU9" s="62">
        <f t="shared" si="1"/>
        <v>0.29899999999999999</v>
      </c>
      <c r="BV9" s="62">
        <f t="shared" si="2"/>
        <v>0.109</v>
      </c>
      <c r="BX9" s="51">
        <f t="shared" si="7"/>
        <v>4.62</v>
      </c>
      <c r="BY9" s="46">
        <v>7.9300000000000006</v>
      </c>
      <c r="BZ9" s="1">
        <v>3.3000000000000003</v>
      </c>
      <c r="CB9" s="17" t="s">
        <v>218</v>
      </c>
      <c r="CC9" s="17" t="s">
        <v>218</v>
      </c>
      <c r="CD9" s="3">
        <f t="shared" si="8"/>
        <v>-7.4</v>
      </c>
      <c r="CE9" s="17" t="s">
        <v>218</v>
      </c>
      <c r="CF9" s="17" t="s">
        <v>218</v>
      </c>
      <c r="CG9" s="17" t="s">
        <v>218</v>
      </c>
      <c r="CH9" s="17" t="s">
        <v>218</v>
      </c>
      <c r="CI9" s="17" t="s">
        <v>218</v>
      </c>
      <c r="CJ9" s="17" t="s">
        <v>218</v>
      </c>
      <c r="CK9" s="17" t="s">
        <v>218</v>
      </c>
      <c r="CL9" s="1">
        <f t="shared" si="9"/>
        <v>-5.4</v>
      </c>
      <c r="CM9" s="17" t="s">
        <v>218</v>
      </c>
      <c r="CN9" s="17" t="s">
        <v>218</v>
      </c>
      <c r="CO9" s="17" t="s">
        <v>218</v>
      </c>
      <c r="CP9" s="17" t="s">
        <v>218</v>
      </c>
      <c r="CQ9" s="17" t="s">
        <v>218</v>
      </c>
      <c r="CR9" s="17" t="s">
        <v>218</v>
      </c>
      <c r="CS9" s="17" t="s">
        <v>218</v>
      </c>
      <c r="CT9" s="1">
        <f t="shared" si="10"/>
        <v>-9.4</v>
      </c>
      <c r="CU9" s="17" t="s">
        <v>218</v>
      </c>
      <c r="CV9" s="17" t="s">
        <v>218</v>
      </c>
      <c r="CW9" s="17" t="s">
        <v>218</v>
      </c>
      <c r="CX9" s="17" t="s">
        <v>218</v>
      </c>
      <c r="CY9" s="17" t="s">
        <v>218</v>
      </c>
      <c r="CZ9" s="17" t="s">
        <v>218</v>
      </c>
      <c r="DA9" s="17" t="s">
        <v>218</v>
      </c>
      <c r="DB9" s="17" t="s">
        <v>218</v>
      </c>
      <c r="DC9" s="1">
        <f>ROUND(PPTest!K9,1)</f>
        <v>4.9000000000000004</v>
      </c>
      <c r="DD9" s="17" t="s">
        <v>218</v>
      </c>
      <c r="DE9" s="17" t="s">
        <v>218</v>
      </c>
      <c r="DF9" s="24">
        <f t="shared" si="11"/>
        <v>0.29899999999999999</v>
      </c>
      <c r="DG9" s="24">
        <f t="shared" si="12"/>
        <v>0.109</v>
      </c>
      <c r="DH9" s="17" t="s">
        <v>218</v>
      </c>
      <c r="DQ9" s="1">
        <v>-1.6</v>
      </c>
      <c r="DR9" s="1">
        <v>-0.1</v>
      </c>
      <c r="DS9" s="1">
        <v>-3.1</v>
      </c>
    </row>
    <row r="10" spans="1:123" x14ac:dyDescent="0.2">
      <c r="A10" s="15">
        <f t="shared" si="3"/>
        <v>36529</v>
      </c>
      <c r="B10" s="1">
        <v>4</v>
      </c>
      <c r="E10" s="50">
        <f t="shared" si="4"/>
        <v>-7</v>
      </c>
      <c r="F10" s="2"/>
      <c r="R10" s="50">
        <f t="shared" si="5"/>
        <v>-5.2</v>
      </c>
      <c r="AF10" s="50">
        <f t="shared" si="6"/>
        <v>-8.8000000000000007</v>
      </c>
      <c r="BM10" s="17">
        <v>4.72</v>
      </c>
      <c r="BN10" s="17">
        <f t="shared" si="0"/>
        <v>9.5343999999999998</v>
      </c>
      <c r="BO10" s="18"/>
      <c r="BP10" s="18"/>
      <c r="BU10" s="62">
        <f t="shared" si="1"/>
        <v>0.314</v>
      </c>
      <c r="BV10" s="62">
        <f t="shared" si="2"/>
        <v>0.10100000000000001</v>
      </c>
      <c r="BX10" s="51">
        <f t="shared" si="7"/>
        <v>6.1599999999999975</v>
      </c>
      <c r="BY10" s="46">
        <v>0</v>
      </c>
      <c r="BZ10" s="1">
        <v>4.3999999999999986</v>
      </c>
      <c r="CB10" s="17" t="s">
        <v>218</v>
      </c>
      <c r="CC10" s="17" t="s">
        <v>218</v>
      </c>
      <c r="CD10" s="3">
        <f t="shared" si="8"/>
        <v>-7</v>
      </c>
      <c r="CE10" s="17" t="s">
        <v>218</v>
      </c>
      <c r="CF10" s="17" t="s">
        <v>218</v>
      </c>
      <c r="CG10" s="17" t="s">
        <v>218</v>
      </c>
      <c r="CH10" s="17" t="s">
        <v>218</v>
      </c>
      <c r="CI10" s="17" t="s">
        <v>218</v>
      </c>
      <c r="CJ10" s="17" t="s">
        <v>218</v>
      </c>
      <c r="CK10" s="17" t="s">
        <v>218</v>
      </c>
      <c r="CL10" s="1">
        <f t="shared" si="9"/>
        <v>-5.2</v>
      </c>
      <c r="CM10" s="17" t="s">
        <v>218</v>
      </c>
      <c r="CN10" s="17" t="s">
        <v>218</v>
      </c>
      <c r="CO10" s="17" t="s">
        <v>218</v>
      </c>
      <c r="CP10" s="17" t="s">
        <v>218</v>
      </c>
      <c r="CQ10" s="17" t="s">
        <v>218</v>
      </c>
      <c r="CR10" s="17" t="s">
        <v>218</v>
      </c>
      <c r="CS10" s="17" t="s">
        <v>218</v>
      </c>
      <c r="CT10" s="1">
        <f t="shared" si="10"/>
        <v>-8.8000000000000007</v>
      </c>
      <c r="CU10" s="17" t="s">
        <v>218</v>
      </c>
      <c r="CV10" s="17" t="s">
        <v>218</v>
      </c>
      <c r="CW10" s="17" t="s">
        <v>218</v>
      </c>
      <c r="CX10" s="17" t="s">
        <v>218</v>
      </c>
      <c r="CY10" s="17" t="s">
        <v>218</v>
      </c>
      <c r="CZ10" s="17" t="s">
        <v>218</v>
      </c>
      <c r="DA10" s="17" t="s">
        <v>218</v>
      </c>
      <c r="DB10" s="17" t="s">
        <v>218</v>
      </c>
      <c r="DC10" s="1">
        <f>ROUND(PPTest!K10,1)</f>
        <v>6.5</v>
      </c>
      <c r="DD10" s="17" t="s">
        <v>218</v>
      </c>
      <c r="DE10" s="17" t="s">
        <v>218</v>
      </c>
      <c r="DF10" s="24">
        <f t="shared" si="11"/>
        <v>0.314</v>
      </c>
      <c r="DG10" s="24">
        <f t="shared" si="12"/>
        <v>0.10100000000000001</v>
      </c>
      <c r="DH10" s="17" t="s">
        <v>218</v>
      </c>
      <c r="DQ10" s="1">
        <v>-1.1000000000000001</v>
      </c>
      <c r="DR10" s="1">
        <v>0.1</v>
      </c>
      <c r="DS10" s="1">
        <v>-2.2000000000000002</v>
      </c>
    </row>
    <row r="11" spans="1:123" x14ac:dyDescent="0.2">
      <c r="A11" s="15">
        <f t="shared" si="3"/>
        <v>36530</v>
      </c>
      <c r="B11" s="1">
        <v>5</v>
      </c>
      <c r="E11" s="50">
        <f t="shared" si="4"/>
        <v>-7.2</v>
      </c>
      <c r="F11" s="2"/>
      <c r="R11" s="50">
        <f t="shared" si="5"/>
        <v>-5</v>
      </c>
      <c r="AF11" s="50">
        <f t="shared" si="6"/>
        <v>-9.4</v>
      </c>
      <c r="BM11" s="17">
        <v>4.76</v>
      </c>
      <c r="BN11" s="17">
        <f t="shared" si="0"/>
        <v>9.6151999999999997</v>
      </c>
      <c r="BO11" s="18"/>
      <c r="BP11" s="18"/>
      <c r="BU11" s="62">
        <f t="shared" si="1"/>
        <v>0.29899999999999999</v>
      </c>
      <c r="BV11" s="62">
        <f t="shared" si="2"/>
        <v>0.122</v>
      </c>
      <c r="BX11" s="51">
        <f t="shared" si="7"/>
        <v>0.97999999999999987</v>
      </c>
      <c r="BY11" s="46">
        <v>0</v>
      </c>
      <c r="BZ11" s="1">
        <v>0.7</v>
      </c>
      <c r="CB11" s="17" t="s">
        <v>218</v>
      </c>
      <c r="CC11" s="17" t="s">
        <v>218</v>
      </c>
      <c r="CD11" s="3">
        <f t="shared" si="8"/>
        <v>-7.2</v>
      </c>
      <c r="CE11" s="17" t="s">
        <v>218</v>
      </c>
      <c r="CF11" s="17" t="s">
        <v>218</v>
      </c>
      <c r="CG11" s="17" t="s">
        <v>218</v>
      </c>
      <c r="CH11" s="17" t="s">
        <v>218</v>
      </c>
      <c r="CI11" s="17" t="s">
        <v>218</v>
      </c>
      <c r="CJ11" s="17" t="s">
        <v>218</v>
      </c>
      <c r="CK11" s="17" t="s">
        <v>218</v>
      </c>
      <c r="CL11" s="1">
        <f t="shared" si="9"/>
        <v>-5</v>
      </c>
      <c r="CM11" s="17" t="s">
        <v>218</v>
      </c>
      <c r="CN11" s="17" t="s">
        <v>218</v>
      </c>
      <c r="CO11" s="17" t="s">
        <v>218</v>
      </c>
      <c r="CP11" s="17" t="s">
        <v>218</v>
      </c>
      <c r="CQ11" s="17" t="s">
        <v>218</v>
      </c>
      <c r="CR11" s="17" t="s">
        <v>218</v>
      </c>
      <c r="CS11" s="17" t="s">
        <v>218</v>
      </c>
      <c r="CT11" s="1">
        <f t="shared" si="10"/>
        <v>-9.4</v>
      </c>
      <c r="CU11" s="17" t="s">
        <v>218</v>
      </c>
      <c r="CV11" s="17" t="s">
        <v>218</v>
      </c>
      <c r="CW11" s="17" t="s">
        <v>218</v>
      </c>
      <c r="CX11" s="17" t="s">
        <v>218</v>
      </c>
      <c r="CY11" s="17" t="s">
        <v>218</v>
      </c>
      <c r="CZ11" s="17" t="s">
        <v>218</v>
      </c>
      <c r="DA11" s="17" t="s">
        <v>218</v>
      </c>
      <c r="DB11" s="17" t="s">
        <v>218</v>
      </c>
      <c r="DC11" s="1">
        <f>ROUND(PPTest!K11,1)</f>
        <v>1</v>
      </c>
      <c r="DD11" s="17" t="s">
        <v>218</v>
      </c>
      <c r="DE11" s="17" t="s">
        <v>218</v>
      </c>
      <c r="DF11" s="24">
        <f t="shared" si="11"/>
        <v>0.29899999999999999</v>
      </c>
      <c r="DG11" s="24">
        <f t="shared" si="12"/>
        <v>0.122</v>
      </c>
      <c r="DH11" s="17" t="s">
        <v>218</v>
      </c>
      <c r="DQ11" s="1">
        <v>-1.3</v>
      </c>
      <c r="DR11" s="1">
        <v>0.4</v>
      </c>
      <c r="DS11" s="1">
        <v>-2.9</v>
      </c>
    </row>
    <row r="12" spans="1:123" x14ac:dyDescent="0.2">
      <c r="A12" s="15">
        <f t="shared" si="3"/>
        <v>36531</v>
      </c>
      <c r="B12" s="1">
        <v>6</v>
      </c>
      <c r="E12" s="50">
        <f t="shared" si="4"/>
        <v>-7.5</v>
      </c>
      <c r="F12" s="2"/>
      <c r="R12" s="50">
        <f t="shared" si="5"/>
        <v>-5.8</v>
      </c>
      <c r="AF12" s="50">
        <f t="shared" si="6"/>
        <v>-9.1999999999999993</v>
      </c>
      <c r="BM12" s="17">
        <v>4.82</v>
      </c>
      <c r="BN12" s="17">
        <f t="shared" si="0"/>
        <v>9.7364000000000015</v>
      </c>
      <c r="BO12" s="18"/>
      <c r="BP12" s="18"/>
      <c r="BU12" s="62">
        <f t="shared" si="1"/>
        <v>0.30399999999999999</v>
      </c>
      <c r="BV12" s="62">
        <f t="shared" si="2"/>
        <v>9.1999999999999998E-2</v>
      </c>
      <c r="BX12" s="51">
        <f t="shared" si="7"/>
        <v>21.56</v>
      </c>
      <c r="BY12" s="46">
        <v>0</v>
      </c>
      <c r="BZ12" s="1">
        <v>15.4</v>
      </c>
      <c r="CB12" s="17" t="s">
        <v>218</v>
      </c>
      <c r="CC12" s="17" t="s">
        <v>218</v>
      </c>
      <c r="CD12" s="3">
        <f t="shared" si="8"/>
        <v>-7.5</v>
      </c>
      <c r="CE12" s="17" t="s">
        <v>218</v>
      </c>
      <c r="CF12" s="17" t="s">
        <v>218</v>
      </c>
      <c r="CG12" s="17" t="s">
        <v>218</v>
      </c>
      <c r="CH12" s="17" t="s">
        <v>218</v>
      </c>
      <c r="CI12" s="17" t="s">
        <v>218</v>
      </c>
      <c r="CJ12" s="17" t="s">
        <v>218</v>
      </c>
      <c r="CK12" s="17" t="s">
        <v>218</v>
      </c>
      <c r="CL12" s="1">
        <f t="shared" si="9"/>
        <v>-5.8</v>
      </c>
      <c r="CM12" s="17" t="s">
        <v>218</v>
      </c>
      <c r="CN12" s="17" t="s">
        <v>218</v>
      </c>
      <c r="CO12" s="17" t="s">
        <v>218</v>
      </c>
      <c r="CP12" s="17" t="s">
        <v>218</v>
      </c>
      <c r="CQ12" s="17" t="s">
        <v>218</v>
      </c>
      <c r="CR12" s="17" t="s">
        <v>218</v>
      </c>
      <c r="CS12" s="17" t="s">
        <v>218</v>
      </c>
      <c r="CT12" s="1">
        <f t="shared" si="10"/>
        <v>-9.1999999999999993</v>
      </c>
      <c r="CU12" s="17" t="s">
        <v>218</v>
      </c>
      <c r="CV12" s="17" t="s">
        <v>218</v>
      </c>
      <c r="CW12" s="17" t="s">
        <v>218</v>
      </c>
      <c r="CX12" s="17" t="s">
        <v>218</v>
      </c>
      <c r="CY12" s="17" t="s">
        <v>218</v>
      </c>
      <c r="CZ12" s="17" t="s">
        <v>218</v>
      </c>
      <c r="DA12" s="17" t="s">
        <v>218</v>
      </c>
      <c r="DB12" s="17" t="s">
        <v>218</v>
      </c>
      <c r="DC12" s="1">
        <f>ROUND(PPTest!K12,1)</f>
        <v>22.6</v>
      </c>
      <c r="DD12" s="17" t="s">
        <v>218</v>
      </c>
      <c r="DE12" s="17" t="s">
        <v>218</v>
      </c>
      <c r="DF12" s="24">
        <f t="shared" si="11"/>
        <v>0.30399999999999999</v>
      </c>
      <c r="DG12" s="24">
        <f t="shared" si="12"/>
        <v>9.1999999999999998E-2</v>
      </c>
      <c r="DH12" s="17" t="s">
        <v>218</v>
      </c>
      <c r="DQ12" s="1">
        <v>-1.7</v>
      </c>
      <c r="DR12" s="1">
        <v>-0.7</v>
      </c>
      <c r="DS12" s="1">
        <v>-2.6</v>
      </c>
    </row>
    <row r="13" spans="1:123" x14ac:dyDescent="0.2">
      <c r="A13" s="15">
        <f t="shared" si="3"/>
        <v>36532</v>
      </c>
      <c r="B13" s="1">
        <v>7</v>
      </c>
      <c r="E13" s="50">
        <f t="shared" si="4"/>
        <v>-6.8</v>
      </c>
      <c r="F13" s="2"/>
      <c r="R13" s="50">
        <f t="shared" si="5"/>
        <v>-4.8</v>
      </c>
      <c r="AF13" s="50">
        <f t="shared" si="6"/>
        <v>-8.8000000000000007</v>
      </c>
      <c r="BM13" s="17">
        <v>4.87</v>
      </c>
      <c r="BN13" s="17">
        <f t="shared" si="0"/>
        <v>9.8374000000000006</v>
      </c>
      <c r="BO13" s="18"/>
      <c r="BP13" s="18"/>
      <c r="BU13" s="62">
        <f t="shared" si="1"/>
        <v>0.314</v>
      </c>
      <c r="BV13" s="62">
        <f t="shared" si="2"/>
        <v>0.113</v>
      </c>
      <c r="BX13" s="51">
        <f t="shared" si="7"/>
        <v>0</v>
      </c>
      <c r="BY13" s="46">
        <v>4.2900000000000009</v>
      </c>
      <c r="BZ13" s="1">
        <v>0</v>
      </c>
      <c r="CB13" s="17" t="s">
        <v>218</v>
      </c>
      <c r="CC13" s="17" t="s">
        <v>218</v>
      </c>
      <c r="CD13" s="3">
        <f t="shared" si="8"/>
        <v>-6.8</v>
      </c>
      <c r="CE13" s="17" t="s">
        <v>218</v>
      </c>
      <c r="CF13" s="17" t="s">
        <v>218</v>
      </c>
      <c r="CG13" s="17" t="s">
        <v>218</v>
      </c>
      <c r="CH13" s="17" t="s">
        <v>218</v>
      </c>
      <c r="CI13" s="17" t="s">
        <v>218</v>
      </c>
      <c r="CJ13" s="17" t="s">
        <v>218</v>
      </c>
      <c r="CK13" s="17" t="s">
        <v>218</v>
      </c>
      <c r="CL13" s="1">
        <f t="shared" si="9"/>
        <v>-4.8</v>
      </c>
      <c r="CM13" s="17" t="s">
        <v>218</v>
      </c>
      <c r="CN13" s="17" t="s">
        <v>218</v>
      </c>
      <c r="CO13" s="17" t="s">
        <v>218</v>
      </c>
      <c r="CP13" s="17" t="s">
        <v>218</v>
      </c>
      <c r="CQ13" s="17" t="s">
        <v>218</v>
      </c>
      <c r="CR13" s="17" t="s">
        <v>218</v>
      </c>
      <c r="CS13" s="17" t="s">
        <v>218</v>
      </c>
      <c r="CT13" s="1">
        <f t="shared" si="10"/>
        <v>-8.8000000000000007</v>
      </c>
      <c r="CU13" s="17" t="s">
        <v>218</v>
      </c>
      <c r="CV13" s="17" t="s">
        <v>218</v>
      </c>
      <c r="CW13" s="17" t="s">
        <v>218</v>
      </c>
      <c r="CX13" s="17" t="s">
        <v>218</v>
      </c>
      <c r="CY13" s="17" t="s">
        <v>218</v>
      </c>
      <c r="CZ13" s="17" t="s">
        <v>218</v>
      </c>
      <c r="DA13" s="17" t="s">
        <v>218</v>
      </c>
      <c r="DB13" s="17" t="s">
        <v>218</v>
      </c>
      <c r="DC13" s="1">
        <f>ROUND(PPTest!K13,1)</f>
        <v>0</v>
      </c>
      <c r="DD13" s="17" t="s">
        <v>218</v>
      </c>
      <c r="DE13" s="17" t="s">
        <v>218</v>
      </c>
      <c r="DF13" s="24">
        <f t="shared" si="11"/>
        <v>0.314</v>
      </c>
      <c r="DG13" s="24">
        <f t="shared" si="12"/>
        <v>0.113</v>
      </c>
      <c r="DH13" s="17" t="s">
        <v>218</v>
      </c>
      <c r="DQ13" s="1">
        <v>-0.8</v>
      </c>
      <c r="DR13" s="1">
        <v>0.7</v>
      </c>
      <c r="DS13" s="1">
        <v>-2.2999999999999998</v>
      </c>
    </row>
    <row r="14" spans="1:123" x14ac:dyDescent="0.2">
      <c r="A14" s="15">
        <f t="shared" si="3"/>
        <v>36533</v>
      </c>
      <c r="B14" s="1">
        <v>8</v>
      </c>
      <c r="E14" s="50">
        <f t="shared" si="4"/>
        <v>-6.4</v>
      </c>
      <c r="F14" s="2"/>
      <c r="R14" s="50">
        <f t="shared" si="5"/>
        <v>-5.2</v>
      </c>
      <c r="AF14" s="50">
        <f t="shared" si="6"/>
        <v>-7.6</v>
      </c>
      <c r="BM14" s="17">
        <v>4.93</v>
      </c>
      <c r="BN14" s="17">
        <f t="shared" si="0"/>
        <v>9.9585999999999988</v>
      </c>
      <c r="BO14" s="18"/>
      <c r="BP14" s="18"/>
      <c r="BU14" s="62">
        <f t="shared" si="1"/>
        <v>0.34499999999999997</v>
      </c>
      <c r="BV14" s="62">
        <f t="shared" si="2"/>
        <v>7.0000000000000007E-2</v>
      </c>
      <c r="BX14" s="51">
        <f t="shared" si="7"/>
        <v>20.999999999999993</v>
      </c>
      <c r="BY14" s="46">
        <v>2.73</v>
      </c>
      <c r="BZ14" s="1">
        <v>14.999999999999996</v>
      </c>
      <c r="CB14" s="17" t="s">
        <v>218</v>
      </c>
      <c r="CC14" s="17" t="s">
        <v>218</v>
      </c>
      <c r="CD14" s="3">
        <f t="shared" si="8"/>
        <v>-6.4</v>
      </c>
      <c r="CE14" s="17" t="s">
        <v>218</v>
      </c>
      <c r="CF14" s="17" t="s">
        <v>218</v>
      </c>
      <c r="CG14" s="17" t="s">
        <v>218</v>
      </c>
      <c r="CH14" s="17" t="s">
        <v>218</v>
      </c>
      <c r="CI14" s="17" t="s">
        <v>218</v>
      </c>
      <c r="CJ14" s="17" t="s">
        <v>218</v>
      </c>
      <c r="CK14" s="17" t="s">
        <v>218</v>
      </c>
      <c r="CL14" s="1">
        <f t="shared" si="9"/>
        <v>-5.2</v>
      </c>
      <c r="CM14" s="17" t="s">
        <v>218</v>
      </c>
      <c r="CN14" s="17" t="s">
        <v>218</v>
      </c>
      <c r="CO14" s="17" t="s">
        <v>218</v>
      </c>
      <c r="CP14" s="17" t="s">
        <v>218</v>
      </c>
      <c r="CQ14" s="17" t="s">
        <v>218</v>
      </c>
      <c r="CR14" s="17" t="s">
        <v>218</v>
      </c>
      <c r="CS14" s="17" t="s">
        <v>218</v>
      </c>
      <c r="CT14" s="1">
        <f t="shared" si="10"/>
        <v>-7.6</v>
      </c>
      <c r="CU14" s="17" t="s">
        <v>218</v>
      </c>
      <c r="CV14" s="17" t="s">
        <v>218</v>
      </c>
      <c r="CW14" s="17" t="s">
        <v>218</v>
      </c>
      <c r="CX14" s="17" t="s">
        <v>218</v>
      </c>
      <c r="CY14" s="17" t="s">
        <v>218</v>
      </c>
      <c r="CZ14" s="17" t="s">
        <v>218</v>
      </c>
      <c r="DA14" s="17" t="s">
        <v>218</v>
      </c>
      <c r="DB14" s="17" t="s">
        <v>218</v>
      </c>
      <c r="DC14" s="1">
        <f>ROUND(PPTest!K14,1)</f>
        <v>22.1</v>
      </c>
      <c r="DD14" s="17" t="s">
        <v>218</v>
      </c>
      <c r="DE14" s="17" t="s">
        <v>218</v>
      </c>
      <c r="DF14" s="24">
        <f t="shared" si="11"/>
        <v>0.34499999999999997</v>
      </c>
      <c r="DG14" s="24">
        <f t="shared" si="12"/>
        <v>7.0000000000000007E-2</v>
      </c>
      <c r="DH14" s="17" t="s">
        <v>218</v>
      </c>
      <c r="DQ14" s="1">
        <v>-0.3</v>
      </c>
      <c r="DR14" s="1">
        <v>0.1</v>
      </c>
      <c r="DS14" s="1">
        <v>-0.6</v>
      </c>
    </row>
    <row r="15" spans="1:123" x14ac:dyDescent="0.2">
      <c r="A15" s="15">
        <f t="shared" si="3"/>
        <v>36534</v>
      </c>
      <c r="B15" s="1">
        <v>9</v>
      </c>
      <c r="E15" s="50">
        <f t="shared" si="4"/>
        <v>-6.9</v>
      </c>
      <c r="F15" s="2"/>
      <c r="R15" s="50">
        <f t="shared" si="5"/>
        <v>-4.8</v>
      </c>
      <c r="AF15" s="50">
        <f t="shared" si="6"/>
        <v>-9</v>
      </c>
      <c r="BM15" s="17">
        <v>4.99</v>
      </c>
      <c r="BN15" s="17">
        <f t="shared" si="0"/>
        <v>10.079800000000001</v>
      </c>
      <c r="BO15" s="18"/>
      <c r="BP15" s="18"/>
      <c r="BU15" s="62">
        <f t="shared" si="1"/>
        <v>0.309</v>
      </c>
      <c r="BV15" s="62">
        <f t="shared" si="2"/>
        <v>0.11799999999999999</v>
      </c>
      <c r="BX15" s="51">
        <f t="shared" si="7"/>
        <v>6.72</v>
      </c>
      <c r="BY15" s="46">
        <v>0</v>
      </c>
      <c r="BZ15" s="1">
        <v>4.8</v>
      </c>
      <c r="CB15" s="17" t="s">
        <v>218</v>
      </c>
      <c r="CC15" s="17" t="s">
        <v>218</v>
      </c>
      <c r="CD15" s="3">
        <f t="shared" si="8"/>
        <v>-6.9</v>
      </c>
      <c r="CE15" s="17" t="s">
        <v>218</v>
      </c>
      <c r="CF15" s="17" t="s">
        <v>218</v>
      </c>
      <c r="CG15" s="17" t="s">
        <v>218</v>
      </c>
      <c r="CH15" s="17" t="s">
        <v>218</v>
      </c>
      <c r="CI15" s="17" t="s">
        <v>218</v>
      </c>
      <c r="CJ15" s="17" t="s">
        <v>218</v>
      </c>
      <c r="CK15" s="17" t="s">
        <v>218</v>
      </c>
      <c r="CL15" s="1">
        <f t="shared" si="9"/>
        <v>-4.8</v>
      </c>
      <c r="CM15" s="17" t="s">
        <v>218</v>
      </c>
      <c r="CN15" s="17" t="s">
        <v>218</v>
      </c>
      <c r="CO15" s="17" t="s">
        <v>218</v>
      </c>
      <c r="CP15" s="17" t="s">
        <v>218</v>
      </c>
      <c r="CQ15" s="17" t="s">
        <v>218</v>
      </c>
      <c r="CR15" s="17" t="s">
        <v>218</v>
      </c>
      <c r="CS15" s="17" t="s">
        <v>218</v>
      </c>
      <c r="CT15" s="1">
        <f t="shared" si="10"/>
        <v>-9</v>
      </c>
      <c r="CU15" s="17" t="s">
        <v>218</v>
      </c>
      <c r="CV15" s="17" t="s">
        <v>218</v>
      </c>
      <c r="CW15" s="17" t="s">
        <v>218</v>
      </c>
      <c r="CX15" s="17" t="s">
        <v>218</v>
      </c>
      <c r="CY15" s="17" t="s">
        <v>218</v>
      </c>
      <c r="CZ15" s="17" t="s">
        <v>218</v>
      </c>
      <c r="DA15" s="17" t="s">
        <v>218</v>
      </c>
      <c r="DB15" s="17" t="s">
        <v>218</v>
      </c>
      <c r="DC15" s="1">
        <f>ROUND(PPTest!K15,1)</f>
        <v>7.1</v>
      </c>
      <c r="DD15" s="17" t="s">
        <v>218</v>
      </c>
      <c r="DE15" s="17" t="s">
        <v>218</v>
      </c>
      <c r="DF15" s="24">
        <f t="shared" si="11"/>
        <v>0.309</v>
      </c>
      <c r="DG15" s="24">
        <f t="shared" si="12"/>
        <v>0.11799999999999999</v>
      </c>
      <c r="DH15" s="17" t="s">
        <v>218</v>
      </c>
      <c r="DQ15" s="1">
        <v>-0.9</v>
      </c>
      <c r="DR15" s="1">
        <v>0.7</v>
      </c>
      <c r="DS15" s="1">
        <v>-2.4</v>
      </c>
    </row>
    <row r="16" spans="1:123" x14ac:dyDescent="0.2">
      <c r="A16" s="15">
        <f t="shared" si="3"/>
        <v>36535</v>
      </c>
      <c r="B16" s="1">
        <v>10</v>
      </c>
      <c r="E16" s="50">
        <f t="shared" si="4"/>
        <v>-10</v>
      </c>
      <c r="F16" s="2"/>
      <c r="R16" s="50">
        <f t="shared" si="5"/>
        <v>-5.6</v>
      </c>
      <c r="AF16" s="50">
        <f t="shared" si="6"/>
        <v>-14.4</v>
      </c>
      <c r="BM16" s="17">
        <v>5.0599999999999996</v>
      </c>
      <c r="BN16" s="17">
        <f t="shared" si="0"/>
        <v>10.2212</v>
      </c>
      <c r="BO16" s="18"/>
      <c r="BP16" s="18"/>
      <c r="BU16" s="62">
        <f t="shared" si="1"/>
        <v>0.2</v>
      </c>
      <c r="BV16" s="62">
        <f t="shared" si="2"/>
        <v>0.20200000000000001</v>
      </c>
      <c r="BX16" s="51">
        <f t="shared" si="7"/>
        <v>0.7</v>
      </c>
      <c r="BY16" s="46">
        <v>0</v>
      </c>
      <c r="BZ16" s="1">
        <v>0.5</v>
      </c>
      <c r="CB16" s="17" t="s">
        <v>218</v>
      </c>
      <c r="CC16" s="17" t="s">
        <v>218</v>
      </c>
      <c r="CD16" s="3">
        <f t="shared" si="8"/>
        <v>-10</v>
      </c>
      <c r="CE16" s="17" t="s">
        <v>218</v>
      </c>
      <c r="CF16" s="17" t="s">
        <v>218</v>
      </c>
      <c r="CG16" s="17" t="s">
        <v>218</v>
      </c>
      <c r="CH16" s="17" t="s">
        <v>218</v>
      </c>
      <c r="CI16" s="17" t="s">
        <v>218</v>
      </c>
      <c r="CJ16" s="17" t="s">
        <v>218</v>
      </c>
      <c r="CK16" s="17" t="s">
        <v>218</v>
      </c>
      <c r="CL16" s="1">
        <f t="shared" si="9"/>
        <v>-5.6</v>
      </c>
      <c r="CM16" s="17" t="s">
        <v>218</v>
      </c>
      <c r="CN16" s="17" t="s">
        <v>218</v>
      </c>
      <c r="CO16" s="17" t="s">
        <v>218</v>
      </c>
      <c r="CP16" s="17" t="s">
        <v>218</v>
      </c>
      <c r="CQ16" s="17" t="s">
        <v>218</v>
      </c>
      <c r="CR16" s="17" t="s">
        <v>218</v>
      </c>
      <c r="CS16" s="17" t="s">
        <v>218</v>
      </c>
      <c r="CT16" s="1">
        <f t="shared" si="10"/>
        <v>-14.4</v>
      </c>
      <c r="CU16" s="17" t="s">
        <v>218</v>
      </c>
      <c r="CV16" s="17" t="s">
        <v>218</v>
      </c>
      <c r="CW16" s="17" t="s">
        <v>218</v>
      </c>
      <c r="CX16" s="17" t="s">
        <v>218</v>
      </c>
      <c r="CY16" s="17" t="s">
        <v>218</v>
      </c>
      <c r="CZ16" s="17" t="s">
        <v>218</v>
      </c>
      <c r="DA16" s="17" t="s">
        <v>218</v>
      </c>
      <c r="DB16" s="17" t="s">
        <v>218</v>
      </c>
      <c r="DC16" s="1">
        <f>ROUND(PPTest!K16,1)</f>
        <v>0.7</v>
      </c>
      <c r="DD16" s="17" t="s">
        <v>218</v>
      </c>
      <c r="DE16" s="17" t="s">
        <v>218</v>
      </c>
      <c r="DF16" s="24">
        <f t="shared" si="11"/>
        <v>0.2</v>
      </c>
      <c r="DG16" s="24">
        <f t="shared" si="12"/>
        <v>0.20200000000000001</v>
      </c>
      <c r="DH16" s="17" t="s">
        <v>218</v>
      </c>
      <c r="DQ16" s="1">
        <v>-4.9000000000000004</v>
      </c>
      <c r="DR16" s="1">
        <v>-0.5</v>
      </c>
      <c r="DS16" s="1">
        <v>-9.1999999999999993</v>
      </c>
    </row>
    <row r="17" spans="1:123" x14ac:dyDescent="0.2">
      <c r="A17" s="15">
        <f t="shared" si="3"/>
        <v>36536</v>
      </c>
      <c r="B17" s="1">
        <v>11</v>
      </c>
      <c r="E17" s="50">
        <f t="shared" si="4"/>
        <v>-11</v>
      </c>
      <c r="F17" s="2"/>
      <c r="R17" s="50">
        <f t="shared" si="5"/>
        <v>-7.2</v>
      </c>
      <c r="AF17" s="50">
        <f t="shared" si="6"/>
        <v>-14.8</v>
      </c>
      <c r="BM17" s="17">
        <v>5.13</v>
      </c>
      <c r="BN17" s="17">
        <f t="shared" si="0"/>
        <v>10.3626</v>
      </c>
      <c r="BO17" s="18"/>
      <c r="BP17" s="18"/>
      <c r="BU17" s="62">
        <f t="shared" si="1"/>
        <v>0.19400000000000001</v>
      </c>
      <c r="BV17" s="62">
        <f t="shared" si="2"/>
        <v>0.16200000000000001</v>
      </c>
      <c r="BX17" s="51">
        <f t="shared" si="7"/>
        <v>1.6800000000000002</v>
      </c>
      <c r="BY17" s="46">
        <v>1.4300000000000002</v>
      </c>
      <c r="BZ17" s="1">
        <v>1.2000000000000002</v>
      </c>
      <c r="CB17" s="17" t="s">
        <v>218</v>
      </c>
      <c r="CC17" s="17" t="s">
        <v>218</v>
      </c>
      <c r="CD17" s="3">
        <f t="shared" si="8"/>
        <v>-11</v>
      </c>
      <c r="CE17" s="17" t="s">
        <v>218</v>
      </c>
      <c r="CF17" s="17" t="s">
        <v>218</v>
      </c>
      <c r="CG17" s="17" t="s">
        <v>218</v>
      </c>
      <c r="CH17" s="17" t="s">
        <v>218</v>
      </c>
      <c r="CI17" s="17" t="s">
        <v>218</v>
      </c>
      <c r="CJ17" s="17" t="s">
        <v>218</v>
      </c>
      <c r="CK17" s="17" t="s">
        <v>218</v>
      </c>
      <c r="CL17" s="1">
        <f t="shared" si="9"/>
        <v>-7.2</v>
      </c>
      <c r="CM17" s="17" t="s">
        <v>218</v>
      </c>
      <c r="CN17" s="17" t="s">
        <v>218</v>
      </c>
      <c r="CO17" s="17" t="s">
        <v>218</v>
      </c>
      <c r="CP17" s="17" t="s">
        <v>218</v>
      </c>
      <c r="CQ17" s="17" t="s">
        <v>218</v>
      </c>
      <c r="CR17" s="17" t="s">
        <v>218</v>
      </c>
      <c r="CS17" s="17" t="s">
        <v>218</v>
      </c>
      <c r="CT17" s="1">
        <f t="shared" si="10"/>
        <v>-14.8</v>
      </c>
      <c r="CU17" s="17" t="s">
        <v>218</v>
      </c>
      <c r="CV17" s="17" t="s">
        <v>218</v>
      </c>
      <c r="CW17" s="17" t="s">
        <v>218</v>
      </c>
      <c r="CX17" s="17" t="s">
        <v>218</v>
      </c>
      <c r="CY17" s="17" t="s">
        <v>218</v>
      </c>
      <c r="CZ17" s="17" t="s">
        <v>218</v>
      </c>
      <c r="DA17" s="17" t="s">
        <v>218</v>
      </c>
      <c r="DB17" s="17" t="s">
        <v>218</v>
      </c>
      <c r="DC17" s="1">
        <f>ROUND(PPTest!K17,1)</f>
        <v>1.8</v>
      </c>
      <c r="DD17" s="17" t="s">
        <v>218</v>
      </c>
      <c r="DE17" s="17" t="s">
        <v>218</v>
      </c>
      <c r="DF17" s="24">
        <f t="shared" si="11"/>
        <v>0.19400000000000001</v>
      </c>
      <c r="DG17" s="24">
        <f t="shared" si="12"/>
        <v>0.16200000000000001</v>
      </c>
      <c r="DH17" s="17" t="s">
        <v>218</v>
      </c>
      <c r="DQ17" s="1">
        <v>-6.2</v>
      </c>
      <c r="DR17" s="1">
        <v>-2.8</v>
      </c>
      <c r="DS17" s="1">
        <v>-9.5</v>
      </c>
    </row>
    <row r="18" spans="1:123" x14ac:dyDescent="0.2">
      <c r="A18" s="15">
        <f t="shared" si="3"/>
        <v>36537</v>
      </c>
      <c r="B18" s="1">
        <v>12</v>
      </c>
      <c r="E18" s="50">
        <f t="shared" si="4"/>
        <v>-10.1</v>
      </c>
      <c r="F18" s="2"/>
      <c r="R18" s="50">
        <f t="shared" si="5"/>
        <v>-6.3</v>
      </c>
      <c r="AF18" s="50">
        <f t="shared" si="6"/>
        <v>-13.9</v>
      </c>
      <c r="BM18" s="17">
        <v>5.2</v>
      </c>
      <c r="BN18" s="17">
        <f t="shared" si="0"/>
        <v>10.504000000000001</v>
      </c>
      <c r="BO18" s="18"/>
      <c r="BP18" s="18"/>
      <c r="BU18" s="62">
        <f t="shared" si="1"/>
        <v>0.20799999999999999</v>
      </c>
      <c r="BV18" s="62">
        <f t="shared" si="2"/>
        <v>0.17299999999999999</v>
      </c>
      <c r="BX18" s="51">
        <f t="shared" si="7"/>
        <v>3.9200000000000008</v>
      </c>
      <c r="BY18" s="46">
        <v>3.38</v>
      </c>
      <c r="BZ18" s="1">
        <v>2.8000000000000007</v>
      </c>
      <c r="CB18" s="17" t="s">
        <v>218</v>
      </c>
      <c r="CC18" s="17" t="s">
        <v>218</v>
      </c>
      <c r="CD18" s="3">
        <f t="shared" si="8"/>
        <v>-10.1</v>
      </c>
      <c r="CE18" s="17" t="s">
        <v>218</v>
      </c>
      <c r="CF18" s="17" t="s">
        <v>218</v>
      </c>
      <c r="CG18" s="17" t="s">
        <v>218</v>
      </c>
      <c r="CH18" s="17" t="s">
        <v>218</v>
      </c>
      <c r="CI18" s="17" t="s">
        <v>218</v>
      </c>
      <c r="CJ18" s="17" t="s">
        <v>218</v>
      </c>
      <c r="CK18" s="17" t="s">
        <v>218</v>
      </c>
      <c r="CL18" s="1">
        <f t="shared" si="9"/>
        <v>-6.3</v>
      </c>
      <c r="CM18" s="17" t="s">
        <v>218</v>
      </c>
      <c r="CN18" s="17" t="s">
        <v>218</v>
      </c>
      <c r="CO18" s="17" t="s">
        <v>218</v>
      </c>
      <c r="CP18" s="17" t="s">
        <v>218</v>
      </c>
      <c r="CQ18" s="17" t="s">
        <v>218</v>
      </c>
      <c r="CR18" s="17" t="s">
        <v>218</v>
      </c>
      <c r="CS18" s="17" t="s">
        <v>218</v>
      </c>
      <c r="CT18" s="1">
        <f t="shared" si="10"/>
        <v>-13.9</v>
      </c>
      <c r="CU18" s="17" t="s">
        <v>218</v>
      </c>
      <c r="CV18" s="17" t="s">
        <v>218</v>
      </c>
      <c r="CW18" s="17" t="s">
        <v>218</v>
      </c>
      <c r="CX18" s="17" t="s">
        <v>218</v>
      </c>
      <c r="CY18" s="17" t="s">
        <v>218</v>
      </c>
      <c r="CZ18" s="17" t="s">
        <v>218</v>
      </c>
      <c r="DA18" s="17" t="s">
        <v>218</v>
      </c>
      <c r="DB18" s="17" t="s">
        <v>218</v>
      </c>
      <c r="DC18" s="1">
        <f>ROUND(PPTest!K18,1)</f>
        <v>4.0999999999999996</v>
      </c>
      <c r="DD18" s="17" t="s">
        <v>218</v>
      </c>
      <c r="DE18" s="17" t="s">
        <v>218</v>
      </c>
      <c r="DF18" s="24">
        <f t="shared" si="11"/>
        <v>0.20799999999999999</v>
      </c>
      <c r="DG18" s="24">
        <f t="shared" si="12"/>
        <v>0.17299999999999999</v>
      </c>
      <c r="DH18" s="17" t="s">
        <v>218</v>
      </c>
      <c r="DQ18" s="1">
        <v>-5</v>
      </c>
      <c r="DR18" s="1">
        <v>-1.4</v>
      </c>
      <c r="DS18" s="1">
        <v>-8.5</v>
      </c>
    </row>
    <row r="19" spans="1:123" x14ac:dyDescent="0.2">
      <c r="A19" s="15">
        <f t="shared" si="3"/>
        <v>36538</v>
      </c>
      <c r="B19" s="1">
        <v>13</v>
      </c>
      <c r="E19" s="50">
        <f t="shared" si="4"/>
        <v>-9.8000000000000007</v>
      </c>
      <c r="F19" s="2"/>
      <c r="R19" s="50">
        <f t="shared" si="5"/>
        <v>-5.4</v>
      </c>
      <c r="AF19" s="50">
        <f t="shared" si="6"/>
        <v>-14.2</v>
      </c>
      <c r="BM19" s="17">
        <v>5.27</v>
      </c>
      <c r="BN19" s="17">
        <f t="shared" si="0"/>
        <v>10.645399999999999</v>
      </c>
      <c r="BO19" s="18"/>
      <c r="BP19" s="18"/>
      <c r="BU19" s="62">
        <f t="shared" si="1"/>
        <v>0.20300000000000001</v>
      </c>
      <c r="BV19" s="62">
        <f t="shared" si="2"/>
        <v>0.20499999999999999</v>
      </c>
      <c r="BX19" s="51">
        <f t="shared" si="7"/>
        <v>0</v>
      </c>
      <c r="BY19" s="46">
        <v>3.25</v>
      </c>
      <c r="BZ19" s="1">
        <v>0</v>
      </c>
      <c r="CB19" s="17" t="s">
        <v>218</v>
      </c>
      <c r="CC19" s="17" t="s">
        <v>218</v>
      </c>
      <c r="CD19" s="3">
        <f t="shared" si="8"/>
        <v>-9.8000000000000007</v>
      </c>
      <c r="CE19" s="17" t="s">
        <v>218</v>
      </c>
      <c r="CF19" s="17" t="s">
        <v>218</v>
      </c>
      <c r="CG19" s="17" t="s">
        <v>218</v>
      </c>
      <c r="CH19" s="17" t="s">
        <v>218</v>
      </c>
      <c r="CI19" s="17" t="s">
        <v>218</v>
      </c>
      <c r="CJ19" s="17" t="s">
        <v>218</v>
      </c>
      <c r="CK19" s="17" t="s">
        <v>218</v>
      </c>
      <c r="CL19" s="1">
        <f t="shared" si="9"/>
        <v>-5.4</v>
      </c>
      <c r="CM19" s="17" t="s">
        <v>218</v>
      </c>
      <c r="CN19" s="17" t="s">
        <v>218</v>
      </c>
      <c r="CO19" s="17" t="s">
        <v>218</v>
      </c>
      <c r="CP19" s="17" t="s">
        <v>218</v>
      </c>
      <c r="CQ19" s="17" t="s">
        <v>218</v>
      </c>
      <c r="CR19" s="17" t="s">
        <v>218</v>
      </c>
      <c r="CS19" s="17" t="s">
        <v>218</v>
      </c>
      <c r="CT19" s="1">
        <f t="shared" si="10"/>
        <v>-14.2</v>
      </c>
      <c r="CU19" s="17" t="s">
        <v>218</v>
      </c>
      <c r="CV19" s="17" t="s">
        <v>218</v>
      </c>
      <c r="CW19" s="17" t="s">
        <v>218</v>
      </c>
      <c r="CX19" s="17" t="s">
        <v>218</v>
      </c>
      <c r="CY19" s="17" t="s">
        <v>218</v>
      </c>
      <c r="CZ19" s="17" t="s">
        <v>218</v>
      </c>
      <c r="DA19" s="17" t="s">
        <v>218</v>
      </c>
      <c r="DB19" s="17" t="s">
        <v>218</v>
      </c>
      <c r="DC19" s="1">
        <f>ROUND(PPTest!K19,1)</f>
        <v>0</v>
      </c>
      <c r="DD19" s="17" t="s">
        <v>218</v>
      </c>
      <c r="DE19" s="17" t="s">
        <v>218</v>
      </c>
      <c r="DF19" s="24">
        <f t="shared" si="11"/>
        <v>0.20300000000000001</v>
      </c>
      <c r="DG19" s="24">
        <f t="shared" si="12"/>
        <v>0.20499999999999999</v>
      </c>
      <c r="DH19" s="17" t="s">
        <v>218</v>
      </c>
      <c r="DQ19" s="1">
        <v>-4.7</v>
      </c>
      <c r="DR19" s="1">
        <v>-0.2</v>
      </c>
      <c r="DS19" s="1">
        <v>-9.1</v>
      </c>
    </row>
    <row r="20" spans="1:123" x14ac:dyDescent="0.2">
      <c r="A20" s="15">
        <f t="shared" si="3"/>
        <v>36539</v>
      </c>
      <c r="B20" s="1">
        <v>14</v>
      </c>
      <c r="E20" s="50">
        <f t="shared" si="4"/>
        <v>-9</v>
      </c>
      <c r="F20" s="2"/>
      <c r="R20" s="50">
        <f t="shared" si="5"/>
        <v>-6.5</v>
      </c>
      <c r="AF20" s="50">
        <f t="shared" si="6"/>
        <v>-11.5</v>
      </c>
      <c r="BM20" s="17">
        <v>5.36</v>
      </c>
      <c r="BN20" s="17">
        <f t="shared" si="0"/>
        <v>10.827200000000001</v>
      </c>
      <c r="BO20" s="18"/>
      <c r="BP20" s="18"/>
      <c r="BU20" s="62">
        <f t="shared" si="1"/>
        <v>0.253</v>
      </c>
      <c r="BV20" s="62">
        <f t="shared" si="2"/>
        <v>0.122</v>
      </c>
      <c r="BX20" s="51">
        <f t="shared" si="7"/>
        <v>2.94</v>
      </c>
      <c r="BY20" s="46">
        <v>19.760000000000002</v>
      </c>
      <c r="BZ20" s="1">
        <v>2.1</v>
      </c>
      <c r="CB20" s="17" t="s">
        <v>218</v>
      </c>
      <c r="CC20" s="17" t="s">
        <v>218</v>
      </c>
      <c r="CD20" s="3">
        <f t="shared" si="8"/>
        <v>-9</v>
      </c>
      <c r="CE20" s="17" t="s">
        <v>218</v>
      </c>
      <c r="CF20" s="17" t="s">
        <v>218</v>
      </c>
      <c r="CG20" s="17" t="s">
        <v>218</v>
      </c>
      <c r="CH20" s="17" t="s">
        <v>218</v>
      </c>
      <c r="CI20" s="17" t="s">
        <v>218</v>
      </c>
      <c r="CJ20" s="17" t="s">
        <v>218</v>
      </c>
      <c r="CK20" s="17" t="s">
        <v>218</v>
      </c>
      <c r="CL20" s="1">
        <f t="shared" si="9"/>
        <v>-6.5</v>
      </c>
      <c r="CM20" s="17" t="s">
        <v>218</v>
      </c>
      <c r="CN20" s="17" t="s">
        <v>218</v>
      </c>
      <c r="CO20" s="17" t="s">
        <v>218</v>
      </c>
      <c r="CP20" s="17" t="s">
        <v>218</v>
      </c>
      <c r="CQ20" s="17" t="s">
        <v>218</v>
      </c>
      <c r="CR20" s="17" t="s">
        <v>218</v>
      </c>
      <c r="CS20" s="17" t="s">
        <v>218</v>
      </c>
      <c r="CT20" s="1">
        <f t="shared" si="10"/>
        <v>-11.5</v>
      </c>
      <c r="CU20" s="17" t="s">
        <v>218</v>
      </c>
      <c r="CV20" s="17" t="s">
        <v>218</v>
      </c>
      <c r="CW20" s="17" t="s">
        <v>218</v>
      </c>
      <c r="CX20" s="17" t="s">
        <v>218</v>
      </c>
      <c r="CY20" s="17" t="s">
        <v>218</v>
      </c>
      <c r="CZ20" s="17" t="s">
        <v>218</v>
      </c>
      <c r="DA20" s="17" t="s">
        <v>218</v>
      </c>
      <c r="DB20" s="17" t="s">
        <v>218</v>
      </c>
      <c r="DC20" s="1">
        <f>ROUND(PPTest!K20,1)</f>
        <v>3.1</v>
      </c>
      <c r="DD20" s="17" t="s">
        <v>218</v>
      </c>
      <c r="DE20" s="17" t="s">
        <v>218</v>
      </c>
      <c r="DF20" s="24">
        <f t="shared" si="11"/>
        <v>0.253</v>
      </c>
      <c r="DG20" s="24">
        <f t="shared" si="12"/>
        <v>0.122</v>
      </c>
      <c r="DH20" s="17" t="s">
        <v>218</v>
      </c>
      <c r="DQ20" s="1">
        <v>-3.7</v>
      </c>
      <c r="DR20" s="1">
        <v>-1.7</v>
      </c>
      <c r="DS20" s="1">
        <v>-5.6</v>
      </c>
    </row>
    <row r="21" spans="1:123" x14ac:dyDescent="0.2">
      <c r="A21" s="15">
        <f t="shared" si="3"/>
        <v>36540</v>
      </c>
      <c r="B21" s="1">
        <v>15</v>
      </c>
      <c r="E21" s="50">
        <f t="shared" si="4"/>
        <v>-9</v>
      </c>
      <c r="F21" s="2"/>
      <c r="R21" s="50">
        <f t="shared" si="5"/>
        <v>-5.5</v>
      </c>
      <c r="AF21" s="50">
        <f t="shared" si="6"/>
        <v>-12.5</v>
      </c>
      <c r="BM21" s="17">
        <v>5.44</v>
      </c>
      <c r="BN21" s="17">
        <f t="shared" si="0"/>
        <v>10.988800000000001</v>
      </c>
      <c r="BO21" s="18"/>
      <c r="BP21" s="18"/>
      <c r="BU21" s="62">
        <f t="shared" si="1"/>
        <v>0.23400000000000001</v>
      </c>
      <c r="BV21" s="62">
        <f t="shared" si="2"/>
        <v>0.17100000000000001</v>
      </c>
      <c r="BX21" s="51">
        <f t="shared" si="7"/>
        <v>1.54</v>
      </c>
      <c r="BY21" s="46">
        <v>0</v>
      </c>
      <c r="BZ21" s="1">
        <v>1.1000000000000001</v>
      </c>
      <c r="CB21" s="17" t="s">
        <v>218</v>
      </c>
      <c r="CC21" s="17" t="s">
        <v>218</v>
      </c>
      <c r="CD21" s="3">
        <f t="shared" si="8"/>
        <v>-9</v>
      </c>
      <c r="CE21" s="17" t="s">
        <v>218</v>
      </c>
      <c r="CF21" s="17" t="s">
        <v>218</v>
      </c>
      <c r="CG21" s="17" t="s">
        <v>218</v>
      </c>
      <c r="CH21" s="17" t="s">
        <v>218</v>
      </c>
      <c r="CI21" s="17" t="s">
        <v>218</v>
      </c>
      <c r="CJ21" s="17" t="s">
        <v>218</v>
      </c>
      <c r="CK21" s="17" t="s">
        <v>218</v>
      </c>
      <c r="CL21" s="1">
        <f t="shared" si="9"/>
        <v>-5.5</v>
      </c>
      <c r="CM21" s="17" t="s">
        <v>218</v>
      </c>
      <c r="CN21" s="17" t="s">
        <v>218</v>
      </c>
      <c r="CO21" s="17" t="s">
        <v>218</v>
      </c>
      <c r="CP21" s="17" t="s">
        <v>218</v>
      </c>
      <c r="CQ21" s="17" t="s">
        <v>218</v>
      </c>
      <c r="CR21" s="17" t="s">
        <v>218</v>
      </c>
      <c r="CS21" s="17" t="s">
        <v>218</v>
      </c>
      <c r="CT21" s="1">
        <f t="shared" si="10"/>
        <v>-12.5</v>
      </c>
      <c r="CU21" s="17" t="s">
        <v>218</v>
      </c>
      <c r="CV21" s="17" t="s">
        <v>218</v>
      </c>
      <c r="CW21" s="17" t="s">
        <v>218</v>
      </c>
      <c r="CX21" s="17" t="s">
        <v>218</v>
      </c>
      <c r="CY21" s="17" t="s">
        <v>218</v>
      </c>
      <c r="CZ21" s="17" t="s">
        <v>218</v>
      </c>
      <c r="DA21" s="17" t="s">
        <v>218</v>
      </c>
      <c r="DB21" s="17" t="s">
        <v>218</v>
      </c>
      <c r="DC21" s="1">
        <f>ROUND(PPTest!K21,1)</f>
        <v>1.6</v>
      </c>
      <c r="DD21" s="17" t="s">
        <v>218</v>
      </c>
      <c r="DE21" s="17" t="s">
        <v>218</v>
      </c>
      <c r="DF21" s="24">
        <f t="shared" si="11"/>
        <v>0.23400000000000001</v>
      </c>
      <c r="DG21" s="24">
        <f t="shared" si="12"/>
        <v>0.17100000000000001</v>
      </c>
      <c r="DH21" s="17" t="s">
        <v>218</v>
      </c>
      <c r="DQ21" s="1">
        <v>-3.6</v>
      </c>
      <c r="DR21" s="1">
        <v>-0.3</v>
      </c>
      <c r="DS21" s="1">
        <v>-6.8</v>
      </c>
    </row>
    <row r="22" spans="1:123" x14ac:dyDescent="0.2">
      <c r="A22" s="15">
        <f t="shared" si="3"/>
        <v>36541</v>
      </c>
      <c r="B22" s="1">
        <v>16</v>
      </c>
      <c r="E22" s="50">
        <f t="shared" si="4"/>
        <v>-10.8</v>
      </c>
      <c r="F22" s="2"/>
      <c r="R22" s="50">
        <f t="shared" si="5"/>
        <v>-7</v>
      </c>
      <c r="AF22" s="50">
        <f t="shared" si="6"/>
        <v>-14.6</v>
      </c>
      <c r="BM22" s="17">
        <v>5.53</v>
      </c>
      <c r="BN22" s="17">
        <f t="shared" si="0"/>
        <v>11.1706</v>
      </c>
      <c r="BO22" s="18"/>
      <c r="BP22" s="18"/>
      <c r="BU22" s="62">
        <f t="shared" si="1"/>
        <v>0.19700000000000001</v>
      </c>
      <c r="BV22" s="62">
        <f t="shared" si="2"/>
        <v>0.16400000000000001</v>
      </c>
      <c r="BX22" s="51">
        <f t="shared" si="7"/>
        <v>10.359999999999998</v>
      </c>
      <c r="BY22" s="46">
        <v>5.2</v>
      </c>
      <c r="BZ22" s="1">
        <v>7.3999999999999986</v>
      </c>
      <c r="CB22" s="17" t="s">
        <v>218</v>
      </c>
      <c r="CC22" s="17" t="s">
        <v>218</v>
      </c>
      <c r="CD22" s="3">
        <f t="shared" si="8"/>
        <v>-10.8</v>
      </c>
      <c r="CE22" s="17" t="s">
        <v>218</v>
      </c>
      <c r="CF22" s="17" t="s">
        <v>218</v>
      </c>
      <c r="CG22" s="17" t="s">
        <v>218</v>
      </c>
      <c r="CH22" s="17" t="s">
        <v>218</v>
      </c>
      <c r="CI22" s="17" t="s">
        <v>218</v>
      </c>
      <c r="CJ22" s="17" t="s">
        <v>218</v>
      </c>
      <c r="CK22" s="17" t="s">
        <v>218</v>
      </c>
      <c r="CL22" s="1">
        <f t="shared" si="9"/>
        <v>-7</v>
      </c>
      <c r="CM22" s="17" t="s">
        <v>218</v>
      </c>
      <c r="CN22" s="17" t="s">
        <v>218</v>
      </c>
      <c r="CO22" s="17" t="s">
        <v>218</v>
      </c>
      <c r="CP22" s="17" t="s">
        <v>218</v>
      </c>
      <c r="CQ22" s="17" t="s">
        <v>218</v>
      </c>
      <c r="CR22" s="17" t="s">
        <v>218</v>
      </c>
      <c r="CS22" s="17" t="s">
        <v>218</v>
      </c>
      <c r="CT22" s="1">
        <f t="shared" si="10"/>
        <v>-14.6</v>
      </c>
      <c r="CU22" s="17" t="s">
        <v>218</v>
      </c>
      <c r="CV22" s="17" t="s">
        <v>218</v>
      </c>
      <c r="CW22" s="17" t="s">
        <v>218</v>
      </c>
      <c r="CX22" s="17" t="s">
        <v>218</v>
      </c>
      <c r="CY22" s="17" t="s">
        <v>218</v>
      </c>
      <c r="CZ22" s="17" t="s">
        <v>218</v>
      </c>
      <c r="DA22" s="17" t="s">
        <v>218</v>
      </c>
      <c r="DB22" s="17" t="s">
        <v>218</v>
      </c>
      <c r="DC22" s="1">
        <f>ROUND(PPTest!K22,1)</f>
        <v>10.9</v>
      </c>
      <c r="DD22" s="17" t="s">
        <v>218</v>
      </c>
      <c r="DE22" s="17" t="s">
        <v>218</v>
      </c>
      <c r="DF22" s="24">
        <f t="shared" si="11"/>
        <v>0.19700000000000001</v>
      </c>
      <c r="DG22" s="24">
        <f t="shared" si="12"/>
        <v>0.16400000000000001</v>
      </c>
      <c r="DH22" s="17" t="s">
        <v>218</v>
      </c>
      <c r="DQ22" s="1">
        <v>-6</v>
      </c>
      <c r="DR22" s="1">
        <v>-2.4</v>
      </c>
      <c r="DS22" s="1">
        <v>-9.5</v>
      </c>
    </row>
    <row r="23" spans="1:123" x14ac:dyDescent="0.2">
      <c r="A23" s="15">
        <f t="shared" si="3"/>
        <v>36542</v>
      </c>
      <c r="B23" s="1">
        <v>17</v>
      </c>
      <c r="E23" s="50">
        <f t="shared" si="4"/>
        <v>-7.6</v>
      </c>
      <c r="F23" s="2"/>
      <c r="R23" s="50">
        <f t="shared" si="5"/>
        <v>-5.0999999999999996</v>
      </c>
      <c r="AF23" s="50">
        <f t="shared" si="6"/>
        <v>-10.1</v>
      </c>
      <c r="BM23" s="17">
        <v>5.63</v>
      </c>
      <c r="BN23" s="17">
        <f t="shared" si="0"/>
        <v>11.3726</v>
      </c>
      <c r="BO23" s="18"/>
      <c r="BP23" s="18"/>
      <c r="BU23" s="62">
        <f t="shared" si="1"/>
        <v>0.28299999999999997</v>
      </c>
      <c r="BV23" s="62">
        <f t="shared" si="2"/>
        <v>0.13500000000000001</v>
      </c>
      <c r="BX23" s="51">
        <f t="shared" si="7"/>
        <v>0</v>
      </c>
      <c r="BY23" s="46">
        <v>0</v>
      </c>
      <c r="BZ23" s="1">
        <v>0</v>
      </c>
      <c r="CB23" s="17" t="s">
        <v>218</v>
      </c>
      <c r="CC23" s="17" t="s">
        <v>218</v>
      </c>
      <c r="CD23" s="3">
        <f t="shared" si="8"/>
        <v>-7.6</v>
      </c>
      <c r="CE23" s="17" t="s">
        <v>218</v>
      </c>
      <c r="CF23" s="17" t="s">
        <v>218</v>
      </c>
      <c r="CG23" s="17" t="s">
        <v>218</v>
      </c>
      <c r="CH23" s="17" t="s">
        <v>218</v>
      </c>
      <c r="CI23" s="17" t="s">
        <v>218</v>
      </c>
      <c r="CJ23" s="17" t="s">
        <v>218</v>
      </c>
      <c r="CK23" s="17" t="s">
        <v>218</v>
      </c>
      <c r="CL23" s="1">
        <f t="shared" si="9"/>
        <v>-5.0999999999999996</v>
      </c>
      <c r="CM23" s="17" t="s">
        <v>218</v>
      </c>
      <c r="CN23" s="17" t="s">
        <v>218</v>
      </c>
      <c r="CO23" s="17" t="s">
        <v>218</v>
      </c>
      <c r="CP23" s="17" t="s">
        <v>218</v>
      </c>
      <c r="CQ23" s="17" t="s">
        <v>218</v>
      </c>
      <c r="CR23" s="17" t="s">
        <v>218</v>
      </c>
      <c r="CS23" s="17" t="s">
        <v>218</v>
      </c>
      <c r="CT23" s="1">
        <f t="shared" si="10"/>
        <v>-10.1</v>
      </c>
      <c r="CU23" s="17" t="s">
        <v>218</v>
      </c>
      <c r="CV23" s="17" t="s">
        <v>218</v>
      </c>
      <c r="CW23" s="17" t="s">
        <v>218</v>
      </c>
      <c r="CX23" s="17" t="s">
        <v>218</v>
      </c>
      <c r="CY23" s="17" t="s">
        <v>218</v>
      </c>
      <c r="CZ23" s="17" t="s">
        <v>218</v>
      </c>
      <c r="DA23" s="17" t="s">
        <v>218</v>
      </c>
      <c r="DB23" s="17" t="s">
        <v>218</v>
      </c>
      <c r="DC23" s="1">
        <f>ROUND(PPTest!K23,1)</f>
        <v>0</v>
      </c>
      <c r="DD23" s="17" t="s">
        <v>218</v>
      </c>
      <c r="DE23" s="17" t="s">
        <v>218</v>
      </c>
      <c r="DF23" s="24">
        <f t="shared" si="11"/>
        <v>0.28299999999999997</v>
      </c>
      <c r="DG23" s="24">
        <f t="shared" si="12"/>
        <v>0.13500000000000001</v>
      </c>
      <c r="DH23" s="17" t="s">
        <v>218</v>
      </c>
      <c r="DQ23" s="1">
        <v>-1.8</v>
      </c>
      <c r="DR23" s="1">
        <v>0.3</v>
      </c>
      <c r="DS23" s="1">
        <v>-3.9</v>
      </c>
    </row>
    <row r="24" spans="1:123" x14ac:dyDescent="0.2">
      <c r="A24" s="15">
        <f t="shared" si="3"/>
        <v>36543</v>
      </c>
      <c r="B24" s="1">
        <v>18</v>
      </c>
      <c r="E24" s="50">
        <f t="shared" si="4"/>
        <v>-9.8000000000000007</v>
      </c>
      <c r="F24" s="2"/>
      <c r="R24" s="50">
        <f t="shared" si="5"/>
        <v>-5.2</v>
      </c>
      <c r="AF24" s="50">
        <f t="shared" si="6"/>
        <v>-14.4</v>
      </c>
      <c r="BM24" s="17">
        <v>5.72</v>
      </c>
      <c r="BN24" s="17">
        <f t="shared" si="0"/>
        <v>11.554399999999999</v>
      </c>
      <c r="BO24" s="18"/>
      <c r="BP24" s="18"/>
      <c r="BU24" s="62">
        <f t="shared" si="1"/>
        <v>0.2</v>
      </c>
      <c r="BV24" s="62">
        <f t="shared" si="2"/>
        <v>0.215</v>
      </c>
      <c r="BX24" s="51">
        <f t="shared" si="7"/>
        <v>3.7800000000000007</v>
      </c>
      <c r="BY24" s="46">
        <v>0</v>
      </c>
      <c r="BZ24" s="1">
        <v>2.7000000000000006</v>
      </c>
      <c r="CB24" s="17" t="s">
        <v>218</v>
      </c>
      <c r="CC24" s="17" t="s">
        <v>218</v>
      </c>
      <c r="CD24" s="3">
        <f t="shared" si="8"/>
        <v>-9.8000000000000007</v>
      </c>
      <c r="CE24" s="17" t="s">
        <v>218</v>
      </c>
      <c r="CF24" s="17" t="s">
        <v>218</v>
      </c>
      <c r="CG24" s="17" t="s">
        <v>218</v>
      </c>
      <c r="CH24" s="17" t="s">
        <v>218</v>
      </c>
      <c r="CI24" s="17" t="s">
        <v>218</v>
      </c>
      <c r="CJ24" s="17" t="s">
        <v>218</v>
      </c>
      <c r="CK24" s="17" t="s">
        <v>218</v>
      </c>
      <c r="CL24" s="1">
        <f t="shared" si="9"/>
        <v>-5.2</v>
      </c>
      <c r="CM24" s="17" t="s">
        <v>218</v>
      </c>
      <c r="CN24" s="17" t="s">
        <v>218</v>
      </c>
      <c r="CO24" s="17" t="s">
        <v>218</v>
      </c>
      <c r="CP24" s="17" t="s">
        <v>218</v>
      </c>
      <c r="CQ24" s="17" t="s">
        <v>218</v>
      </c>
      <c r="CR24" s="17" t="s">
        <v>218</v>
      </c>
      <c r="CS24" s="17" t="s">
        <v>218</v>
      </c>
      <c r="CT24" s="1">
        <f t="shared" si="10"/>
        <v>-14.4</v>
      </c>
      <c r="CU24" s="17" t="s">
        <v>218</v>
      </c>
      <c r="CV24" s="17" t="s">
        <v>218</v>
      </c>
      <c r="CW24" s="17" t="s">
        <v>218</v>
      </c>
      <c r="CX24" s="17" t="s">
        <v>218</v>
      </c>
      <c r="CY24" s="17" t="s">
        <v>218</v>
      </c>
      <c r="CZ24" s="17" t="s">
        <v>218</v>
      </c>
      <c r="DA24" s="17" t="s">
        <v>218</v>
      </c>
      <c r="DB24" s="17" t="s">
        <v>218</v>
      </c>
      <c r="DC24" s="1">
        <f>ROUND(PPTest!K24,1)</f>
        <v>4</v>
      </c>
      <c r="DD24" s="17" t="s">
        <v>218</v>
      </c>
      <c r="DE24" s="17" t="s">
        <v>218</v>
      </c>
      <c r="DF24" s="24">
        <f t="shared" si="11"/>
        <v>0.2</v>
      </c>
      <c r="DG24" s="24">
        <f t="shared" si="12"/>
        <v>0.215</v>
      </c>
      <c r="DH24" s="17" t="s">
        <v>218</v>
      </c>
      <c r="DQ24" s="1">
        <v>-4.7</v>
      </c>
      <c r="DR24" s="1">
        <v>0.1</v>
      </c>
      <c r="DS24" s="1">
        <v>-9.4</v>
      </c>
    </row>
    <row r="25" spans="1:123" x14ac:dyDescent="0.2">
      <c r="A25" s="15">
        <f t="shared" si="3"/>
        <v>36544</v>
      </c>
      <c r="B25" s="1">
        <v>19</v>
      </c>
      <c r="E25" s="50">
        <f t="shared" si="4"/>
        <v>-13.9</v>
      </c>
      <c r="F25" s="2"/>
      <c r="R25" s="50">
        <f t="shared" si="5"/>
        <v>-8.1</v>
      </c>
      <c r="AF25" s="50">
        <f t="shared" si="6"/>
        <v>-19.7</v>
      </c>
      <c r="BM25" s="17">
        <v>5.82</v>
      </c>
      <c r="BN25" s="17">
        <f t="shared" si="0"/>
        <v>11.756400000000001</v>
      </c>
      <c r="BO25" s="18"/>
      <c r="BP25" s="18"/>
      <c r="BU25" s="62">
        <f t="shared" si="1"/>
        <v>0.128</v>
      </c>
      <c r="BV25" s="62">
        <f t="shared" si="2"/>
        <v>0.20399999999999999</v>
      </c>
      <c r="BX25" s="51">
        <f t="shared" si="7"/>
        <v>0</v>
      </c>
      <c r="BY25" s="46">
        <v>0</v>
      </c>
      <c r="BZ25" s="1">
        <v>0</v>
      </c>
      <c r="CB25" s="17" t="s">
        <v>218</v>
      </c>
      <c r="CC25" s="17" t="s">
        <v>218</v>
      </c>
      <c r="CD25" s="3">
        <f t="shared" si="8"/>
        <v>-13.9</v>
      </c>
      <c r="CE25" s="17" t="s">
        <v>218</v>
      </c>
      <c r="CF25" s="17" t="s">
        <v>218</v>
      </c>
      <c r="CG25" s="17" t="s">
        <v>218</v>
      </c>
      <c r="CH25" s="17" t="s">
        <v>218</v>
      </c>
      <c r="CI25" s="17" t="s">
        <v>218</v>
      </c>
      <c r="CJ25" s="17" t="s">
        <v>218</v>
      </c>
      <c r="CK25" s="17" t="s">
        <v>218</v>
      </c>
      <c r="CL25" s="1">
        <f t="shared" si="9"/>
        <v>-8.1</v>
      </c>
      <c r="CM25" s="17" t="s">
        <v>218</v>
      </c>
      <c r="CN25" s="17" t="s">
        <v>218</v>
      </c>
      <c r="CO25" s="17" t="s">
        <v>218</v>
      </c>
      <c r="CP25" s="17" t="s">
        <v>218</v>
      </c>
      <c r="CQ25" s="17" t="s">
        <v>218</v>
      </c>
      <c r="CR25" s="17" t="s">
        <v>218</v>
      </c>
      <c r="CS25" s="17" t="s">
        <v>218</v>
      </c>
      <c r="CT25" s="1">
        <f t="shared" si="10"/>
        <v>-19.7</v>
      </c>
      <c r="CU25" s="17" t="s">
        <v>218</v>
      </c>
      <c r="CV25" s="17" t="s">
        <v>218</v>
      </c>
      <c r="CW25" s="17" t="s">
        <v>218</v>
      </c>
      <c r="CX25" s="17" t="s">
        <v>218</v>
      </c>
      <c r="CY25" s="17" t="s">
        <v>218</v>
      </c>
      <c r="CZ25" s="17" t="s">
        <v>218</v>
      </c>
      <c r="DA25" s="17" t="s">
        <v>218</v>
      </c>
      <c r="DB25" s="17" t="s">
        <v>218</v>
      </c>
      <c r="DC25" s="1">
        <f>ROUND(PPTest!K25,1)</f>
        <v>0</v>
      </c>
      <c r="DD25" s="17" t="s">
        <v>218</v>
      </c>
      <c r="DE25" s="17" t="s">
        <v>218</v>
      </c>
      <c r="DF25" s="24">
        <f t="shared" si="11"/>
        <v>0.128</v>
      </c>
      <c r="DG25" s="24">
        <f t="shared" si="12"/>
        <v>0.20399999999999999</v>
      </c>
      <c r="DH25" s="17" t="s">
        <v>218</v>
      </c>
      <c r="DQ25" s="1">
        <v>-10</v>
      </c>
      <c r="DR25" s="1">
        <v>-4</v>
      </c>
      <c r="DS25" s="1">
        <v>-15.9</v>
      </c>
    </row>
    <row r="26" spans="1:123" x14ac:dyDescent="0.2">
      <c r="A26" s="15">
        <f t="shared" si="3"/>
        <v>36545</v>
      </c>
      <c r="B26" s="1">
        <v>20</v>
      </c>
      <c r="E26" s="50">
        <f t="shared" si="4"/>
        <v>-17.2</v>
      </c>
      <c r="F26" s="2"/>
      <c r="R26" s="50">
        <f t="shared" si="5"/>
        <v>-11.4</v>
      </c>
      <c r="AF26" s="50">
        <f t="shared" si="6"/>
        <v>-23</v>
      </c>
      <c r="BM26" s="17">
        <v>5.92</v>
      </c>
      <c r="BN26" s="17">
        <f t="shared" si="0"/>
        <v>11.958399999999999</v>
      </c>
      <c r="BO26" s="18"/>
      <c r="BP26" s="18"/>
      <c r="BU26" s="62">
        <f t="shared" si="1"/>
        <v>9.6000000000000002E-2</v>
      </c>
      <c r="BV26" s="62">
        <f t="shared" si="2"/>
        <v>0.159</v>
      </c>
      <c r="BX26" s="51">
        <f t="shared" si="7"/>
        <v>4.1999999999999993</v>
      </c>
      <c r="BY26" s="46">
        <v>5.46</v>
      </c>
      <c r="BZ26" s="1">
        <v>3</v>
      </c>
      <c r="CB26" s="17" t="s">
        <v>218</v>
      </c>
      <c r="CC26" s="17" t="s">
        <v>218</v>
      </c>
      <c r="CD26" s="3">
        <f t="shared" si="8"/>
        <v>-17.2</v>
      </c>
      <c r="CE26" s="17" t="s">
        <v>218</v>
      </c>
      <c r="CF26" s="17" t="s">
        <v>218</v>
      </c>
      <c r="CG26" s="17" t="s">
        <v>218</v>
      </c>
      <c r="CH26" s="17" t="s">
        <v>218</v>
      </c>
      <c r="CI26" s="17" t="s">
        <v>218</v>
      </c>
      <c r="CJ26" s="17" t="s">
        <v>218</v>
      </c>
      <c r="CK26" s="17" t="s">
        <v>218</v>
      </c>
      <c r="CL26" s="1">
        <f t="shared" si="9"/>
        <v>-11.4</v>
      </c>
      <c r="CM26" s="17" t="s">
        <v>218</v>
      </c>
      <c r="CN26" s="17" t="s">
        <v>218</v>
      </c>
      <c r="CO26" s="17" t="s">
        <v>218</v>
      </c>
      <c r="CP26" s="17" t="s">
        <v>218</v>
      </c>
      <c r="CQ26" s="17" t="s">
        <v>218</v>
      </c>
      <c r="CR26" s="17" t="s">
        <v>218</v>
      </c>
      <c r="CS26" s="17" t="s">
        <v>218</v>
      </c>
      <c r="CT26" s="1">
        <f t="shared" si="10"/>
        <v>-23</v>
      </c>
      <c r="CU26" s="17" t="s">
        <v>218</v>
      </c>
      <c r="CV26" s="17" t="s">
        <v>218</v>
      </c>
      <c r="CW26" s="17" t="s">
        <v>218</v>
      </c>
      <c r="CX26" s="17" t="s">
        <v>218</v>
      </c>
      <c r="CY26" s="17" t="s">
        <v>218</v>
      </c>
      <c r="CZ26" s="17" t="s">
        <v>218</v>
      </c>
      <c r="DA26" s="17" t="s">
        <v>218</v>
      </c>
      <c r="DB26" s="17" t="s">
        <v>218</v>
      </c>
      <c r="DC26" s="1">
        <f>ROUND(PPTest!K26,1)</f>
        <v>4.4000000000000004</v>
      </c>
      <c r="DD26" s="17" t="s">
        <v>218</v>
      </c>
      <c r="DE26" s="17" t="s">
        <v>218</v>
      </c>
      <c r="DF26" s="24">
        <f t="shared" si="11"/>
        <v>9.6000000000000002E-2</v>
      </c>
      <c r="DG26" s="24">
        <f t="shared" si="12"/>
        <v>0.159</v>
      </c>
      <c r="DH26" s="17" t="s">
        <v>218</v>
      </c>
      <c r="DQ26" s="1">
        <v>-14.3</v>
      </c>
      <c r="DR26" s="1">
        <v>-8.8000000000000007</v>
      </c>
      <c r="DS26" s="1">
        <v>-19.7</v>
      </c>
    </row>
    <row r="27" spans="1:123" x14ac:dyDescent="0.2">
      <c r="A27" s="15">
        <f t="shared" si="3"/>
        <v>36546</v>
      </c>
      <c r="B27" s="1">
        <v>21</v>
      </c>
      <c r="E27" s="50">
        <f t="shared" si="4"/>
        <v>-11</v>
      </c>
      <c r="F27" s="2"/>
      <c r="R27" s="50">
        <f t="shared" si="5"/>
        <v>-7.1</v>
      </c>
      <c r="AF27" s="50">
        <f t="shared" si="6"/>
        <v>-14.9</v>
      </c>
      <c r="BM27" s="17">
        <v>6.02</v>
      </c>
      <c r="BN27" s="17">
        <f t="shared" si="0"/>
        <v>12.160399999999999</v>
      </c>
      <c r="BO27" s="18"/>
      <c r="BP27" s="18"/>
      <c r="BU27" s="62">
        <f t="shared" si="1"/>
        <v>0.192</v>
      </c>
      <c r="BV27" s="62">
        <f t="shared" si="2"/>
        <v>0.16600000000000001</v>
      </c>
      <c r="BX27" s="51">
        <f t="shared" si="7"/>
        <v>0.42000000000000004</v>
      </c>
      <c r="BY27" s="46">
        <v>0</v>
      </c>
      <c r="BZ27" s="1">
        <v>0.30000000000000004</v>
      </c>
      <c r="CB27" s="17" t="s">
        <v>218</v>
      </c>
      <c r="CC27" s="17" t="s">
        <v>218</v>
      </c>
      <c r="CD27" s="3">
        <f t="shared" si="8"/>
        <v>-11</v>
      </c>
      <c r="CE27" s="17" t="s">
        <v>218</v>
      </c>
      <c r="CF27" s="17" t="s">
        <v>218</v>
      </c>
      <c r="CG27" s="17" t="s">
        <v>218</v>
      </c>
      <c r="CH27" s="17" t="s">
        <v>218</v>
      </c>
      <c r="CI27" s="17" t="s">
        <v>218</v>
      </c>
      <c r="CJ27" s="17" t="s">
        <v>218</v>
      </c>
      <c r="CK27" s="17" t="s">
        <v>218</v>
      </c>
      <c r="CL27" s="1">
        <f t="shared" si="9"/>
        <v>-7.1</v>
      </c>
      <c r="CM27" s="17" t="s">
        <v>218</v>
      </c>
      <c r="CN27" s="17" t="s">
        <v>218</v>
      </c>
      <c r="CO27" s="17" t="s">
        <v>218</v>
      </c>
      <c r="CP27" s="17" t="s">
        <v>218</v>
      </c>
      <c r="CQ27" s="17" t="s">
        <v>218</v>
      </c>
      <c r="CR27" s="17" t="s">
        <v>218</v>
      </c>
      <c r="CS27" s="17" t="s">
        <v>218</v>
      </c>
      <c r="CT27" s="1">
        <f t="shared" si="10"/>
        <v>-14.9</v>
      </c>
      <c r="CU27" s="17" t="s">
        <v>218</v>
      </c>
      <c r="CV27" s="17" t="s">
        <v>218</v>
      </c>
      <c r="CW27" s="17" t="s">
        <v>218</v>
      </c>
      <c r="CX27" s="17" t="s">
        <v>218</v>
      </c>
      <c r="CY27" s="17" t="s">
        <v>218</v>
      </c>
      <c r="CZ27" s="17" t="s">
        <v>218</v>
      </c>
      <c r="DA27" s="17" t="s">
        <v>218</v>
      </c>
      <c r="DB27" s="17" t="s">
        <v>218</v>
      </c>
      <c r="DC27" s="1">
        <f>ROUND(PPTest!K27,1)</f>
        <v>0.4</v>
      </c>
      <c r="DD27" s="17" t="s">
        <v>218</v>
      </c>
      <c r="DE27" s="17" t="s">
        <v>218</v>
      </c>
      <c r="DF27" s="24">
        <f t="shared" si="11"/>
        <v>0.192</v>
      </c>
      <c r="DG27" s="24">
        <f t="shared" si="12"/>
        <v>0.16600000000000001</v>
      </c>
      <c r="DH27" s="17" t="s">
        <v>218</v>
      </c>
      <c r="DQ27" s="1">
        <v>-6.2</v>
      </c>
      <c r="DR27" s="1">
        <v>-2.6</v>
      </c>
      <c r="DS27" s="1">
        <v>-9.6999999999999993</v>
      </c>
    </row>
    <row r="28" spans="1:123" x14ac:dyDescent="0.2">
      <c r="A28" s="15">
        <f t="shared" si="3"/>
        <v>36547</v>
      </c>
      <c r="B28" s="1">
        <v>22</v>
      </c>
      <c r="E28" s="50">
        <f t="shared" si="4"/>
        <v>-8.4</v>
      </c>
      <c r="F28" s="2"/>
      <c r="R28" s="50">
        <f t="shared" si="5"/>
        <v>-5.6</v>
      </c>
      <c r="AF28" s="50">
        <f t="shared" si="6"/>
        <v>-11.2</v>
      </c>
      <c r="BM28" s="17">
        <v>6.13</v>
      </c>
      <c r="BN28" s="17">
        <f t="shared" si="0"/>
        <v>12.3826</v>
      </c>
      <c r="BO28" s="18"/>
      <c r="BP28" s="18"/>
      <c r="BU28" s="62">
        <f t="shared" si="1"/>
        <v>0.25900000000000001</v>
      </c>
      <c r="BV28" s="62">
        <f t="shared" si="2"/>
        <v>0.14299999999999999</v>
      </c>
      <c r="BX28" s="51">
        <f t="shared" si="7"/>
        <v>3.22</v>
      </c>
      <c r="BY28" s="46">
        <v>3.51</v>
      </c>
      <c r="BZ28" s="1">
        <v>2.3000000000000003</v>
      </c>
      <c r="CB28" s="17" t="s">
        <v>218</v>
      </c>
      <c r="CC28" s="17" t="s">
        <v>218</v>
      </c>
      <c r="CD28" s="3">
        <f t="shared" si="8"/>
        <v>-8.4</v>
      </c>
      <c r="CE28" s="17" t="s">
        <v>218</v>
      </c>
      <c r="CF28" s="17" t="s">
        <v>218</v>
      </c>
      <c r="CG28" s="17" t="s">
        <v>218</v>
      </c>
      <c r="CH28" s="17" t="s">
        <v>218</v>
      </c>
      <c r="CI28" s="17" t="s">
        <v>218</v>
      </c>
      <c r="CJ28" s="17" t="s">
        <v>218</v>
      </c>
      <c r="CK28" s="17" t="s">
        <v>218</v>
      </c>
      <c r="CL28" s="1">
        <f t="shared" si="9"/>
        <v>-5.6</v>
      </c>
      <c r="CM28" s="17" t="s">
        <v>218</v>
      </c>
      <c r="CN28" s="17" t="s">
        <v>218</v>
      </c>
      <c r="CO28" s="17" t="s">
        <v>218</v>
      </c>
      <c r="CP28" s="17" t="s">
        <v>218</v>
      </c>
      <c r="CQ28" s="17" t="s">
        <v>218</v>
      </c>
      <c r="CR28" s="17" t="s">
        <v>218</v>
      </c>
      <c r="CS28" s="17" t="s">
        <v>218</v>
      </c>
      <c r="CT28" s="1">
        <f t="shared" si="10"/>
        <v>-11.2</v>
      </c>
      <c r="CU28" s="17" t="s">
        <v>218</v>
      </c>
      <c r="CV28" s="17" t="s">
        <v>218</v>
      </c>
      <c r="CW28" s="17" t="s">
        <v>218</v>
      </c>
      <c r="CX28" s="17" t="s">
        <v>218</v>
      </c>
      <c r="CY28" s="17" t="s">
        <v>218</v>
      </c>
      <c r="CZ28" s="17" t="s">
        <v>218</v>
      </c>
      <c r="DA28" s="17" t="s">
        <v>218</v>
      </c>
      <c r="DB28" s="17" t="s">
        <v>218</v>
      </c>
      <c r="DC28" s="1">
        <f>ROUND(PPTest!K28,1)</f>
        <v>3.4</v>
      </c>
      <c r="DD28" s="17" t="s">
        <v>218</v>
      </c>
      <c r="DE28" s="17" t="s">
        <v>218</v>
      </c>
      <c r="DF28" s="24">
        <f t="shared" si="11"/>
        <v>0.25900000000000001</v>
      </c>
      <c r="DG28" s="24">
        <f t="shared" si="12"/>
        <v>0.14299999999999999</v>
      </c>
      <c r="DH28" s="17" t="s">
        <v>218</v>
      </c>
      <c r="DQ28" s="1">
        <v>-2.9</v>
      </c>
      <c r="DR28" s="1">
        <v>-0.5</v>
      </c>
      <c r="DS28" s="1">
        <v>-5.3</v>
      </c>
    </row>
    <row r="29" spans="1:123" x14ac:dyDescent="0.2">
      <c r="A29" s="15">
        <f t="shared" si="3"/>
        <v>36548</v>
      </c>
      <c r="B29" s="1">
        <v>23</v>
      </c>
      <c r="E29" s="50">
        <f t="shared" si="4"/>
        <v>-8.4</v>
      </c>
      <c r="F29" s="2"/>
      <c r="R29" s="50">
        <f t="shared" si="5"/>
        <v>-5.3</v>
      </c>
      <c r="AF29" s="50">
        <f t="shared" si="6"/>
        <v>-11.5</v>
      </c>
      <c r="BM29" s="17">
        <v>6.25</v>
      </c>
      <c r="BN29" s="17">
        <f t="shared" si="0"/>
        <v>12.625</v>
      </c>
      <c r="BO29" s="18"/>
      <c r="BP29" s="18"/>
      <c r="BU29" s="62">
        <f t="shared" si="1"/>
        <v>0.253</v>
      </c>
      <c r="BV29" s="62">
        <f t="shared" si="2"/>
        <v>0.158</v>
      </c>
      <c r="BX29" s="51">
        <f t="shared" si="7"/>
        <v>0</v>
      </c>
      <c r="BY29" s="46">
        <v>0</v>
      </c>
      <c r="BZ29" s="1">
        <v>0</v>
      </c>
      <c r="CB29" s="17" t="s">
        <v>218</v>
      </c>
      <c r="CC29" s="17" t="s">
        <v>218</v>
      </c>
      <c r="CD29" s="3">
        <f t="shared" si="8"/>
        <v>-8.4</v>
      </c>
      <c r="CE29" s="17" t="s">
        <v>218</v>
      </c>
      <c r="CF29" s="17" t="s">
        <v>218</v>
      </c>
      <c r="CG29" s="17" t="s">
        <v>218</v>
      </c>
      <c r="CH29" s="17" t="s">
        <v>218</v>
      </c>
      <c r="CI29" s="17" t="s">
        <v>218</v>
      </c>
      <c r="CJ29" s="17" t="s">
        <v>218</v>
      </c>
      <c r="CK29" s="17" t="s">
        <v>218</v>
      </c>
      <c r="CL29" s="1">
        <f t="shared" si="9"/>
        <v>-5.3</v>
      </c>
      <c r="CM29" s="17" t="s">
        <v>218</v>
      </c>
      <c r="CN29" s="17" t="s">
        <v>218</v>
      </c>
      <c r="CO29" s="17" t="s">
        <v>218</v>
      </c>
      <c r="CP29" s="17" t="s">
        <v>218</v>
      </c>
      <c r="CQ29" s="17" t="s">
        <v>218</v>
      </c>
      <c r="CR29" s="17" t="s">
        <v>218</v>
      </c>
      <c r="CS29" s="17" t="s">
        <v>218</v>
      </c>
      <c r="CT29" s="1">
        <f t="shared" si="10"/>
        <v>-11.5</v>
      </c>
      <c r="CU29" s="17" t="s">
        <v>218</v>
      </c>
      <c r="CV29" s="17" t="s">
        <v>218</v>
      </c>
      <c r="CW29" s="17" t="s">
        <v>218</v>
      </c>
      <c r="CX29" s="17" t="s">
        <v>218</v>
      </c>
      <c r="CY29" s="17" t="s">
        <v>218</v>
      </c>
      <c r="CZ29" s="17" t="s">
        <v>218</v>
      </c>
      <c r="DA29" s="17" t="s">
        <v>218</v>
      </c>
      <c r="DB29" s="17" t="s">
        <v>218</v>
      </c>
      <c r="DC29" s="1">
        <f>ROUND(PPTest!K29,1)</f>
        <v>0</v>
      </c>
      <c r="DD29" s="17" t="s">
        <v>218</v>
      </c>
      <c r="DE29" s="17" t="s">
        <v>218</v>
      </c>
      <c r="DF29" s="24">
        <f t="shared" si="11"/>
        <v>0.253</v>
      </c>
      <c r="DG29" s="24">
        <f t="shared" si="12"/>
        <v>0.158</v>
      </c>
      <c r="DH29" s="17" t="s">
        <v>218</v>
      </c>
      <c r="DQ29" s="1">
        <v>-2.8</v>
      </c>
      <c r="DR29" s="1">
        <v>0</v>
      </c>
      <c r="DS29" s="1">
        <v>-5.6</v>
      </c>
    </row>
    <row r="30" spans="1:123" x14ac:dyDescent="0.2">
      <c r="A30" s="15">
        <f t="shared" si="3"/>
        <v>36549</v>
      </c>
      <c r="B30" s="1">
        <v>24</v>
      </c>
      <c r="E30" s="50">
        <f t="shared" si="4"/>
        <v>-10.1</v>
      </c>
      <c r="F30" s="2"/>
      <c r="R30" s="50">
        <f t="shared" si="5"/>
        <v>-5.8</v>
      </c>
      <c r="AF30" s="50">
        <f t="shared" si="6"/>
        <v>-14.4</v>
      </c>
      <c r="BM30" s="17">
        <v>6.36</v>
      </c>
      <c r="BN30" s="17">
        <f t="shared" si="0"/>
        <v>12.847200000000001</v>
      </c>
      <c r="BO30" s="18"/>
      <c r="BP30" s="18"/>
      <c r="BU30" s="62">
        <f t="shared" si="1"/>
        <v>0.2</v>
      </c>
      <c r="BV30" s="62">
        <f t="shared" si="2"/>
        <v>0.19600000000000001</v>
      </c>
      <c r="BX30" s="51">
        <f t="shared" si="7"/>
        <v>0.42000000000000004</v>
      </c>
      <c r="BY30" s="46">
        <v>0</v>
      </c>
      <c r="BZ30" s="1">
        <v>0.30000000000000004</v>
      </c>
      <c r="CB30" s="17" t="s">
        <v>218</v>
      </c>
      <c r="CC30" s="17" t="s">
        <v>218</v>
      </c>
      <c r="CD30" s="3">
        <f t="shared" si="8"/>
        <v>-10.1</v>
      </c>
      <c r="CE30" s="17" t="s">
        <v>218</v>
      </c>
      <c r="CF30" s="17" t="s">
        <v>218</v>
      </c>
      <c r="CG30" s="17" t="s">
        <v>218</v>
      </c>
      <c r="CH30" s="17" t="s">
        <v>218</v>
      </c>
      <c r="CI30" s="17" t="s">
        <v>218</v>
      </c>
      <c r="CJ30" s="17" t="s">
        <v>218</v>
      </c>
      <c r="CK30" s="17" t="s">
        <v>218</v>
      </c>
      <c r="CL30" s="1">
        <f t="shared" si="9"/>
        <v>-5.8</v>
      </c>
      <c r="CM30" s="17" t="s">
        <v>218</v>
      </c>
      <c r="CN30" s="17" t="s">
        <v>218</v>
      </c>
      <c r="CO30" s="17" t="s">
        <v>218</v>
      </c>
      <c r="CP30" s="17" t="s">
        <v>218</v>
      </c>
      <c r="CQ30" s="17" t="s">
        <v>218</v>
      </c>
      <c r="CR30" s="17" t="s">
        <v>218</v>
      </c>
      <c r="CS30" s="17" t="s">
        <v>218</v>
      </c>
      <c r="CT30" s="1">
        <f t="shared" si="10"/>
        <v>-14.4</v>
      </c>
      <c r="CU30" s="17" t="s">
        <v>218</v>
      </c>
      <c r="CV30" s="17" t="s">
        <v>218</v>
      </c>
      <c r="CW30" s="17" t="s">
        <v>218</v>
      </c>
      <c r="CX30" s="17" t="s">
        <v>218</v>
      </c>
      <c r="CY30" s="17" t="s">
        <v>218</v>
      </c>
      <c r="CZ30" s="17" t="s">
        <v>218</v>
      </c>
      <c r="DA30" s="17" t="s">
        <v>218</v>
      </c>
      <c r="DB30" s="17" t="s">
        <v>218</v>
      </c>
      <c r="DC30" s="1">
        <f>ROUND(PPTest!K30,1)</f>
        <v>0.4</v>
      </c>
      <c r="DD30" s="17" t="s">
        <v>218</v>
      </c>
      <c r="DE30" s="17" t="s">
        <v>218</v>
      </c>
      <c r="DF30" s="24">
        <f t="shared" si="11"/>
        <v>0.2</v>
      </c>
      <c r="DG30" s="24">
        <f t="shared" si="12"/>
        <v>0.19600000000000001</v>
      </c>
      <c r="DH30" s="17" t="s">
        <v>218</v>
      </c>
      <c r="DQ30" s="1">
        <v>-5.0999999999999996</v>
      </c>
      <c r="DR30" s="1">
        <v>-0.7</v>
      </c>
      <c r="DS30" s="1">
        <v>-9.4</v>
      </c>
    </row>
    <row r="31" spans="1:123" x14ac:dyDescent="0.2">
      <c r="A31" s="15">
        <f t="shared" si="3"/>
        <v>36550</v>
      </c>
      <c r="B31" s="1">
        <v>25</v>
      </c>
      <c r="E31" s="50">
        <f t="shared" si="4"/>
        <v>-12.9</v>
      </c>
      <c r="F31" s="2"/>
      <c r="R31" s="50">
        <f t="shared" si="5"/>
        <v>-7.6</v>
      </c>
      <c r="AF31" s="50">
        <f t="shared" si="6"/>
        <v>-18.2</v>
      </c>
      <c r="BM31" s="17">
        <v>6.48</v>
      </c>
      <c r="BN31" s="17">
        <f t="shared" si="0"/>
        <v>13.089600000000001</v>
      </c>
      <c r="BO31" s="18"/>
      <c r="BP31" s="18"/>
      <c r="BU31" s="62">
        <f t="shared" si="1"/>
        <v>0.14499999999999999</v>
      </c>
      <c r="BV31" s="62">
        <f t="shared" si="2"/>
        <v>0.2</v>
      </c>
      <c r="BX31" s="51">
        <f t="shared" si="7"/>
        <v>0</v>
      </c>
      <c r="BY31" s="46">
        <v>4.03</v>
      </c>
      <c r="BZ31" s="1">
        <v>0</v>
      </c>
      <c r="CB31" s="17" t="s">
        <v>218</v>
      </c>
      <c r="CC31" s="17" t="s">
        <v>218</v>
      </c>
      <c r="CD31" s="3">
        <f t="shared" si="8"/>
        <v>-12.9</v>
      </c>
      <c r="CE31" s="17" t="s">
        <v>218</v>
      </c>
      <c r="CF31" s="17" t="s">
        <v>218</v>
      </c>
      <c r="CG31" s="17" t="s">
        <v>218</v>
      </c>
      <c r="CH31" s="17" t="s">
        <v>218</v>
      </c>
      <c r="CI31" s="17" t="s">
        <v>218</v>
      </c>
      <c r="CJ31" s="17" t="s">
        <v>218</v>
      </c>
      <c r="CK31" s="17" t="s">
        <v>218</v>
      </c>
      <c r="CL31" s="1">
        <f t="shared" si="9"/>
        <v>-7.6</v>
      </c>
      <c r="CM31" s="17" t="s">
        <v>218</v>
      </c>
      <c r="CN31" s="17" t="s">
        <v>218</v>
      </c>
      <c r="CO31" s="17" t="s">
        <v>218</v>
      </c>
      <c r="CP31" s="17" t="s">
        <v>218</v>
      </c>
      <c r="CQ31" s="17" t="s">
        <v>218</v>
      </c>
      <c r="CR31" s="17" t="s">
        <v>218</v>
      </c>
      <c r="CS31" s="17" t="s">
        <v>218</v>
      </c>
      <c r="CT31" s="1">
        <f t="shared" si="10"/>
        <v>-18.2</v>
      </c>
      <c r="CU31" s="17" t="s">
        <v>218</v>
      </c>
      <c r="CV31" s="17" t="s">
        <v>218</v>
      </c>
      <c r="CW31" s="17" t="s">
        <v>218</v>
      </c>
      <c r="CX31" s="17" t="s">
        <v>218</v>
      </c>
      <c r="CY31" s="17" t="s">
        <v>218</v>
      </c>
      <c r="CZ31" s="17" t="s">
        <v>218</v>
      </c>
      <c r="DA31" s="17" t="s">
        <v>218</v>
      </c>
      <c r="DB31" s="17" t="s">
        <v>218</v>
      </c>
      <c r="DC31" s="1">
        <f>ROUND(PPTest!K31,1)</f>
        <v>0</v>
      </c>
      <c r="DD31" s="17" t="s">
        <v>218</v>
      </c>
      <c r="DE31" s="17" t="s">
        <v>218</v>
      </c>
      <c r="DF31" s="24">
        <f t="shared" si="11"/>
        <v>0.14499999999999999</v>
      </c>
      <c r="DG31" s="24">
        <f t="shared" si="12"/>
        <v>0.2</v>
      </c>
      <c r="DH31" s="17" t="s">
        <v>218</v>
      </c>
      <c r="DQ31" s="1">
        <v>-8.6999999999999993</v>
      </c>
      <c r="DR31" s="1">
        <v>-3.4</v>
      </c>
      <c r="DS31" s="1">
        <v>-14</v>
      </c>
    </row>
    <row r="32" spans="1:123" x14ac:dyDescent="0.2">
      <c r="A32" s="15">
        <f t="shared" si="3"/>
        <v>36551</v>
      </c>
      <c r="B32" s="1">
        <v>26</v>
      </c>
      <c r="E32" s="50">
        <f t="shared" si="4"/>
        <v>-8</v>
      </c>
      <c r="F32" s="2"/>
      <c r="R32" s="50">
        <f t="shared" si="5"/>
        <v>-5.7</v>
      </c>
      <c r="AF32" s="50">
        <f t="shared" si="6"/>
        <v>-10.3</v>
      </c>
      <c r="BM32" s="17">
        <v>6.61</v>
      </c>
      <c r="BN32" s="17">
        <f t="shared" si="0"/>
        <v>13.352200000000002</v>
      </c>
      <c r="BO32" s="18"/>
      <c r="BP32" s="18"/>
      <c r="BU32" s="62">
        <f t="shared" si="1"/>
        <v>0.27900000000000003</v>
      </c>
      <c r="BV32" s="62">
        <f t="shared" si="2"/>
        <v>0.12</v>
      </c>
      <c r="BX32" s="51">
        <f t="shared" si="7"/>
        <v>1.5399999999999998</v>
      </c>
      <c r="BY32" s="46">
        <v>3.12</v>
      </c>
      <c r="BZ32" s="1">
        <v>1.0999999999999999</v>
      </c>
      <c r="CB32" s="17" t="s">
        <v>218</v>
      </c>
      <c r="CC32" s="17" t="s">
        <v>218</v>
      </c>
      <c r="CD32" s="3">
        <f t="shared" si="8"/>
        <v>-8</v>
      </c>
      <c r="CE32" s="17" t="s">
        <v>218</v>
      </c>
      <c r="CF32" s="17" t="s">
        <v>218</v>
      </c>
      <c r="CG32" s="17" t="s">
        <v>218</v>
      </c>
      <c r="CH32" s="17" t="s">
        <v>218</v>
      </c>
      <c r="CI32" s="17" t="s">
        <v>218</v>
      </c>
      <c r="CJ32" s="17" t="s">
        <v>218</v>
      </c>
      <c r="CK32" s="17" t="s">
        <v>218</v>
      </c>
      <c r="CL32" s="1">
        <f t="shared" si="9"/>
        <v>-5.7</v>
      </c>
      <c r="CM32" s="17" t="s">
        <v>218</v>
      </c>
      <c r="CN32" s="17" t="s">
        <v>218</v>
      </c>
      <c r="CO32" s="17" t="s">
        <v>218</v>
      </c>
      <c r="CP32" s="17" t="s">
        <v>218</v>
      </c>
      <c r="CQ32" s="17" t="s">
        <v>218</v>
      </c>
      <c r="CR32" s="17" t="s">
        <v>218</v>
      </c>
      <c r="CS32" s="17" t="s">
        <v>218</v>
      </c>
      <c r="CT32" s="1">
        <f t="shared" si="10"/>
        <v>-10.3</v>
      </c>
      <c r="CU32" s="17" t="s">
        <v>218</v>
      </c>
      <c r="CV32" s="17" t="s">
        <v>218</v>
      </c>
      <c r="CW32" s="17" t="s">
        <v>218</v>
      </c>
      <c r="CX32" s="17" t="s">
        <v>218</v>
      </c>
      <c r="CY32" s="17" t="s">
        <v>218</v>
      </c>
      <c r="CZ32" s="17" t="s">
        <v>218</v>
      </c>
      <c r="DA32" s="17" t="s">
        <v>218</v>
      </c>
      <c r="DB32" s="17" t="s">
        <v>218</v>
      </c>
      <c r="DC32" s="1">
        <f>ROUND(PPTest!K32,1)</f>
        <v>1.6</v>
      </c>
      <c r="DD32" s="17" t="s">
        <v>218</v>
      </c>
      <c r="DE32" s="17" t="s">
        <v>218</v>
      </c>
      <c r="DF32" s="24">
        <f t="shared" si="11"/>
        <v>0.27900000000000003</v>
      </c>
      <c r="DG32" s="24">
        <f t="shared" si="12"/>
        <v>0.12</v>
      </c>
      <c r="DH32" s="17" t="s">
        <v>218</v>
      </c>
      <c r="DQ32" s="1">
        <v>-2.4</v>
      </c>
      <c r="DR32" s="1">
        <v>-0.6</v>
      </c>
      <c r="DS32" s="1">
        <v>-4.0999999999999996</v>
      </c>
    </row>
    <row r="33" spans="1:123" x14ac:dyDescent="0.2">
      <c r="A33" s="15">
        <f t="shared" si="3"/>
        <v>36552</v>
      </c>
      <c r="B33" s="1">
        <v>27</v>
      </c>
      <c r="E33" s="50">
        <f t="shared" si="4"/>
        <v>-6.8</v>
      </c>
      <c r="F33" s="2"/>
      <c r="R33" s="50">
        <f t="shared" si="5"/>
        <v>-4.3</v>
      </c>
      <c r="AF33" s="50">
        <f t="shared" si="6"/>
        <v>-9.3000000000000007</v>
      </c>
      <c r="BM33" s="17">
        <v>6.74</v>
      </c>
      <c r="BN33" s="17">
        <f t="shared" si="0"/>
        <v>13.614800000000001</v>
      </c>
      <c r="BO33" s="18"/>
      <c r="BP33" s="18"/>
      <c r="BU33" s="62">
        <f t="shared" si="1"/>
        <v>0.30199999999999999</v>
      </c>
      <c r="BV33" s="62">
        <f t="shared" si="2"/>
        <v>0.14199999999999999</v>
      </c>
      <c r="BX33" s="51">
        <f t="shared" si="7"/>
        <v>0.7</v>
      </c>
      <c r="BY33" s="46">
        <v>0</v>
      </c>
      <c r="BZ33" s="1">
        <v>0.5</v>
      </c>
      <c r="CB33" s="17" t="s">
        <v>218</v>
      </c>
      <c r="CC33" s="17" t="s">
        <v>218</v>
      </c>
      <c r="CD33" s="3">
        <f t="shared" si="8"/>
        <v>-6.8</v>
      </c>
      <c r="CE33" s="17" t="s">
        <v>218</v>
      </c>
      <c r="CF33" s="17" t="s">
        <v>218</v>
      </c>
      <c r="CG33" s="17" t="s">
        <v>218</v>
      </c>
      <c r="CH33" s="17" t="s">
        <v>218</v>
      </c>
      <c r="CI33" s="17" t="s">
        <v>218</v>
      </c>
      <c r="CJ33" s="17" t="s">
        <v>218</v>
      </c>
      <c r="CK33" s="17" t="s">
        <v>218</v>
      </c>
      <c r="CL33" s="1">
        <f t="shared" si="9"/>
        <v>-4.3</v>
      </c>
      <c r="CM33" s="17" t="s">
        <v>218</v>
      </c>
      <c r="CN33" s="17" t="s">
        <v>218</v>
      </c>
      <c r="CO33" s="17" t="s">
        <v>218</v>
      </c>
      <c r="CP33" s="17" t="s">
        <v>218</v>
      </c>
      <c r="CQ33" s="17" t="s">
        <v>218</v>
      </c>
      <c r="CR33" s="17" t="s">
        <v>218</v>
      </c>
      <c r="CS33" s="17" t="s">
        <v>218</v>
      </c>
      <c r="CT33" s="1">
        <f t="shared" si="10"/>
        <v>-9.3000000000000007</v>
      </c>
      <c r="CU33" s="17" t="s">
        <v>218</v>
      </c>
      <c r="CV33" s="17" t="s">
        <v>218</v>
      </c>
      <c r="CW33" s="17" t="s">
        <v>218</v>
      </c>
      <c r="CX33" s="17" t="s">
        <v>218</v>
      </c>
      <c r="CY33" s="17" t="s">
        <v>218</v>
      </c>
      <c r="CZ33" s="17" t="s">
        <v>218</v>
      </c>
      <c r="DA33" s="17" t="s">
        <v>218</v>
      </c>
      <c r="DB33" s="17" t="s">
        <v>218</v>
      </c>
      <c r="DC33" s="1">
        <f>ROUND(PPTest!K33,1)</f>
        <v>0.7</v>
      </c>
      <c r="DD33" s="17" t="s">
        <v>218</v>
      </c>
      <c r="DE33" s="17" t="s">
        <v>218</v>
      </c>
      <c r="DF33" s="24">
        <f t="shared" si="11"/>
        <v>0.30199999999999999</v>
      </c>
      <c r="DG33" s="24">
        <f t="shared" si="12"/>
        <v>0.14199999999999999</v>
      </c>
      <c r="DH33" s="17" t="s">
        <v>218</v>
      </c>
      <c r="DQ33" s="1">
        <v>-0.8</v>
      </c>
      <c r="DR33" s="1">
        <v>1.5</v>
      </c>
      <c r="DS33" s="1">
        <v>-3</v>
      </c>
    </row>
    <row r="34" spans="1:123" x14ac:dyDescent="0.2">
      <c r="A34" s="15">
        <f t="shared" si="3"/>
        <v>36553</v>
      </c>
      <c r="B34" s="1">
        <v>28</v>
      </c>
      <c r="E34" s="50">
        <f t="shared" si="4"/>
        <v>-10.3</v>
      </c>
      <c r="F34" s="2"/>
      <c r="R34" s="50">
        <f t="shared" si="5"/>
        <v>-5.2</v>
      </c>
      <c r="AF34" s="50">
        <f t="shared" si="6"/>
        <v>-15.4</v>
      </c>
      <c r="BM34" s="17">
        <v>6.87</v>
      </c>
      <c r="BN34" s="17">
        <f t="shared" si="0"/>
        <v>13.8774</v>
      </c>
      <c r="BO34" s="18"/>
      <c r="BP34" s="18"/>
      <c r="BU34" s="62">
        <f t="shared" si="1"/>
        <v>0.184</v>
      </c>
      <c r="BV34" s="62">
        <f t="shared" si="2"/>
        <v>0.23100000000000001</v>
      </c>
      <c r="BX34" s="51">
        <f t="shared" si="7"/>
        <v>0</v>
      </c>
      <c r="BY34" s="46">
        <v>0</v>
      </c>
      <c r="BZ34" s="1">
        <v>0</v>
      </c>
      <c r="CB34" s="17" t="s">
        <v>218</v>
      </c>
      <c r="CC34" s="17" t="s">
        <v>218</v>
      </c>
      <c r="CD34" s="3">
        <f t="shared" si="8"/>
        <v>-10.3</v>
      </c>
      <c r="CE34" s="17" t="s">
        <v>218</v>
      </c>
      <c r="CF34" s="17" t="s">
        <v>218</v>
      </c>
      <c r="CG34" s="17" t="s">
        <v>218</v>
      </c>
      <c r="CH34" s="17" t="s">
        <v>218</v>
      </c>
      <c r="CI34" s="17" t="s">
        <v>218</v>
      </c>
      <c r="CJ34" s="17" t="s">
        <v>218</v>
      </c>
      <c r="CK34" s="17" t="s">
        <v>218</v>
      </c>
      <c r="CL34" s="1">
        <f t="shared" si="9"/>
        <v>-5.2</v>
      </c>
      <c r="CM34" s="17" t="s">
        <v>218</v>
      </c>
      <c r="CN34" s="17" t="s">
        <v>218</v>
      </c>
      <c r="CO34" s="17" t="s">
        <v>218</v>
      </c>
      <c r="CP34" s="17" t="s">
        <v>218</v>
      </c>
      <c r="CQ34" s="17" t="s">
        <v>218</v>
      </c>
      <c r="CR34" s="17" t="s">
        <v>218</v>
      </c>
      <c r="CS34" s="17" t="s">
        <v>218</v>
      </c>
      <c r="CT34" s="1">
        <f t="shared" si="10"/>
        <v>-15.4</v>
      </c>
      <c r="CU34" s="17" t="s">
        <v>218</v>
      </c>
      <c r="CV34" s="17" t="s">
        <v>218</v>
      </c>
      <c r="CW34" s="17" t="s">
        <v>218</v>
      </c>
      <c r="CX34" s="17" t="s">
        <v>218</v>
      </c>
      <c r="CY34" s="17" t="s">
        <v>218</v>
      </c>
      <c r="CZ34" s="17" t="s">
        <v>218</v>
      </c>
      <c r="DA34" s="17" t="s">
        <v>218</v>
      </c>
      <c r="DB34" s="17" t="s">
        <v>218</v>
      </c>
      <c r="DC34" s="1">
        <f>ROUND(PPTest!K34,1)</f>
        <v>0</v>
      </c>
      <c r="DD34" s="17" t="s">
        <v>218</v>
      </c>
      <c r="DE34" s="17" t="s">
        <v>218</v>
      </c>
      <c r="DF34" s="24">
        <f t="shared" si="11"/>
        <v>0.184</v>
      </c>
      <c r="DG34" s="24">
        <f t="shared" si="12"/>
        <v>0.23100000000000001</v>
      </c>
      <c r="DH34" s="17" t="s">
        <v>218</v>
      </c>
      <c r="DQ34" s="1">
        <v>-5.3</v>
      </c>
      <c r="DR34" s="1">
        <v>0.2</v>
      </c>
      <c r="DS34" s="1">
        <v>-10.8</v>
      </c>
    </row>
    <row r="35" spans="1:123" x14ac:dyDescent="0.2">
      <c r="A35" s="15">
        <f t="shared" si="3"/>
        <v>36554</v>
      </c>
      <c r="B35" s="1">
        <v>29</v>
      </c>
      <c r="E35" s="50">
        <f t="shared" si="4"/>
        <v>-10.6</v>
      </c>
      <c r="F35" s="2"/>
      <c r="R35" s="50">
        <f t="shared" si="5"/>
        <v>-4.5999999999999996</v>
      </c>
      <c r="AF35" s="50">
        <f t="shared" si="6"/>
        <v>-16.600000000000001</v>
      </c>
      <c r="BM35" s="17">
        <v>7</v>
      </c>
      <c r="BN35" s="17">
        <f t="shared" si="0"/>
        <v>14.14</v>
      </c>
      <c r="BO35" s="18"/>
      <c r="BP35" s="18"/>
      <c r="BU35" s="62">
        <f t="shared" si="1"/>
        <v>0.16700000000000001</v>
      </c>
      <c r="BV35" s="62">
        <f t="shared" si="2"/>
        <v>0.26700000000000002</v>
      </c>
      <c r="BX35" s="51">
        <f t="shared" si="7"/>
        <v>0.84</v>
      </c>
      <c r="BY35" s="46">
        <v>0</v>
      </c>
      <c r="BZ35" s="1">
        <v>0.6</v>
      </c>
      <c r="CB35" s="17" t="s">
        <v>218</v>
      </c>
      <c r="CC35" s="17" t="s">
        <v>218</v>
      </c>
      <c r="CD35" s="3">
        <f t="shared" si="8"/>
        <v>-10.6</v>
      </c>
      <c r="CE35" s="17" t="s">
        <v>218</v>
      </c>
      <c r="CF35" s="17" t="s">
        <v>218</v>
      </c>
      <c r="CG35" s="17" t="s">
        <v>218</v>
      </c>
      <c r="CH35" s="17" t="s">
        <v>218</v>
      </c>
      <c r="CI35" s="17" t="s">
        <v>218</v>
      </c>
      <c r="CJ35" s="17" t="s">
        <v>218</v>
      </c>
      <c r="CK35" s="17" t="s">
        <v>218</v>
      </c>
      <c r="CL35" s="1">
        <f t="shared" si="9"/>
        <v>-4.5999999999999996</v>
      </c>
      <c r="CM35" s="17" t="s">
        <v>218</v>
      </c>
      <c r="CN35" s="17" t="s">
        <v>218</v>
      </c>
      <c r="CO35" s="17" t="s">
        <v>218</v>
      </c>
      <c r="CP35" s="17" t="s">
        <v>218</v>
      </c>
      <c r="CQ35" s="17" t="s">
        <v>218</v>
      </c>
      <c r="CR35" s="17" t="s">
        <v>218</v>
      </c>
      <c r="CS35" s="17" t="s">
        <v>218</v>
      </c>
      <c r="CT35" s="1">
        <f t="shared" si="10"/>
        <v>-16.600000000000001</v>
      </c>
      <c r="CU35" s="17" t="s">
        <v>218</v>
      </c>
      <c r="CV35" s="17" t="s">
        <v>218</v>
      </c>
      <c r="CW35" s="17" t="s">
        <v>218</v>
      </c>
      <c r="CX35" s="17" t="s">
        <v>218</v>
      </c>
      <c r="CY35" s="17" t="s">
        <v>218</v>
      </c>
      <c r="CZ35" s="17" t="s">
        <v>218</v>
      </c>
      <c r="DA35" s="17" t="s">
        <v>218</v>
      </c>
      <c r="DB35" s="17" t="s">
        <v>218</v>
      </c>
      <c r="DC35" s="1">
        <f>ROUND(PPTest!K35,1)</f>
        <v>0.9</v>
      </c>
      <c r="DD35" s="17" t="s">
        <v>218</v>
      </c>
      <c r="DE35" s="17" t="s">
        <v>218</v>
      </c>
      <c r="DF35" s="24">
        <f t="shared" si="11"/>
        <v>0.16700000000000001</v>
      </c>
      <c r="DG35" s="24">
        <f t="shared" si="12"/>
        <v>0.26700000000000002</v>
      </c>
      <c r="DH35" s="17" t="s">
        <v>218</v>
      </c>
      <c r="DQ35" s="1">
        <v>-5.7</v>
      </c>
      <c r="DR35" s="1">
        <v>1</v>
      </c>
      <c r="DS35" s="1">
        <v>-12.4</v>
      </c>
    </row>
    <row r="36" spans="1:123" x14ac:dyDescent="0.2">
      <c r="A36" s="15">
        <f t="shared" si="3"/>
        <v>36555</v>
      </c>
      <c r="B36" s="1">
        <v>30</v>
      </c>
      <c r="E36" s="50">
        <f t="shared" si="4"/>
        <v>-13.7</v>
      </c>
      <c r="F36" s="2"/>
      <c r="R36" s="50">
        <f t="shared" si="5"/>
        <v>-6.7</v>
      </c>
      <c r="AF36" s="50">
        <f t="shared" si="6"/>
        <v>-20.7</v>
      </c>
      <c r="BM36" s="17">
        <v>7.14</v>
      </c>
      <c r="BN36" s="17">
        <f t="shared" si="0"/>
        <v>14.422799999999999</v>
      </c>
      <c r="BO36" s="18"/>
      <c r="BP36" s="18"/>
      <c r="BU36" s="62">
        <f t="shared" si="1"/>
        <v>0.11700000000000001</v>
      </c>
      <c r="BV36" s="62">
        <f t="shared" si="2"/>
        <v>0.253</v>
      </c>
      <c r="BX36" s="51">
        <f t="shared" si="7"/>
        <v>0</v>
      </c>
      <c r="BY36" s="46">
        <v>0</v>
      </c>
      <c r="BZ36" s="1">
        <v>0</v>
      </c>
      <c r="CB36" s="17" t="s">
        <v>218</v>
      </c>
      <c r="CC36" s="17" t="s">
        <v>218</v>
      </c>
      <c r="CD36" s="3">
        <f t="shared" si="8"/>
        <v>-13.7</v>
      </c>
      <c r="CE36" s="17" t="s">
        <v>218</v>
      </c>
      <c r="CF36" s="17" t="s">
        <v>218</v>
      </c>
      <c r="CG36" s="17" t="s">
        <v>218</v>
      </c>
      <c r="CH36" s="17" t="s">
        <v>218</v>
      </c>
      <c r="CI36" s="17" t="s">
        <v>218</v>
      </c>
      <c r="CJ36" s="17" t="s">
        <v>218</v>
      </c>
      <c r="CK36" s="17" t="s">
        <v>218</v>
      </c>
      <c r="CL36" s="1">
        <f t="shared" si="9"/>
        <v>-6.7</v>
      </c>
      <c r="CM36" s="17" t="s">
        <v>218</v>
      </c>
      <c r="CN36" s="17" t="s">
        <v>218</v>
      </c>
      <c r="CO36" s="17" t="s">
        <v>218</v>
      </c>
      <c r="CP36" s="17" t="s">
        <v>218</v>
      </c>
      <c r="CQ36" s="17" t="s">
        <v>218</v>
      </c>
      <c r="CR36" s="17" t="s">
        <v>218</v>
      </c>
      <c r="CS36" s="17" t="s">
        <v>218</v>
      </c>
      <c r="CT36" s="1">
        <f t="shared" si="10"/>
        <v>-20.7</v>
      </c>
      <c r="CU36" s="17" t="s">
        <v>218</v>
      </c>
      <c r="CV36" s="17" t="s">
        <v>218</v>
      </c>
      <c r="CW36" s="17" t="s">
        <v>218</v>
      </c>
      <c r="CX36" s="17" t="s">
        <v>218</v>
      </c>
      <c r="CY36" s="17" t="s">
        <v>218</v>
      </c>
      <c r="CZ36" s="17" t="s">
        <v>218</v>
      </c>
      <c r="DA36" s="17" t="s">
        <v>218</v>
      </c>
      <c r="DB36" s="17" t="s">
        <v>218</v>
      </c>
      <c r="DC36" s="1">
        <f>ROUND(PPTest!K36,1)</f>
        <v>0</v>
      </c>
      <c r="DD36" s="17" t="s">
        <v>218</v>
      </c>
      <c r="DE36" s="17" t="s">
        <v>218</v>
      </c>
      <c r="DF36" s="24">
        <f t="shared" si="11"/>
        <v>0.11700000000000001</v>
      </c>
      <c r="DG36" s="24">
        <f t="shared" si="12"/>
        <v>0.253</v>
      </c>
      <c r="DH36" s="17" t="s">
        <v>218</v>
      </c>
      <c r="DQ36" s="1">
        <v>-9.6999999999999993</v>
      </c>
      <c r="DR36" s="1">
        <v>-2</v>
      </c>
      <c r="DS36" s="1">
        <v>-17.399999999999999</v>
      </c>
    </row>
    <row r="37" spans="1:123" x14ac:dyDescent="0.2">
      <c r="A37" s="15">
        <f t="shared" si="3"/>
        <v>36556</v>
      </c>
      <c r="B37" s="1">
        <v>31</v>
      </c>
      <c r="E37" s="50">
        <f t="shared" si="4"/>
        <v>-11.4</v>
      </c>
      <c r="F37" s="2"/>
      <c r="R37" s="50">
        <f t="shared" si="5"/>
        <v>-4.9000000000000004</v>
      </c>
      <c r="AF37" s="50">
        <f t="shared" si="6"/>
        <v>-17.899999999999999</v>
      </c>
      <c r="BM37" s="17">
        <v>7.28</v>
      </c>
      <c r="BN37" s="17">
        <f t="shared" si="0"/>
        <v>14.7056</v>
      </c>
      <c r="BO37" s="18"/>
      <c r="BP37" s="18"/>
      <c r="BU37" s="62">
        <f t="shared" si="1"/>
        <v>0.14899999999999999</v>
      </c>
      <c r="BV37" s="62">
        <f t="shared" si="2"/>
        <v>0.27500000000000002</v>
      </c>
      <c r="BX37" s="51">
        <f t="shared" si="7"/>
        <v>0.7</v>
      </c>
      <c r="BY37" s="46">
        <v>4.68</v>
      </c>
      <c r="BZ37" s="1">
        <v>0.5</v>
      </c>
      <c r="CB37" s="17" t="s">
        <v>218</v>
      </c>
      <c r="CC37" s="17" t="s">
        <v>218</v>
      </c>
      <c r="CD37" s="3">
        <f t="shared" si="8"/>
        <v>-11.4</v>
      </c>
      <c r="CE37" s="17" t="s">
        <v>218</v>
      </c>
      <c r="CF37" s="17" t="s">
        <v>218</v>
      </c>
      <c r="CG37" s="17" t="s">
        <v>218</v>
      </c>
      <c r="CH37" s="17" t="s">
        <v>218</v>
      </c>
      <c r="CI37" s="17" t="s">
        <v>218</v>
      </c>
      <c r="CJ37" s="17" t="s">
        <v>218</v>
      </c>
      <c r="CK37" s="17" t="s">
        <v>218</v>
      </c>
      <c r="CL37" s="1">
        <f t="shared" si="9"/>
        <v>-4.9000000000000004</v>
      </c>
      <c r="CM37" s="17" t="s">
        <v>218</v>
      </c>
      <c r="CN37" s="17" t="s">
        <v>218</v>
      </c>
      <c r="CO37" s="17" t="s">
        <v>218</v>
      </c>
      <c r="CP37" s="17" t="s">
        <v>218</v>
      </c>
      <c r="CQ37" s="17" t="s">
        <v>218</v>
      </c>
      <c r="CR37" s="17" t="s">
        <v>218</v>
      </c>
      <c r="CS37" s="17" t="s">
        <v>218</v>
      </c>
      <c r="CT37" s="1">
        <f t="shared" si="10"/>
        <v>-17.899999999999999</v>
      </c>
      <c r="CU37" s="17" t="s">
        <v>218</v>
      </c>
      <c r="CV37" s="17" t="s">
        <v>218</v>
      </c>
      <c r="CW37" s="17" t="s">
        <v>218</v>
      </c>
      <c r="CX37" s="17" t="s">
        <v>218</v>
      </c>
      <c r="CY37" s="17" t="s">
        <v>218</v>
      </c>
      <c r="CZ37" s="17" t="s">
        <v>218</v>
      </c>
      <c r="DA37" s="17" t="s">
        <v>218</v>
      </c>
      <c r="DB37" s="17" t="s">
        <v>218</v>
      </c>
      <c r="DC37" s="1">
        <f>ROUND(PPTest!K37,1)</f>
        <v>0.7</v>
      </c>
      <c r="DD37" s="17" t="s">
        <v>218</v>
      </c>
      <c r="DE37" s="17" t="s">
        <v>218</v>
      </c>
      <c r="DF37" s="24">
        <f t="shared" si="11"/>
        <v>0.14899999999999999</v>
      </c>
      <c r="DG37" s="24">
        <f t="shared" si="12"/>
        <v>0.27500000000000002</v>
      </c>
      <c r="DH37" s="17" t="s">
        <v>218</v>
      </c>
      <c r="DQ37" s="1">
        <v>-6.7</v>
      </c>
      <c r="DR37" s="1">
        <v>0.6</v>
      </c>
      <c r="DS37" s="1">
        <v>-13.9</v>
      </c>
    </row>
    <row r="38" spans="1:123" x14ac:dyDescent="0.2">
      <c r="A38" s="15">
        <f t="shared" si="3"/>
        <v>36557</v>
      </c>
      <c r="B38" s="1">
        <v>32</v>
      </c>
      <c r="E38" s="50">
        <f t="shared" si="4"/>
        <v>-8.4</v>
      </c>
      <c r="F38" s="2"/>
      <c r="R38" s="50">
        <f t="shared" si="5"/>
        <v>-5</v>
      </c>
      <c r="AF38" s="50">
        <f t="shared" si="6"/>
        <v>-11.8</v>
      </c>
      <c r="BM38" s="17">
        <v>7.43</v>
      </c>
      <c r="BN38" s="17">
        <f t="shared" si="0"/>
        <v>15.008599999999999</v>
      </c>
      <c r="BO38" s="18"/>
      <c r="BP38" s="18"/>
      <c r="BU38" s="62">
        <f t="shared" si="1"/>
        <v>0.247</v>
      </c>
      <c r="BV38" s="62">
        <f t="shared" si="2"/>
        <v>0.17399999999999999</v>
      </c>
      <c r="BX38" s="51">
        <f t="shared" si="7"/>
        <v>4.9000000000000004</v>
      </c>
      <c r="BY38" s="46">
        <v>2.34</v>
      </c>
      <c r="BZ38" s="1">
        <v>3.5000000000000004</v>
      </c>
      <c r="CB38" s="17" t="s">
        <v>218</v>
      </c>
      <c r="CC38" s="17" t="s">
        <v>218</v>
      </c>
      <c r="CD38" s="3">
        <f t="shared" si="8"/>
        <v>-8.4</v>
      </c>
      <c r="CE38" s="17" t="s">
        <v>218</v>
      </c>
      <c r="CF38" s="17" t="s">
        <v>218</v>
      </c>
      <c r="CG38" s="17" t="s">
        <v>218</v>
      </c>
      <c r="CH38" s="17" t="s">
        <v>218</v>
      </c>
      <c r="CI38" s="17" t="s">
        <v>218</v>
      </c>
      <c r="CJ38" s="17" t="s">
        <v>218</v>
      </c>
      <c r="CK38" s="17" t="s">
        <v>218</v>
      </c>
      <c r="CL38" s="1">
        <f t="shared" si="9"/>
        <v>-5</v>
      </c>
      <c r="CM38" s="17" t="s">
        <v>218</v>
      </c>
      <c r="CN38" s="17" t="s">
        <v>218</v>
      </c>
      <c r="CO38" s="17" t="s">
        <v>218</v>
      </c>
      <c r="CP38" s="17" t="s">
        <v>218</v>
      </c>
      <c r="CQ38" s="17" t="s">
        <v>218</v>
      </c>
      <c r="CR38" s="17" t="s">
        <v>218</v>
      </c>
      <c r="CS38" s="17" t="s">
        <v>218</v>
      </c>
      <c r="CT38" s="1">
        <f t="shared" si="10"/>
        <v>-11.8</v>
      </c>
      <c r="CU38" s="17" t="s">
        <v>218</v>
      </c>
      <c r="CV38" s="17" t="s">
        <v>218</v>
      </c>
      <c r="CW38" s="17" t="s">
        <v>218</v>
      </c>
      <c r="CX38" s="17" t="s">
        <v>218</v>
      </c>
      <c r="CY38" s="17" t="s">
        <v>218</v>
      </c>
      <c r="CZ38" s="17" t="s">
        <v>218</v>
      </c>
      <c r="DA38" s="17" t="s">
        <v>218</v>
      </c>
      <c r="DB38" s="17" t="s">
        <v>218</v>
      </c>
      <c r="DC38" s="1">
        <f>ROUND(PPTest!K38,1)</f>
        <v>5.0999999999999996</v>
      </c>
      <c r="DD38" s="17" t="s">
        <v>218</v>
      </c>
      <c r="DE38" s="17" t="s">
        <v>218</v>
      </c>
      <c r="DF38" s="24">
        <f t="shared" si="11"/>
        <v>0.247</v>
      </c>
      <c r="DG38" s="24">
        <f t="shared" si="12"/>
        <v>0.17399999999999999</v>
      </c>
      <c r="DH38" s="17" t="s">
        <v>218</v>
      </c>
      <c r="DQ38" s="1">
        <v>-2.8</v>
      </c>
      <c r="DR38" s="1">
        <v>0.4</v>
      </c>
      <c r="DS38" s="1">
        <v>-6</v>
      </c>
    </row>
    <row r="39" spans="1:123" x14ac:dyDescent="0.2">
      <c r="A39" s="15">
        <f t="shared" si="3"/>
        <v>36558</v>
      </c>
      <c r="B39" s="1">
        <v>33</v>
      </c>
      <c r="E39" s="50">
        <f t="shared" si="4"/>
        <v>-6.3</v>
      </c>
      <c r="F39" s="2"/>
      <c r="R39" s="50">
        <f t="shared" si="5"/>
        <v>-4.0999999999999996</v>
      </c>
      <c r="AF39" s="50">
        <f t="shared" si="6"/>
        <v>-8.5</v>
      </c>
      <c r="BM39" s="17">
        <v>7.59</v>
      </c>
      <c r="BN39" s="17">
        <f t="shared" si="0"/>
        <v>15.331799999999999</v>
      </c>
      <c r="BO39" s="18"/>
      <c r="BP39" s="18"/>
      <c r="BU39" s="62">
        <f t="shared" ref="BU39:BU67" si="13">ROUND((0.6105*(EXP((17.273*AF39)/(AF39+237.3)))),3)</f>
        <v>0.32100000000000001</v>
      </c>
      <c r="BV39" s="62">
        <f t="shared" ref="BV39:BV67" si="14">ROUND((0.6105*(EXP((17.273*R39)/(R39+237.3))))-BU39,3)</f>
        <v>0.13</v>
      </c>
      <c r="BX39" s="51">
        <f t="shared" si="7"/>
        <v>0</v>
      </c>
      <c r="BY39" s="46">
        <v>0</v>
      </c>
      <c r="BZ39" s="1">
        <v>0</v>
      </c>
      <c r="CB39" s="17" t="s">
        <v>218</v>
      </c>
      <c r="CC39" s="17" t="s">
        <v>218</v>
      </c>
      <c r="CD39" s="3">
        <f t="shared" si="8"/>
        <v>-6.3</v>
      </c>
      <c r="CE39" s="17" t="s">
        <v>218</v>
      </c>
      <c r="CF39" s="17" t="s">
        <v>218</v>
      </c>
      <c r="CG39" s="17" t="s">
        <v>218</v>
      </c>
      <c r="CH39" s="17" t="s">
        <v>218</v>
      </c>
      <c r="CI39" s="17" t="s">
        <v>218</v>
      </c>
      <c r="CJ39" s="17" t="s">
        <v>218</v>
      </c>
      <c r="CK39" s="17" t="s">
        <v>218</v>
      </c>
      <c r="CL39" s="1">
        <f t="shared" si="9"/>
        <v>-4.0999999999999996</v>
      </c>
      <c r="CM39" s="17" t="s">
        <v>218</v>
      </c>
      <c r="CN39" s="17" t="s">
        <v>218</v>
      </c>
      <c r="CO39" s="17" t="s">
        <v>218</v>
      </c>
      <c r="CP39" s="17" t="s">
        <v>218</v>
      </c>
      <c r="CQ39" s="17" t="s">
        <v>218</v>
      </c>
      <c r="CR39" s="17" t="s">
        <v>218</v>
      </c>
      <c r="CS39" s="17" t="s">
        <v>218</v>
      </c>
      <c r="CT39" s="1">
        <f t="shared" si="10"/>
        <v>-8.5</v>
      </c>
      <c r="CU39" s="17" t="s">
        <v>218</v>
      </c>
      <c r="CV39" s="17" t="s">
        <v>218</v>
      </c>
      <c r="CW39" s="17" t="s">
        <v>218</v>
      </c>
      <c r="CX39" s="17" t="s">
        <v>218</v>
      </c>
      <c r="CY39" s="17" t="s">
        <v>218</v>
      </c>
      <c r="CZ39" s="17" t="s">
        <v>218</v>
      </c>
      <c r="DA39" s="17" t="s">
        <v>218</v>
      </c>
      <c r="DB39" s="17" t="s">
        <v>218</v>
      </c>
      <c r="DC39" s="1">
        <f>ROUND(PPTest!K39,1)</f>
        <v>0</v>
      </c>
      <c r="DD39" s="17" t="s">
        <v>218</v>
      </c>
      <c r="DE39" s="17" t="s">
        <v>218</v>
      </c>
      <c r="DF39" s="24">
        <f t="shared" si="11"/>
        <v>0.32100000000000001</v>
      </c>
      <c r="DG39" s="24">
        <f t="shared" si="12"/>
        <v>0.13</v>
      </c>
      <c r="DH39" s="17" t="s">
        <v>218</v>
      </c>
      <c r="DQ39" s="1">
        <v>-0.1</v>
      </c>
      <c r="DR39" s="1">
        <v>1.7</v>
      </c>
      <c r="DS39" s="1">
        <v>-1.9</v>
      </c>
    </row>
    <row r="40" spans="1:123" x14ac:dyDescent="0.2">
      <c r="A40" s="15">
        <f t="shared" si="3"/>
        <v>36559</v>
      </c>
      <c r="B40" s="1">
        <v>34</v>
      </c>
      <c r="E40" s="50">
        <f t="shared" si="4"/>
        <v>-6.8</v>
      </c>
      <c r="F40" s="2"/>
      <c r="R40" s="50">
        <f t="shared" si="5"/>
        <v>-2.8</v>
      </c>
      <c r="AF40" s="50">
        <f t="shared" si="6"/>
        <v>-10.8</v>
      </c>
      <c r="BM40" s="17">
        <v>7.74</v>
      </c>
      <c r="BN40" s="17">
        <f t="shared" si="0"/>
        <v>15.6348</v>
      </c>
      <c r="BO40" s="18"/>
      <c r="BP40" s="18"/>
      <c r="BU40" s="62">
        <f t="shared" si="13"/>
        <v>0.26800000000000002</v>
      </c>
      <c r="BV40" s="62">
        <f t="shared" si="14"/>
        <v>0.22900000000000001</v>
      </c>
      <c r="BX40" s="51">
        <f t="shared" si="7"/>
        <v>0</v>
      </c>
      <c r="BY40" s="46">
        <v>0</v>
      </c>
      <c r="BZ40" s="1">
        <v>0</v>
      </c>
      <c r="CB40" s="17" t="s">
        <v>218</v>
      </c>
      <c r="CC40" s="17" t="s">
        <v>218</v>
      </c>
      <c r="CD40" s="3">
        <f t="shared" si="8"/>
        <v>-6.8</v>
      </c>
      <c r="CE40" s="17" t="s">
        <v>218</v>
      </c>
      <c r="CF40" s="17" t="s">
        <v>218</v>
      </c>
      <c r="CG40" s="17" t="s">
        <v>218</v>
      </c>
      <c r="CH40" s="17" t="s">
        <v>218</v>
      </c>
      <c r="CI40" s="17" t="s">
        <v>218</v>
      </c>
      <c r="CJ40" s="17" t="s">
        <v>218</v>
      </c>
      <c r="CK40" s="17" t="s">
        <v>218</v>
      </c>
      <c r="CL40" s="1">
        <f t="shared" si="9"/>
        <v>-2.8</v>
      </c>
      <c r="CM40" s="17" t="s">
        <v>218</v>
      </c>
      <c r="CN40" s="17" t="s">
        <v>218</v>
      </c>
      <c r="CO40" s="17" t="s">
        <v>218</v>
      </c>
      <c r="CP40" s="17" t="s">
        <v>218</v>
      </c>
      <c r="CQ40" s="17" t="s">
        <v>218</v>
      </c>
      <c r="CR40" s="17" t="s">
        <v>218</v>
      </c>
      <c r="CS40" s="17" t="s">
        <v>218</v>
      </c>
      <c r="CT40" s="1">
        <f t="shared" si="10"/>
        <v>-10.8</v>
      </c>
      <c r="CU40" s="17" t="s">
        <v>218</v>
      </c>
      <c r="CV40" s="17" t="s">
        <v>218</v>
      </c>
      <c r="CW40" s="17" t="s">
        <v>218</v>
      </c>
      <c r="CX40" s="17" t="s">
        <v>218</v>
      </c>
      <c r="CY40" s="17" t="s">
        <v>218</v>
      </c>
      <c r="CZ40" s="17" t="s">
        <v>218</v>
      </c>
      <c r="DA40" s="17" t="s">
        <v>218</v>
      </c>
      <c r="DB40" s="17" t="s">
        <v>218</v>
      </c>
      <c r="DC40" s="1">
        <f>ROUND(PPTest!K40,1)</f>
        <v>0</v>
      </c>
      <c r="DD40" s="17" t="s">
        <v>218</v>
      </c>
      <c r="DE40" s="17" t="s">
        <v>218</v>
      </c>
      <c r="DF40" s="24">
        <f t="shared" si="11"/>
        <v>0.26800000000000002</v>
      </c>
      <c r="DG40" s="24">
        <f t="shared" si="12"/>
        <v>0.22900000000000001</v>
      </c>
      <c r="DH40" s="17" t="s">
        <v>218</v>
      </c>
      <c r="DQ40" s="1">
        <v>-0.8</v>
      </c>
      <c r="DR40" s="1">
        <v>3.6</v>
      </c>
      <c r="DS40" s="1">
        <v>-5.0999999999999996</v>
      </c>
    </row>
    <row r="41" spans="1:123" x14ac:dyDescent="0.2">
      <c r="A41" s="15">
        <f t="shared" si="3"/>
        <v>36560</v>
      </c>
      <c r="B41" s="1">
        <v>35</v>
      </c>
      <c r="E41" s="50">
        <f t="shared" si="4"/>
        <v>-9.4</v>
      </c>
      <c r="F41" s="2"/>
      <c r="R41" s="50">
        <f t="shared" si="5"/>
        <v>-6.1</v>
      </c>
      <c r="AF41" s="50">
        <f t="shared" si="6"/>
        <v>-12.7</v>
      </c>
      <c r="BM41" s="17">
        <v>7.9</v>
      </c>
      <c r="BN41" s="17">
        <f t="shared" si="0"/>
        <v>15.958</v>
      </c>
      <c r="BO41" s="18"/>
      <c r="BP41" s="18"/>
      <c r="BU41" s="62">
        <f t="shared" si="13"/>
        <v>0.23</v>
      </c>
      <c r="BV41" s="62">
        <f t="shared" si="14"/>
        <v>0.157</v>
      </c>
      <c r="BX41" s="51">
        <f t="shared" si="7"/>
        <v>1.1199999999999999</v>
      </c>
      <c r="BY41" s="46">
        <v>0</v>
      </c>
      <c r="BZ41" s="1">
        <v>0.8</v>
      </c>
      <c r="CB41" s="17" t="s">
        <v>218</v>
      </c>
      <c r="CC41" s="17" t="s">
        <v>218</v>
      </c>
      <c r="CD41" s="3">
        <f t="shared" si="8"/>
        <v>-9.4</v>
      </c>
      <c r="CE41" s="17" t="s">
        <v>218</v>
      </c>
      <c r="CF41" s="17" t="s">
        <v>218</v>
      </c>
      <c r="CG41" s="17" t="s">
        <v>218</v>
      </c>
      <c r="CH41" s="17" t="s">
        <v>218</v>
      </c>
      <c r="CI41" s="17" t="s">
        <v>218</v>
      </c>
      <c r="CJ41" s="17" t="s">
        <v>218</v>
      </c>
      <c r="CK41" s="17" t="s">
        <v>218</v>
      </c>
      <c r="CL41" s="1">
        <f t="shared" si="9"/>
        <v>-6.1</v>
      </c>
      <c r="CM41" s="17" t="s">
        <v>218</v>
      </c>
      <c r="CN41" s="17" t="s">
        <v>218</v>
      </c>
      <c r="CO41" s="17" t="s">
        <v>218</v>
      </c>
      <c r="CP41" s="17" t="s">
        <v>218</v>
      </c>
      <c r="CQ41" s="17" t="s">
        <v>218</v>
      </c>
      <c r="CR41" s="17" t="s">
        <v>218</v>
      </c>
      <c r="CS41" s="17" t="s">
        <v>218</v>
      </c>
      <c r="CT41" s="1">
        <f t="shared" si="10"/>
        <v>-12.7</v>
      </c>
      <c r="CU41" s="17" t="s">
        <v>218</v>
      </c>
      <c r="CV41" s="17" t="s">
        <v>218</v>
      </c>
      <c r="CW41" s="17" t="s">
        <v>218</v>
      </c>
      <c r="CX41" s="17" t="s">
        <v>218</v>
      </c>
      <c r="CY41" s="17" t="s">
        <v>218</v>
      </c>
      <c r="CZ41" s="17" t="s">
        <v>218</v>
      </c>
      <c r="DA41" s="17" t="s">
        <v>218</v>
      </c>
      <c r="DB41" s="17" t="s">
        <v>218</v>
      </c>
      <c r="DC41" s="1">
        <f>ROUND(PPTest!K41,1)</f>
        <v>1.2</v>
      </c>
      <c r="DD41" s="17" t="s">
        <v>218</v>
      </c>
      <c r="DE41" s="17" t="s">
        <v>218</v>
      </c>
      <c r="DF41" s="24">
        <f t="shared" si="11"/>
        <v>0.23</v>
      </c>
      <c r="DG41" s="24">
        <f t="shared" si="12"/>
        <v>0.157</v>
      </c>
      <c r="DH41" s="17" t="s">
        <v>218</v>
      </c>
      <c r="DQ41" s="1">
        <v>-4.2</v>
      </c>
      <c r="DR41" s="1">
        <v>-1.2</v>
      </c>
      <c r="DS41" s="1">
        <v>-7.2</v>
      </c>
    </row>
    <row r="42" spans="1:123" x14ac:dyDescent="0.2">
      <c r="A42" s="15">
        <f t="shared" si="3"/>
        <v>36561</v>
      </c>
      <c r="B42" s="1">
        <v>36</v>
      </c>
      <c r="E42" s="50">
        <f t="shared" si="4"/>
        <v>-7.7</v>
      </c>
      <c r="F42" s="2"/>
      <c r="R42" s="50">
        <f t="shared" si="5"/>
        <v>-3.3</v>
      </c>
      <c r="AF42" s="50">
        <f t="shared" si="6"/>
        <v>-12.1</v>
      </c>
      <c r="BM42" s="17">
        <v>8.06</v>
      </c>
      <c r="BN42" s="17">
        <f t="shared" si="0"/>
        <v>16.281200000000002</v>
      </c>
      <c r="BO42" s="18"/>
      <c r="BP42" s="18"/>
      <c r="BU42" s="62">
        <f t="shared" si="13"/>
        <v>0.24099999999999999</v>
      </c>
      <c r="BV42" s="62">
        <f t="shared" si="14"/>
        <v>0.23799999999999999</v>
      </c>
      <c r="BX42" s="51">
        <f t="shared" si="7"/>
        <v>1.1199999999999999</v>
      </c>
      <c r="BY42" s="46">
        <v>0</v>
      </c>
      <c r="BZ42" s="1">
        <v>0.8</v>
      </c>
      <c r="CB42" s="17" t="s">
        <v>218</v>
      </c>
      <c r="CC42" s="17" t="s">
        <v>218</v>
      </c>
      <c r="CD42" s="3">
        <f t="shared" si="8"/>
        <v>-7.7</v>
      </c>
      <c r="CE42" s="17" t="s">
        <v>218</v>
      </c>
      <c r="CF42" s="17" t="s">
        <v>218</v>
      </c>
      <c r="CG42" s="17" t="s">
        <v>218</v>
      </c>
      <c r="CH42" s="17" t="s">
        <v>218</v>
      </c>
      <c r="CI42" s="17" t="s">
        <v>218</v>
      </c>
      <c r="CJ42" s="17" t="s">
        <v>218</v>
      </c>
      <c r="CK42" s="17" t="s">
        <v>218</v>
      </c>
      <c r="CL42" s="1">
        <f t="shared" si="9"/>
        <v>-3.3</v>
      </c>
      <c r="CM42" s="17" t="s">
        <v>218</v>
      </c>
      <c r="CN42" s="17" t="s">
        <v>218</v>
      </c>
      <c r="CO42" s="17" t="s">
        <v>218</v>
      </c>
      <c r="CP42" s="17" t="s">
        <v>218</v>
      </c>
      <c r="CQ42" s="17" t="s">
        <v>218</v>
      </c>
      <c r="CR42" s="17" t="s">
        <v>218</v>
      </c>
      <c r="CS42" s="17" t="s">
        <v>218</v>
      </c>
      <c r="CT42" s="1">
        <f t="shared" si="10"/>
        <v>-12.1</v>
      </c>
      <c r="CU42" s="17" t="s">
        <v>218</v>
      </c>
      <c r="CV42" s="17" t="s">
        <v>218</v>
      </c>
      <c r="CW42" s="17" t="s">
        <v>218</v>
      </c>
      <c r="CX42" s="17" t="s">
        <v>218</v>
      </c>
      <c r="CY42" s="17" t="s">
        <v>218</v>
      </c>
      <c r="CZ42" s="17" t="s">
        <v>218</v>
      </c>
      <c r="DA42" s="17" t="s">
        <v>218</v>
      </c>
      <c r="DB42" s="17" t="s">
        <v>218</v>
      </c>
      <c r="DC42" s="1">
        <f>ROUND(PPTest!K42,1)</f>
        <v>1.2</v>
      </c>
      <c r="DD42" s="17" t="s">
        <v>218</v>
      </c>
      <c r="DE42" s="17" t="s">
        <v>218</v>
      </c>
      <c r="DF42" s="24">
        <f t="shared" si="11"/>
        <v>0.24099999999999999</v>
      </c>
      <c r="DG42" s="24">
        <f t="shared" si="12"/>
        <v>0.23799999999999999</v>
      </c>
      <c r="DH42" s="17" t="s">
        <v>218</v>
      </c>
      <c r="DQ42" s="1">
        <v>-1.9</v>
      </c>
      <c r="DR42" s="1">
        <v>2.9</v>
      </c>
      <c r="DS42" s="1">
        <v>-6.6</v>
      </c>
    </row>
    <row r="43" spans="1:123" x14ac:dyDescent="0.2">
      <c r="A43" s="15">
        <f t="shared" si="3"/>
        <v>36562</v>
      </c>
      <c r="B43" s="1">
        <v>37</v>
      </c>
      <c r="E43" s="50">
        <f t="shared" si="4"/>
        <v>-7.8</v>
      </c>
      <c r="R43" s="50">
        <f t="shared" si="5"/>
        <v>-3.7</v>
      </c>
      <c r="AF43" s="50">
        <f t="shared" si="6"/>
        <v>-11.9</v>
      </c>
      <c r="BM43" s="17">
        <v>8.23</v>
      </c>
      <c r="BN43" s="17">
        <f t="shared" si="0"/>
        <v>16.624600000000001</v>
      </c>
      <c r="BO43" s="18"/>
      <c r="BP43" s="18"/>
      <c r="BU43" s="62">
        <f t="shared" si="13"/>
        <v>0.245</v>
      </c>
      <c r="BV43" s="62">
        <f t="shared" si="14"/>
        <v>0.219</v>
      </c>
      <c r="BX43" s="51">
        <f t="shared" si="7"/>
        <v>0</v>
      </c>
      <c r="BY43" s="46">
        <v>7.4</v>
      </c>
      <c r="BZ43" s="1">
        <v>0</v>
      </c>
      <c r="CB43" s="17" t="s">
        <v>218</v>
      </c>
      <c r="CC43" s="17" t="s">
        <v>218</v>
      </c>
      <c r="CD43" s="3">
        <f t="shared" si="8"/>
        <v>-7.8</v>
      </c>
      <c r="CE43" s="17" t="s">
        <v>218</v>
      </c>
      <c r="CF43" s="17" t="s">
        <v>218</v>
      </c>
      <c r="CG43" s="17" t="s">
        <v>218</v>
      </c>
      <c r="CH43" s="17" t="s">
        <v>218</v>
      </c>
      <c r="CI43" s="17" t="s">
        <v>218</v>
      </c>
      <c r="CJ43" s="17" t="s">
        <v>218</v>
      </c>
      <c r="CK43" s="17" t="s">
        <v>218</v>
      </c>
      <c r="CL43" s="1">
        <f t="shared" si="9"/>
        <v>-3.7</v>
      </c>
      <c r="CM43" s="17" t="s">
        <v>218</v>
      </c>
      <c r="CN43" s="17" t="s">
        <v>218</v>
      </c>
      <c r="CO43" s="17" t="s">
        <v>218</v>
      </c>
      <c r="CP43" s="17" t="s">
        <v>218</v>
      </c>
      <c r="CQ43" s="17" t="s">
        <v>218</v>
      </c>
      <c r="CR43" s="17" t="s">
        <v>218</v>
      </c>
      <c r="CS43" s="17" t="s">
        <v>218</v>
      </c>
      <c r="CT43" s="1">
        <f t="shared" si="10"/>
        <v>-11.9</v>
      </c>
      <c r="CU43" s="17" t="s">
        <v>218</v>
      </c>
      <c r="CV43" s="17" t="s">
        <v>218</v>
      </c>
      <c r="CW43" s="17" t="s">
        <v>218</v>
      </c>
      <c r="CX43" s="17" t="s">
        <v>218</v>
      </c>
      <c r="CY43" s="17" t="s">
        <v>218</v>
      </c>
      <c r="CZ43" s="17" t="s">
        <v>218</v>
      </c>
      <c r="DA43" s="17" t="s">
        <v>218</v>
      </c>
      <c r="DB43" s="17" t="s">
        <v>218</v>
      </c>
      <c r="DC43" s="1">
        <f>ROUND(PPTest!K43,1)</f>
        <v>0</v>
      </c>
      <c r="DD43" s="17" t="s">
        <v>218</v>
      </c>
      <c r="DE43" s="17" t="s">
        <v>218</v>
      </c>
      <c r="DF43" s="24">
        <f t="shared" si="11"/>
        <v>0.245</v>
      </c>
      <c r="DG43" s="24">
        <f t="shared" si="12"/>
        <v>0.219</v>
      </c>
      <c r="DH43" s="17" t="s">
        <v>218</v>
      </c>
      <c r="DQ43" s="1">
        <v>-2.1</v>
      </c>
      <c r="DR43" s="1">
        <v>2.2999999999999998</v>
      </c>
      <c r="DS43" s="1">
        <v>-6.4</v>
      </c>
    </row>
    <row r="44" spans="1:123" x14ac:dyDescent="0.2">
      <c r="A44" s="15">
        <f t="shared" si="3"/>
        <v>36563</v>
      </c>
      <c r="B44" s="1">
        <v>38</v>
      </c>
      <c r="E44" s="50">
        <f t="shared" si="4"/>
        <v>-6.8</v>
      </c>
      <c r="R44" s="50">
        <f t="shared" si="5"/>
        <v>-3.3</v>
      </c>
      <c r="AF44" s="50">
        <f t="shared" si="6"/>
        <v>-10.3</v>
      </c>
      <c r="BM44" s="17">
        <v>8.4</v>
      </c>
      <c r="BN44" s="17">
        <f t="shared" si="0"/>
        <v>16.968</v>
      </c>
      <c r="BO44" s="18"/>
      <c r="BP44" s="18"/>
      <c r="BU44" s="62">
        <f t="shared" si="13"/>
        <v>0.27900000000000003</v>
      </c>
      <c r="BV44" s="62">
        <f t="shared" si="14"/>
        <v>0.2</v>
      </c>
      <c r="BX44" s="51">
        <f t="shared" si="7"/>
        <v>0</v>
      </c>
      <c r="BY44" s="46">
        <v>0</v>
      </c>
      <c r="BZ44" s="1">
        <v>0</v>
      </c>
      <c r="CB44" s="17" t="s">
        <v>218</v>
      </c>
      <c r="CC44" s="17" t="s">
        <v>218</v>
      </c>
      <c r="CD44" s="3">
        <f t="shared" si="8"/>
        <v>-6.8</v>
      </c>
      <c r="CE44" s="17" t="s">
        <v>218</v>
      </c>
      <c r="CF44" s="17" t="s">
        <v>218</v>
      </c>
      <c r="CG44" s="17" t="s">
        <v>218</v>
      </c>
      <c r="CH44" s="17" t="s">
        <v>218</v>
      </c>
      <c r="CI44" s="17" t="s">
        <v>218</v>
      </c>
      <c r="CJ44" s="17" t="s">
        <v>218</v>
      </c>
      <c r="CK44" s="17" t="s">
        <v>218</v>
      </c>
      <c r="CL44" s="1">
        <f t="shared" si="9"/>
        <v>-3.3</v>
      </c>
      <c r="CM44" s="17" t="s">
        <v>218</v>
      </c>
      <c r="CN44" s="17" t="s">
        <v>218</v>
      </c>
      <c r="CO44" s="17" t="s">
        <v>218</v>
      </c>
      <c r="CP44" s="17" t="s">
        <v>218</v>
      </c>
      <c r="CQ44" s="17" t="s">
        <v>218</v>
      </c>
      <c r="CR44" s="17" t="s">
        <v>218</v>
      </c>
      <c r="CS44" s="17" t="s">
        <v>218</v>
      </c>
      <c r="CT44" s="1">
        <f t="shared" si="10"/>
        <v>-10.3</v>
      </c>
      <c r="CU44" s="17" t="s">
        <v>218</v>
      </c>
      <c r="CV44" s="17" t="s">
        <v>218</v>
      </c>
      <c r="CW44" s="17" t="s">
        <v>218</v>
      </c>
      <c r="CX44" s="17" t="s">
        <v>218</v>
      </c>
      <c r="CY44" s="17" t="s">
        <v>218</v>
      </c>
      <c r="CZ44" s="17" t="s">
        <v>218</v>
      </c>
      <c r="DA44" s="17" t="s">
        <v>218</v>
      </c>
      <c r="DB44" s="17" t="s">
        <v>218</v>
      </c>
      <c r="DC44" s="1">
        <f>ROUND(PPTest!K44,1)</f>
        <v>0</v>
      </c>
      <c r="DD44" s="17" t="s">
        <v>218</v>
      </c>
      <c r="DE44" s="17" t="s">
        <v>218</v>
      </c>
      <c r="DF44" s="24">
        <f t="shared" si="11"/>
        <v>0.27900000000000003</v>
      </c>
      <c r="DG44" s="24">
        <f t="shared" si="12"/>
        <v>0.2</v>
      </c>
      <c r="DH44" s="17" t="s">
        <v>218</v>
      </c>
      <c r="DQ44" s="1">
        <v>-0.8</v>
      </c>
      <c r="DR44" s="1">
        <v>2.9</v>
      </c>
      <c r="DS44" s="1">
        <v>-4.5</v>
      </c>
    </row>
    <row r="45" spans="1:123" x14ac:dyDescent="0.2">
      <c r="A45" s="15">
        <f t="shared" si="3"/>
        <v>36564</v>
      </c>
      <c r="B45" s="1">
        <v>39</v>
      </c>
      <c r="E45" s="50">
        <f t="shared" si="4"/>
        <v>-6.3</v>
      </c>
      <c r="R45" s="50">
        <f t="shared" si="5"/>
        <v>-3.5</v>
      </c>
      <c r="AF45" s="50">
        <f t="shared" si="6"/>
        <v>-9.1</v>
      </c>
      <c r="BM45" s="17">
        <v>8.57</v>
      </c>
      <c r="BN45" s="17">
        <f t="shared" si="0"/>
        <v>17.311399999999999</v>
      </c>
      <c r="BO45" s="18"/>
      <c r="BP45" s="18"/>
      <c r="BU45" s="62">
        <f t="shared" si="13"/>
        <v>0.307</v>
      </c>
      <c r="BV45" s="62">
        <f t="shared" si="14"/>
        <v>0.16400000000000001</v>
      </c>
      <c r="BX45" s="51">
        <f t="shared" si="7"/>
        <v>13.16</v>
      </c>
      <c r="BY45" s="46">
        <v>10.530000000000001</v>
      </c>
      <c r="BZ45" s="1">
        <v>9.4</v>
      </c>
      <c r="CB45" s="17" t="s">
        <v>218</v>
      </c>
      <c r="CC45" s="17" t="s">
        <v>218</v>
      </c>
      <c r="CD45" s="3">
        <f t="shared" si="8"/>
        <v>-6.3</v>
      </c>
      <c r="CE45" s="17" t="s">
        <v>218</v>
      </c>
      <c r="CF45" s="17" t="s">
        <v>218</v>
      </c>
      <c r="CG45" s="17" t="s">
        <v>218</v>
      </c>
      <c r="CH45" s="17" t="s">
        <v>218</v>
      </c>
      <c r="CI45" s="17" t="s">
        <v>218</v>
      </c>
      <c r="CJ45" s="17" t="s">
        <v>218</v>
      </c>
      <c r="CK45" s="17" t="s">
        <v>218</v>
      </c>
      <c r="CL45" s="1">
        <f t="shared" si="9"/>
        <v>-3.5</v>
      </c>
      <c r="CM45" s="17" t="s">
        <v>218</v>
      </c>
      <c r="CN45" s="17" t="s">
        <v>218</v>
      </c>
      <c r="CO45" s="17" t="s">
        <v>218</v>
      </c>
      <c r="CP45" s="17" t="s">
        <v>218</v>
      </c>
      <c r="CQ45" s="17" t="s">
        <v>218</v>
      </c>
      <c r="CR45" s="17" t="s">
        <v>218</v>
      </c>
      <c r="CS45" s="17" t="s">
        <v>218</v>
      </c>
      <c r="CT45" s="1">
        <f t="shared" si="10"/>
        <v>-9.1</v>
      </c>
      <c r="CU45" s="17" t="s">
        <v>218</v>
      </c>
      <c r="CV45" s="17" t="s">
        <v>218</v>
      </c>
      <c r="CW45" s="17" t="s">
        <v>218</v>
      </c>
      <c r="CX45" s="17" t="s">
        <v>218</v>
      </c>
      <c r="CY45" s="17" t="s">
        <v>218</v>
      </c>
      <c r="CZ45" s="17" t="s">
        <v>218</v>
      </c>
      <c r="DA45" s="17" t="s">
        <v>218</v>
      </c>
      <c r="DB45" s="17" t="s">
        <v>218</v>
      </c>
      <c r="DC45" s="1">
        <f>ROUND(PPTest!K45,1)</f>
        <v>13.8</v>
      </c>
      <c r="DD45" s="17" t="s">
        <v>218</v>
      </c>
      <c r="DE45" s="17" t="s">
        <v>218</v>
      </c>
      <c r="DF45" s="24">
        <f t="shared" si="11"/>
        <v>0.307</v>
      </c>
      <c r="DG45" s="24">
        <f t="shared" si="12"/>
        <v>0.16400000000000001</v>
      </c>
      <c r="DH45" s="17" t="s">
        <v>218</v>
      </c>
      <c r="DQ45" s="1">
        <v>-0.1</v>
      </c>
      <c r="DR45" s="1">
        <v>2.6</v>
      </c>
      <c r="DS45" s="1">
        <v>-2.7</v>
      </c>
    </row>
    <row r="46" spans="1:123" x14ac:dyDescent="0.2">
      <c r="A46" s="15">
        <f t="shared" si="3"/>
        <v>36565</v>
      </c>
      <c r="B46" s="1">
        <v>40</v>
      </c>
      <c r="E46" s="50">
        <f t="shared" si="4"/>
        <v>-5.9</v>
      </c>
      <c r="R46" s="50">
        <f t="shared" si="5"/>
        <v>-4.5999999999999996</v>
      </c>
      <c r="AF46" s="50">
        <f t="shared" si="6"/>
        <v>-7.2</v>
      </c>
      <c r="BM46" s="17">
        <v>8.75</v>
      </c>
      <c r="BN46" s="17">
        <f t="shared" si="0"/>
        <v>17.675000000000001</v>
      </c>
      <c r="BO46" s="18"/>
      <c r="BP46" s="18"/>
      <c r="BU46" s="62">
        <f t="shared" si="13"/>
        <v>0.35599999999999998</v>
      </c>
      <c r="BV46" s="62">
        <f t="shared" si="14"/>
        <v>7.8E-2</v>
      </c>
      <c r="BX46" s="51">
        <f t="shared" si="7"/>
        <v>19.739999999999995</v>
      </c>
      <c r="BY46" s="46">
        <v>4.29</v>
      </c>
      <c r="BZ46" s="1">
        <v>14.099999999999998</v>
      </c>
      <c r="CB46" s="17" t="s">
        <v>218</v>
      </c>
      <c r="CC46" s="17" t="s">
        <v>218</v>
      </c>
      <c r="CD46" s="3">
        <f t="shared" si="8"/>
        <v>-5.9</v>
      </c>
      <c r="CE46" s="17" t="s">
        <v>218</v>
      </c>
      <c r="CF46" s="17" t="s">
        <v>218</v>
      </c>
      <c r="CG46" s="17" t="s">
        <v>218</v>
      </c>
      <c r="CH46" s="17" t="s">
        <v>218</v>
      </c>
      <c r="CI46" s="17" t="s">
        <v>218</v>
      </c>
      <c r="CJ46" s="17" t="s">
        <v>218</v>
      </c>
      <c r="CK46" s="17" t="s">
        <v>218</v>
      </c>
      <c r="CL46" s="1">
        <f t="shared" si="9"/>
        <v>-4.5999999999999996</v>
      </c>
      <c r="CM46" s="17" t="s">
        <v>218</v>
      </c>
      <c r="CN46" s="17" t="s">
        <v>218</v>
      </c>
      <c r="CO46" s="17" t="s">
        <v>218</v>
      </c>
      <c r="CP46" s="17" t="s">
        <v>218</v>
      </c>
      <c r="CQ46" s="17" t="s">
        <v>218</v>
      </c>
      <c r="CR46" s="17" t="s">
        <v>218</v>
      </c>
      <c r="CS46" s="17" t="s">
        <v>218</v>
      </c>
      <c r="CT46" s="1">
        <f t="shared" si="10"/>
        <v>-7.2</v>
      </c>
      <c r="CU46" s="17" t="s">
        <v>218</v>
      </c>
      <c r="CV46" s="17" t="s">
        <v>218</v>
      </c>
      <c r="CW46" s="17" t="s">
        <v>218</v>
      </c>
      <c r="CX46" s="17" t="s">
        <v>218</v>
      </c>
      <c r="CY46" s="17" t="s">
        <v>218</v>
      </c>
      <c r="CZ46" s="17" t="s">
        <v>218</v>
      </c>
      <c r="DA46" s="17" t="s">
        <v>218</v>
      </c>
      <c r="DB46" s="17" t="s">
        <v>218</v>
      </c>
      <c r="DC46" s="1">
        <f>ROUND(PPTest!K46,1)</f>
        <v>20.7</v>
      </c>
      <c r="DD46" s="17" t="s">
        <v>218</v>
      </c>
      <c r="DE46" s="17" t="s">
        <v>218</v>
      </c>
      <c r="DF46" s="24">
        <f t="shared" si="11"/>
        <v>0.35599999999999998</v>
      </c>
      <c r="DG46" s="24">
        <f t="shared" si="12"/>
        <v>7.8E-2</v>
      </c>
      <c r="DH46" s="17" t="s">
        <v>218</v>
      </c>
      <c r="DQ46" s="1">
        <v>0.4</v>
      </c>
      <c r="DR46" s="1">
        <v>1</v>
      </c>
      <c r="DS46" s="1">
        <v>-0.3</v>
      </c>
    </row>
    <row r="47" spans="1:123" x14ac:dyDescent="0.2">
      <c r="A47" s="15">
        <f t="shared" si="3"/>
        <v>36566</v>
      </c>
      <c r="B47" s="1">
        <v>41</v>
      </c>
      <c r="E47" s="50">
        <f t="shared" si="4"/>
        <v>-5.0999999999999996</v>
      </c>
      <c r="R47" s="50">
        <f t="shared" si="5"/>
        <v>-3.2</v>
      </c>
      <c r="AF47" s="50">
        <f t="shared" si="6"/>
        <v>-7</v>
      </c>
      <c r="BM47" s="17">
        <v>8.93</v>
      </c>
      <c r="BN47" s="17">
        <f t="shared" si="0"/>
        <v>18.038599999999999</v>
      </c>
      <c r="BO47" s="18"/>
      <c r="BP47" s="18"/>
      <c r="BU47" s="62">
        <f t="shared" si="13"/>
        <v>0.36099999999999999</v>
      </c>
      <c r="BV47" s="62">
        <f t="shared" si="14"/>
        <v>0.121</v>
      </c>
      <c r="BX47" s="51">
        <f t="shared" si="7"/>
        <v>0.84</v>
      </c>
      <c r="BY47" s="46">
        <v>0</v>
      </c>
      <c r="BZ47" s="1">
        <v>0.6</v>
      </c>
      <c r="CB47" s="17" t="s">
        <v>218</v>
      </c>
      <c r="CC47" s="17" t="s">
        <v>218</v>
      </c>
      <c r="CD47" s="3">
        <f t="shared" si="8"/>
        <v>-5.0999999999999996</v>
      </c>
      <c r="CE47" s="17" t="s">
        <v>218</v>
      </c>
      <c r="CF47" s="17" t="s">
        <v>218</v>
      </c>
      <c r="CG47" s="17" t="s">
        <v>218</v>
      </c>
      <c r="CH47" s="17" t="s">
        <v>218</v>
      </c>
      <c r="CI47" s="17" t="s">
        <v>218</v>
      </c>
      <c r="CJ47" s="17" t="s">
        <v>218</v>
      </c>
      <c r="CK47" s="17" t="s">
        <v>218</v>
      </c>
      <c r="CL47" s="1">
        <f t="shared" si="9"/>
        <v>-3.2</v>
      </c>
      <c r="CM47" s="17" t="s">
        <v>218</v>
      </c>
      <c r="CN47" s="17" t="s">
        <v>218</v>
      </c>
      <c r="CO47" s="17" t="s">
        <v>218</v>
      </c>
      <c r="CP47" s="17" t="s">
        <v>218</v>
      </c>
      <c r="CQ47" s="17" t="s">
        <v>218</v>
      </c>
      <c r="CR47" s="17" t="s">
        <v>218</v>
      </c>
      <c r="CS47" s="17" t="s">
        <v>218</v>
      </c>
      <c r="CT47" s="1">
        <f t="shared" si="10"/>
        <v>-7</v>
      </c>
      <c r="CU47" s="17" t="s">
        <v>218</v>
      </c>
      <c r="CV47" s="17" t="s">
        <v>218</v>
      </c>
      <c r="CW47" s="17" t="s">
        <v>218</v>
      </c>
      <c r="CX47" s="17" t="s">
        <v>218</v>
      </c>
      <c r="CY47" s="17" t="s">
        <v>218</v>
      </c>
      <c r="CZ47" s="17" t="s">
        <v>218</v>
      </c>
      <c r="DA47" s="17" t="s">
        <v>218</v>
      </c>
      <c r="DB47" s="17" t="s">
        <v>218</v>
      </c>
      <c r="DC47" s="1">
        <f>ROUND(PPTest!K47,1)</f>
        <v>0.9</v>
      </c>
      <c r="DD47" s="17" t="s">
        <v>218</v>
      </c>
      <c r="DE47" s="17" t="s">
        <v>218</v>
      </c>
      <c r="DF47" s="24">
        <f t="shared" si="11"/>
        <v>0.36099999999999999</v>
      </c>
      <c r="DG47" s="24">
        <f t="shared" si="12"/>
        <v>0.121</v>
      </c>
      <c r="DH47" s="17" t="s">
        <v>218</v>
      </c>
      <c r="DQ47" s="1">
        <v>1.4</v>
      </c>
      <c r="DR47" s="1">
        <v>3</v>
      </c>
      <c r="DS47" s="1">
        <v>-0.3</v>
      </c>
    </row>
    <row r="48" spans="1:123" x14ac:dyDescent="0.2">
      <c r="A48" s="15">
        <f t="shared" si="3"/>
        <v>36567</v>
      </c>
      <c r="B48" s="1">
        <v>42</v>
      </c>
      <c r="E48" s="50">
        <f t="shared" si="4"/>
        <v>-6.3</v>
      </c>
      <c r="R48" s="50">
        <f t="shared" si="5"/>
        <v>-3.6</v>
      </c>
      <c r="AF48" s="50">
        <f t="shared" si="6"/>
        <v>-9</v>
      </c>
      <c r="BM48" s="17">
        <v>9.1199999999999992</v>
      </c>
      <c r="BN48" s="17">
        <f t="shared" si="0"/>
        <v>18.4224</v>
      </c>
      <c r="BO48" s="18"/>
      <c r="BP48" s="18"/>
      <c r="BU48" s="62">
        <f t="shared" si="13"/>
        <v>0.309</v>
      </c>
      <c r="BV48" s="62">
        <f t="shared" si="14"/>
        <v>0.159</v>
      </c>
      <c r="BX48" s="51">
        <f t="shared" si="7"/>
        <v>0</v>
      </c>
      <c r="BY48" s="46">
        <v>0</v>
      </c>
      <c r="BZ48" s="1">
        <v>0</v>
      </c>
      <c r="CB48" s="17" t="s">
        <v>218</v>
      </c>
      <c r="CC48" s="17" t="s">
        <v>218</v>
      </c>
      <c r="CD48" s="3">
        <f t="shared" si="8"/>
        <v>-6.3</v>
      </c>
      <c r="CE48" s="17" t="s">
        <v>218</v>
      </c>
      <c r="CF48" s="17" t="s">
        <v>218</v>
      </c>
      <c r="CG48" s="17" t="s">
        <v>218</v>
      </c>
      <c r="CH48" s="17" t="s">
        <v>218</v>
      </c>
      <c r="CI48" s="17" t="s">
        <v>218</v>
      </c>
      <c r="CJ48" s="17" t="s">
        <v>218</v>
      </c>
      <c r="CK48" s="17" t="s">
        <v>218</v>
      </c>
      <c r="CL48" s="1">
        <f t="shared" si="9"/>
        <v>-3.6</v>
      </c>
      <c r="CM48" s="17" t="s">
        <v>218</v>
      </c>
      <c r="CN48" s="17" t="s">
        <v>218</v>
      </c>
      <c r="CO48" s="17" t="s">
        <v>218</v>
      </c>
      <c r="CP48" s="17" t="s">
        <v>218</v>
      </c>
      <c r="CQ48" s="17" t="s">
        <v>218</v>
      </c>
      <c r="CR48" s="17" t="s">
        <v>218</v>
      </c>
      <c r="CS48" s="17" t="s">
        <v>218</v>
      </c>
      <c r="CT48" s="1">
        <f t="shared" si="10"/>
        <v>-9</v>
      </c>
      <c r="CU48" s="17" t="s">
        <v>218</v>
      </c>
      <c r="CV48" s="17" t="s">
        <v>218</v>
      </c>
      <c r="CW48" s="17" t="s">
        <v>218</v>
      </c>
      <c r="CX48" s="17" t="s">
        <v>218</v>
      </c>
      <c r="CY48" s="17" t="s">
        <v>218</v>
      </c>
      <c r="CZ48" s="17" t="s">
        <v>218</v>
      </c>
      <c r="DA48" s="17" t="s">
        <v>218</v>
      </c>
      <c r="DB48" s="17" t="s">
        <v>218</v>
      </c>
      <c r="DC48" s="1">
        <f>ROUND(PPTest!K48,1)</f>
        <v>0</v>
      </c>
      <c r="DD48" s="17" t="s">
        <v>218</v>
      </c>
      <c r="DE48" s="17" t="s">
        <v>218</v>
      </c>
      <c r="DF48" s="24">
        <f t="shared" si="11"/>
        <v>0.309</v>
      </c>
      <c r="DG48" s="24">
        <f t="shared" si="12"/>
        <v>0.159</v>
      </c>
      <c r="DH48" s="17" t="s">
        <v>218</v>
      </c>
      <c r="DQ48" s="1">
        <v>-0.1</v>
      </c>
      <c r="DR48" s="1">
        <v>2.4</v>
      </c>
      <c r="DS48" s="1">
        <v>-2.5</v>
      </c>
    </row>
    <row r="49" spans="1:123" x14ac:dyDescent="0.2">
      <c r="A49" s="15">
        <f t="shared" si="3"/>
        <v>36568</v>
      </c>
      <c r="B49" s="1">
        <v>43</v>
      </c>
      <c r="E49" s="50">
        <f t="shared" si="4"/>
        <v>-6.4</v>
      </c>
      <c r="R49" s="50">
        <f t="shared" si="5"/>
        <v>-3.4</v>
      </c>
      <c r="AF49" s="50">
        <f t="shared" si="6"/>
        <v>-9.4</v>
      </c>
      <c r="BM49" s="17">
        <v>9.31</v>
      </c>
      <c r="BN49" s="17">
        <f t="shared" si="0"/>
        <v>18.8062</v>
      </c>
      <c r="BO49" s="18"/>
      <c r="BP49" s="18"/>
      <c r="BU49" s="62">
        <f t="shared" si="13"/>
        <v>0.29899999999999999</v>
      </c>
      <c r="BV49" s="62">
        <f t="shared" si="14"/>
        <v>0.17599999999999999</v>
      </c>
      <c r="BX49" s="51">
        <f t="shared" si="7"/>
        <v>0</v>
      </c>
      <c r="BY49" s="46">
        <v>0</v>
      </c>
      <c r="BZ49" s="1">
        <v>0</v>
      </c>
      <c r="CB49" s="17" t="s">
        <v>218</v>
      </c>
      <c r="CC49" s="17" t="s">
        <v>218</v>
      </c>
      <c r="CD49" s="3">
        <f t="shared" si="8"/>
        <v>-6.4</v>
      </c>
      <c r="CE49" s="17" t="s">
        <v>218</v>
      </c>
      <c r="CF49" s="17" t="s">
        <v>218</v>
      </c>
      <c r="CG49" s="17" t="s">
        <v>218</v>
      </c>
      <c r="CH49" s="17" t="s">
        <v>218</v>
      </c>
      <c r="CI49" s="17" t="s">
        <v>218</v>
      </c>
      <c r="CJ49" s="17" t="s">
        <v>218</v>
      </c>
      <c r="CK49" s="17" t="s">
        <v>218</v>
      </c>
      <c r="CL49" s="1">
        <f t="shared" si="9"/>
        <v>-3.4</v>
      </c>
      <c r="CM49" s="17" t="s">
        <v>218</v>
      </c>
      <c r="CN49" s="17" t="s">
        <v>218</v>
      </c>
      <c r="CO49" s="17" t="s">
        <v>218</v>
      </c>
      <c r="CP49" s="17" t="s">
        <v>218</v>
      </c>
      <c r="CQ49" s="17" t="s">
        <v>218</v>
      </c>
      <c r="CR49" s="17" t="s">
        <v>218</v>
      </c>
      <c r="CS49" s="17" t="s">
        <v>218</v>
      </c>
      <c r="CT49" s="1">
        <f t="shared" si="10"/>
        <v>-9.4</v>
      </c>
      <c r="CU49" s="17" t="s">
        <v>218</v>
      </c>
      <c r="CV49" s="17" t="s">
        <v>218</v>
      </c>
      <c r="CW49" s="17" t="s">
        <v>218</v>
      </c>
      <c r="CX49" s="17" t="s">
        <v>218</v>
      </c>
      <c r="CY49" s="17" t="s">
        <v>218</v>
      </c>
      <c r="CZ49" s="17" t="s">
        <v>218</v>
      </c>
      <c r="DA49" s="17" t="s">
        <v>218</v>
      </c>
      <c r="DB49" s="17" t="s">
        <v>218</v>
      </c>
      <c r="DC49" s="1">
        <f>ROUND(PPTest!K49,1)</f>
        <v>0</v>
      </c>
      <c r="DD49" s="17" t="s">
        <v>218</v>
      </c>
      <c r="DE49" s="17" t="s">
        <v>218</v>
      </c>
      <c r="DF49" s="24">
        <f t="shared" si="11"/>
        <v>0.29899999999999999</v>
      </c>
      <c r="DG49" s="24">
        <f t="shared" si="12"/>
        <v>0.17599999999999999</v>
      </c>
      <c r="DH49" s="17" t="s">
        <v>218</v>
      </c>
      <c r="DQ49" s="1">
        <v>-0.3</v>
      </c>
      <c r="DR49" s="1">
        <v>2.7</v>
      </c>
      <c r="DS49" s="1">
        <v>-3.2</v>
      </c>
    </row>
    <row r="50" spans="1:123" x14ac:dyDescent="0.2">
      <c r="A50" s="15">
        <f t="shared" si="3"/>
        <v>36569</v>
      </c>
      <c r="B50" s="1">
        <v>44</v>
      </c>
      <c r="E50" s="50">
        <f t="shared" si="4"/>
        <v>-8.1</v>
      </c>
      <c r="R50" s="50">
        <f t="shared" si="5"/>
        <v>-2.2000000000000002</v>
      </c>
      <c r="AF50" s="50">
        <f t="shared" si="6"/>
        <v>-14</v>
      </c>
      <c r="BM50" s="17">
        <v>9.5</v>
      </c>
      <c r="BN50" s="17">
        <f t="shared" si="0"/>
        <v>19.190000000000001</v>
      </c>
      <c r="BO50" s="18"/>
      <c r="BP50" s="18"/>
      <c r="BU50" s="62">
        <f t="shared" si="13"/>
        <v>0.20699999999999999</v>
      </c>
      <c r="BV50" s="62">
        <f t="shared" si="14"/>
        <v>0.312</v>
      </c>
      <c r="BX50" s="51">
        <f t="shared" si="7"/>
        <v>0.98000000000000032</v>
      </c>
      <c r="BY50" s="46">
        <v>0</v>
      </c>
      <c r="BZ50" s="1">
        <v>0.70000000000000029</v>
      </c>
      <c r="CB50" s="17" t="s">
        <v>218</v>
      </c>
      <c r="CC50" s="17" t="s">
        <v>218</v>
      </c>
      <c r="CD50" s="3">
        <f t="shared" si="8"/>
        <v>-8.1</v>
      </c>
      <c r="CE50" s="17" t="s">
        <v>218</v>
      </c>
      <c r="CF50" s="17" t="s">
        <v>218</v>
      </c>
      <c r="CG50" s="17" t="s">
        <v>218</v>
      </c>
      <c r="CH50" s="17" t="s">
        <v>218</v>
      </c>
      <c r="CI50" s="17" t="s">
        <v>218</v>
      </c>
      <c r="CJ50" s="17" t="s">
        <v>218</v>
      </c>
      <c r="CK50" s="17" t="s">
        <v>218</v>
      </c>
      <c r="CL50" s="1">
        <f t="shared" si="9"/>
        <v>-2.2000000000000002</v>
      </c>
      <c r="CM50" s="17" t="s">
        <v>218</v>
      </c>
      <c r="CN50" s="17" t="s">
        <v>218</v>
      </c>
      <c r="CO50" s="17" t="s">
        <v>218</v>
      </c>
      <c r="CP50" s="17" t="s">
        <v>218</v>
      </c>
      <c r="CQ50" s="17" t="s">
        <v>218</v>
      </c>
      <c r="CR50" s="17" t="s">
        <v>218</v>
      </c>
      <c r="CS50" s="17" t="s">
        <v>218</v>
      </c>
      <c r="CT50" s="1">
        <f t="shared" si="10"/>
        <v>-14</v>
      </c>
      <c r="CU50" s="17" t="s">
        <v>218</v>
      </c>
      <c r="CV50" s="17" t="s">
        <v>218</v>
      </c>
      <c r="CW50" s="17" t="s">
        <v>218</v>
      </c>
      <c r="CX50" s="17" t="s">
        <v>218</v>
      </c>
      <c r="CY50" s="17" t="s">
        <v>218</v>
      </c>
      <c r="CZ50" s="17" t="s">
        <v>218</v>
      </c>
      <c r="DA50" s="17" t="s">
        <v>218</v>
      </c>
      <c r="DB50" s="17" t="s">
        <v>218</v>
      </c>
      <c r="DC50" s="1">
        <f>ROUND(PPTest!K50,1)</f>
        <v>1</v>
      </c>
      <c r="DD50" s="17" t="s">
        <v>218</v>
      </c>
      <c r="DE50" s="17" t="s">
        <v>218</v>
      </c>
      <c r="DF50" s="24">
        <f t="shared" si="11"/>
        <v>0.20699999999999999</v>
      </c>
      <c r="DG50" s="24">
        <f t="shared" si="12"/>
        <v>0.312</v>
      </c>
      <c r="DH50" s="17" t="s">
        <v>218</v>
      </c>
      <c r="DQ50" s="1">
        <v>-2.5</v>
      </c>
      <c r="DR50" s="1">
        <v>4.5</v>
      </c>
      <c r="DS50" s="1">
        <v>-9.5</v>
      </c>
    </row>
    <row r="51" spans="1:123" x14ac:dyDescent="0.2">
      <c r="A51" s="15">
        <f t="shared" si="3"/>
        <v>36570</v>
      </c>
      <c r="B51" s="1">
        <v>45</v>
      </c>
      <c r="E51" s="50">
        <f t="shared" si="4"/>
        <v>-13.1</v>
      </c>
      <c r="R51" s="50">
        <f t="shared" si="5"/>
        <v>-7.9</v>
      </c>
      <c r="AF51" s="50">
        <f t="shared" si="6"/>
        <v>-18.3</v>
      </c>
      <c r="BM51" s="17">
        <v>9.69</v>
      </c>
      <c r="BN51" s="17">
        <f t="shared" si="0"/>
        <v>19.573799999999999</v>
      </c>
      <c r="BO51" s="18"/>
      <c r="BP51" s="18"/>
      <c r="BU51" s="62">
        <f t="shared" si="13"/>
        <v>0.14399999999999999</v>
      </c>
      <c r="BV51" s="62">
        <f t="shared" si="14"/>
        <v>0.193</v>
      </c>
      <c r="BX51" s="51">
        <f t="shared" si="7"/>
        <v>2.0999999999999996</v>
      </c>
      <c r="BY51" s="46">
        <v>8.06</v>
      </c>
      <c r="BZ51" s="1">
        <v>1.5</v>
      </c>
      <c r="CB51" s="17" t="s">
        <v>218</v>
      </c>
      <c r="CC51" s="17" t="s">
        <v>218</v>
      </c>
      <c r="CD51" s="3">
        <f t="shared" si="8"/>
        <v>-13.1</v>
      </c>
      <c r="CE51" s="17" t="s">
        <v>218</v>
      </c>
      <c r="CF51" s="17" t="s">
        <v>218</v>
      </c>
      <c r="CG51" s="17" t="s">
        <v>218</v>
      </c>
      <c r="CH51" s="17" t="s">
        <v>218</v>
      </c>
      <c r="CI51" s="17" t="s">
        <v>218</v>
      </c>
      <c r="CJ51" s="17" t="s">
        <v>218</v>
      </c>
      <c r="CK51" s="17" t="s">
        <v>218</v>
      </c>
      <c r="CL51" s="1">
        <f t="shared" si="9"/>
        <v>-7.9</v>
      </c>
      <c r="CM51" s="17" t="s">
        <v>218</v>
      </c>
      <c r="CN51" s="17" t="s">
        <v>218</v>
      </c>
      <c r="CO51" s="17" t="s">
        <v>218</v>
      </c>
      <c r="CP51" s="17" t="s">
        <v>218</v>
      </c>
      <c r="CQ51" s="17" t="s">
        <v>218</v>
      </c>
      <c r="CR51" s="17" t="s">
        <v>218</v>
      </c>
      <c r="CS51" s="17" t="s">
        <v>218</v>
      </c>
      <c r="CT51" s="1">
        <f t="shared" si="10"/>
        <v>-18.3</v>
      </c>
      <c r="CU51" s="17" t="s">
        <v>218</v>
      </c>
      <c r="CV51" s="17" t="s">
        <v>218</v>
      </c>
      <c r="CW51" s="17" t="s">
        <v>218</v>
      </c>
      <c r="CX51" s="17" t="s">
        <v>218</v>
      </c>
      <c r="CY51" s="17" t="s">
        <v>218</v>
      </c>
      <c r="CZ51" s="17" t="s">
        <v>218</v>
      </c>
      <c r="DA51" s="17" t="s">
        <v>218</v>
      </c>
      <c r="DB51" s="17" t="s">
        <v>218</v>
      </c>
      <c r="DC51" s="1">
        <f>ROUND(PPTest!K51,1)</f>
        <v>2.2000000000000002</v>
      </c>
      <c r="DD51" s="17" t="s">
        <v>218</v>
      </c>
      <c r="DE51" s="17" t="s">
        <v>218</v>
      </c>
      <c r="DF51" s="24">
        <f t="shared" si="11"/>
        <v>0.14399999999999999</v>
      </c>
      <c r="DG51" s="24">
        <f t="shared" si="12"/>
        <v>0.193</v>
      </c>
      <c r="DH51" s="17" t="s">
        <v>218</v>
      </c>
      <c r="DQ51" s="1">
        <v>-9</v>
      </c>
      <c r="DR51" s="1">
        <v>-3.7</v>
      </c>
      <c r="DS51" s="1">
        <v>-14.3</v>
      </c>
    </row>
    <row r="52" spans="1:123" x14ac:dyDescent="0.2">
      <c r="A52" s="15">
        <f t="shared" si="3"/>
        <v>36571</v>
      </c>
      <c r="B52" s="1">
        <v>46</v>
      </c>
      <c r="E52" s="50">
        <f t="shared" si="4"/>
        <v>-7.8</v>
      </c>
      <c r="R52" s="50">
        <f t="shared" si="5"/>
        <v>-4.5999999999999996</v>
      </c>
      <c r="AF52" s="50">
        <f t="shared" si="6"/>
        <v>-11</v>
      </c>
      <c r="BM52" s="17">
        <v>9.89</v>
      </c>
      <c r="BN52" s="17">
        <f t="shared" si="0"/>
        <v>19.977800000000002</v>
      </c>
      <c r="BO52" s="18"/>
      <c r="BP52" s="18"/>
      <c r="BU52" s="62">
        <f t="shared" si="13"/>
        <v>0.26400000000000001</v>
      </c>
      <c r="BV52" s="62">
        <f t="shared" si="14"/>
        <v>0.17</v>
      </c>
      <c r="BX52" s="51">
        <f t="shared" si="7"/>
        <v>3.9200000000000008</v>
      </c>
      <c r="BY52" s="46">
        <v>0</v>
      </c>
      <c r="BZ52" s="1">
        <v>2.8000000000000007</v>
      </c>
      <c r="CB52" s="17" t="s">
        <v>218</v>
      </c>
      <c r="CC52" s="17" t="s">
        <v>218</v>
      </c>
      <c r="CD52" s="3">
        <f t="shared" si="8"/>
        <v>-7.8</v>
      </c>
      <c r="CE52" s="17" t="s">
        <v>218</v>
      </c>
      <c r="CF52" s="17" t="s">
        <v>218</v>
      </c>
      <c r="CG52" s="17" t="s">
        <v>218</v>
      </c>
      <c r="CH52" s="17" t="s">
        <v>218</v>
      </c>
      <c r="CI52" s="17" t="s">
        <v>218</v>
      </c>
      <c r="CJ52" s="17" t="s">
        <v>218</v>
      </c>
      <c r="CK52" s="17" t="s">
        <v>218</v>
      </c>
      <c r="CL52" s="1">
        <f t="shared" si="9"/>
        <v>-4.5999999999999996</v>
      </c>
      <c r="CM52" s="17" t="s">
        <v>218</v>
      </c>
      <c r="CN52" s="17" t="s">
        <v>218</v>
      </c>
      <c r="CO52" s="17" t="s">
        <v>218</v>
      </c>
      <c r="CP52" s="17" t="s">
        <v>218</v>
      </c>
      <c r="CQ52" s="17" t="s">
        <v>218</v>
      </c>
      <c r="CR52" s="17" t="s">
        <v>218</v>
      </c>
      <c r="CS52" s="17" t="s">
        <v>218</v>
      </c>
      <c r="CT52" s="1">
        <f t="shared" si="10"/>
        <v>-11</v>
      </c>
      <c r="CU52" s="17" t="s">
        <v>218</v>
      </c>
      <c r="CV52" s="17" t="s">
        <v>218</v>
      </c>
      <c r="CW52" s="17" t="s">
        <v>218</v>
      </c>
      <c r="CX52" s="17" t="s">
        <v>218</v>
      </c>
      <c r="CY52" s="17" t="s">
        <v>218</v>
      </c>
      <c r="CZ52" s="17" t="s">
        <v>218</v>
      </c>
      <c r="DA52" s="17" t="s">
        <v>218</v>
      </c>
      <c r="DB52" s="17" t="s">
        <v>218</v>
      </c>
      <c r="DC52" s="1">
        <f>ROUND(PPTest!K52,1)</f>
        <v>4.0999999999999996</v>
      </c>
      <c r="DD52" s="17" t="s">
        <v>218</v>
      </c>
      <c r="DE52" s="17" t="s">
        <v>218</v>
      </c>
      <c r="DF52" s="24">
        <f t="shared" si="11"/>
        <v>0.26400000000000001</v>
      </c>
      <c r="DG52" s="24">
        <f t="shared" si="12"/>
        <v>0.17</v>
      </c>
      <c r="DH52" s="17" t="s">
        <v>218</v>
      </c>
      <c r="DQ52" s="1">
        <v>-2.1</v>
      </c>
      <c r="DR52" s="1">
        <v>1</v>
      </c>
      <c r="DS52" s="1">
        <v>-5.2</v>
      </c>
    </row>
    <row r="53" spans="1:123" x14ac:dyDescent="0.2">
      <c r="A53" s="15">
        <f t="shared" si="3"/>
        <v>36572</v>
      </c>
      <c r="B53" s="1">
        <v>47</v>
      </c>
      <c r="E53" s="50">
        <f t="shared" si="4"/>
        <v>-8.6999999999999993</v>
      </c>
      <c r="R53" s="50">
        <f t="shared" si="5"/>
        <v>-3.7</v>
      </c>
      <c r="AF53" s="50">
        <f t="shared" si="6"/>
        <v>-13.7</v>
      </c>
      <c r="BM53" s="17">
        <v>10.09</v>
      </c>
      <c r="BN53" s="17">
        <f t="shared" si="0"/>
        <v>20.381799999999998</v>
      </c>
      <c r="BO53" s="18"/>
      <c r="BP53" s="18"/>
      <c r="BU53" s="62">
        <f t="shared" si="13"/>
        <v>0.21199999999999999</v>
      </c>
      <c r="BV53" s="62">
        <f t="shared" si="14"/>
        <v>0.252</v>
      </c>
      <c r="BX53" s="51">
        <f t="shared" si="7"/>
        <v>0</v>
      </c>
      <c r="BY53" s="46">
        <v>0</v>
      </c>
      <c r="BZ53" s="1">
        <v>0</v>
      </c>
      <c r="CB53" s="17" t="s">
        <v>218</v>
      </c>
      <c r="CC53" s="17" t="s">
        <v>218</v>
      </c>
      <c r="CD53" s="3">
        <f t="shared" si="8"/>
        <v>-8.6999999999999993</v>
      </c>
      <c r="CE53" s="17" t="s">
        <v>218</v>
      </c>
      <c r="CF53" s="17" t="s">
        <v>218</v>
      </c>
      <c r="CG53" s="17" t="s">
        <v>218</v>
      </c>
      <c r="CH53" s="17" t="s">
        <v>218</v>
      </c>
      <c r="CI53" s="17" t="s">
        <v>218</v>
      </c>
      <c r="CJ53" s="17" t="s">
        <v>218</v>
      </c>
      <c r="CK53" s="17" t="s">
        <v>218</v>
      </c>
      <c r="CL53" s="1">
        <f t="shared" si="9"/>
        <v>-3.7</v>
      </c>
      <c r="CM53" s="17" t="s">
        <v>218</v>
      </c>
      <c r="CN53" s="17" t="s">
        <v>218</v>
      </c>
      <c r="CO53" s="17" t="s">
        <v>218</v>
      </c>
      <c r="CP53" s="17" t="s">
        <v>218</v>
      </c>
      <c r="CQ53" s="17" t="s">
        <v>218</v>
      </c>
      <c r="CR53" s="17" t="s">
        <v>218</v>
      </c>
      <c r="CS53" s="17" t="s">
        <v>218</v>
      </c>
      <c r="CT53" s="1">
        <f t="shared" si="10"/>
        <v>-13.7</v>
      </c>
      <c r="CU53" s="17" t="s">
        <v>218</v>
      </c>
      <c r="CV53" s="17" t="s">
        <v>218</v>
      </c>
      <c r="CW53" s="17" t="s">
        <v>218</v>
      </c>
      <c r="CX53" s="17" t="s">
        <v>218</v>
      </c>
      <c r="CY53" s="17" t="s">
        <v>218</v>
      </c>
      <c r="CZ53" s="17" t="s">
        <v>218</v>
      </c>
      <c r="DA53" s="17" t="s">
        <v>218</v>
      </c>
      <c r="DB53" s="17" t="s">
        <v>218</v>
      </c>
      <c r="DC53" s="1">
        <f>ROUND(PPTest!K53,1)</f>
        <v>0</v>
      </c>
      <c r="DD53" s="17" t="s">
        <v>218</v>
      </c>
      <c r="DE53" s="17" t="s">
        <v>218</v>
      </c>
      <c r="DF53" s="24">
        <f t="shared" si="11"/>
        <v>0.21199999999999999</v>
      </c>
      <c r="DG53" s="24">
        <f t="shared" si="12"/>
        <v>0.252</v>
      </c>
      <c r="DH53" s="17" t="s">
        <v>218</v>
      </c>
      <c r="DQ53" s="1">
        <v>-3.2</v>
      </c>
      <c r="DR53" s="1">
        <v>2.2999999999999998</v>
      </c>
      <c r="DS53" s="1">
        <v>-8.6999999999999993</v>
      </c>
    </row>
    <row r="54" spans="1:123" x14ac:dyDescent="0.2">
      <c r="A54" s="15">
        <f t="shared" si="3"/>
        <v>36573</v>
      </c>
      <c r="B54" s="1">
        <v>48</v>
      </c>
      <c r="E54" s="50">
        <f t="shared" si="4"/>
        <v>-11.3</v>
      </c>
      <c r="R54" s="50">
        <f t="shared" si="5"/>
        <v>-4.0999999999999996</v>
      </c>
      <c r="AF54" s="50">
        <f t="shared" si="6"/>
        <v>-18.5</v>
      </c>
      <c r="BM54" s="17">
        <v>10.3</v>
      </c>
      <c r="BN54" s="17">
        <f t="shared" si="0"/>
        <v>20.806000000000001</v>
      </c>
      <c r="BO54" s="18"/>
      <c r="BP54" s="18"/>
      <c r="BU54" s="62">
        <f t="shared" si="13"/>
        <v>0.14199999999999999</v>
      </c>
      <c r="BV54" s="62">
        <f t="shared" si="14"/>
        <v>0.309</v>
      </c>
      <c r="BX54" s="51">
        <f t="shared" si="7"/>
        <v>0</v>
      </c>
      <c r="BY54" s="46">
        <v>0</v>
      </c>
      <c r="BZ54" s="1">
        <v>0</v>
      </c>
      <c r="CB54" s="17" t="s">
        <v>218</v>
      </c>
      <c r="CC54" s="17" t="s">
        <v>218</v>
      </c>
      <c r="CD54" s="3">
        <f t="shared" si="8"/>
        <v>-11.3</v>
      </c>
      <c r="CE54" s="17" t="s">
        <v>218</v>
      </c>
      <c r="CF54" s="17" t="s">
        <v>218</v>
      </c>
      <c r="CG54" s="17" t="s">
        <v>218</v>
      </c>
      <c r="CH54" s="17" t="s">
        <v>218</v>
      </c>
      <c r="CI54" s="17" t="s">
        <v>218</v>
      </c>
      <c r="CJ54" s="17" t="s">
        <v>218</v>
      </c>
      <c r="CK54" s="17" t="s">
        <v>218</v>
      </c>
      <c r="CL54" s="1">
        <f t="shared" si="9"/>
        <v>-4.0999999999999996</v>
      </c>
      <c r="CM54" s="17" t="s">
        <v>218</v>
      </c>
      <c r="CN54" s="17" t="s">
        <v>218</v>
      </c>
      <c r="CO54" s="17" t="s">
        <v>218</v>
      </c>
      <c r="CP54" s="17" t="s">
        <v>218</v>
      </c>
      <c r="CQ54" s="17" t="s">
        <v>218</v>
      </c>
      <c r="CR54" s="17" t="s">
        <v>218</v>
      </c>
      <c r="CS54" s="17" t="s">
        <v>218</v>
      </c>
      <c r="CT54" s="1">
        <f t="shared" si="10"/>
        <v>-18.5</v>
      </c>
      <c r="CU54" s="17" t="s">
        <v>218</v>
      </c>
      <c r="CV54" s="17" t="s">
        <v>218</v>
      </c>
      <c r="CW54" s="17" t="s">
        <v>218</v>
      </c>
      <c r="CX54" s="17" t="s">
        <v>218</v>
      </c>
      <c r="CY54" s="17" t="s">
        <v>218</v>
      </c>
      <c r="CZ54" s="17" t="s">
        <v>218</v>
      </c>
      <c r="DA54" s="17" t="s">
        <v>218</v>
      </c>
      <c r="DB54" s="17" t="s">
        <v>218</v>
      </c>
      <c r="DC54" s="1">
        <f>ROUND(PPTest!K54,1)</f>
        <v>0</v>
      </c>
      <c r="DD54" s="17" t="s">
        <v>218</v>
      </c>
      <c r="DE54" s="17" t="s">
        <v>218</v>
      </c>
      <c r="DF54" s="24">
        <f t="shared" si="11"/>
        <v>0.14199999999999999</v>
      </c>
      <c r="DG54" s="24">
        <f t="shared" si="12"/>
        <v>0.309</v>
      </c>
      <c r="DH54" s="17" t="s">
        <v>218</v>
      </c>
      <c r="DQ54" s="1">
        <v>-6.6</v>
      </c>
      <c r="DR54" s="1">
        <v>1.8</v>
      </c>
      <c r="DS54" s="1">
        <v>-14.9</v>
      </c>
    </row>
    <row r="55" spans="1:123" x14ac:dyDescent="0.2">
      <c r="A55" s="15">
        <f t="shared" si="3"/>
        <v>36574</v>
      </c>
      <c r="B55" s="1">
        <v>49</v>
      </c>
      <c r="E55" s="50">
        <f t="shared" si="4"/>
        <v>-11.6</v>
      </c>
      <c r="R55" s="50">
        <f t="shared" si="5"/>
        <v>-3.7</v>
      </c>
      <c r="AF55" s="50">
        <f t="shared" si="6"/>
        <v>-19.5</v>
      </c>
      <c r="BM55" s="17">
        <v>10.5</v>
      </c>
      <c r="BN55" s="17">
        <f t="shared" si="0"/>
        <v>21.21</v>
      </c>
      <c r="BO55" s="18"/>
      <c r="BP55" s="18"/>
      <c r="BU55" s="62">
        <f t="shared" si="13"/>
        <v>0.13</v>
      </c>
      <c r="BV55" s="62">
        <f t="shared" si="14"/>
        <v>0.33400000000000002</v>
      </c>
      <c r="BX55" s="51">
        <f t="shared" si="7"/>
        <v>0</v>
      </c>
      <c r="BY55" s="46">
        <v>0</v>
      </c>
      <c r="BZ55" s="1">
        <v>0</v>
      </c>
      <c r="CB55" s="17" t="s">
        <v>218</v>
      </c>
      <c r="CC55" s="17" t="s">
        <v>218</v>
      </c>
      <c r="CD55" s="3">
        <f t="shared" si="8"/>
        <v>-11.6</v>
      </c>
      <c r="CE55" s="17" t="s">
        <v>218</v>
      </c>
      <c r="CF55" s="17" t="s">
        <v>218</v>
      </c>
      <c r="CG55" s="17" t="s">
        <v>218</v>
      </c>
      <c r="CH55" s="17" t="s">
        <v>218</v>
      </c>
      <c r="CI55" s="17" t="s">
        <v>218</v>
      </c>
      <c r="CJ55" s="17" t="s">
        <v>218</v>
      </c>
      <c r="CK55" s="17" t="s">
        <v>218</v>
      </c>
      <c r="CL55" s="1">
        <f t="shared" si="9"/>
        <v>-3.7</v>
      </c>
      <c r="CM55" s="17" t="s">
        <v>218</v>
      </c>
      <c r="CN55" s="17" t="s">
        <v>218</v>
      </c>
      <c r="CO55" s="17" t="s">
        <v>218</v>
      </c>
      <c r="CP55" s="17" t="s">
        <v>218</v>
      </c>
      <c r="CQ55" s="17" t="s">
        <v>218</v>
      </c>
      <c r="CR55" s="17" t="s">
        <v>218</v>
      </c>
      <c r="CS55" s="17" t="s">
        <v>218</v>
      </c>
      <c r="CT55" s="1">
        <f t="shared" si="10"/>
        <v>-19.5</v>
      </c>
      <c r="CU55" s="17" t="s">
        <v>218</v>
      </c>
      <c r="CV55" s="17" t="s">
        <v>218</v>
      </c>
      <c r="CW55" s="17" t="s">
        <v>218</v>
      </c>
      <c r="CX55" s="17" t="s">
        <v>218</v>
      </c>
      <c r="CY55" s="17" t="s">
        <v>218</v>
      </c>
      <c r="CZ55" s="17" t="s">
        <v>218</v>
      </c>
      <c r="DA55" s="17" t="s">
        <v>218</v>
      </c>
      <c r="DB55" s="17" t="s">
        <v>218</v>
      </c>
      <c r="DC55" s="1">
        <f>ROUND(PPTest!K55,1)</f>
        <v>0</v>
      </c>
      <c r="DD55" s="17" t="s">
        <v>218</v>
      </c>
      <c r="DE55" s="17" t="s">
        <v>218</v>
      </c>
      <c r="DF55" s="24">
        <f t="shared" si="11"/>
        <v>0.13</v>
      </c>
      <c r="DG55" s="24">
        <f t="shared" si="12"/>
        <v>0.33400000000000002</v>
      </c>
      <c r="DH55" s="17" t="s">
        <v>218</v>
      </c>
      <c r="DQ55" s="1">
        <v>-7</v>
      </c>
      <c r="DR55" s="1">
        <v>2.2999999999999998</v>
      </c>
      <c r="DS55" s="1">
        <v>-16.2</v>
      </c>
    </row>
    <row r="56" spans="1:123" x14ac:dyDescent="0.2">
      <c r="A56" s="15">
        <f t="shared" si="3"/>
        <v>36575</v>
      </c>
      <c r="B56" s="1">
        <v>50</v>
      </c>
      <c r="E56" s="50">
        <f t="shared" si="4"/>
        <v>-9.4</v>
      </c>
      <c r="R56" s="50">
        <f t="shared" si="5"/>
        <v>-2.4</v>
      </c>
      <c r="AF56" s="50">
        <f t="shared" si="6"/>
        <v>-16.399999999999999</v>
      </c>
      <c r="BM56" s="17">
        <v>10.72</v>
      </c>
      <c r="BN56" s="17">
        <f t="shared" si="0"/>
        <v>21.654400000000003</v>
      </c>
      <c r="BO56" s="18"/>
      <c r="BP56" s="18"/>
      <c r="BU56" s="62">
        <f t="shared" si="13"/>
        <v>0.16900000000000001</v>
      </c>
      <c r="BV56" s="62">
        <f t="shared" si="14"/>
        <v>0.34300000000000003</v>
      </c>
      <c r="BX56" s="51">
        <f t="shared" si="7"/>
        <v>0.84000000000000008</v>
      </c>
      <c r="BY56" s="46">
        <v>0</v>
      </c>
      <c r="BZ56" s="1">
        <v>0.60000000000000009</v>
      </c>
      <c r="CB56" s="17" t="s">
        <v>218</v>
      </c>
      <c r="CC56" s="17" t="s">
        <v>218</v>
      </c>
      <c r="CD56" s="3">
        <f t="shared" si="8"/>
        <v>-9.4</v>
      </c>
      <c r="CE56" s="17" t="s">
        <v>218</v>
      </c>
      <c r="CF56" s="17" t="s">
        <v>218</v>
      </c>
      <c r="CG56" s="17" t="s">
        <v>218</v>
      </c>
      <c r="CH56" s="17" t="s">
        <v>218</v>
      </c>
      <c r="CI56" s="17" t="s">
        <v>218</v>
      </c>
      <c r="CJ56" s="17" t="s">
        <v>218</v>
      </c>
      <c r="CK56" s="17" t="s">
        <v>218</v>
      </c>
      <c r="CL56" s="1">
        <f t="shared" si="9"/>
        <v>-2.4</v>
      </c>
      <c r="CM56" s="17" t="s">
        <v>218</v>
      </c>
      <c r="CN56" s="17" t="s">
        <v>218</v>
      </c>
      <c r="CO56" s="17" t="s">
        <v>218</v>
      </c>
      <c r="CP56" s="17" t="s">
        <v>218</v>
      </c>
      <c r="CQ56" s="17" t="s">
        <v>218</v>
      </c>
      <c r="CR56" s="17" t="s">
        <v>218</v>
      </c>
      <c r="CS56" s="17" t="s">
        <v>218</v>
      </c>
      <c r="CT56" s="1">
        <f t="shared" si="10"/>
        <v>-16.399999999999999</v>
      </c>
      <c r="CU56" s="17" t="s">
        <v>218</v>
      </c>
      <c r="CV56" s="17" t="s">
        <v>218</v>
      </c>
      <c r="CW56" s="17" t="s">
        <v>218</v>
      </c>
      <c r="CX56" s="17" t="s">
        <v>218</v>
      </c>
      <c r="CY56" s="17" t="s">
        <v>218</v>
      </c>
      <c r="CZ56" s="17" t="s">
        <v>218</v>
      </c>
      <c r="DA56" s="17" t="s">
        <v>218</v>
      </c>
      <c r="DB56" s="17" t="s">
        <v>218</v>
      </c>
      <c r="DC56" s="1">
        <f>ROUND(PPTest!K56,1)</f>
        <v>0.9</v>
      </c>
      <c r="DD56" s="17" t="s">
        <v>218</v>
      </c>
      <c r="DE56" s="17" t="s">
        <v>218</v>
      </c>
      <c r="DF56" s="24">
        <f t="shared" si="11"/>
        <v>0.16900000000000001</v>
      </c>
      <c r="DG56" s="24">
        <f t="shared" si="12"/>
        <v>0.34300000000000003</v>
      </c>
      <c r="DH56" s="17" t="s">
        <v>218</v>
      </c>
      <c r="DQ56" s="1">
        <v>-4.0999999999999996</v>
      </c>
      <c r="DR56" s="1">
        <v>4.2</v>
      </c>
      <c r="DS56" s="1">
        <v>-12.4</v>
      </c>
    </row>
    <row r="57" spans="1:123" x14ac:dyDescent="0.2">
      <c r="A57" s="15">
        <f t="shared" si="3"/>
        <v>36576</v>
      </c>
      <c r="B57" s="1">
        <v>51</v>
      </c>
      <c r="E57" s="50">
        <f t="shared" si="4"/>
        <v>-9.1</v>
      </c>
      <c r="R57" s="50">
        <f t="shared" si="5"/>
        <v>-0.5</v>
      </c>
      <c r="AF57" s="50">
        <f t="shared" si="6"/>
        <v>-17.7</v>
      </c>
      <c r="BM57" s="17">
        <v>10.93</v>
      </c>
      <c r="BN57" s="17">
        <f t="shared" si="0"/>
        <v>22.078599999999998</v>
      </c>
      <c r="BO57" s="18"/>
      <c r="BP57" s="18"/>
      <c r="BU57" s="62">
        <f t="shared" si="13"/>
        <v>0.152</v>
      </c>
      <c r="BV57" s="62">
        <f t="shared" si="14"/>
        <v>0.437</v>
      </c>
      <c r="BX57" s="51">
        <f t="shared" si="7"/>
        <v>0</v>
      </c>
      <c r="BY57" s="46">
        <v>0</v>
      </c>
      <c r="BZ57" s="1">
        <v>0</v>
      </c>
      <c r="CB57" s="17" t="s">
        <v>218</v>
      </c>
      <c r="CC57" s="17" t="s">
        <v>218</v>
      </c>
      <c r="CD57" s="3">
        <f t="shared" si="8"/>
        <v>-9.1</v>
      </c>
      <c r="CE57" s="17" t="s">
        <v>218</v>
      </c>
      <c r="CF57" s="17" t="s">
        <v>218</v>
      </c>
      <c r="CG57" s="17" t="s">
        <v>218</v>
      </c>
      <c r="CH57" s="17" t="s">
        <v>218</v>
      </c>
      <c r="CI57" s="17" t="s">
        <v>218</v>
      </c>
      <c r="CJ57" s="17" t="s">
        <v>218</v>
      </c>
      <c r="CK57" s="17" t="s">
        <v>218</v>
      </c>
      <c r="CL57" s="1">
        <f t="shared" si="9"/>
        <v>-0.5</v>
      </c>
      <c r="CM57" s="17" t="s">
        <v>218</v>
      </c>
      <c r="CN57" s="17" t="s">
        <v>218</v>
      </c>
      <c r="CO57" s="17" t="s">
        <v>218</v>
      </c>
      <c r="CP57" s="17" t="s">
        <v>218</v>
      </c>
      <c r="CQ57" s="17" t="s">
        <v>218</v>
      </c>
      <c r="CR57" s="17" t="s">
        <v>218</v>
      </c>
      <c r="CS57" s="17" t="s">
        <v>218</v>
      </c>
      <c r="CT57" s="1">
        <f t="shared" si="10"/>
        <v>-17.7</v>
      </c>
      <c r="CU57" s="17" t="s">
        <v>218</v>
      </c>
      <c r="CV57" s="17" t="s">
        <v>218</v>
      </c>
      <c r="CW57" s="17" t="s">
        <v>218</v>
      </c>
      <c r="CX57" s="17" t="s">
        <v>218</v>
      </c>
      <c r="CY57" s="17" t="s">
        <v>218</v>
      </c>
      <c r="CZ57" s="17" t="s">
        <v>218</v>
      </c>
      <c r="DA57" s="17" t="s">
        <v>218</v>
      </c>
      <c r="DB57" s="17" t="s">
        <v>218</v>
      </c>
      <c r="DC57" s="1">
        <f>ROUND(PPTest!K57,1)</f>
        <v>0</v>
      </c>
      <c r="DD57" s="17" t="s">
        <v>218</v>
      </c>
      <c r="DE57" s="17" t="s">
        <v>218</v>
      </c>
      <c r="DF57" s="24">
        <f t="shared" si="11"/>
        <v>0.152</v>
      </c>
      <c r="DG57" s="24">
        <f t="shared" si="12"/>
        <v>0.437</v>
      </c>
      <c r="DH57" s="17" t="s">
        <v>218</v>
      </c>
      <c r="DQ57" s="1">
        <v>-3.8</v>
      </c>
      <c r="DR57" s="1">
        <v>6.9</v>
      </c>
      <c r="DS57" s="1">
        <v>-14.4</v>
      </c>
    </row>
    <row r="58" spans="1:123" x14ac:dyDescent="0.2">
      <c r="A58" s="15">
        <f t="shared" si="3"/>
        <v>36577</v>
      </c>
      <c r="B58" s="1">
        <v>52</v>
      </c>
      <c r="E58" s="50">
        <f t="shared" si="4"/>
        <v>-7.4</v>
      </c>
      <c r="R58" s="50">
        <f t="shared" si="5"/>
        <v>-4.4000000000000004</v>
      </c>
      <c r="AF58" s="50">
        <f t="shared" si="6"/>
        <v>-10.4</v>
      </c>
      <c r="BM58" s="17">
        <v>11.14</v>
      </c>
      <c r="BN58" s="17">
        <f t="shared" si="0"/>
        <v>22.502800000000001</v>
      </c>
      <c r="BO58" s="18"/>
      <c r="BP58" s="18"/>
      <c r="BU58" s="62">
        <f t="shared" si="13"/>
        <v>0.27700000000000002</v>
      </c>
      <c r="BV58" s="62">
        <f t="shared" si="14"/>
        <v>0.16400000000000001</v>
      </c>
      <c r="BX58" s="51">
        <f t="shared" si="7"/>
        <v>6.5799999999999983</v>
      </c>
      <c r="BY58" s="46">
        <v>4.68</v>
      </c>
      <c r="BZ58" s="1">
        <v>4.6999999999999993</v>
      </c>
      <c r="CB58" s="17" t="s">
        <v>218</v>
      </c>
      <c r="CC58" s="17" t="s">
        <v>218</v>
      </c>
      <c r="CD58" s="3">
        <f t="shared" si="8"/>
        <v>-7.4</v>
      </c>
      <c r="CE58" s="17" t="s">
        <v>218</v>
      </c>
      <c r="CF58" s="17" t="s">
        <v>218</v>
      </c>
      <c r="CG58" s="17" t="s">
        <v>218</v>
      </c>
      <c r="CH58" s="17" t="s">
        <v>218</v>
      </c>
      <c r="CI58" s="17" t="s">
        <v>218</v>
      </c>
      <c r="CJ58" s="17" t="s">
        <v>218</v>
      </c>
      <c r="CK58" s="17" t="s">
        <v>218</v>
      </c>
      <c r="CL58" s="1">
        <f t="shared" si="9"/>
        <v>-4.4000000000000004</v>
      </c>
      <c r="CM58" s="17" t="s">
        <v>218</v>
      </c>
      <c r="CN58" s="17" t="s">
        <v>218</v>
      </c>
      <c r="CO58" s="17" t="s">
        <v>218</v>
      </c>
      <c r="CP58" s="17" t="s">
        <v>218</v>
      </c>
      <c r="CQ58" s="17" t="s">
        <v>218</v>
      </c>
      <c r="CR58" s="17" t="s">
        <v>218</v>
      </c>
      <c r="CS58" s="17" t="s">
        <v>218</v>
      </c>
      <c r="CT58" s="1">
        <f t="shared" si="10"/>
        <v>-10.4</v>
      </c>
      <c r="CU58" s="17" t="s">
        <v>218</v>
      </c>
      <c r="CV58" s="17" t="s">
        <v>218</v>
      </c>
      <c r="CW58" s="17" t="s">
        <v>218</v>
      </c>
      <c r="CX58" s="17" t="s">
        <v>218</v>
      </c>
      <c r="CY58" s="17" t="s">
        <v>218</v>
      </c>
      <c r="CZ58" s="17" t="s">
        <v>218</v>
      </c>
      <c r="DA58" s="17" t="s">
        <v>218</v>
      </c>
      <c r="DB58" s="17" t="s">
        <v>218</v>
      </c>
      <c r="DC58" s="1">
        <f>ROUND(PPTest!K58,1)</f>
        <v>6.9</v>
      </c>
      <c r="DD58" s="17" t="s">
        <v>218</v>
      </c>
      <c r="DE58" s="17" t="s">
        <v>218</v>
      </c>
      <c r="DF58" s="24">
        <f t="shared" si="11"/>
        <v>0.27700000000000002</v>
      </c>
      <c r="DG58" s="24">
        <f t="shared" si="12"/>
        <v>0.16400000000000001</v>
      </c>
      <c r="DH58" s="17" t="s">
        <v>218</v>
      </c>
      <c r="DQ58" s="1">
        <v>-1.5</v>
      </c>
      <c r="DR58" s="1">
        <v>1.3</v>
      </c>
      <c r="DS58" s="1">
        <v>-4.3</v>
      </c>
    </row>
    <row r="59" spans="1:123" x14ac:dyDescent="0.2">
      <c r="A59" s="15">
        <f t="shared" si="3"/>
        <v>36578</v>
      </c>
      <c r="B59" s="1">
        <v>53</v>
      </c>
      <c r="E59" s="50">
        <f t="shared" si="4"/>
        <v>-5.7</v>
      </c>
      <c r="R59" s="50">
        <f t="shared" si="5"/>
        <v>-3.5</v>
      </c>
      <c r="AF59" s="50">
        <f t="shared" si="6"/>
        <v>-7.9</v>
      </c>
      <c r="BM59" s="17">
        <v>11.37</v>
      </c>
      <c r="BN59" s="17">
        <f t="shared" si="0"/>
        <v>22.967399999999998</v>
      </c>
      <c r="BO59" s="18"/>
      <c r="BP59" s="18"/>
      <c r="BU59" s="62">
        <f t="shared" si="13"/>
        <v>0.33700000000000002</v>
      </c>
      <c r="BV59" s="62">
        <f t="shared" si="14"/>
        <v>0.13400000000000001</v>
      </c>
      <c r="BX59" s="51">
        <f t="shared" si="7"/>
        <v>7.9800000000000013</v>
      </c>
      <c r="BY59" s="46">
        <v>8.4500000000000011</v>
      </c>
      <c r="BZ59" s="1">
        <v>5.7000000000000011</v>
      </c>
      <c r="CB59" s="17" t="s">
        <v>218</v>
      </c>
      <c r="CC59" s="17" t="s">
        <v>218</v>
      </c>
      <c r="CD59" s="3">
        <f t="shared" si="8"/>
        <v>-5.7</v>
      </c>
      <c r="CE59" s="17" t="s">
        <v>218</v>
      </c>
      <c r="CF59" s="17" t="s">
        <v>218</v>
      </c>
      <c r="CG59" s="17" t="s">
        <v>218</v>
      </c>
      <c r="CH59" s="17" t="s">
        <v>218</v>
      </c>
      <c r="CI59" s="17" t="s">
        <v>218</v>
      </c>
      <c r="CJ59" s="17" t="s">
        <v>218</v>
      </c>
      <c r="CK59" s="17" t="s">
        <v>218</v>
      </c>
      <c r="CL59" s="1">
        <f t="shared" si="9"/>
        <v>-3.5</v>
      </c>
      <c r="CM59" s="17" t="s">
        <v>218</v>
      </c>
      <c r="CN59" s="17" t="s">
        <v>218</v>
      </c>
      <c r="CO59" s="17" t="s">
        <v>218</v>
      </c>
      <c r="CP59" s="17" t="s">
        <v>218</v>
      </c>
      <c r="CQ59" s="17" t="s">
        <v>218</v>
      </c>
      <c r="CR59" s="17" t="s">
        <v>218</v>
      </c>
      <c r="CS59" s="17" t="s">
        <v>218</v>
      </c>
      <c r="CT59" s="1">
        <f t="shared" si="10"/>
        <v>-7.9</v>
      </c>
      <c r="CU59" s="17" t="s">
        <v>218</v>
      </c>
      <c r="CV59" s="17" t="s">
        <v>218</v>
      </c>
      <c r="CW59" s="17" t="s">
        <v>218</v>
      </c>
      <c r="CX59" s="17" t="s">
        <v>218</v>
      </c>
      <c r="CY59" s="17" t="s">
        <v>218</v>
      </c>
      <c r="CZ59" s="17" t="s">
        <v>218</v>
      </c>
      <c r="DA59" s="17" t="s">
        <v>218</v>
      </c>
      <c r="DB59" s="17" t="s">
        <v>218</v>
      </c>
      <c r="DC59" s="1">
        <f>ROUND(PPTest!K59,1)</f>
        <v>8.4</v>
      </c>
      <c r="DD59" s="17" t="s">
        <v>218</v>
      </c>
      <c r="DE59" s="17" t="s">
        <v>218</v>
      </c>
      <c r="DF59" s="24">
        <f t="shared" si="11"/>
        <v>0.33700000000000002</v>
      </c>
      <c r="DG59" s="24">
        <f t="shared" si="12"/>
        <v>0.13400000000000001</v>
      </c>
      <c r="DH59" s="17" t="s">
        <v>218</v>
      </c>
      <c r="DQ59" s="1">
        <v>0.7</v>
      </c>
      <c r="DR59" s="1">
        <v>2.6</v>
      </c>
      <c r="DS59" s="1">
        <v>-1.3</v>
      </c>
    </row>
    <row r="60" spans="1:123" x14ac:dyDescent="0.2">
      <c r="A60" s="15">
        <f t="shared" si="3"/>
        <v>36579</v>
      </c>
      <c r="B60" s="1">
        <v>54</v>
      </c>
      <c r="E60" s="50">
        <f t="shared" si="4"/>
        <v>-3.9</v>
      </c>
      <c r="R60" s="50">
        <f t="shared" si="5"/>
        <v>-1.2</v>
      </c>
      <c r="AF60" s="50">
        <f t="shared" si="6"/>
        <v>-6.6</v>
      </c>
      <c r="BM60" s="17">
        <v>11.59</v>
      </c>
      <c r="BN60" s="17">
        <f t="shared" si="0"/>
        <v>23.411799999999999</v>
      </c>
      <c r="BO60" s="18"/>
      <c r="BP60" s="18"/>
      <c r="BU60" s="62">
        <f t="shared" si="13"/>
        <v>0.372</v>
      </c>
      <c r="BV60" s="62">
        <f t="shared" si="14"/>
        <v>0.187</v>
      </c>
      <c r="BX60" s="51">
        <f t="shared" si="7"/>
        <v>3.08</v>
      </c>
      <c r="BY60" s="46">
        <v>0</v>
      </c>
      <c r="BZ60" s="1">
        <v>2.2000000000000002</v>
      </c>
      <c r="CB60" s="17" t="s">
        <v>218</v>
      </c>
      <c r="CC60" s="17" t="s">
        <v>218</v>
      </c>
      <c r="CD60" s="3">
        <f t="shared" si="8"/>
        <v>-3.9</v>
      </c>
      <c r="CE60" s="17" t="s">
        <v>218</v>
      </c>
      <c r="CF60" s="17" t="s">
        <v>218</v>
      </c>
      <c r="CG60" s="17" t="s">
        <v>218</v>
      </c>
      <c r="CH60" s="17" t="s">
        <v>218</v>
      </c>
      <c r="CI60" s="17" t="s">
        <v>218</v>
      </c>
      <c r="CJ60" s="17" t="s">
        <v>218</v>
      </c>
      <c r="CK60" s="17" t="s">
        <v>218</v>
      </c>
      <c r="CL60" s="1">
        <f t="shared" si="9"/>
        <v>-1.2</v>
      </c>
      <c r="CM60" s="17" t="s">
        <v>218</v>
      </c>
      <c r="CN60" s="17" t="s">
        <v>218</v>
      </c>
      <c r="CO60" s="17" t="s">
        <v>218</v>
      </c>
      <c r="CP60" s="17" t="s">
        <v>218</v>
      </c>
      <c r="CQ60" s="17" t="s">
        <v>218</v>
      </c>
      <c r="CR60" s="17" t="s">
        <v>218</v>
      </c>
      <c r="CS60" s="17" t="s">
        <v>218</v>
      </c>
      <c r="CT60" s="1">
        <f t="shared" si="10"/>
        <v>-6.6</v>
      </c>
      <c r="CU60" s="17" t="s">
        <v>218</v>
      </c>
      <c r="CV60" s="17" t="s">
        <v>218</v>
      </c>
      <c r="CW60" s="17" t="s">
        <v>218</v>
      </c>
      <c r="CX60" s="17" t="s">
        <v>218</v>
      </c>
      <c r="CY60" s="17" t="s">
        <v>218</v>
      </c>
      <c r="CZ60" s="17" t="s">
        <v>218</v>
      </c>
      <c r="DA60" s="17" t="s">
        <v>218</v>
      </c>
      <c r="DB60" s="17" t="s">
        <v>218</v>
      </c>
      <c r="DC60" s="1">
        <f>ROUND(PPTest!K60,1)</f>
        <v>3.2</v>
      </c>
      <c r="DD60" s="17" t="s">
        <v>218</v>
      </c>
      <c r="DE60" s="17" t="s">
        <v>218</v>
      </c>
      <c r="DF60" s="24">
        <f t="shared" si="11"/>
        <v>0.372</v>
      </c>
      <c r="DG60" s="24">
        <f t="shared" si="12"/>
        <v>0.187</v>
      </c>
      <c r="DH60" s="17" t="s">
        <v>218</v>
      </c>
      <c r="DQ60" s="1">
        <v>3</v>
      </c>
      <c r="DR60" s="1">
        <v>5.9</v>
      </c>
      <c r="DS60" s="1">
        <v>0.1</v>
      </c>
    </row>
    <row r="61" spans="1:123" x14ac:dyDescent="0.2">
      <c r="A61" s="15">
        <f t="shared" si="3"/>
        <v>36580</v>
      </c>
      <c r="B61" s="1">
        <v>55</v>
      </c>
      <c r="E61" s="50">
        <f t="shared" si="4"/>
        <v>-4.4000000000000004</v>
      </c>
      <c r="R61" s="50">
        <f t="shared" si="5"/>
        <v>1.2</v>
      </c>
      <c r="AF61" s="50">
        <f t="shared" si="6"/>
        <v>-10</v>
      </c>
      <c r="BM61" s="17">
        <v>11.82</v>
      </c>
      <c r="BN61" s="17">
        <f t="shared" si="0"/>
        <v>23.8764</v>
      </c>
      <c r="BO61" s="18"/>
      <c r="BP61" s="18"/>
      <c r="BU61" s="62">
        <f t="shared" si="13"/>
        <v>0.28599999999999998</v>
      </c>
      <c r="BV61" s="62">
        <f t="shared" si="14"/>
        <v>0.38</v>
      </c>
      <c r="BX61" s="51">
        <f t="shared" si="7"/>
        <v>0</v>
      </c>
      <c r="BY61" s="46">
        <v>0</v>
      </c>
      <c r="BZ61" s="1">
        <v>0</v>
      </c>
      <c r="CB61" s="17" t="s">
        <v>218</v>
      </c>
      <c r="CC61" s="17" t="s">
        <v>218</v>
      </c>
      <c r="CD61" s="3">
        <f t="shared" si="8"/>
        <v>-4.4000000000000004</v>
      </c>
      <c r="CE61" s="17" t="s">
        <v>218</v>
      </c>
      <c r="CF61" s="17" t="s">
        <v>218</v>
      </c>
      <c r="CG61" s="17" t="s">
        <v>218</v>
      </c>
      <c r="CH61" s="17" t="s">
        <v>218</v>
      </c>
      <c r="CI61" s="17" t="s">
        <v>218</v>
      </c>
      <c r="CJ61" s="17" t="s">
        <v>218</v>
      </c>
      <c r="CK61" s="17" t="s">
        <v>218</v>
      </c>
      <c r="CL61" s="1">
        <f t="shared" si="9"/>
        <v>1.2</v>
      </c>
      <c r="CM61" s="17" t="s">
        <v>218</v>
      </c>
      <c r="CN61" s="17" t="s">
        <v>218</v>
      </c>
      <c r="CO61" s="17" t="s">
        <v>218</v>
      </c>
      <c r="CP61" s="17" t="s">
        <v>218</v>
      </c>
      <c r="CQ61" s="17" t="s">
        <v>218</v>
      </c>
      <c r="CR61" s="17" t="s">
        <v>218</v>
      </c>
      <c r="CS61" s="17" t="s">
        <v>218</v>
      </c>
      <c r="CT61" s="1">
        <f t="shared" si="10"/>
        <v>-10</v>
      </c>
      <c r="CU61" s="17" t="s">
        <v>218</v>
      </c>
      <c r="CV61" s="17" t="s">
        <v>218</v>
      </c>
      <c r="CW61" s="17" t="s">
        <v>218</v>
      </c>
      <c r="CX61" s="17" t="s">
        <v>218</v>
      </c>
      <c r="CY61" s="17" t="s">
        <v>218</v>
      </c>
      <c r="CZ61" s="17" t="s">
        <v>218</v>
      </c>
      <c r="DA61" s="17" t="s">
        <v>218</v>
      </c>
      <c r="DB61" s="17" t="s">
        <v>218</v>
      </c>
      <c r="DC61" s="1">
        <f>ROUND(PPTest!K61,1)</f>
        <v>0</v>
      </c>
      <c r="DD61" s="17" t="s">
        <v>218</v>
      </c>
      <c r="DE61" s="17" t="s">
        <v>218</v>
      </c>
      <c r="DF61" s="24">
        <f t="shared" si="11"/>
        <v>0.28599999999999998</v>
      </c>
      <c r="DG61" s="24">
        <f t="shared" si="12"/>
        <v>0.38</v>
      </c>
      <c r="DH61" s="17" t="s">
        <v>218</v>
      </c>
      <c r="DQ61" s="1">
        <v>2.4</v>
      </c>
      <c r="DR61" s="1">
        <v>9.4</v>
      </c>
      <c r="DS61" s="1">
        <v>-4.7</v>
      </c>
    </row>
    <row r="62" spans="1:123" x14ac:dyDescent="0.2">
      <c r="A62" s="15">
        <f t="shared" si="3"/>
        <v>36581</v>
      </c>
      <c r="B62" s="1">
        <v>56</v>
      </c>
      <c r="E62" s="50">
        <f t="shared" si="4"/>
        <v>-5.4</v>
      </c>
      <c r="R62" s="50">
        <f t="shared" si="5"/>
        <v>0.8</v>
      </c>
      <c r="AF62" s="50">
        <f t="shared" si="6"/>
        <v>-11.6</v>
      </c>
      <c r="BM62" s="17">
        <v>12.04</v>
      </c>
      <c r="BN62" s="17">
        <f t="shared" si="0"/>
        <v>24.320799999999998</v>
      </c>
      <c r="BO62" s="18"/>
      <c r="BP62" s="18"/>
      <c r="BU62" s="62">
        <f t="shared" si="13"/>
        <v>0.251</v>
      </c>
      <c r="BV62" s="62">
        <f t="shared" si="14"/>
        <v>0.39600000000000002</v>
      </c>
      <c r="BX62" s="51">
        <f t="shared" si="7"/>
        <v>0</v>
      </c>
      <c r="BY62" s="46">
        <v>1.9500000000000002</v>
      </c>
      <c r="BZ62" s="1">
        <v>0</v>
      </c>
      <c r="CB62" s="17" t="s">
        <v>218</v>
      </c>
      <c r="CC62" s="17" t="s">
        <v>218</v>
      </c>
      <c r="CD62" s="3">
        <f t="shared" si="8"/>
        <v>-5.4</v>
      </c>
      <c r="CE62" s="17" t="s">
        <v>218</v>
      </c>
      <c r="CF62" s="17" t="s">
        <v>218</v>
      </c>
      <c r="CG62" s="17" t="s">
        <v>218</v>
      </c>
      <c r="CH62" s="17" t="s">
        <v>218</v>
      </c>
      <c r="CI62" s="17" t="s">
        <v>218</v>
      </c>
      <c r="CJ62" s="17" t="s">
        <v>218</v>
      </c>
      <c r="CK62" s="17" t="s">
        <v>218</v>
      </c>
      <c r="CL62" s="1">
        <f t="shared" si="9"/>
        <v>0.8</v>
      </c>
      <c r="CM62" s="17" t="s">
        <v>218</v>
      </c>
      <c r="CN62" s="17" t="s">
        <v>218</v>
      </c>
      <c r="CO62" s="17" t="s">
        <v>218</v>
      </c>
      <c r="CP62" s="17" t="s">
        <v>218</v>
      </c>
      <c r="CQ62" s="17" t="s">
        <v>218</v>
      </c>
      <c r="CR62" s="17" t="s">
        <v>218</v>
      </c>
      <c r="CS62" s="17" t="s">
        <v>218</v>
      </c>
      <c r="CT62" s="1">
        <f t="shared" si="10"/>
        <v>-11.6</v>
      </c>
      <c r="CU62" s="17" t="s">
        <v>218</v>
      </c>
      <c r="CV62" s="17" t="s">
        <v>218</v>
      </c>
      <c r="CW62" s="17" t="s">
        <v>218</v>
      </c>
      <c r="CX62" s="17" t="s">
        <v>218</v>
      </c>
      <c r="CY62" s="17" t="s">
        <v>218</v>
      </c>
      <c r="CZ62" s="17" t="s">
        <v>218</v>
      </c>
      <c r="DA62" s="17" t="s">
        <v>218</v>
      </c>
      <c r="DB62" s="17" t="s">
        <v>218</v>
      </c>
      <c r="DC62" s="1">
        <f>ROUND(PPTest!K62,1)</f>
        <v>0</v>
      </c>
      <c r="DD62" s="17" t="s">
        <v>218</v>
      </c>
      <c r="DE62" s="17" t="s">
        <v>218</v>
      </c>
      <c r="DF62" s="24">
        <f t="shared" si="11"/>
        <v>0.251</v>
      </c>
      <c r="DG62" s="24">
        <f t="shared" si="12"/>
        <v>0.39600000000000002</v>
      </c>
      <c r="DH62" s="17" t="s">
        <v>218</v>
      </c>
      <c r="DQ62" s="1">
        <v>1.1000000000000001</v>
      </c>
      <c r="DR62" s="1">
        <v>8.9</v>
      </c>
      <c r="DS62" s="1">
        <v>-6.7</v>
      </c>
    </row>
    <row r="63" spans="1:123" x14ac:dyDescent="0.2">
      <c r="A63" s="15">
        <f t="shared" si="3"/>
        <v>36582</v>
      </c>
      <c r="B63" s="1">
        <v>57</v>
      </c>
      <c r="E63" s="50">
        <f t="shared" si="4"/>
        <v>-5.5</v>
      </c>
      <c r="R63" s="50">
        <f t="shared" si="5"/>
        <v>-1.2</v>
      </c>
      <c r="AF63" s="50">
        <f t="shared" si="6"/>
        <v>-9.8000000000000007</v>
      </c>
      <c r="BM63" s="17">
        <v>12.27</v>
      </c>
      <c r="BN63" s="17">
        <f t="shared" si="0"/>
        <v>24.785399999999999</v>
      </c>
      <c r="BO63" s="18"/>
      <c r="BP63" s="18"/>
      <c r="BU63" s="62">
        <f t="shared" si="13"/>
        <v>0.28999999999999998</v>
      </c>
      <c r="BV63" s="62">
        <f t="shared" si="14"/>
        <v>0.26900000000000002</v>
      </c>
      <c r="BX63" s="51">
        <f t="shared" si="7"/>
        <v>4.1999999999999993</v>
      </c>
      <c r="BY63" s="46">
        <v>0</v>
      </c>
      <c r="BZ63" s="1">
        <v>3</v>
      </c>
      <c r="CB63" s="17" t="s">
        <v>218</v>
      </c>
      <c r="CC63" s="17" t="s">
        <v>218</v>
      </c>
      <c r="CD63" s="3">
        <f t="shared" si="8"/>
        <v>-5.5</v>
      </c>
      <c r="CE63" s="17" t="s">
        <v>218</v>
      </c>
      <c r="CF63" s="17" t="s">
        <v>218</v>
      </c>
      <c r="CG63" s="17" t="s">
        <v>218</v>
      </c>
      <c r="CH63" s="17" t="s">
        <v>218</v>
      </c>
      <c r="CI63" s="17" t="s">
        <v>218</v>
      </c>
      <c r="CJ63" s="17" t="s">
        <v>218</v>
      </c>
      <c r="CK63" s="17" t="s">
        <v>218</v>
      </c>
      <c r="CL63" s="1">
        <f t="shared" si="9"/>
        <v>-1.2</v>
      </c>
      <c r="CM63" s="17" t="s">
        <v>218</v>
      </c>
      <c r="CN63" s="17" t="s">
        <v>218</v>
      </c>
      <c r="CO63" s="17" t="s">
        <v>218</v>
      </c>
      <c r="CP63" s="17" t="s">
        <v>218</v>
      </c>
      <c r="CQ63" s="17" t="s">
        <v>218</v>
      </c>
      <c r="CR63" s="17" t="s">
        <v>218</v>
      </c>
      <c r="CS63" s="17" t="s">
        <v>218</v>
      </c>
      <c r="CT63" s="1">
        <f t="shared" si="10"/>
        <v>-9.8000000000000007</v>
      </c>
      <c r="CU63" s="17" t="s">
        <v>218</v>
      </c>
      <c r="CV63" s="17" t="s">
        <v>218</v>
      </c>
      <c r="CW63" s="17" t="s">
        <v>218</v>
      </c>
      <c r="CX63" s="17" t="s">
        <v>218</v>
      </c>
      <c r="CY63" s="17" t="s">
        <v>218</v>
      </c>
      <c r="CZ63" s="17" t="s">
        <v>218</v>
      </c>
      <c r="DA63" s="17" t="s">
        <v>218</v>
      </c>
      <c r="DB63" s="17" t="s">
        <v>218</v>
      </c>
      <c r="DC63" s="1">
        <f>ROUND(PPTest!K63,1)</f>
        <v>4.4000000000000004</v>
      </c>
      <c r="DD63" s="17" t="s">
        <v>218</v>
      </c>
      <c r="DE63" s="17" t="s">
        <v>218</v>
      </c>
      <c r="DF63" s="24">
        <f t="shared" si="11"/>
        <v>0.28999999999999998</v>
      </c>
      <c r="DG63" s="24">
        <f t="shared" si="12"/>
        <v>0.26900000000000002</v>
      </c>
      <c r="DH63" s="17" t="s">
        <v>218</v>
      </c>
      <c r="DQ63" s="1">
        <v>0.9</v>
      </c>
      <c r="DR63" s="1">
        <v>6</v>
      </c>
      <c r="DS63" s="1">
        <v>-4.2</v>
      </c>
    </row>
    <row r="64" spans="1:123" x14ac:dyDescent="0.2">
      <c r="A64" s="15">
        <f t="shared" si="3"/>
        <v>36583</v>
      </c>
      <c r="B64" s="1">
        <v>58</v>
      </c>
      <c r="E64" s="50">
        <f t="shared" si="4"/>
        <v>-7.1</v>
      </c>
      <c r="R64" s="50">
        <f t="shared" si="5"/>
        <v>-3.9</v>
      </c>
      <c r="AF64" s="50">
        <f t="shared" si="6"/>
        <v>-10.3</v>
      </c>
      <c r="BM64" s="17">
        <v>12.51</v>
      </c>
      <c r="BN64" s="17">
        <f t="shared" si="0"/>
        <v>25.270199999999999</v>
      </c>
      <c r="BO64" s="18"/>
      <c r="BP64" s="18"/>
      <c r="BU64" s="62">
        <f t="shared" si="13"/>
        <v>0.27900000000000003</v>
      </c>
      <c r="BV64" s="62">
        <f t="shared" si="14"/>
        <v>0.17799999999999999</v>
      </c>
      <c r="BX64" s="51">
        <f t="shared" si="7"/>
        <v>3.3600000000000003</v>
      </c>
      <c r="BY64" s="46">
        <v>7.3500000000000014</v>
      </c>
      <c r="BZ64" s="1">
        <v>2.4000000000000004</v>
      </c>
      <c r="CB64" s="17" t="s">
        <v>218</v>
      </c>
      <c r="CC64" s="17" t="s">
        <v>218</v>
      </c>
      <c r="CD64" s="3">
        <f t="shared" si="8"/>
        <v>-7.1</v>
      </c>
      <c r="CE64" s="17" t="s">
        <v>218</v>
      </c>
      <c r="CF64" s="17" t="s">
        <v>218</v>
      </c>
      <c r="CG64" s="17" t="s">
        <v>218</v>
      </c>
      <c r="CH64" s="17" t="s">
        <v>218</v>
      </c>
      <c r="CI64" s="17" t="s">
        <v>218</v>
      </c>
      <c r="CJ64" s="17" t="s">
        <v>218</v>
      </c>
      <c r="CK64" s="17" t="s">
        <v>218</v>
      </c>
      <c r="CL64" s="1">
        <f t="shared" si="9"/>
        <v>-3.9</v>
      </c>
      <c r="CM64" s="17" t="s">
        <v>218</v>
      </c>
      <c r="CN64" s="17" t="s">
        <v>218</v>
      </c>
      <c r="CO64" s="17" t="s">
        <v>218</v>
      </c>
      <c r="CP64" s="17" t="s">
        <v>218</v>
      </c>
      <c r="CQ64" s="17" t="s">
        <v>218</v>
      </c>
      <c r="CR64" s="17" t="s">
        <v>218</v>
      </c>
      <c r="CS64" s="17" t="s">
        <v>218</v>
      </c>
      <c r="CT64" s="1">
        <f t="shared" si="10"/>
        <v>-10.3</v>
      </c>
      <c r="CU64" s="17" t="s">
        <v>218</v>
      </c>
      <c r="CV64" s="17" t="s">
        <v>218</v>
      </c>
      <c r="CW64" s="17" t="s">
        <v>218</v>
      </c>
      <c r="CX64" s="17" t="s">
        <v>218</v>
      </c>
      <c r="CY64" s="17" t="s">
        <v>218</v>
      </c>
      <c r="CZ64" s="17" t="s">
        <v>218</v>
      </c>
      <c r="DA64" s="17" t="s">
        <v>218</v>
      </c>
      <c r="DB64" s="17" t="s">
        <v>218</v>
      </c>
      <c r="DC64" s="1">
        <f>ROUND(PPTest!K64,1)</f>
        <v>3.5</v>
      </c>
      <c r="DD64" s="17" t="s">
        <v>218</v>
      </c>
      <c r="DE64" s="17" t="s">
        <v>218</v>
      </c>
      <c r="DF64" s="24">
        <f t="shared" si="11"/>
        <v>0.27900000000000003</v>
      </c>
      <c r="DG64" s="24">
        <f t="shared" si="12"/>
        <v>0.17799999999999999</v>
      </c>
      <c r="DH64" s="17" t="s">
        <v>218</v>
      </c>
      <c r="DQ64" s="1">
        <v>-1.2</v>
      </c>
      <c r="DR64" s="1">
        <v>2.1</v>
      </c>
      <c r="DS64" s="1">
        <v>-4.4000000000000004</v>
      </c>
    </row>
    <row r="65" spans="1:123" x14ac:dyDescent="0.2">
      <c r="A65" s="15">
        <f t="shared" si="3"/>
        <v>36584</v>
      </c>
      <c r="B65" s="1">
        <v>59</v>
      </c>
      <c r="E65" s="50">
        <f t="shared" si="4"/>
        <v>-3.9</v>
      </c>
      <c r="R65" s="50">
        <f t="shared" si="5"/>
        <v>-0.5</v>
      </c>
      <c r="AF65" s="50">
        <f t="shared" si="6"/>
        <v>-7.3</v>
      </c>
      <c r="BM65" s="17">
        <v>12.75</v>
      </c>
      <c r="BN65" s="17">
        <f t="shared" si="0"/>
        <v>25.754999999999999</v>
      </c>
      <c r="BO65" s="18"/>
      <c r="BP65" s="18"/>
      <c r="BU65" s="62">
        <f t="shared" si="13"/>
        <v>0.35299999999999998</v>
      </c>
      <c r="BV65" s="62">
        <f t="shared" si="14"/>
        <v>0.23599999999999999</v>
      </c>
      <c r="BX65" s="51">
        <f t="shared" si="7"/>
        <v>1.68</v>
      </c>
      <c r="BY65" s="46">
        <v>0</v>
      </c>
      <c r="BZ65" s="1">
        <v>1.2</v>
      </c>
      <c r="CB65" s="17" t="s">
        <v>218</v>
      </c>
      <c r="CC65" s="17" t="s">
        <v>218</v>
      </c>
      <c r="CD65" s="3">
        <f t="shared" si="8"/>
        <v>-3.9</v>
      </c>
      <c r="CE65" s="17" t="s">
        <v>218</v>
      </c>
      <c r="CF65" s="17" t="s">
        <v>218</v>
      </c>
      <c r="CG65" s="17" t="s">
        <v>218</v>
      </c>
      <c r="CH65" s="17" t="s">
        <v>218</v>
      </c>
      <c r="CI65" s="17" t="s">
        <v>218</v>
      </c>
      <c r="CJ65" s="17" t="s">
        <v>218</v>
      </c>
      <c r="CK65" s="17" t="s">
        <v>218</v>
      </c>
      <c r="CL65" s="1">
        <f t="shared" si="9"/>
        <v>-0.5</v>
      </c>
      <c r="CM65" s="17" t="s">
        <v>218</v>
      </c>
      <c r="CN65" s="17" t="s">
        <v>218</v>
      </c>
      <c r="CO65" s="17" t="s">
        <v>218</v>
      </c>
      <c r="CP65" s="17" t="s">
        <v>218</v>
      </c>
      <c r="CQ65" s="17" t="s">
        <v>218</v>
      </c>
      <c r="CR65" s="17" t="s">
        <v>218</v>
      </c>
      <c r="CS65" s="17" t="s">
        <v>218</v>
      </c>
      <c r="CT65" s="1">
        <f t="shared" si="10"/>
        <v>-7.3</v>
      </c>
      <c r="CU65" s="17" t="s">
        <v>218</v>
      </c>
      <c r="CV65" s="17" t="s">
        <v>218</v>
      </c>
      <c r="CW65" s="17" t="s">
        <v>218</v>
      </c>
      <c r="CX65" s="17" t="s">
        <v>218</v>
      </c>
      <c r="CY65" s="17" t="s">
        <v>218</v>
      </c>
      <c r="CZ65" s="17" t="s">
        <v>218</v>
      </c>
      <c r="DA65" s="17" t="s">
        <v>218</v>
      </c>
      <c r="DB65" s="17" t="s">
        <v>218</v>
      </c>
      <c r="DC65" s="1">
        <f>ROUND(PPTest!K65,1)</f>
        <v>1.8</v>
      </c>
      <c r="DD65" s="17" t="s">
        <v>218</v>
      </c>
      <c r="DE65" s="17" t="s">
        <v>218</v>
      </c>
      <c r="DF65" s="24">
        <f t="shared" si="11"/>
        <v>0.35299999999999998</v>
      </c>
      <c r="DG65" s="24">
        <f t="shared" si="12"/>
        <v>0.23599999999999999</v>
      </c>
      <c r="DH65" s="17" t="s">
        <v>218</v>
      </c>
      <c r="DQ65" s="1">
        <v>3</v>
      </c>
      <c r="DR65" s="1">
        <v>6.9</v>
      </c>
      <c r="DS65" s="1">
        <v>-1</v>
      </c>
    </row>
    <row r="66" spans="1:123" x14ac:dyDescent="0.2">
      <c r="A66" s="15">
        <f t="shared" si="3"/>
        <v>36585</v>
      </c>
      <c r="B66" s="1">
        <v>60</v>
      </c>
      <c r="E66" s="50">
        <f t="shared" si="4"/>
        <v>-4.4000000000000004</v>
      </c>
      <c r="R66" s="50">
        <f t="shared" si="5"/>
        <v>-1.6</v>
      </c>
      <c r="AF66" s="50">
        <f t="shared" si="6"/>
        <v>-7.2</v>
      </c>
      <c r="BM66" s="17">
        <v>12.98</v>
      </c>
      <c r="BN66" s="17">
        <f t="shared" si="0"/>
        <v>26.2196</v>
      </c>
      <c r="BO66" s="18"/>
      <c r="BP66" s="18"/>
      <c r="BU66" s="62">
        <f t="shared" si="13"/>
        <v>0.35599999999999998</v>
      </c>
      <c r="BV66" s="62">
        <f t="shared" si="14"/>
        <v>0.187</v>
      </c>
      <c r="BX66" s="51">
        <f t="shared" si="7"/>
        <v>4.1999999999999993</v>
      </c>
      <c r="BY66" s="46">
        <v>0</v>
      </c>
      <c r="BZ66" s="1">
        <v>3</v>
      </c>
      <c r="CB66" s="17" t="s">
        <v>218</v>
      </c>
      <c r="CC66" s="17" t="s">
        <v>218</v>
      </c>
      <c r="CD66" s="3">
        <f t="shared" si="8"/>
        <v>-4.4000000000000004</v>
      </c>
      <c r="CE66" s="17" t="s">
        <v>218</v>
      </c>
      <c r="CF66" s="17" t="s">
        <v>218</v>
      </c>
      <c r="CG66" s="17" t="s">
        <v>218</v>
      </c>
      <c r="CH66" s="17" t="s">
        <v>218</v>
      </c>
      <c r="CI66" s="17" t="s">
        <v>218</v>
      </c>
      <c r="CJ66" s="17" t="s">
        <v>218</v>
      </c>
      <c r="CK66" s="17" t="s">
        <v>218</v>
      </c>
      <c r="CL66" s="1">
        <f t="shared" si="9"/>
        <v>-1.6</v>
      </c>
      <c r="CM66" s="17" t="s">
        <v>218</v>
      </c>
      <c r="CN66" s="17" t="s">
        <v>218</v>
      </c>
      <c r="CO66" s="17" t="s">
        <v>218</v>
      </c>
      <c r="CP66" s="17" t="s">
        <v>218</v>
      </c>
      <c r="CQ66" s="17" t="s">
        <v>218</v>
      </c>
      <c r="CR66" s="17" t="s">
        <v>218</v>
      </c>
      <c r="CS66" s="17" t="s">
        <v>218</v>
      </c>
      <c r="CT66" s="1">
        <f t="shared" si="10"/>
        <v>-7.2</v>
      </c>
      <c r="CU66" s="17" t="s">
        <v>218</v>
      </c>
      <c r="CV66" s="17" t="s">
        <v>218</v>
      </c>
      <c r="CW66" s="17" t="s">
        <v>218</v>
      </c>
      <c r="CX66" s="17" t="s">
        <v>218</v>
      </c>
      <c r="CY66" s="17" t="s">
        <v>218</v>
      </c>
      <c r="CZ66" s="17" t="s">
        <v>218</v>
      </c>
      <c r="DA66" s="17" t="s">
        <v>218</v>
      </c>
      <c r="DB66" s="17" t="s">
        <v>218</v>
      </c>
      <c r="DC66" s="1">
        <f>ROUND(PPTest!K66,1)</f>
        <v>4.4000000000000004</v>
      </c>
      <c r="DD66" s="17" t="s">
        <v>218</v>
      </c>
      <c r="DE66" s="17" t="s">
        <v>218</v>
      </c>
      <c r="DF66" s="24">
        <f t="shared" si="11"/>
        <v>0.35599999999999998</v>
      </c>
      <c r="DG66" s="24">
        <f t="shared" si="12"/>
        <v>0.187</v>
      </c>
      <c r="DH66" s="17" t="s">
        <v>218</v>
      </c>
      <c r="DQ66" s="1">
        <v>2.2999999999999998</v>
      </c>
      <c r="DR66" s="1">
        <v>5.3</v>
      </c>
      <c r="DS66" s="1">
        <v>-0.8</v>
      </c>
    </row>
    <row r="67" spans="1:123" x14ac:dyDescent="0.2">
      <c r="A67" s="15">
        <f t="shared" si="3"/>
        <v>36586</v>
      </c>
      <c r="B67" s="1">
        <v>61</v>
      </c>
      <c r="E67" s="50">
        <f t="shared" si="4"/>
        <v>-3.6</v>
      </c>
      <c r="R67" s="50">
        <f t="shared" si="5"/>
        <v>-0.7</v>
      </c>
      <c r="AF67" s="50">
        <f t="shared" si="6"/>
        <v>-6.5</v>
      </c>
      <c r="BM67" s="17">
        <v>13.23</v>
      </c>
      <c r="BN67" s="17">
        <f t="shared" si="0"/>
        <v>26.724600000000002</v>
      </c>
      <c r="BO67" s="18"/>
      <c r="BP67" s="18"/>
      <c r="BU67" s="62">
        <f t="shared" si="13"/>
        <v>0.375</v>
      </c>
      <c r="BV67" s="62">
        <f t="shared" si="14"/>
        <v>0.20499999999999999</v>
      </c>
      <c r="BX67" s="51">
        <f t="shared" si="7"/>
        <v>4.76</v>
      </c>
      <c r="BY67" s="46">
        <v>0</v>
      </c>
      <c r="BZ67" s="1">
        <v>3.4</v>
      </c>
      <c r="CB67" s="17" t="s">
        <v>218</v>
      </c>
      <c r="CC67" s="17" t="s">
        <v>218</v>
      </c>
      <c r="CD67" s="3">
        <f t="shared" si="8"/>
        <v>-3.6</v>
      </c>
      <c r="CE67" s="17" t="s">
        <v>218</v>
      </c>
      <c r="CF67" s="17" t="s">
        <v>218</v>
      </c>
      <c r="CG67" s="17" t="s">
        <v>218</v>
      </c>
      <c r="CH67" s="17" t="s">
        <v>218</v>
      </c>
      <c r="CI67" s="17" t="s">
        <v>218</v>
      </c>
      <c r="CJ67" s="17" t="s">
        <v>218</v>
      </c>
      <c r="CK67" s="17" t="s">
        <v>218</v>
      </c>
      <c r="CL67" s="1">
        <f t="shared" si="9"/>
        <v>-0.7</v>
      </c>
      <c r="CM67" s="17" t="s">
        <v>218</v>
      </c>
      <c r="CN67" s="17" t="s">
        <v>218</v>
      </c>
      <c r="CO67" s="17" t="s">
        <v>218</v>
      </c>
      <c r="CP67" s="17" t="s">
        <v>218</v>
      </c>
      <c r="CQ67" s="17" t="s">
        <v>218</v>
      </c>
      <c r="CR67" s="17" t="s">
        <v>218</v>
      </c>
      <c r="CS67" s="17" t="s">
        <v>218</v>
      </c>
      <c r="CT67" s="1">
        <f t="shared" si="10"/>
        <v>-6.5</v>
      </c>
      <c r="CU67" s="17" t="s">
        <v>218</v>
      </c>
      <c r="CV67" s="17" t="s">
        <v>218</v>
      </c>
      <c r="CW67" s="17" t="s">
        <v>218</v>
      </c>
      <c r="CX67" s="17" t="s">
        <v>218</v>
      </c>
      <c r="CY67" s="17" t="s">
        <v>218</v>
      </c>
      <c r="CZ67" s="17" t="s">
        <v>218</v>
      </c>
      <c r="DA67" s="17" t="s">
        <v>218</v>
      </c>
      <c r="DB67" s="17" t="s">
        <v>218</v>
      </c>
      <c r="DC67" s="1">
        <f>ROUND(PPTest!K67,1)</f>
        <v>5</v>
      </c>
      <c r="DD67" s="17" t="s">
        <v>218</v>
      </c>
      <c r="DE67" s="17" t="s">
        <v>218</v>
      </c>
      <c r="DF67" s="24">
        <f t="shared" si="11"/>
        <v>0.375</v>
      </c>
      <c r="DG67" s="24">
        <f t="shared" si="12"/>
        <v>0.20499999999999999</v>
      </c>
      <c r="DH67" s="17" t="s">
        <v>218</v>
      </c>
      <c r="DQ67" s="1">
        <v>3.4</v>
      </c>
      <c r="DR67" s="1">
        <v>6.6</v>
      </c>
      <c r="DS67" s="1">
        <v>0.2</v>
      </c>
    </row>
    <row r="68" spans="1:123" x14ac:dyDescent="0.2">
      <c r="A68" s="15">
        <f t="shared" si="3"/>
        <v>36587</v>
      </c>
      <c r="B68" s="1">
        <v>62</v>
      </c>
      <c r="C68" s="1">
        <v>0.51700000000000002</v>
      </c>
      <c r="D68" s="1">
        <v>0.75700000000000001</v>
      </c>
      <c r="E68" s="1">
        <v>-1.68</v>
      </c>
      <c r="F68" s="1">
        <v>105.2</v>
      </c>
      <c r="I68" s="1">
        <v>-9.2999999999999999E-2</v>
      </c>
      <c r="J68" s="1">
        <v>-2.0960000000000001</v>
      </c>
      <c r="K68" s="1">
        <v>-0.89100000000000001</v>
      </c>
      <c r="L68" s="1">
        <v>-0.122</v>
      </c>
      <c r="M68" s="1">
        <v>0.29299999999999998</v>
      </c>
      <c r="N68" s="1">
        <v>0.91100000000000003</v>
      </c>
      <c r="O68" s="1">
        <v>0</v>
      </c>
      <c r="P68" s="2">
        <v>1.1246666666666667</v>
      </c>
      <c r="R68" s="1">
        <v>-0.373</v>
      </c>
      <c r="S68" s="1">
        <v>1622</v>
      </c>
      <c r="T68" s="1">
        <v>107.9</v>
      </c>
      <c r="U68" s="1">
        <v>1537</v>
      </c>
      <c r="X68" s="1">
        <v>-2.4E-2</v>
      </c>
      <c r="Y68" s="1">
        <v>-1.91</v>
      </c>
      <c r="Z68" s="1">
        <v>-0.27700000000000002</v>
      </c>
      <c r="AA68" s="1">
        <v>-5.8000000000000003E-2</v>
      </c>
      <c r="AB68" s="1">
        <v>0.35599999999999998</v>
      </c>
      <c r="AC68" s="1">
        <v>0.97799999999999998</v>
      </c>
      <c r="AD68" s="2">
        <v>3.8880000000000003</v>
      </c>
      <c r="AE68" s="1">
        <v>1841</v>
      </c>
      <c r="AF68" s="1">
        <v>-6.1130000000000004</v>
      </c>
      <c r="AG68" s="1">
        <v>0</v>
      </c>
      <c r="AH68" s="1">
        <v>97.4</v>
      </c>
      <c r="AI68" s="1">
        <v>2053</v>
      </c>
      <c r="AL68" s="1">
        <v>-0.13100000000000001</v>
      </c>
      <c r="AM68" s="1">
        <v>-2.7639999999999998</v>
      </c>
      <c r="AN68" s="1">
        <v>-3.052</v>
      </c>
      <c r="AO68" s="1">
        <v>-0.16</v>
      </c>
      <c r="AP68" s="1">
        <v>0.25600000000000001</v>
      </c>
      <c r="AQ68" s="1">
        <v>0.872</v>
      </c>
      <c r="AR68" s="1">
        <v>2.5000000000000001E-2</v>
      </c>
      <c r="AS68" s="1">
        <v>6.4000000000000001E-2</v>
      </c>
      <c r="AT68" s="1">
        <v>0.105</v>
      </c>
      <c r="AU68" s="1">
        <v>8.8999999999999996E-2</v>
      </c>
      <c r="AV68" s="1">
        <v>0.22</v>
      </c>
      <c r="AW68" s="1">
        <v>0.35599999999999998</v>
      </c>
      <c r="AX68" s="1">
        <v>9.7000000000000003E-2</v>
      </c>
      <c r="AY68" s="1">
        <v>4.2999999999999997E-2</v>
      </c>
      <c r="AZ68" s="1">
        <v>-1.4159999999999999</v>
      </c>
      <c r="BA68" s="1">
        <v>2288</v>
      </c>
      <c r="BF68" s="48">
        <v>1250</v>
      </c>
      <c r="BM68" s="17">
        <v>13.47</v>
      </c>
      <c r="BN68" s="17">
        <f t="shared" si="0"/>
        <v>27.209400000000002</v>
      </c>
      <c r="BO68" s="18">
        <f t="shared" ref="BO68:BO99" si="15">ROUND(C68*BO$2,2)</f>
        <v>0.51</v>
      </c>
      <c r="BP68" s="18">
        <f t="shared" ref="BP68:BP99" si="16">ROUND(D68*BP$2,2)</f>
        <v>0.83</v>
      </c>
      <c r="BR68" s="1">
        <f t="shared" ref="BR68:BR99" si="17">ROUND(IF(T68&gt;BR$2,100,IF(T68&gt;BR$3,BS$1*T68+BS$2, T68*BS$3+BS$4)),1)</f>
        <v>95.9</v>
      </c>
      <c r="BS68" s="1">
        <f t="shared" ref="BS68:BS99" si="18">ROUND(IF(F68&gt;BR$2,100, IF(F68&gt;BR$3,BS$1*F68+BS$2, F68*BS$3+BS$4)),1)</f>
        <v>91.6</v>
      </c>
      <c r="BT68" s="1">
        <f t="shared" ref="BT68:BT99" si="19">ROUND(IF(AH68&gt;BR$2,100,IF(AH68&gt;BR$3,BS$1*AH68+BS$2, AH68*BS$3+BS$4)),1)</f>
        <v>79.7</v>
      </c>
      <c r="BU68" s="60">
        <f t="shared" ref="BU68:BU99" si="20">ROUND(0.6105*(EXP((17.273*R68)/(R68+237.3)))*BT68/100, 3)</f>
        <v>0.47399999999999998</v>
      </c>
      <c r="BV68" s="60">
        <f>ROUND((100-BT68)*BU68/BT68,3)</f>
        <v>0.121</v>
      </c>
      <c r="BX68" s="51">
        <f t="shared" si="7"/>
        <v>5.18</v>
      </c>
      <c r="BY68" s="46">
        <v>0</v>
      </c>
      <c r="BZ68" s="20">
        <v>3.6999999999999997</v>
      </c>
      <c r="CB68" s="17">
        <f t="shared" ref="CB68:CB71" si="21">BO68</f>
        <v>0.51</v>
      </c>
      <c r="CC68" s="17">
        <f t="shared" ref="CC68:CC71" si="22">BP68</f>
        <v>0.83</v>
      </c>
      <c r="CD68" s="3">
        <f t="shared" si="8"/>
        <v>-1.7</v>
      </c>
      <c r="CE68" s="1" t="s">
        <v>218</v>
      </c>
      <c r="CF68" s="1" t="s">
        <v>218</v>
      </c>
      <c r="CG68" s="3">
        <f t="shared" ref="CG68:CG71" si="23">ROUND(I68,1)</f>
        <v>-0.1</v>
      </c>
      <c r="CH68" s="3">
        <f t="shared" ref="CH68:CH71" si="24">ROUND(L68,1)</f>
        <v>-0.1</v>
      </c>
      <c r="CI68" s="3">
        <f t="shared" ref="CI68:CI71" si="25">ROUND(M68,1)</f>
        <v>0.3</v>
      </c>
      <c r="CJ68" s="3">
        <f t="shared" ref="CJ68:CJ71" si="26">ROUND(N68,1)</f>
        <v>0.9</v>
      </c>
      <c r="CK68" s="27">
        <f t="shared" ref="CK68:CK71" si="27">ROUND(BS68,1)</f>
        <v>91.6</v>
      </c>
      <c r="CL68" s="1">
        <f t="shared" si="9"/>
        <v>-0.4</v>
      </c>
      <c r="CM68" s="1" t="s">
        <v>218</v>
      </c>
      <c r="CN68" s="1" t="s">
        <v>218</v>
      </c>
      <c r="CO68" s="1">
        <f t="shared" ref="CO68:CO71" si="28">ROUND(X68,1)</f>
        <v>0</v>
      </c>
      <c r="CP68" s="1">
        <f t="shared" ref="CP68:CP71" si="29">ROUND(AA68,1)</f>
        <v>-0.1</v>
      </c>
      <c r="CQ68" s="1">
        <f t="shared" ref="CQ68:CQ71" si="30">ROUND(AB68,1)</f>
        <v>0.4</v>
      </c>
      <c r="CR68" s="1">
        <f t="shared" ref="CR68:CR71" si="31">ROUND(AC68,1)</f>
        <v>1</v>
      </c>
      <c r="CS68" s="2">
        <f t="shared" ref="CS68:CS71" si="32">ROUND(BR68,1)</f>
        <v>95.9</v>
      </c>
      <c r="CT68" s="1">
        <f t="shared" si="10"/>
        <v>-6.1</v>
      </c>
      <c r="CU68" s="1" t="s">
        <v>218</v>
      </c>
      <c r="CV68" s="1" t="s">
        <v>218</v>
      </c>
      <c r="CW68" s="1">
        <f t="shared" ref="CW68:CW71" si="33">ROUND(AL68,1)</f>
        <v>-0.1</v>
      </c>
      <c r="CX68" s="1">
        <f t="shared" ref="CX68:CX71" si="34">ROUND(AO68,1)</f>
        <v>-0.2</v>
      </c>
      <c r="CY68" s="1">
        <f t="shared" ref="CY68:CY71" si="35">ROUND(AP68,1)</f>
        <v>0.3</v>
      </c>
      <c r="CZ68" s="1">
        <f t="shared" ref="CZ68:CZ71" si="36">ROUND(AQ68,1)</f>
        <v>0.9</v>
      </c>
      <c r="DA68" s="2">
        <f t="shared" ref="DA68:DA71" si="37">ROUND(BT68,1)</f>
        <v>79.7</v>
      </c>
      <c r="DB68" s="20">
        <f t="shared" ref="DB68:DB71" si="38">BF68</f>
        <v>1250</v>
      </c>
      <c r="DC68" s="1">
        <f>ROUND(PPTest!K68,1)</f>
        <v>5.4</v>
      </c>
      <c r="DD68" s="27">
        <f>ROUND(P68,2)</f>
        <v>1.1200000000000001</v>
      </c>
      <c r="DE68" s="3">
        <f t="shared" ref="DE68:DE71" si="39">ROUND(AD68,2)</f>
        <v>3.89</v>
      </c>
      <c r="DF68" s="24">
        <f t="shared" si="11"/>
        <v>0.47399999999999998</v>
      </c>
      <c r="DG68" s="24">
        <f t="shared" si="12"/>
        <v>0.121</v>
      </c>
      <c r="DH68" s="17" t="s">
        <v>218</v>
      </c>
      <c r="DQ68" s="1">
        <v>2.4</v>
      </c>
      <c r="DR68" s="1">
        <v>4.4000000000000004</v>
      </c>
      <c r="DS68" s="1">
        <v>0.4</v>
      </c>
    </row>
    <row r="69" spans="1:123" x14ac:dyDescent="0.2">
      <c r="A69" s="15">
        <f t="shared" si="3"/>
        <v>36588</v>
      </c>
      <c r="B69" s="1">
        <v>63</v>
      </c>
      <c r="C69" s="1">
        <v>1.08</v>
      </c>
      <c r="D69" s="1">
        <v>1.6859999999999999</v>
      </c>
      <c r="E69" s="1">
        <v>-2.0670000000000002</v>
      </c>
      <c r="F69" s="1">
        <v>102.2</v>
      </c>
      <c r="I69" s="1">
        <v>-0.14299999999999999</v>
      </c>
      <c r="J69" s="1">
        <v>-3.4009999999999998</v>
      </c>
      <c r="K69" s="1">
        <v>-2.8370000000000002</v>
      </c>
      <c r="L69" s="1">
        <v>-0.157</v>
      </c>
      <c r="M69" s="1">
        <v>0.251</v>
      </c>
      <c r="N69" s="1">
        <v>0.86099999999999999</v>
      </c>
      <c r="O69" s="1">
        <v>0</v>
      </c>
      <c r="P69" s="2">
        <v>1.4796666666666667</v>
      </c>
      <c r="R69" s="1">
        <v>-0.29599999999999999</v>
      </c>
      <c r="S69" s="1">
        <v>1359</v>
      </c>
      <c r="T69" s="1">
        <v>108.9</v>
      </c>
      <c r="U69" s="1">
        <v>2344</v>
      </c>
      <c r="X69" s="1">
        <v>-8.3000000000000004E-2</v>
      </c>
      <c r="Y69" s="1">
        <v>-2.407</v>
      </c>
      <c r="Z69" s="1">
        <v>-0.69299999999999995</v>
      </c>
      <c r="AA69" s="1">
        <v>-0.112</v>
      </c>
      <c r="AB69" s="1">
        <v>0.313</v>
      </c>
      <c r="AC69" s="1">
        <v>0.94199999999999995</v>
      </c>
      <c r="AD69" s="2">
        <v>5.4080000000000004</v>
      </c>
      <c r="AE69" s="1">
        <v>655</v>
      </c>
      <c r="AF69" s="1">
        <v>-6.9539999999999997</v>
      </c>
      <c r="AG69" s="1">
        <v>47</v>
      </c>
      <c r="AH69" s="1">
        <v>92</v>
      </c>
      <c r="AI69" s="1">
        <v>748</v>
      </c>
      <c r="AL69" s="1">
        <v>-0.222</v>
      </c>
      <c r="AM69" s="1">
        <v>-5.0510000000000002</v>
      </c>
      <c r="AN69" s="1">
        <v>-7.67</v>
      </c>
      <c r="AO69" s="1">
        <v>-0.20799999999999999</v>
      </c>
      <c r="AP69" s="1">
        <v>0.184</v>
      </c>
      <c r="AQ69" s="1">
        <v>0.79400000000000004</v>
      </c>
      <c r="AR69" s="1">
        <v>0.03</v>
      </c>
      <c r="AS69" s="1">
        <v>6.5000000000000002E-2</v>
      </c>
      <c r="AT69" s="1">
        <v>0.08</v>
      </c>
      <c r="AU69" s="1">
        <v>8.6999999999999994E-2</v>
      </c>
      <c r="AV69" s="1">
        <v>0.19400000000000001</v>
      </c>
      <c r="AW69" s="1">
        <v>0.32600000000000001</v>
      </c>
      <c r="AX69" s="1">
        <v>0.17199999999999999</v>
      </c>
      <c r="AY69" s="1">
        <v>4.7E-2</v>
      </c>
      <c r="AZ69" s="1">
        <v>-3.4950000000000001</v>
      </c>
      <c r="BA69" s="1">
        <v>2200</v>
      </c>
      <c r="BB69" s="1">
        <v>13.06</v>
      </c>
      <c r="BC69" s="1">
        <v>2786</v>
      </c>
      <c r="BF69" s="1">
        <f t="shared" ref="BF69:BF102" si="40">$BF$1-BA69</f>
        <v>1293</v>
      </c>
      <c r="BM69" s="17">
        <v>13.71</v>
      </c>
      <c r="BN69" s="17">
        <f t="shared" si="0"/>
        <v>27.694200000000002</v>
      </c>
      <c r="BO69" s="18">
        <f t="shared" si="15"/>
        <v>1.06</v>
      </c>
      <c r="BP69" s="18">
        <f t="shared" si="16"/>
        <v>1.85</v>
      </c>
      <c r="BR69" s="1">
        <f t="shared" si="17"/>
        <v>97.5</v>
      </c>
      <c r="BS69" s="1">
        <f t="shared" si="18"/>
        <v>86.8</v>
      </c>
      <c r="BT69" s="1">
        <f t="shared" si="19"/>
        <v>75</v>
      </c>
      <c r="BU69" s="60">
        <f t="shared" si="20"/>
        <v>0.44800000000000001</v>
      </c>
      <c r="BV69" s="60">
        <f t="shared" ref="BV69:BV132" si="41">ROUND((100-BT69)*BU69/BT69,3)</f>
        <v>0.14899999999999999</v>
      </c>
      <c r="BX69" s="51">
        <f t="shared" si="7"/>
        <v>7.9799999999999995</v>
      </c>
      <c r="BY69" s="46">
        <v>0</v>
      </c>
      <c r="BZ69" s="1">
        <v>5.7</v>
      </c>
      <c r="CB69" s="17">
        <f t="shared" si="21"/>
        <v>1.06</v>
      </c>
      <c r="CC69" s="17">
        <f t="shared" si="22"/>
        <v>1.85</v>
      </c>
      <c r="CD69" s="3">
        <f t="shared" si="8"/>
        <v>-2.1</v>
      </c>
      <c r="CE69" s="1" t="s">
        <v>218</v>
      </c>
      <c r="CF69" s="1" t="s">
        <v>218</v>
      </c>
      <c r="CG69" s="3">
        <f t="shared" si="23"/>
        <v>-0.1</v>
      </c>
      <c r="CH69" s="3">
        <f t="shared" si="24"/>
        <v>-0.2</v>
      </c>
      <c r="CI69" s="3">
        <f t="shared" si="25"/>
        <v>0.3</v>
      </c>
      <c r="CJ69" s="3">
        <f t="shared" si="26"/>
        <v>0.9</v>
      </c>
      <c r="CK69" s="27">
        <f t="shared" si="27"/>
        <v>86.8</v>
      </c>
      <c r="CL69" s="1">
        <f t="shared" si="9"/>
        <v>-0.3</v>
      </c>
      <c r="CM69" s="1" t="s">
        <v>218</v>
      </c>
      <c r="CN69" s="1" t="s">
        <v>218</v>
      </c>
      <c r="CO69" s="1">
        <f t="shared" si="28"/>
        <v>-0.1</v>
      </c>
      <c r="CP69" s="1">
        <f t="shared" si="29"/>
        <v>-0.1</v>
      </c>
      <c r="CQ69" s="1">
        <f t="shared" si="30"/>
        <v>0.3</v>
      </c>
      <c r="CR69" s="1">
        <f t="shared" si="31"/>
        <v>0.9</v>
      </c>
      <c r="CS69" s="2">
        <f t="shared" si="32"/>
        <v>97.5</v>
      </c>
      <c r="CT69" s="1">
        <f t="shared" si="10"/>
        <v>-7</v>
      </c>
      <c r="CU69" s="1" t="s">
        <v>218</v>
      </c>
      <c r="CV69" s="1" t="s">
        <v>218</v>
      </c>
      <c r="CW69" s="1">
        <f t="shared" si="33"/>
        <v>-0.2</v>
      </c>
      <c r="CX69" s="1">
        <f t="shared" si="34"/>
        <v>-0.2</v>
      </c>
      <c r="CY69" s="1">
        <f t="shared" si="35"/>
        <v>0.2</v>
      </c>
      <c r="CZ69" s="1">
        <f t="shared" si="36"/>
        <v>0.8</v>
      </c>
      <c r="DA69" s="2">
        <f t="shared" si="37"/>
        <v>75</v>
      </c>
      <c r="DB69" s="20">
        <f t="shared" si="38"/>
        <v>1293</v>
      </c>
      <c r="DC69" s="1">
        <f>ROUND(PPTest!K69,1)</f>
        <v>5.6</v>
      </c>
      <c r="DD69" s="27">
        <f t="shared" ref="DD69:DD132" si="42">ROUND(P69,2)</f>
        <v>1.48</v>
      </c>
      <c r="DE69" s="3">
        <f t="shared" si="39"/>
        <v>5.41</v>
      </c>
      <c r="DF69" s="24">
        <f t="shared" si="11"/>
        <v>0.44800000000000001</v>
      </c>
      <c r="DG69" s="24">
        <f t="shared" si="12"/>
        <v>0.14899999999999999</v>
      </c>
      <c r="DH69" s="17">
        <f t="shared" ref="DH69:DH71" si="43">BB69</f>
        <v>13.06</v>
      </c>
      <c r="DQ69" s="1">
        <v>1.5</v>
      </c>
      <c r="DR69" s="1">
        <v>3.1</v>
      </c>
      <c r="DS69" s="1">
        <v>-0.2</v>
      </c>
    </row>
    <row r="70" spans="1:123" x14ac:dyDescent="0.2">
      <c r="A70" s="15">
        <f t="shared" si="3"/>
        <v>36589</v>
      </c>
      <c r="B70" s="1">
        <v>64</v>
      </c>
      <c r="C70" s="1">
        <v>1.173</v>
      </c>
      <c r="D70" s="1">
        <v>1.784</v>
      </c>
      <c r="E70" s="1">
        <v>-3.0190000000000001</v>
      </c>
      <c r="F70" s="1">
        <v>106.4</v>
      </c>
      <c r="I70" s="1">
        <v>-9.8000000000000004E-2</v>
      </c>
      <c r="J70" s="1">
        <v>-2.7050000000000001</v>
      </c>
      <c r="K70" s="1">
        <v>-2.738</v>
      </c>
      <c r="L70" s="1">
        <v>-0.14699999999999999</v>
      </c>
      <c r="M70" s="1">
        <v>0.26100000000000001</v>
      </c>
      <c r="N70" s="1">
        <v>0.872</v>
      </c>
      <c r="O70" s="1">
        <v>0</v>
      </c>
      <c r="P70" s="2">
        <v>1.2806666666666666</v>
      </c>
      <c r="R70" s="1">
        <v>-1.2370000000000001</v>
      </c>
      <c r="S70" s="1">
        <v>1035</v>
      </c>
      <c r="T70" s="1">
        <v>109.1</v>
      </c>
      <c r="U70" s="1">
        <v>536</v>
      </c>
      <c r="X70" s="1">
        <v>-6.4000000000000001E-2</v>
      </c>
      <c r="Y70" s="1">
        <v>-2.3940000000000001</v>
      </c>
      <c r="Z70" s="1">
        <v>-1.46</v>
      </c>
      <c r="AA70" s="1">
        <v>-0.108</v>
      </c>
      <c r="AB70" s="1">
        <v>0.30299999999999999</v>
      </c>
      <c r="AC70" s="1">
        <v>0.92900000000000005</v>
      </c>
      <c r="AD70" s="2">
        <v>3.4613333333333336</v>
      </c>
      <c r="AE70" s="1">
        <v>1305</v>
      </c>
      <c r="AF70" s="1">
        <v>-7.35</v>
      </c>
      <c r="AG70" s="1">
        <v>0</v>
      </c>
      <c r="AH70" s="1">
        <v>99.2</v>
      </c>
      <c r="AI70" s="1">
        <v>1251</v>
      </c>
      <c r="AL70" s="1">
        <v>-0.13700000000000001</v>
      </c>
      <c r="AM70" s="1">
        <v>-3.8170000000000002</v>
      </c>
      <c r="AN70" s="1">
        <v>-7.39</v>
      </c>
      <c r="AO70" s="1">
        <v>-0.17199999999999999</v>
      </c>
      <c r="AP70" s="1">
        <v>0.22800000000000001</v>
      </c>
      <c r="AQ70" s="1">
        <v>0.83399999999999996</v>
      </c>
      <c r="AR70" s="1">
        <v>2.4E-2</v>
      </c>
      <c r="AS70" s="1">
        <v>6.0000000000000001E-3</v>
      </c>
      <c r="AT70" s="1">
        <v>1.9E-2</v>
      </c>
      <c r="AU70" s="1">
        <v>4.2000000000000003E-2</v>
      </c>
      <c r="AV70" s="1">
        <v>0.27400000000000002</v>
      </c>
      <c r="AW70" s="1">
        <v>0.48599999999999999</v>
      </c>
      <c r="AX70" s="1">
        <v>0.126</v>
      </c>
      <c r="AY70" s="1">
        <v>2.3E-2</v>
      </c>
      <c r="AZ70" s="1">
        <v>-2.544</v>
      </c>
      <c r="BA70" s="1">
        <v>2175</v>
      </c>
      <c r="BB70" s="1">
        <v>10.45</v>
      </c>
      <c r="BC70" s="1">
        <v>2786</v>
      </c>
      <c r="BF70" s="1">
        <f t="shared" si="40"/>
        <v>1318</v>
      </c>
      <c r="BM70" s="17">
        <v>13.95</v>
      </c>
      <c r="BN70" s="17">
        <f t="shared" si="0"/>
        <v>28.178999999999998</v>
      </c>
      <c r="BO70" s="18">
        <f t="shared" si="15"/>
        <v>1.1499999999999999</v>
      </c>
      <c r="BP70" s="18">
        <f t="shared" si="16"/>
        <v>1.96</v>
      </c>
      <c r="BR70" s="1">
        <f t="shared" si="17"/>
        <v>97.8</v>
      </c>
      <c r="BS70" s="1">
        <f t="shared" si="18"/>
        <v>93.5</v>
      </c>
      <c r="BT70" s="1">
        <f t="shared" si="19"/>
        <v>82</v>
      </c>
      <c r="BU70" s="60">
        <f t="shared" si="20"/>
        <v>0.45700000000000002</v>
      </c>
      <c r="BV70" s="60">
        <f t="shared" si="41"/>
        <v>0.1</v>
      </c>
      <c r="BX70" s="51">
        <f t="shared" si="7"/>
        <v>9.2399999999999967</v>
      </c>
      <c r="BY70" s="46">
        <v>3.12</v>
      </c>
      <c r="BZ70" s="1">
        <v>6.5999999999999979</v>
      </c>
      <c r="CB70" s="17">
        <f t="shared" si="21"/>
        <v>1.1499999999999999</v>
      </c>
      <c r="CC70" s="17">
        <f t="shared" si="22"/>
        <v>1.96</v>
      </c>
      <c r="CD70" s="3">
        <f t="shared" si="8"/>
        <v>-3</v>
      </c>
      <c r="CE70" s="1" t="s">
        <v>218</v>
      </c>
      <c r="CF70" s="1" t="s">
        <v>218</v>
      </c>
      <c r="CG70" s="3">
        <f t="shared" si="23"/>
        <v>-0.1</v>
      </c>
      <c r="CH70" s="3">
        <f t="shared" si="24"/>
        <v>-0.1</v>
      </c>
      <c r="CI70" s="3">
        <f t="shared" si="25"/>
        <v>0.3</v>
      </c>
      <c r="CJ70" s="3">
        <f t="shared" si="26"/>
        <v>0.9</v>
      </c>
      <c r="CK70" s="27">
        <f t="shared" si="27"/>
        <v>93.5</v>
      </c>
      <c r="CL70" s="1">
        <f t="shared" si="9"/>
        <v>-1.2</v>
      </c>
      <c r="CM70" s="1" t="s">
        <v>218</v>
      </c>
      <c r="CN70" s="1" t="s">
        <v>218</v>
      </c>
      <c r="CO70" s="1">
        <f t="shared" si="28"/>
        <v>-0.1</v>
      </c>
      <c r="CP70" s="1">
        <f t="shared" si="29"/>
        <v>-0.1</v>
      </c>
      <c r="CQ70" s="1">
        <f t="shared" si="30"/>
        <v>0.3</v>
      </c>
      <c r="CR70" s="1">
        <f t="shared" si="31"/>
        <v>0.9</v>
      </c>
      <c r="CS70" s="2">
        <f t="shared" si="32"/>
        <v>97.8</v>
      </c>
      <c r="CT70" s="1">
        <f t="shared" si="10"/>
        <v>-7.4</v>
      </c>
      <c r="CU70" s="1" t="s">
        <v>218</v>
      </c>
      <c r="CV70" s="1" t="s">
        <v>218</v>
      </c>
      <c r="CW70" s="1">
        <f t="shared" si="33"/>
        <v>-0.1</v>
      </c>
      <c r="CX70" s="1">
        <f t="shared" si="34"/>
        <v>-0.2</v>
      </c>
      <c r="CY70" s="1">
        <f t="shared" si="35"/>
        <v>0.2</v>
      </c>
      <c r="CZ70" s="1">
        <f t="shared" si="36"/>
        <v>0.8</v>
      </c>
      <c r="DA70" s="2">
        <f t="shared" si="37"/>
        <v>82</v>
      </c>
      <c r="DB70" s="20">
        <f t="shared" si="38"/>
        <v>1318</v>
      </c>
      <c r="DC70" s="1">
        <f>ROUND(PPTest!K70,1)</f>
        <v>3.3</v>
      </c>
      <c r="DD70" s="27">
        <f t="shared" si="42"/>
        <v>1.28</v>
      </c>
      <c r="DE70" s="3">
        <f t="shared" si="39"/>
        <v>3.46</v>
      </c>
      <c r="DF70" s="24">
        <f t="shared" si="11"/>
        <v>0.45700000000000002</v>
      </c>
      <c r="DG70" s="24">
        <f t="shared" si="12"/>
        <v>0.1</v>
      </c>
      <c r="DH70" s="17">
        <f t="shared" si="43"/>
        <v>10.45</v>
      </c>
      <c r="DQ70" s="1">
        <v>2</v>
      </c>
      <c r="DR70" s="1">
        <v>4.2</v>
      </c>
      <c r="DS70" s="1">
        <v>-0.2</v>
      </c>
    </row>
    <row r="71" spans="1:123" x14ac:dyDescent="0.2">
      <c r="A71" s="15">
        <f t="shared" si="3"/>
        <v>36590</v>
      </c>
      <c r="B71" s="1">
        <v>65</v>
      </c>
      <c r="C71" s="1">
        <v>2.3780000000000001</v>
      </c>
      <c r="D71" s="1">
        <v>3.02</v>
      </c>
      <c r="E71" s="1">
        <v>-6.585</v>
      </c>
      <c r="F71" s="1">
        <v>102.3</v>
      </c>
      <c r="I71" s="1">
        <v>-0.127</v>
      </c>
      <c r="J71" s="1">
        <v>-5.55</v>
      </c>
      <c r="K71" s="1">
        <v>-6.2910000000000004</v>
      </c>
      <c r="L71" s="1">
        <v>-0.153</v>
      </c>
      <c r="M71" s="1">
        <v>0.253</v>
      </c>
      <c r="N71" s="1">
        <v>0.86</v>
      </c>
      <c r="O71" s="1">
        <v>0</v>
      </c>
      <c r="P71" s="2">
        <v>1.1933333333333334</v>
      </c>
      <c r="R71" s="1">
        <v>-1.617</v>
      </c>
      <c r="S71" s="1">
        <v>1112</v>
      </c>
      <c r="T71" s="1">
        <v>108.2</v>
      </c>
      <c r="U71" s="1">
        <v>217</v>
      </c>
      <c r="X71" s="1">
        <v>-7.8E-2</v>
      </c>
      <c r="Y71" s="1">
        <v>-3.8260000000000001</v>
      </c>
      <c r="Z71" s="1">
        <v>-1.143</v>
      </c>
      <c r="AA71" s="1">
        <v>-7.1999999999999995E-2</v>
      </c>
      <c r="AB71" s="1">
        <v>0.34499999999999997</v>
      </c>
      <c r="AC71" s="1">
        <v>0.96699999999999997</v>
      </c>
      <c r="AD71" s="2">
        <v>3.3013333333333335</v>
      </c>
      <c r="AE71" s="1">
        <v>1455</v>
      </c>
      <c r="AF71" s="1">
        <v>-12.54</v>
      </c>
      <c r="AG71" s="1">
        <v>553</v>
      </c>
      <c r="AH71" s="1">
        <v>75</v>
      </c>
      <c r="AI71" s="1">
        <v>1110</v>
      </c>
      <c r="AL71" s="1">
        <v>-0.20300000000000001</v>
      </c>
      <c r="AM71" s="1">
        <v>-7.41</v>
      </c>
      <c r="AN71" s="1">
        <v>-13.56</v>
      </c>
      <c r="AO71" s="1">
        <v>-0.251</v>
      </c>
      <c r="AP71" s="1">
        <v>0.109</v>
      </c>
      <c r="AQ71" s="1">
        <v>0.69699999999999995</v>
      </c>
      <c r="AR71" s="1">
        <v>6.0999999999999999E-2</v>
      </c>
      <c r="AS71" s="1">
        <v>0.28999999999999998</v>
      </c>
      <c r="AT71" s="1">
        <v>0.26</v>
      </c>
      <c r="AU71" s="1">
        <v>4.2000000000000003E-2</v>
      </c>
      <c r="AV71" s="1">
        <v>9.6000000000000002E-2</v>
      </c>
      <c r="AW71" s="1">
        <v>0.183</v>
      </c>
      <c r="AX71" s="1">
        <v>2.1000000000000001E-2</v>
      </c>
      <c r="AY71" s="1">
        <v>4.8000000000000001E-2</v>
      </c>
      <c r="AZ71" s="1">
        <v>-6.5709999999999997</v>
      </c>
      <c r="BA71" s="1">
        <v>2205</v>
      </c>
      <c r="BB71" s="1">
        <v>13.17</v>
      </c>
      <c r="BC71" s="1">
        <v>2786</v>
      </c>
      <c r="BF71" s="1">
        <f t="shared" si="40"/>
        <v>1288</v>
      </c>
      <c r="BM71" s="17">
        <v>14.21</v>
      </c>
      <c r="BN71" s="17">
        <f t="shared" ref="BN71:BN134" si="44">BM71*$BN$1</f>
        <v>28.704200000000004</v>
      </c>
      <c r="BO71" s="18">
        <f t="shared" si="15"/>
        <v>2.33</v>
      </c>
      <c r="BP71" s="18">
        <f t="shared" si="16"/>
        <v>3.32</v>
      </c>
      <c r="BR71" s="1">
        <f t="shared" si="17"/>
        <v>96.3</v>
      </c>
      <c r="BS71" s="1">
        <f t="shared" si="18"/>
        <v>87</v>
      </c>
      <c r="BT71" s="1">
        <f t="shared" si="19"/>
        <v>60</v>
      </c>
      <c r="BU71" s="60">
        <f t="shared" si="20"/>
        <v>0.32500000000000001</v>
      </c>
      <c r="BV71" s="60">
        <f t="shared" si="41"/>
        <v>0.217</v>
      </c>
      <c r="BX71" s="51">
        <f t="shared" si="7"/>
        <v>0</v>
      </c>
      <c r="BY71" s="46">
        <v>0</v>
      </c>
      <c r="BZ71" s="1">
        <v>0</v>
      </c>
      <c r="CB71" s="17">
        <f t="shared" si="21"/>
        <v>2.33</v>
      </c>
      <c r="CC71" s="17">
        <f t="shared" si="22"/>
        <v>3.32</v>
      </c>
      <c r="CD71" s="3">
        <f t="shared" si="8"/>
        <v>-6.6</v>
      </c>
      <c r="CE71" s="1" t="s">
        <v>218</v>
      </c>
      <c r="CF71" s="1" t="s">
        <v>218</v>
      </c>
      <c r="CG71" s="3">
        <f t="shared" si="23"/>
        <v>-0.1</v>
      </c>
      <c r="CH71" s="3">
        <f t="shared" si="24"/>
        <v>-0.2</v>
      </c>
      <c r="CI71" s="3">
        <f t="shared" si="25"/>
        <v>0.3</v>
      </c>
      <c r="CJ71" s="3">
        <f t="shared" si="26"/>
        <v>0.9</v>
      </c>
      <c r="CK71" s="27">
        <f t="shared" si="27"/>
        <v>87</v>
      </c>
      <c r="CL71" s="1">
        <f t="shared" si="9"/>
        <v>-1.6</v>
      </c>
      <c r="CM71" s="1" t="s">
        <v>218</v>
      </c>
      <c r="CN71" s="1" t="s">
        <v>218</v>
      </c>
      <c r="CO71" s="1">
        <f t="shared" si="28"/>
        <v>-0.1</v>
      </c>
      <c r="CP71" s="1">
        <f t="shared" si="29"/>
        <v>-0.1</v>
      </c>
      <c r="CQ71" s="1">
        <f t="shared" si="30"/>
        <v>0.3</v>
      </c>
      <c r="CR71" s="1">
        <f t="shared" si="31"/>
        <v>1</v>
      </c>
      <c r="CS71" s="2">
        <f t="shared" si="32"/>
        <v>96.3</v>
      </c>
      <c r="CT71" s="1">
        <f t="shared" si="10"/>
        <v>-12.5</v>
      </c>
      <c r="CU71" s="1" t="s">
        <v>218</v>
      </c>
      <c r="CV71" s="1" t="s">
        <v>218</v>
      </c>
      <c r="CW71" s="1">
        <f t="shared" si="33"/>
        <v>-0.2</v>
      </c>
      <c r="CX71" s="1">
        <f t="shared" si="34"/>
        <v>-0.3</v>
      </c>
      <c r="CY71" s="1">
        <f t="shared" si="35"/>
        <v>0.1</v>
      </c>
      <c r="CZ71" s="1">
        <f t="shared" si="36"/>
        <v>0.7</v>
      </c>
      <c r="DA71" s="2">
        <f t="shared" si="37"/>
        <v>60</v>
      </c>
      <c r="DB71" s="20">
        <f t="shared" si="38"/>
        <v>1288</v>
      </c>
      <c r="DC71" s="1">
        <f>ROUND(PPTest!K71,1)</f>
        <v>0</v>
      </c>
      <c r="DD71" s="27">
        <f t="shared" si="42"/>
        <v>1.19</v>
      </c>
      <c r="DE71" s="3">
        <f t="shared" si="39"/>
        <v>3.3</v>
      </c>
      <c r="DF71" s="24">
        <f t="shared" si="11"/>
        <v>0.32500000000000001</v>
      </c>
      <c r="DG71" s="24">
        <f t="shared" si="12"/>
        <v>0.217</v>
      </c>
      <c r="DH71" s="17">
        <f t="shared" si="43"/>
        <v>13.17</v>
      </c>
      <c r="DQ71" s="1">
        <v>3.1</v>
      </c>
      <c r="DR71" s="1">
        <v>7</v>
      </c>
      <c r="DS71" s="1">
        <v>-0.9</v>
      </c>
    </row>
    <row r="72" spans="1:123" x14ac:dyDescent="0.2">
      <c r="A72" s="15">
        <f t="shared" si="3"/>
        <v>36591</v>
      </c>
      <c r="B72" s="1">
        <v>66</v>
      </c>
      <c r="C72" s="1">
        <v>1.4119999999999999</v>
      </c>
      <c r="D72" s="1">
        <v>2.2349999999999999</v>
      </c>
      <c r="E72" s="1">
        <v>-6.98</v>
      </c>
      <c r="F72" s="1">
        <v>105.1</v>
      </c>
      <c r="I72" s="1">
        <v>-0.106</v>
      </c>
      <c r="J72" s="1">
        <v>-5.37</v>
      </c>
      <c r="K72" s="1">
        <v>-6.7149999999999999</v>
      </c>
      <c r="L72" s="1">
        <v>-0.14699999999999999</v>
      </c>
      <c r="M72" s="1">
        <v>0.26100000000000001</v>
      </c>
      <c r="N72" s="1">
        <v>0.86799999999999999</v>
      </c>
      <c r="O72" s="1">
        <v>0</v>
      </c>
      <c r="P72" s="2">
        <v>1.3643333333333332</v>
      </c>
      <c r="R72" s="1">
        <v>-4.3099999999999996</v>
      </c>
      <c r="S72" s="1">
        <v>1424</v>
      </c>
      <c r="T72" s="1">
        <v>107.6</v>
      </c>
      <c r="U72" s="1">
        <v>238</v>
      </c>
      <c r="X72" s="1">
        <v>-4.4999999999999998E-2</v>
      </c>
      <c r="Y72" s="1">
        <v>-4.7190000000000003</v>
      </c>
      <c r="Z72" s="1">
        <v>-2.8250000000000002</v>
      </c>
      <c r="AA72" s="1">
        <v>-6.3E-2</v>
      </c>
      <c r="AB72" s="1">
        <v>0.35699999999999998</v>
      </c>
      <c r="AC72" s="1">
        <v>0.97799999999999998</v>
      </c>
      <c r="AD72" s="2">
        <v>3.3813333333333335</v>
      </c>
      <c r="AE72" s="1">
        <v>1300</v>
      </c>
      <c r="AF72" s="1">
        <v>-16.05</v>
      </c>
      <c r="AG72" s="1">
        <v>2355</v>
      </c>
      <c r="AH72" s="1">
        <v>99.9</v>
      </c>
      <c r="AI72" s="1">
        <v>1149</v>
      </c>
      <c r="AL72" s="1">
        <v>-0.17799999999999999</v>
      </c>
      <c r="AM72" s="1">
        <v>-10.23</v>
      </c>
      <c r="AN72" s="1">
        <v>-17.510000000000002</v>
      </c>
      <c r="AO72" s="1">
        <v>-0.20100000000000001</v>
      </c>
      <c r="AP72" s="1">
        <v>0.19600000000000001</v>
      </c>
      <c r="AQ72" s="1">
        <v>0.8</v>
      </c>
      <c r="AR72" s="1">
        <v>2.5999999999999999E-2</v>
      </c>
      <c r="AS72" s="1">
        <v>0.11600000000000001</v>
      </c>
      <c r="AT72" s="1">
        <v>0.157</v>
      </c>
      <c r="AU72" s="1">
        <v>1.4E-2</v>
      </c>
      <c r="AV72" s="1">
        <v>0.108</v>
      </c>
      <c r="AW72" s="1">
        <v>0.45800000000000002</v>
      </c>
      <c r="AX72" s="1">
        <v>0.107</v>
      </c>
      <c r="AY72" s="1">
        <v>1.4E-2</v>
      </c>
      <c r="AZ72" s="1">
        <v>-5.774</v>
      </c>
      <c r="BA72" s="1">
        <v>2189</v>
      </c>
      <c r="BB72" s="1">
        <v>13.18</v>
      </c>
      <c r="BC72" s="1">
        <v>2786</v>
      </c>
      <c r="BF72" s="1">
        <f t="shared" si="40"/>
        <v>1304</v>
      </c>
      <c r="BM72" s="17">
        <v>14.45</v>
      </c>
      <c r="BN72" s="17">
        <f t="shared" si="44"/>
        <v>29.189</v>
      </c>
      <c r="BO72" s="18">
        <f t="shared" si="15"/>
        <v>1.38</v>
      </c>
      <c r="BP72" s="18">
        <f t="shared" si="16"/>
        <v>2.46</v>
      </c>
      <c r="BR72" s="1">
        <f t="shared" si="17"/>
        <v>95.4</v>
      </c>
      <c r="BS72" s="1">
        <f t="shared" si="18"/>
        <v>91.4</v>
      </c>
      <c r="BT72" s="1">
        <f t="shared" si="19"/>
        <v>83.1</v>
      </c>
      <c r="BU72" s="60">
        <f t="shared" si="20"/>
        <v>0.36899999999999999</v>
      </c>
      <c r="BV72" s="60">
        <f t="shared" si="41"/>
        <v>7.4999999999999997E-2</v>
      </c>
      <c r="BX72" s="51">
        <f t="shared" ref="BX72:BX135" si="45">BZ72*BZ$2</f>
        <v>2.38</v>
      </c>
      <c r="BY72" s="46">
        <v>3.38</v>
      </c>
      <c r="BZ72" s="1">
        <v>1.7000000000000002</v>
      </c>
      <c r="CB72" s="17">
        <f t="shared" ref="CB72:CB135" si="46">BO72</f>
        <v>1.38</v>
      </c>
      <c r="CC72" s="17">
        <f t="shared" ref="CC72:CC135" si="47">BP72</f>
        <v>2.46</v>
      </c>
      <c r="CD72" s="3">
        <f t="shared" ref="CD72:CD135" si="48">ROUND(E72,1)</f>
        <v>-7</v>
      </c>
      <c r="CE72" s="1" t="s">
        <v>218</v>
      </c>
      <c r="CF72" s="1" t="s">
        <v>218</v>
      </c>
      <c r="CG72" s="3">
        <f t="shared" ref="CG72:CG135" si="49">ROUND(I72,1)</f>
        <v>-0.1</v>
      </c>
      <c r="CH72" s="3">
        <f t="shared" ref="CH72:CH135" si="50">ROUND(L72,1)</f>
        <v>-0.1</v>
      </c>
      <c r="CI72" s="3">
        <f t="shared" ref="CI72:CI135" si="51">ROUND(M72,1)</f>
        <v>0.3</v>
      </c>
      <c r="CJ72" s="3">
        <f t="shared" ref="CJ72:CJ135" si="52">ROUND(N72,1)</f>
        <v>0.9</v>
      </c>
      <c r="CK72" s="27">
        <f t="shared" ref="CK72:CK135" si="53">ROUND(BS72,1)</f>
        <v>91.4</v>
      </c>
      <c r="CL72" s="1">
        <f t="shared" ref="CL72:CL135" si="54">ROUND(R72,1)</f>
        <v>-4.3</v>
      </c>
      <c r="CM72" s="1" t="s">
        <v>218</v>
      </c>
      <c r="CN72" s="1" t="s">
        <v>218</v>
      </c>
      <c r="CO72" s="1">
        <f t="shared" ref="CO72:CO135" si="55">ROUND(X72,1)</f>
        <v>0</v>
      </c>
      <c r="CP72" s="1">
        <f t="shared" ref="CP72:CP135" si="56">ROUND(AA72,1)</f>
        <v>-0.1</v>
      </c>
      <c r="CQ72" s="1">
        <f t="shared" ref="CQ72:CQ135" si="57">ROUND(AB72,1)</f>
        <v>0.4</v>
      </c>
      <c r="CR72" s="1">
        <f t="shared" ref="CR72:CR135" si="58">ROUND(AC72,1)</f>
        <v>1</v>
      </c>
      <c r="CS72" s="2">
        <f t="shared" ref="CS72:CS135" si="59">ROUND(BR72,1)</f>
        <v>95.4</v>
      </c>
      <c r="CT72" s="1">
        <f t="shared" ref="CT72:CT135" si="60">ROUND(AF72,1)</f>
        <v>-16.100000000000001</v>
      </c>
      <c r="CU72" s="1" t="s">
        <v>218</v>
      </c>
      <c r="CV72" s="1" t="s">
        <v>218</v>
      </c>
      <c r="CW72" s="1">
        <f t="shared" ref="CW72:CW135" si="61">ROUND(AL72,1)</f>
        <v>-0.2</v>
      </c>
      <c r="CX72" s="1">
        <f t="shared" ref="CX72:CX135" si="62">ROUND(AO72,1)</f>
        <v>-0.2</v>
      </c>
      <c r="CY72" s="1">
        <f t="shared" ref="CY72:CY135" si="63">ROUND(AP72,1)</f>
        <v>0.2</v>
      </c>
      <c r="CZ72" s="1">
        <f t="shared" ref="CZ72:CZ135" si="64">ROUND(AQ72,1)</f>
        <v>0.8</v>
      </c>
      <c r="DA72" s="2">
        <f t="shared" ref="DA72:DA135" si="65">ROUND(BT72,1)</f>
        <v>83.1</v>
      </c>
      <c r="DB72" s="20">
        <f t="shared" ref="DB72:DB135" si="66">BF72</f>
        <v>1304</v>
      </c>
      <c r="DC72" s="1">
        <f>ROUND(PPTest!K72,1)</f>
        <v>2.1</v>
      </c>
      <c r="DD72" s="27">
        <f t="shared" si="42"/>
        <v>1.36</v>
      </c>
      <c r="DE72" s="3">
        <f t="shared" ref="DE72:DE135" si="67">ROUND(AD72,2)</f>
        <v>3.38</v>
      </c>
      <c r="DF72" s="24">
        <f t="shared" ref="DF72:DF135" si="68">BU72</f>
        <v>0.36899999999999999</v>
      </c>
      <c r="DG72" s="24">
        <f t="shared" ref="DG72:DG135" si="69">BV72</f>
        <v>7.4999999999999997E-2</v>
      </c>
      <c r="DH72" s="17">
        <f t="shared" ref="DH72:DH135" si="70">BB72</f>
        <v>13.18</v>
      </c>
      <c r="DQ72" s="1">
        <v>0.2</v>
      </c>
      <c r="DR72" s="1">
        <v>1.9</v>
      </c>
      <c r="DS72" s="1">
        <v>-1.5</v>
      </c>
    </row>
    <row r="73" spans="1:123" x14ac:dyDescent="0.2">
      <c r="A73" s="15">
        <f t="shared" ref="A73:A136" si="71">A72+1</f>
        <v>36592</v>
      </c>
      <c r="B73" s="1">
        <v>67</v>
      </c>
      <c r="C73" s="1">
        <v>8.41</v>
      </c>
      <c r="D73" s="1">
        <v>11.86</v>
      </c>
      <c r="E73" s="1">
        <v>-8.8800000000000008</v>
      </c>
      <c r="F73" s="1">
        <v>87.5</v>
      </c>
      <c r="I73" s="1">
        <v>-0.29299999999999998</v>
      </c>
      <c r="J73" s="1">
        <v>-8.11</v>
      </c>
      <c r="K73" s="1">
        <v>-8.3800000000000008</v>
      </c>
      <c r="L73" s="1">
        <v>-0.16200000000000001</v>
      </c>
      <c r="M73" s="1">
        <v>0.23699999999999999</v>
      </c>
      <c r="N73" s="1">
        <v>0.83799999999999997</v>
      </c>
      <c r="O73" s="1">
        <v>0</v>
      </c>
      <c r="P73" s="2">
        <v>1.593</v>
      </c>
      <c r="R73" s="1">
        <v>9.4E-2</v>
      </c>
      <c r="S73" s="1">
        <v>1308</v>
      </c>
      <c r="T73" s="1">
        <v>106.4</v>
      </c>
      <c r="U73" s="1">
        <v>2339</v>
      </c>
      <c r="X73" s="1">
        <v>-0.152</v>
      </c>
      <c r="Y73" s="1">
        <v>-4.6890000000000001</v>
      </c>
      <c r="Z73" s="1">
        <v>-0.27800000000000002</v>
      </c>
      <c r="AA73" s="1">
        <v>-8.2000000000000003E-2</v>
      </c>
      <c r="AB73" s="1">
        <v>0.33300000000000002</v>
      </c>
      <c r="AC73" s="1">
        <v>0.94499999999999995</v>
      </c>
      <c r="AD73" s="2">
        <v>4.3413333333333339</v>
      </c>
      <c r="AE73" s="1">
        <v>1118</v>
      </c>
      <c r="AF73" s="1">
        <v>-18.850000000000001</v>
      </c>
      <c r="AG73" s="1">
        <v>610</v>
      </c>
      <c r="AH73" s="1">
        <v>43.95</v>
      </c>
      <c r="AI73" s="1">
        <v>1309</v>
      </c>
      <c r="AL73" s="1">
        <v>-0.57399999999999995</v>
      </c>
      <c r="AM73" s="1">
        <v>-12.43</v>
      </c>
      <c r="AN73" s="1">
        <v>-20.09</v>
      </c>
      <c r="AO73" s="1">
        <v>-0.26100000000000001</v>
      </c>
      <c r="AP73" s="1">
        <v>6.5000000000000002E-2</v>
      </c>
      <c r="AQ73" s="1">
        <v>0.64900000000000002</v>
      </c>
      <c r="AR73" s="1">
        <v>5.5E-2</v>
      </c>
      <c r="AS73" s="1">
        <v>0.26800000000000002</v>
      </c>
      <c r="AT73" s="1">
        <v>0.43</v>
      </c>
      <c r="AU73" s="1">
        <v>7.5999999999999998E-2</v>
      </c>
      <c r="AV73" s="1">
        <v>7.6999999999999999E-2</v>
      </c>
      <c r="AW73" s="1">
        <v>0.06</v>
      </c>
      <c r="AX73" s="1">
        <v>1.4E-2</v>
      </c>
      <c r="AY73" s="1">
        <v>0.02</v>
      </c>
      <c r="AZ73" s="1">
        <v>-10.95</v>
      </c>
      <c r="BA73" s="1">
        <v>2215</v>
      </c>
      <c r="BB73" s="1">
        <v>13.19</v>
      </c>
      <c r="BC73" s="1">
        <v>2786</v>
      </c>
      <c r="BF73" s="1">
        <f t="shared" si="40"/>
        <v>1278</v>
      </c>
      <c r="BM73" s="17">
        <v>14.7</v>
      </c>
      <c r="BN73" s="17">
        <f t="shared" si="44"/>
        <v>29.693999999999999</v>
      </c>
      <c r="BO73" s="18">
        <f t="shared" si="15"/>
        <v>8.24</v>
      </c>
      <c r="BP73" s="18">
        <f t="shared" si="16"/>
        <v>13.05</v>
      </c>
      <c r="BR73" s="1">
        <f t="shared" si="17"/>
        <v>93.5</v>
      </c>
      <c r="BS73" s="1">
        <f t="shared" si="18"/>
        <v>71</v>
      </c>
      <c r="BT73" s="1">
        <f t="shared" si="19"/>
        <v>32.700000000000003</v>
      </c>
      <c r="BU73" s="60">
        <f t="shared" si="20"/>
        <v>0.20100000000000001</v>
      </c>
      <c r="BV73" s="60">
        <f t="shared" si="41"/>
        <v>0.41399999999999998</v>
      </c>
      <c r="BX73" s="51">
        <f t="shared" si="45"/>
        <v>0.28000000000000019</v>
      </c>
      <c r="BY73" s="46">
        <v>0</v>
      </c>
      <c r="BZ73" s="1">
        <v>0.20000000000000015</v>
      </c>
      <c r="CB73" s="17">
        <f t="shared" si="46"/>
        <v>8.24</v>
      </c>
      <c r="CC73" s="17">
        <f t="shared" si="47"/>
        <v>13.05</v>
      </c>
      <c r="CD73" s="3">
        <f t="shared" si="48"/>
        <v>-8.9</v>
      </c>
      <c r="CE73" s="1" t="s">
        <v>218</v>
      </c>
      <c r="CF73" s="1" t="s">
        <v>218</v>
      </c>
      <c r="CG73" s="3">
        <f t="shared" si="49"/>
        <v>-0.3</v>
      </c>
      <c r="CH73" s="3">
        <f t="shared" si="50"/>
        <v>-0.2</v>
      </c>
      <c r="CI73" s="3">
        <f t="shared" si="51"/>
        <v>0.2</v>
      </c>
      <c r="CJ73" s="3">
        <f t="shared" si="52"/>
        <v>0.8</v>
      </c>
      <c r="CK73" s="27">
        <f t="shared" si="53"/>
        <v>71</v>
      </c>
      <c r="CL73" s="1">
        <f t="shared" si="54"/>
        <v>0.1</v>
      </c>
      <c r="CM73" s="1" t="s">
        <v>218</v>
      </c>
      <c r="CN73" s="1" t="s">
        <v>218</v>
      </c>
      <c r="CO73" s="1">
        <f t="shared" si="55"/>
        <v>-0.2</v>
      </c>
      <c r="CP73" s="1">
        <f t="shared" si="56"/>
        <v>-0.1</v>
      </c>
      <c r="CQ73" s="1">
        <f t="shared" si="57"/>
        <v>0.3</v>
      </c>
      <c r="CR73" s="1">
        <f t="shared" si="58"/>
        <v>0.9</v>
      </c>
      <c r="CS73" s="2">
        <f t="shared" si="59"/>
        <v>93.5</v>
      </c>
      <c r="CT73" s="1">
        <f t="shared" si="60"/>
        <v>-18.899999999999999</v>
      </c>
      <c r="CU73" s="1" t="s">
        <v>218</v>
      </c>
      <c r="CV73" s="1" t="s">
        <v>218</v>
      </c>
      <c r="CW73" s="1">
        <f t="shared" si="61"/>
        <v>-0.6</v>
      </c>
      <c r="CX73" s="1">
        <f t="shared" si="62"/>
        <v>-0.3</v>
      </c>
      <c r="CY73" s="1">
        <f t="shared" si="63"/>
        <v>0.1</v>
      </c>
      <c r="CZ73" s="1">
        <f t="shared" si="64"/>
        <v>0.6</v>
      </c>
      <c r="DA73" s="2">
        <f t="shared" si="65"/>
        <v>32.700000000000003</v>
      </c>
      <c r="DB73" s="20">
        <f t="shared" si="66"/>
        <v>1278</v>
      </c>
      <c r="DC73" s="1">
        <f>ROUND(PPTest!K73,1)</f>
        <v>0</v>
      </c>
      <c r="DD73" s="27">
        <f t="shared" si="42"/>
        <v>1.59</v>
      </c>
      <c r="DE73" s="3">
        <f t="shared" si="67"/>
        <v>4.34</v>
      </c>
      <c r="DF73" s="24">
        <f t="shared" si="68"/>
        <v>0.20100000000000001</v>
      </c>
      <c r="DG73" s="24">
        <f t="shared" si="69"/>
        <v>0.41399999999999998</v>
      </c>
      <c r="DH73" s="17">
        <f t="shared" si="70"/>
        <v>13.19</v>
      </c>
      <c r="DQ73" s="1">
        <v>1.6</v>
      </c>
      <c r="DR73" s="1">
        <v>6.3</v>
      </c>
      <c r="DS73" s="1">
        <v>-3.2</v>
      </c>
    </row>
    <row r="74" spans="1:123" x14ac:dyDescent="0.2">
      <c r="A74" s="15">
        <f t="shared" si="71"/>
        <v>36593</v>
      </c>
      <c r="B74" s="1">
        <v>68</v>
      </c>
      <c r="C74" s="1">
        <v>12.06</v>
      </c>
      <c r="D74" s="1">
        <v>20.81</v>
      </c>
      <c r="E74" s="1">
        <v>-3.3530000000000002</v>
      </c>
      <c r="F74" s="1">
        <v>84.3</v>
      </c>
      <c r="I74" s="1">
        <v>-0.28299999999999997</v>
      </c>
      <c r="J74" s="1">
        <v>-5.01</v>
      </c>
      <c r="K74" s="1">
        <v>-4.2060000000000004</v>
      </c>
      <c r="L74" s="1">
        <v>-0.15</v>
      </c>
      <c r="M74" s="1">
        <v>0.25</v>
      </c>
      <c r="N74" s="1">
        <v>0.84599999999999997</v>
      </c>
      <c r="O74" s="1">
        <v>0</v>
      </c>
      <c r="P74" s="2">
        <v>1.5543333333333333</v>
      </c>
      <c r="R74" s="1">
        <v>3.3860000000000001</v>
      </c>
      <c r="S74" s="1">
        <v>1445</v>
      </c>
      <c r="T74" s="1">
        <v>105</v>
      </c>
      <c r="U74" s="1">
        <v>537</v>
      </c>
      <c r="X74" s="1">
        <v>-0.121</v>
      </c>
      <c r="Y74" s="1">
        <v>-2.7989999999999999</v>
      </c>
      <c r="Z74" s="1">
        <v>1.712</v>
      </c>
      <c r="AA74" s="1">
        <v>-8.4000000000000005E-2</v>
      </c>
      <c r="AB74" s="1">
        <v>0.33300000000000002</v>
      </c>
      <c r="AC74" s="1">
        <v>0.94</v>
      </c>
      <c r="AD74" s="2">
        <v>5.2746666666666666</v>
      </c>
      <c r="AE74" s="1">
        <v>1201</v>
      </c>
      <c r="AF74" s="1">
        <v>-11.16</v>
      </c>
      <c r="AG74" s="1">
        <v>32</v>
      </c>
      <c r="AH74" s="1">
        <v>49.08</v>
      </c>
      <c r="AI74" s="1">
        <v>1402</v>
      </c>
      <c r="AL74" s="1">
        <v>-0.46800000000000003</v>
      </c>
      <c r="AM74" s="1">
        <v>-7.64</v>
      </c>
      <c r="AN74" s="1">
        <v>-12.34</v>
      </c>
      <c r="AO74" s="1">
        <v>-0.23100000000000001</v>
      </c>
      <c r="AP74" s="1">
        <v>0.13</v>
      </c>
      <c r="AQ74" s="1">
        <v>0.71499999999999997</v>
      </c>
      <c r="AR74" s="1">
        <v>7.1999999999999995E-2</v>
      </c>
      <c r="AS74" s="1">
        <v>0.27700000000000002</v>
      </c>
      <c r="AT74" s="1">
        <v>0.378</v>
      </c>
      <c r="AU74" s="1">
        <v>0.108</v>
      </c>
      <c r="AV74" s="1">
        <v>5.3999999999999999E-2</v>
      </c>
      <c r="AW74" s="1">
        <v>5.5E-2</v>
      </c>
      <c r="AX74" s="1">
        <v>2.8000000000000001E-2</v>
      </c>
      <c r="AY74" s="1">
        <v>2.9000000000000001E-2</v>
      </c>
      <c r="AZ74" s="1">
        <v>-5.64</v>
      </c>
      <c r="BA74" s="1">
        <v>2239</v>
      </c>
      <c r="BB74" s="1">
        <v>13.21</v>
      </c>
      <c r="BC74" s="1">
        <v>2786</v>
      </c>
      <c r="BF74" s="1">
        <f t="shared" si="40"/>
        <v>1254</v>
      </c>
      <c r="BM74" s="17">
        <v>14.96</v>
      </c>
      <c r="BN74" s="17">
        <f t="shared" si="44"/>
        <v>30.219200000000001</v>
      </c>
      <c r="BO74" s="18">
        <f t="shared" si="15"/>
        <v>11.82</v>
      </c>
      <c r="BP74" s="18">
        <f t="shared" si="16"/>
        <v>22.89</v>
      </c>
      <c r="BR74" s="1">
        <f t="shared" si="17"/>
        <v>91.3</v>
      </c>
      <c r="BS74" s="1">
        <f t="shared" si="18"/>
        <v>68.2</v>
      </c>
      <c r="BT74" s="1">
        <f t="shared" si="19"/>
        <v>37.200000000000003</v>
      </c>
      <c r="BU74" s="60">
        <f t="shared" si="20"/>
        <v>0.28999999999999998</v>
      </c>
      <c r="BV74" s="60">
        <f t="shared" si="41"/>
        <v>0.49</v>
      </c>
      <c r="BX74" s="51">
        <f t="shared" si="45"/>
        <v>0</v>
      </c>
      <c r="BY74" s="46">
        <v>0</v>
      </c>
      <c r="BZ74" s="1">
        <v>0</v>
      </c>
      <c r="CB74" s="17">
        <f t="shared" si="46"/>
        <v>11.82</v>
      </c>
      <c r="CC74" s="17">
        <f t="shared" si="47"/>
        <v>22.89</v>
      </c>
      <c r="CD74" s="3">
        <f t="shared" si="48"/>
        <v>-3.4</v>
      </c>
      <c r="CE74" s="1" t="s">
        <v>218</v>
      </c>
      <c r="CF74" s="1" t="s">
        <v>218</v>
      </c>
      <c r="CG74" s="3">
        <f t="shared" si="49"/>
        <v>-0.3</v>
      </c>
      <c r="CH74" s="3">
        <f t="shared" si="50"/>
        <v>-0.2</v>
      </c>
      <c r="CI74" s="3">
        <f t="shared" si="51"/>
        <v>0.3</v>
      </c>
      <c r="CJ74" s="3">
        <f t="shared" si="52"/>
        <v>0.8</v>
      </c>
      <c r="CK74" s="27">
        <f t="shared" si="53"/>
        <v>68.2</v>
      </c>
      <c r="CL74" s="1">
        <f t="shared" si="54"/>
        <v>3.4</v>
      </c>
      <c r="CM74" s="1" t="s">
        <v>218</v>
      </c>
      <c r="CN74" s="1" t="s">
        <v>218</v>
      </c>
      <c r="CO74" s="1">
        <f t="shared" si="55"/>
        <v>-0.1</v>
      </c>
      <c r="CP74" s="1">
        <f t="shared" si="56"/>
        <v>-0.1</v>
      </c>
      <c r="CQ74" s="1">
        <f t="shared" si="57"/>
        <v>0.3</v>
      </c>
      <c r="CR74" s="1">
        <f t="shared" si="58"/>
        <v>0.9</v>
      </c>
      <c r="CS74" s="2">
        <f t="shared" si="59"/>
        <v>91.3</v>
      </c>
      <c r="CT74" s="1">
        <f t="shared" si="60"/>
        <v>-11.2</v>
      </c>
      <c r="CU74" s="1" t="s">
        <v>218</v>
      </c>
      <c r="CV74" s="1" t="s">
        <v>218</v>
      </c>
      <c r="CW74" s="1">
        <f t="shared" si="61"/>
        <v>-0.5</v>
      </c>
      <c r="CX74" s="1">
        <f t="shared" si="62"/>
        <v>-0.2</v>
      </c>
      <c r="CY74" s="1">
        <f t="shared" si="63"/>
        <v>0.1</v>
      </c>
      <c r="CZ74" s="1">
        <f t="shared" si="64"/>
        <v>0.7</v>
      </c>
      <c r="DA74" s="2">
        <f t="shared" si="65"/>
        <v>37.200000000000003</v>
      </c>
      <c r="DB74" s="20">
        <f t="shared" si="66"/>
        <v>1254</v>
      </c>
      <c r="DC74" s="1">
        <f>ROUND(PPTest!K74,1)</f>
        <v>0</v>
      </c>
      <c r="DD74" s="27">
        <f t="shared" si="42"/>
        <v>1.55</v>
      </c>
      <c r="DE74" s="3">
        <f t="shared" si="67"/>
        <v>5.27</v>
      </c>
      <c r="DF74" s="24">
        <f t="shared" si="68"/>
        <v>0.28999999999999998</v>
      </c>
      <c r="DG74" s="24">
        <f t="shared" si="69"/>
        <v>0.49</v>
      </c>
      <c r="DH74" s="17">
        <f t="shared" si="70"/>
        <v>13.21</v>
      </c>
      <c r="DQ74" s="1">
        <v>3.1</v>
      </c>
      <c r="DR74" s="1">
        <v>10.5</v>
      </c>
      <c r="DS74" s="1">
        <v>-4.3</v>
      </c>
    </row>
    <row r="75" spans="1:123" x14ac:dyDescent="0.2">
      <c r="A75" s="15">
        <f t="shared" si="71"/>
        <v>36594</v>
      </c>
      <c r="B75" s="1">
        <v>69</v>
      </c>
      <c r="C75" s="1">
        <v>4.5330000000000004</v>
      </c>
      <c r="D75" s="1">
        <v>7.91</v>
      </c>
      <c r="E75" s="1">
        <v>-1.47</v>
      </c>
      <c r="F75" s="1">
        <v>103.5</v>
      </c>
      <c r="I75" s="1">
        <v>-8.5000000000000006E-2</v>
      </c>
      <c r="J75" s="1">
        <v>-2.6019999999999999</v>
      </c>
      <c r="K75" s="1">
        <v>-0.55200000000000005</v>
      </c>
      <c r="L75" s="1">
        <v>-0.13900000000000001</v>
      </c>
      <c r="M75" s="1">
        <v>0.26700000000000002</v>
      </c>
      <c r="N75" s="1">
        <v>0.86199999999999999</v>
      </c>
      <c r="O75" s="1">
        <v>0</v>
      </c>
      <c r="P75" s="2">
        <v>1.3613333333333333</v>
      </c>
      <c r="R75" s="1">
        <v>0.88200000000000001</v>
      </c>
      <c r="S75" s="1">
        <v>1520</v>
      </c>
      <c r="T75" s="1">
        <v>109.3</v>
      </c>
      <c r="U75" s="1">
        <v>2033</v>
      </c>
      <c r="X75" s="1">
        <v>0</v>
      </c>
      <c r="Y75" s="1">
        <v>-2</v>
      </c>
      <c r="Z75" s="1">
        <v>-0.17599999999999999</v>
      </c>
      <c r="AA75" s="1">
        <v>-8.5999999999999993E-2</v>
      </c>
      <c r="AB75" s="1">
        <v>0.32</v>
      </c>
      <c r="AC75" s="1">
        <v>0.91800000000000004</v>
      </c>
      <c r="AD75" s="2">
        <v>4.1013333333333337</v>
      </c>
      <c r="AE75" s="1">
        <v>1339</v>
      </c>
      <c r="AF75" s="1">
        <v>-2.9769999999999999</v>
      </c>
      <c r="AG75" s="1">
        <v>600</v>
      </c>
      <c r="AH75" s="1">
        <v>85.2</v>
      </c>
      <c r="AI75" s="1">
        <v>1549</v>
      </c>
      <c r="AL75" s="1">
        <v>-0.16400000000000001</v>
      </c>
      <c r="AM75" s="1">
        <v>-3.1019999999999999</v>
      </c>
      <c r="AN75" s="1">
        <v>-0.92400000000000004</v>
      </c>
      <c r="AO75" s="1">
        <v>-0.18099999999999999</v>
      </c>
      <c r="AP75" s="1">
        <v>0.20599999999999999</v>
      </c>
      <c r="AQ75" s="1">
        <v>0.79700000000000004</v>
      </c>
      <c r="AR75" s="1">
        <v>3.5999999999999997E-2</v>
      </c>
      <c r="AS75" s="1">
        <v>0.14099999999999999</v>
      </c>
      <c r="AT75" s="1">
        <v>0.10299999999999999</v>
      </c>
      <c r="AU75" s="1">
        <v>0.02</v>
      </c>
      <c r="AV75" s="1">
        <v>0.122</v>
      </c>
      <c r="AW75" s="1">
        <v>0.41</v>
      </c>
      <c r="AX75" s="1">
        <v>0.14899999999999999</v>
      </c>
      <c r="AY75" s="1">
        <v>1.7000000000000001E-2</v>
      </c>
      <c r="AZ75" s="1">
        <v>-2.0499999999999998</v>
      </c>
      <c r="BA75" s="1">
        <v>2240</v>
      </c>
      <c r="BB75" s="1">
        <v>13.21</v>
      </c>
      <c r="BC75" s="1">
        <v>2786</v>
      </c>
      <c r="BF75" s="1">
        <f t="shared" si="40"/>
        <v>1253</v>
      </c>
      <c r="BM75" s="17">
        <v>15.22</v>
      </c>
      <c r="BN75" s="17">
        <f t="shared" si="44"/>
        <v>30.744400000000002</v>
      </c>
      <c r="BO75" s="18">
        <f t="shared" si="15"/>
        <v>4.4400000000000004</v>
      </c>
      <c r="BP75" s="18">
        <f t="shared" si="16"/>
        <v>8.6999999999999993</v>
      </c>
      <c r="BR75" s="1">
        <f t="shared" si="17"/>
        <v>98.1</v>
      </c>
      <c r="BS75" s="1">
        <f t="shared" si="18"/>
        <v>88.9</v>
      </c>
      <c r="BT75" s="1">
        <f t="shared" si="19"/>
        <v>69</v>
      </c>
      <c r="BU75" s="60">
        <f t="shared" si="20"/>
        <v>0.44900000000000001</v>
      </c>
      <c r="BV75" s="60">
        <f t="shared" si="41"/>
        <v>0.20200000000000001</v>
      </c>
      <c r="BX75" s="51">
        <f t="shared" si="45"/>
        <v>0.84</v>
      </c>
      <c r="BY75" s="46">
        <v>1.6</v>
      </c>
      <c r="BZ75" s="1">
        <v>0.6</v>
      </c>
      <c r="CB75" s="17">
        <f t="shared" si="46"/>
        <v>4.4400000000000004</v>
      </c>
      <c r="CC75" s="17">
        <f t="shared" si="47"/>
        <v>8.6999999999999993</v>
      </c>
      <c r="CD75" s="3">
        <f t="shared" si="48"/>
        <v>-1.5</v>
      </c>
      <c r="CE75" s="1" t="s">
        <v>218</v>
      </c>
      <c r="CF75" s="1" t="s">
        <v>218</v>
      </c>
      <c r="CG75" s="3">
        <f t="shared" si="49"/>
        <v>-0.1</v>
      </c>
      <c r="CH75" s="3">
        <f t="shared" si="50"/>
        <v>-0.1</v>
      </c>
      <c r="CI75" s="3">
        <f t="shared" si="51"/>
        <v>0.3</v>
      </c>
      <c r="CJ75" s="3">
        <f t="shared" si="52"/>
        <v>0.9</v>
      </c>
      <c r="CK75" s="27">
        <f t="shared" si="53"/>
        <v>88.9</v>
      </c>
      <c r="CL75" s="1">
        <f t="shared" si="54"/>
        <v>0.9</v>
      </c>
      <c r="CM75" s="1" t="s">
        <v>218</v>
      </c>
      <c r="CN75" s="1" t="s">
        <v>218</v>
      </c>
      <c r="CO75" s="1">
        <f t="shared" si="55"/>
        <v>0</v>
      </c>
      <c r="CP75" s="1">
        <f t="shared" si="56"/>
        <v>-0.1</v>
      </c>
      <c r="CQ75" s="1">
        <f t="shared" si="57"/>
        <v>0.3</v>
      </c>
      <c r="CR75" s="1">
        <f t="shared" si="58"/>
        <v>0.9</v>
      </c>
      <c r="CS75" s="2">
        <f t="shared" si="59"/>
        <v>98.1</v>
      </c>
      <c r="CT75" s="1">
        <f t="shared" si="60"/>
        <v>-3</v>
      </c>
      <c r="CU75" s="1" t="s">
        <v>218</v>
      </c>
      <c r="CV75" s="1" t="s">
        <v>218</v>
      </c>
      <c r="CW75" s="1">
        <f t="shared" si="61"/>
        <v>-0.2</v>
      </c>
      <c r="CX75" s="1">
        <f t="shared" si="62"/>
        <v>-0.2</v>
      </c>
      <c r="CY75" s="1">
        <f t="shared" si="63"/>
        <v>0.2</v>
      </c>
      <c r="CZ75" s="1">
        <f t="shared" si="64"/>
        <v>0.8</v>
      </c>
      <c r="DA75" s="2">
        <f t="shared" si="65"/>
        <v>69</v>
      </c>
      <c r="DB75" s="20">
        <f t="shared" si="66"/>
        <v>1253</v>
      </c>
      <c r="DC75" s="1">
        <f>ROUND(PPTest!K75,1)</f>
        <v>0</v>
      </c>
      <c r="DD75" s="27">
        <f t="shared" si="42"/>
        <v>1.36</v>
      </c>
      <c r="DE75" s="3">
        <f t="shared" si="67"/>
        <v>4.0999999999999996</v>
      </c>
      <c r="DF75" s="24">
        <f t="shared" si="68"/>
        <v>0.44900000000000001</v>
      </c>
      <c r="DG75" s="24">
        <f t="shared" si="69"/>
        <v>0.20200000000000001</v>
      </c>
      <c r="DH75" s="17">
        <f t="shared" si="70"/>
        <v>13.21</v>
      </c>
      <c r="DQ75" s="1">
        <v>3.8</v>
      </c>
      <c r="DR75" s="1">
        <v>7.7</v>
      </c>
      <c r="DS75" s="1">
        <v>-0.2</v>
      </c>
    </row>
    <row r="76" spans="1:123" x14ac:dyDescent="0.2">
      <c r="A76" s="15">
        <f t="shared" si="71"/>
        <v>36595</v>
      </c>
      <c r="B76" s="1">
        <v>70</v>
      </c>
      <c r="C76" s="1">
        <v>10.37</v>
      </c>
      <c r="D76" s="1">
        <v>18.170000000000002</v>
      </c>
      <c r="E76" s="1">
        <v>-0.80800000000000005</v>
      </c>
      <c r="F76" s="1">
        <v>93</v>
      </c>
      <c r="I76" s="1">
        <v>-7.4999999999999997E-2</v>
      </c>
      <c r="J76" s="1">
        <v>-2.3679999999999999</v>
      </c>
      <c r="K76" s="1">
        <v>-0.66300000000000003</v>
      </c>
      <c r="L76" s="1">
        <v>-0.13600000000000001</v>
      </c>
      <c r="M76" s="1">
        <v>0.27100000000000002</v>
      </c>
      <c r="N76" s="1">
        <v>0.86399999999999999</v>
      </c>
      <c r="O76" s="1">
        <v>0</v>
      </c>
      <c r="P76" s="2">
        <v>1.4576666666666667</v>
      </c>
      <c r="R76" s="1">
        <v>3.206</v>
      </c>
      <c r="S76" s="1">
        <v>1412</v>
      </c>
      <c r="T76" s="1">
        <v>108.6</v>
      </c>
      <c r="U76" s="1">
        <v>628</v>
      </c>
      <c r="X76" s="1">
        <v>-7.0000000000000001E-3</v>
      </c>
      <c r="Y76" s="1">
        <v>-1.702</v>
      </c>
      <c r="Z76" s="1">
        <v>0.96</v>
      </c>
      <c r="AA76" s="1">
        <v>-0.08</v>
      </c>
      <c r="AB76" s="1">
        <v>0.33900000000000002</v>
      </c>
      <c r="AC76" s="1">
        <v>0.93400000000000005</v>
      </c>
      <c r="AD76" s="2">
        <v>5.3280000000000003</v>
      </c>
      <c r="AE76" s="1">
        <v>1139</v>
      </c>
      <c r="AF76" s="1">
        <v>-3.915</v>
      </c>
      <c r="AG76" s="1">
        <v>651</v>
      </c>
      <c r="AH76" s="1">
        <v>66.239999999999995</v>
      </c>
      <c r="AI76" s="1">
        <v>1304</v>
      </c>
      <c r="AL76" s="1">
        <v>-0.21199999999999999</v>
      </c>
      <c r="AM76" s="1">
        <v>-3.1190000000000002</v>
      </c>
      <c r="AN76" s="1">
        <v>-2.0920000000000001</v>
      </c>
      <c r="AO76" s="1">
        <v>-0.221</v>
      </c>
      <c r="AP76" s="1">
        <v>0.16</v>
      </c>
      <c r="AQ76" s="1">
        <v>0.74099999999999999</v>
      </c>
      <c r="AR76" s="1">
        <v>7.0000000000000007E-2</v>
      </c>
      <c r="AS76" s="1">
        <v>0.104</v>
      </c>
      <c r="AT76" s="1">
        <v>0.10199999999999999</v>
      </c>
      <c r="AU76" s="1">
        <v>8.7999999999999995E-2</v>
      </c>
      <c r="AV76" s="1">
        <v>0.17899999999999999</v>
      </c>
      <c r="AW76" s="1">
        <v>0.30499999999999999</v>
      </c>
      <c r="AX76" s="1">
        <v>0.105</v>
      </c>
      <c r="AY76" s="1">
        <v>4.7E-2</v>
      </c>
      <c r="AZ76" s="1">
        <v>-2.13</v>
      </c>
      <c r="BA76" s="1">
        <v>2249</v>
      </c>
      <c r="BB76" s="1">
        <v>13.19</v>
      </c>
      <c r="BC76" s="1">
        <v>2786</v>
      </c>
      <c r="BF76" s="1">
        <f t="shared" si="40"/>
        <v>1244</v>
      </c>
      <c r="BM76" s="17">
        <v>15.48</v>
      </c>
      <c r="BN76" s="17">
        <f t="shared" si="44"/>
        <v>31.269600000000001</v>
      </c>
      <c r="BO76" s="18">
        <f t="shared" si="15"/>
        <v>10.16</v>
      </c>
      <c r="BP76" s="18">
        <f t="shared" si="16"/>
        <v>19.989999999999998</v>
      </c>
      <c r="BR76" s="1">
        <f t="shared" si="17"/>
        <v>97</v>
      </c>
      <c r="BS76" s="1">
        <f t="shared" si="18"/>
        <v>75.8</v>
      </c>
      <c r="BT76" s="1">
        <f t="shared" si="19"/>
        <v>52.3</v>
      </c>
      <c r="BU76" s="60">
        <f t="shared" si="20"/>
        <v>0.40200000000000002</v>
      </c>
      <c r="BV76" s="60">
        <f t="shared" si="41"/>
        <v>0.36699999999999999</v>
      </c>
      <c r="BX76" s="51">
        <f t="shared" si="45"/>
        <v>0.42000000000000004</v>
      </c>
      <c r="BY76" s="46">
        <v>0</v>
      </c>
      <c r="BZ76" s="1">
        <v>0.30000000000000004</v>
      </c>
      <c r="CB76" s="17">
        <f t="shared" si="46"/>
        <v>10.16</v>
      </c>
      <c r="CC76" s="17">
        <f t="shared" si="47"/>
        <v>19.989999999999998</v>
      </c>
      <c r="CD76" s="3">
        <f t="shared" si="48"/>
        <v>-0.8</v>
      </c>
      <c r="CE76" s="1" t="s">
        <v>218</v>
      </c>
      <c r="CF76" s="1" t="s">
        <v>218</v>
      </c>
      <c r="CG76" s="3">
        <f t="shared" si="49"/>
        <v>-0.1</v>
      </c>
      <c r="CH76" s="3">
        <f t="shared" si="50"/>
        <v>-0.1</v>
      </c>
      <c r="CI76" s="3">
        <f t="shared" si="51"/>
        <v>0.3</v>
      </c>
      <c r="CJ76" s="3">
        <f t="shared" si="52"/>
        <v>0.9</v>
      </c>
      <c r="CK76" s="27">
        <f t="shared" si="53"/>
        <v>75.8</v>
      </c>
      <c r="CL76" s="1">
        <f t="shared" si="54"/>
        <v>3.2</v>
      </c>
      <c r="CM76" s="1" t="s">
        <v>218</v>
      </c>
      <c r="CN76" s="1" t="s">
        <v>218</v>
      </c>
      <c r="CO76" s="1">
        <f t="shared" si="55"/>
        <v>0</v>
      </c>
      <c r="CP76" s="1">
        <f t="shared" si="56"/>
        <v>-0.1</v>
      </c>
      <c r="CQ76" s="1">
        <f t="shared" si="57"/>
        <v>0.3</v>
      </c>
      <c r="CR76" s="1">
        <f t="shared" si="58"/>
        <v>0.9</v>
      </c>
      <c r="CS76" s="2">
        <f t="shared" si="59"/>
        <v>97</v>
      </c>
      <c r="CT76" s="1">
        <f t="shared" si="60"/>
        <v>-3.9</v>
      </c>
      <c r="CU76" s="1" t="s">
        <v>218</v>
      </c>
      <c r="CV76" s="1" t="s">
        <v>218</v>
      </c>
      <c r="CW76" s="1">
        <f t="shared" si="61"/>
        <v>-0.2</v>
      </c>
      <c r="CX76" s="1">
        <f t="shared" si="62"/>
        <v>-0.2</v>
      </c>
      <c r="CY76" s="1">
        <f t="shared" si="63"/>
        <v>0.2</v>
      </c>
      <c r="CZ76" s="1">
        <f t="shared" si="64"/>
        <v>0.7</v>
      </c>
      <c r="DA76" s="2">
        <f t="shared" si="65"/>
        <v>52.3</v>
      </c>
      <c r="DB76" s="20">
        <f t="shared" si="66"/>
        <v>1244</v>
      </c>
      <c r="DC76" s="1">
        <f>ROUND(PPTest!K76,1)</f>
        <v>0</v>
      </c>
      <c r="DD76" s="27">
        <f t="shared" si="42"/>
        <v>1.46</v>
      </c>
      <c r="DE76" s="3">
        <f t="shared" si="67"/>
        <v>5.33</v>
      </c>
      <c r="DF76" s="24">
        <f t="shared" si="68"/>
        <v>0.40200000000000002</v>
      </c>
      <c r="DG76" s="24">
        <f t="shared" si="69"/>
        <v>0.36699999999999999</v>
      </c>
      <c r="DH76" s="17">
        <f t="shared" si="70"/>
        <v>13.19</v>
      </c>
      <c r="DQ76" s="1">
        <v>5</v>
      </c>
      <c r="DR76" s="1">
        <v>10</v>
      </c>
      <c r="DS76" s="1">
        <v>0</v>
      </c>
    </row>
    <row r="77" spans="1:123" x14ac:dyDescent="0.2">
      <c r="A77" s="15">
        <f t="shared" si="71"/>
        <v>36596</v>
      </c>
      <c r="B77" s="1">
        <v>71</v>
      </c>
      <c r="C77" s="1">
        <v>9.6999999999999993</v>
      </c>
      <c r="D77" s="1">
        <v>16.100000000000001</v>
      </c>
      <c r="E77" s="1">
        <v>-1.6359999999999999</v>
      </c>
      <c r="F77" s="1">
        <v>86.8</v>
      </c>
      <c r="I77" s="1">
        <v>-7.8E-2</v>
      </c>
      <c r="J77" s="1">
        <v>-2.7749999999999999</v>
      </c>
      <c r="K77" s="1">
        <v>-0.49399999999999999</v>
      </c>
      <c r="L77" s="1">
        <v>-0.14099999999999999</v>
      </c>
      <c r="M77" s="1">
        <v>0.26400000000000001</v>
      </c>
      <c r="N77" s="1">
        <v>0.85599999999999998</v>
      </c>
      <c r="O77" s="1">
        <v>0</v>
      </c>
      <c r="P77" s="2">
        <v>2.460666666666667</v>
      </c>
      <c r="R77" s="1">
        <v>0.83099999999999996</v>
      </c>
      <c r="S77" s="1">
        <v>1428</v>
      </c>
      <c r="T77" s="1">
        <v>107.6</v>
      </c>
      <c r="U77" s="1">
        <v>404</v>
      </c>
      <c r="X77" s="1">
        <v>-0.03</v>
      </c>
      <c r="Y77" s="1">
        <v>-2.351</v>
      </c>
      <c r="Z77" s="1">
        <v>-0.13900000000000001</v>
      </c>
      <c r="AA77" s="1">
        <v>-0.108</v>
      </c>
      <c r="AB77" s="1">
        <v>0.307</v>
      </c>
      <c r="AC77" s="1">
        <v>0.90300000000000002</v>
      </c>
      <c r="AD77" s="2">
        <v>7.088000000000001</v>
      </c>
      <c r="AE77" s="1">
        <v>1331</v>
      </c>
      <c r="AF77" s="1">
        <v>-3.863</v>
      </c>
      <c r="AG77" s="1">
        <v>2359</v>
      </c>
      <c r="AH77" s="1">
        <v>59.8</v>
      </c>
      <c r="AI77" s="1">
        <v>1456</v>
      </c>
      <c r="AL77" s="1">
        <v>-0.14199999999999999</v>
      </c>
      <c r="AM77" s="1">
        <v>-3.6360000000000001</v>
      </c>
      <c r="AN77" s="1">
        <v>-0.81399999999999995</v>
      </c>
      <c r="AO77" s="1">
        <v>-0.17399999999999999</v>
      </c>
      <c r="AP77" s="1">
        <v>0.21299999999999999</v>
      </c>
      <c r="AQ77" s="1">
        <v>0.79800000000000004</v>
      </c>
      <c r="AR77" s="1">
        <v>1.7000000000000001E-2</v>
      </c>
      <c r="AS77" s="1">
        <v>0.04</v>
      </c>
      <c r="AT77" s="1">
        <v>4.8000000000000001E-2</v>
      </c>
      <c r="AU77" s="1">
        <v>0.03</v>
      </c>
      <c r="AV77" s="1">
        <v>0.22500000000000001</v>
      </c>
      <c r="AW77" s="1">
        <v>0.54200000000000004</v>
      </c>
      <c r="AX77" s="1">
        <v>7.3999999999999996E-2</v>
      </c>
      <c r="AY77" s="1">
        <v>2.4E-2</v>
      </c>
      <c r="AZ77" s="1">
        <v>-2.6859999999999999</v>
      </c>
      <c r="BA77" s="1">
        <v>2253</v>
      </c>
      <c r="BB77" s="1">
        <v>13.21</v>
      </c>
      <c r="BC77" s="1">
        <v>2786</v>
      </c>
      <c r="BF77" s="1">
        <f t="shared" si="40"/>
        <v>1240</v>
      </c>
      <c r="BM77" s="17">
        <v>15.73</v>
      </c>
      <c r="BN77" s="17">
        <f t="shared" si="44"/>
        <v>31.7746</v>
      </c>
      <c r="BO77" s="18">
        <f t="shared" si="15"/>
        <v>9.51</v>
      </c>
      <c r="BP77" s="18">
        <f t="shared" si="16"/>
        <v>17.71</v>
      </c>
      <c r="BR77" s="1">
        <f t="shared" si="17"/>
        <v>95.4</v>
      </c>
      <c r="BS77" s="1">
        <f t="shared" si="18"/>
        <v>70.400000000000006</v>
      </c>
      <c r="BT77" s="1">
        <f t="shared" si="19"/>
        <v>46.6</v>
      </c>
      <c r="BU77" s="60">
        <f t="shared" si="20"/>
        <v>0.30199999999999999</v>
      </c>
      <c r="BV77" s="60">
        <f t="shared" si="41"/>
        <v>0.34599999999999997</v>
      </c>
      <c r="BX77" s="51">
        <f t="shared" si="45"/>
        <v>1.9599999999999997</v>
      </c>
      <c r="BY77" s="46">
        <v>0</v>
      </c>
      <c r="BZ77" s="1">
        <v>1.4</v>
      </c>
      <c r="CB77" s="17">
        <f t="shared" si="46"/>
        <v>9.51</v>
      </c>
      <c r="CC77" s="17">
        <f t="shared" si="47"/>
        <v>17.71</v>
      </c>
      <c r="CD77" s="3">
        <f t="shared" si="48"/>
        <v>-1.6</v>
      </c>
      <c r="CE77" s="1" t="s">
        <v>218</v>
      </c>
      <c r="CF77" s="1" t="s">
        <v>218</v>
      </c>
      <c r="CG77" s="3">
        <f t="shared" si="49"/>
        <v>-0.1</v>
      </c>
      <c r="CH77" s="3">
        <f t="shared" si="50"/>
        <v>-0.1</v>
      </c>
      <c r="CI77" s="3">
        <f t="shared" si="51"/>
        <v>0.3</v>
      </c>
      <c r="CJ77" s="3">
        <f t="shared" si="52"/>
        <v>0.9</v>
      </c>
      <c r="CK77" s="27">
        <f t="shared" si="53"/>
        <v>70.400000000000006</v>
      </c>
      <c r="CL77" s="1">
        <f t="shared" si="54"/>
        <v>0.8</v>
      </c>
      <c r="CM77" s="1" t="s">
        <v>218</v>
      </c>
      <c r="CN77" s="1" t="s">
        <v>218</v>
      </c>
      <c r="CO77" s="1">
        <f t="shared" si="55"/>
        <v>0</v>
      </c>
      <c r="CP77" s="1">
        <f t="shared" si="56"/>
        <v>-0.1</v>
      </c>
      <c r="CQ77" s="1">
        <f t="shared" si="57"/>
        <v>0.3</v>
      </c>
      <c r="CR77" s="1">
        <f t="shared" si="58"/>
        <v>0.9</v>
      </c>
      <c r="CS77" s="2">
        <f t="shared" si="59"/>
        <v>95.4</v>
      </c>
      <c r="CT77" s="1">
        <f t="shared" si="60"/>
        <v>-3.9</v>
      </c>
      <c r="CU77" s="1" t="s">
        <v>218</v>
      </c>
      <c r="CV77" s="1" t="s">
        <v>218</v>
      </c>
      <c r="CW77" s="1">
        <f t="shared" si="61"/>
        <v>-0.1</v>
      </c>
      <c r="CX77" s="1">
        <f t="shared" si="62"/>
        <v>-0.2</v>
      </c>
      <c r="CY77" s="1">
        <f t="shared" si="63"/>
        <v>0.2</v>
      </c>
      <c r="CZ77" s="1">
        <f t="shared" si="64"/>
        <v>0.8</v>
      </c>
      <c r="DA77" s="2">
        <f t="shared" si="65"/>
        <v>46.6</v>
      </c>
      <c r="DB77" s="20">
        <f t="shared" si="66"/>
        <v>1240</v>
      </c>
      <c r="DC77" s="1">
        <f>ROUND(PPTest!K77,1)</f>
        <v>0</v>
      </c>
      <c r="DD77" s="27">
        <f t="shared" si="42"/>
        <v>2.46</v>
      </c>
      <c r="DE77" s="3">
        <f t="shared" si="67"/>
        <v>7.09</v>
      </c>
      <c r="DF77" s="24">
        <f t="shared" si="68"/>
        <v>0.30199999999999999</v>
      </c>
      <c r="DG77" s="24">
        <f t="shared" si="69"/>
        <v>0.34599999999999997</v>
      </c>
      <c r="DH77" s="17">
        <f t="shared" si="70"/>
        <v>13.21</v>
      </c>
      <c r="DQ77" s="1">
        <v>6.2</v>
      </c>
      <c r="DR77" s="1">
        <v>12.1</v>
      </c>
      <c r="DS77" s="1">
        <v>0.3</v>
      </c>
    </row>
    <row r="78" spans="1:123" x14ac:dyDescent="0.2">
      <c r="A78" s="15">
        <f t="shared" si="71"/>
        <v>36597</v>
      </c>
      <c r="B78" s="1">
        <v>72</v>
      </c>
      <c r="C78" s="1">
        <v>9.61</v>
      </c>
      <c r="D78" s="1">
        <v>16.57</v>
      </c>
      <c r="E78" s="1">
        <v>-3.7759999999999998</v>
      </c>
      <c r="F78" s="1">
        <v>87.4</v>
      </c>
      <c r="I78" s="1">
        <v>-7.4999999999999997E-2</v>
      </c>
      <c r="J78" s="1">
        <v>-4.4880000000000004</v>
      </c>
      <c r="K78" s="1">
        <v>-2.2949999999999999</v>
      </c>
      <c r="L78" s="1">
        <v>-0.14299999999999999</v>
      </c>
      <c r="M78" s="1">
        <v>0.26200000000000001</v>
      </c>
      <c r="N78" s="1">
        <v>0.85199999999999998</v>
      </c>
      <c r="O78" s="1">
        <v>0</v>
      </c>
      <c r="P78" s="2">
        <v>1.4673333333333334</v>
      </c>
      <c r="R78" s="1">
        <v>0.78900000000000003</v>
      </c>
      <c r="S78" s="1">
        <v>1519</v>
      </c>
      <c r="T78" s="1">
        <v>106.9</v>
      </c>
      <c r="U78" s="1">
        <v>413</v>
      </c>
      <c r="X78" s="1">
        <v>-6.0000000000000001E-3</v>
      </c>
      <c r="Y78" s="1">
        <v>-3.3879999999999999</v>
      </c>
      <c r="Z78" s="1">
        <v>-0.24099999999999999</v>
      </c>
      <c r="AA78" s="1">
        <v>-7.8E-2</v>
      </c>
      <c r="AB78" s="1">
        <v>0.34</v>
      </c>
      <c r="AC78" s="1">
        <v>0.94799999999999995</v>
      </c>
      <c r="AD78" s="2">
        <v>4.2080000000000002</v>
      </c>
      <c r="AE78" s="1">
        <v>1047</v>
      </c>
      <c r="AF78" s="1">
        <v>-9.68</v>
      </c>
      <c r="AG78" s="1">
        <v>424</v>
      </c>
      <c r="AH78" s="1">
        <v>62.65</v>
      </c>
      <c r="AI78" s="1">
        <v>1555</v>
      </c>
      <c r="AL78" s="1">
        <v>-0.158</v>
      </c>
      <c r="AM78" s="1">
        <v>-6.2439999999999998</v>
      </c>
      <c r="AN78" s="1">
        <v>-9.43</v>
      </c>
      <c r="AO78" s="1">
        <v>-0.216</v>
      </c>
      <c r="AP78" s="1">
        <v>0.159</v>
      </c>
      <c r="AQ78" s="1">
        <v>0.73699999999999999</v>
      </c>
      <c r="AR78" s="1">
        <v>2.1999999999999999E-2</v>
      </c>
      <c r="AS78" s="1">
        <v>0.17199999999999999</v>
      </c>
      <c r="AT78" s="1">
        <v>0.151</v>
      </c>
      <c r="AU78" s="1">
        <v>3.9E-2</v>
      </c>
      <c r="AV78" s="1">
        <v>0.11899999999999999</v>
      </c>
      <c r="AW78" s="1">
        <v>0.34799999999999998</v>
      </c>
      <c r="AX78" s="1">
        <v>0.112</v>
      </c>
      <c r="AY78" s="1">
        <v>3.6999999999999998E-2</v>
      </c>
      <c r="AZ78" s="1">
        <v>-4.6360000000000001</v>
      </c>
      <c r="BA78" s="1">
        <v>2260</v>
      </c>
      <c r="BB78" s="1">
        <v>13.23</v>
      </c>
      <c r="BC78" s="1">
        <v>2786</v>
      </c>
      <c r="BF78" s="1">
        <f t="shared" si="40"/>
        <v>1233</v>
      </c>
      <c r="BM78" s="17">
        <v>15.98</v>
      </c>
      <c r="BN78" s="17">
        <f t="shared" si="44"/>
        <v>32.279600000000002</v>
      </c>
      <c r="BO78" s="18">
        <f t="shared" si="15"/>
        <v>9.42</v>
      </c>
      <c r="BP78" s="18">
        <f t="shared" si="16"/>
        <v>18.23</v>
      </c>
      <c r="BR78" s="1">
        <f t="shared" si="17"/>
        <v>94.3</v>
      </c>
      <c r="BS78" s="1">
        <f t="shared" si="18"/>
        <v>70.900000000000006</v>
      </c>
      <c r="BT78" s="1">
        <f t="shared" si="19"/>
        <v>49.1</v>
      </c>
      <c r="BU78" s="60">
        <f t="shared" si="20"/>
        <v>0.317</v>
      </c>
      <c r="BV78" s="60">
        <f t="shared" si="41"/>
        <v>0.32900000000000001</v>
      </c>
      <c r="BX78" s="51">
        <f t="shared" si="45"/>
        <v>0</v>
      </c>
      <c r="BY78" s="46">
        <v>0</v>
      </c>
      <c r="BZ78" s="1">
        <v>0</v>
      </c>
      <c r="CB78" s="17">
        <f t="shared" si="46"/>
        <v>9.42</v>
      </c>
      <c r="CC78" s="17">
        <f t="shared" si="47"/>
        <v>18.23</v>
      </c>
      <c r="CD78" s="3">
        <f t="shared" si="48"/>
        <v>-3.8</v>
      </c>
      <c r="CE78" s="1" t="s">
        <v>218</v>
      </c>
      <c r="CF78" s="1" t="s">
        <v>218</v>
      </c>
      <c r="CG78" s="3">
        <f t="shared" si="49"/>
        <v>-0.1</v>
      </c>
      <c r="CH78" s="3">
        <f t="shared" si="50"/>
        <v>-0.1</v>
      </c>
      <c r="CI78" s="3">
        <f t="shared" si="51"/>
        <v>0.3</v>
      </c>
      <c r="CJ78" s="3">
        <f t="shared" si="52"/>
        <v>0.9</v>
      </c>
      <c r="CK78" s="27">
        <f t="shared" si="53"/>
        <v>70.900000000000006</v>
      </c>
      <c r="CL78" s="1">
        <f t="shared" si="54"/>
        <v>0.8</v>
      </c>
      <c r="CM78" s="1" t="s">
        <v>218</v>
      </c>
      <c r="CN78" s="1" t="s">
        <v>218</v>
      </c>
      <c r="CO78" s="1">
        <f t="shared" si="55"/>
        <v>0</v>
      </c>
      <c r="CP78" s="1">
        <f t="shared" si="56"/>
        <v>-0.1</v>
      </c>
      <c r="CQ78" s="1">
        <f t="shared" si="57"/>
        <v>0.3</v>
      </c>
      <c r="CR78" s="1">
        <f t="shared" si="58"/>
        <v>0.9</v>
      </c>
      <c r="CS78" s="2">
        <f t="shared" si="59"/>
        <v>94.3</v>
      </c>
      <c r="CT78" s="1">
        <f t="shared" si="60"/>
        <v>-9.6999999999999993</v>
      </c>
      <c r="CU78" s="1" t="s">
        <v>218</v>
      </c>
      <c r="CV78" s="1" t="s">
        <v>218</v>
      </c>
      <c r="CW78" s="1">
        <f t="shared" si="61"/>
        <v>-0.2</v>
      </c>
      <c r="CX78" s="1">
        <f t="shared" si="62"/>
        <v>-0.2</v>
      </c>
      <c r="CY78" s="1">
        <f t="shared" si="63"/>
        <v>0.2</v>
      </c>
      <c r="CZ78" s="1">
        <f t="shared" si="64"/>
        <v>0.7</v>
      </c>
      <c r="DA78" s="2">
        <f t="shared" si="65"/>
        <v>49.1</v>
      </c>
      <c r="DB78" s="20">
        <f t="shared" si="66"/>
        <v>1233</v>
      </c>
      <c r="DC78" s="1">
        <f>ROUND(PPTest!K78,1)</f>
        <v>0</v>
      </c>
      <c r="DD78" s="27">
        <f t="shared" si="42"/>
        <v>1.47</v>
      </c>
      <c r="DE78" s="3">
        <f t="shared" si="67"/>
        <v>4.21</v>
      </c>
      <c r="DF78" s="24">
        <f t="shared" si="68"/>
        <v>0.317</v>
      </c>
      <c r="DG78" s="24">
        <f t="shared" si="69"/>
        <v>0.32900000000000001</v>
      </c>
      <c r="DH78" s="17">
        <f t="shared" si="70"/>
        <v>13.23</v>
      </c>
      <c r="DQ78" s="1">
        <v>5</v>
      </c>
      <c r="DR78" s="1">
        <v>11.9</v>
      </c>
      <c r="DS78" s="1">
        <v>-1.9</v>
      </c>
    </row>
    <row r="79" spans="1:123" x14ac:dyDescent="0.2">
      <c r="A79" s="15">
        <f t="shared" si="71"/>
        <v>36598</v>
      </c>
      <c r="B79" s="1">
        <v>73</v>
      </c>
      <c r="C79" s="1">
        <v>11.27</v>
      </c>
      <c r="D79" s="1">
        <v>19.29</v>
      </c>
      <c r="E79" s="1">
        <v>-2.2850000000000001</v>
      </c>
      <c r="F79" s="1">
        <v>92</v>
      </c>
      <c r="I79" s="1">
        <v>-7.0000000000000007E-2</v>
      </c>
      <c r="J79" s="1">
        <v>-3.62</v>
      </c>
      <c r="K79" s="1">
        <v>-1.9910000000000001</v>
      </c>
      <c r="L79" s="1">
        <v>-0.14099999999999999</v>
      </c>
      <c r="M79" s="1">
        <v>0.26</v>
      </c>
      <c r="N79" s="1">
        <v>0.84699999999999998</v>
      </c>
      <c r="O79" s="1">
        <v>0</v>
      </c>
      <c r="P79" s="2">
        <v>1.413</v>
      </c>
      <c r="R79" s="1">
        <v>3.2949999999999999</v>
      </c>
      <c r="S79" s="1">
        <v>1447</v>
      </c>
      <c r="T79" s="1">
        <v>108</v>
      </c>
      <c r="U79" s="1">
        <v>428</v>
      </c>
      <c r="X79" s="1">
        <v>1.0999999999999999E-2</v>
      </c>
      <c r="Y79" s="1">
        <v>-2.3690000000000002</v>
      </c>
      <c r="Z79" s="1">
        <v>-0.11700000000000001</v>
      </c>
      <c r="AA79" s="1">
        <v>-8.5000000000000006E-2</v>
      </c>
      <c r="AB79" s="1">
        <v>0.315</v>
      </c>
      <c r="AC79" s="1">
        <v>0.90800000000000003</v>
      </c>
      <c r="AD79" s="2">
        <v>4.5546666666666669</v>
      </c>
      <c r="AE79" s="1">
        <v>1027</v>
      </c>
      <c r="AF79" s="1">
        <v>-5.6749999999999998</v>
      </c>
      <c r="AG79" s="1">
        <v>612</v>
      </c>
      <c r="AH79" s="1">
        <v>58.44</v>
      </c>
      <c r="AI79" s="1">
        <v>1448</v>
      </c>
      <c r="AL79" s="1">
        <v>-0.17</v>
      </c>
      <c r="AM79" s="1">
        <v>-4.7060000000000004</v>
      </c>
      <c r="AN79" s="1">
        <v>-6.1829999999999998</v>
      </c>
      <c r="AO79" s="1">
        <v>-0.21</v>
      </c>
      <c r="AP79" s="1">
        <v>0.16600000000000001</v>
      </c>
      <c r="AQ79" s="1">
        <v>0.73699999999999999</v>
      </c>
      <c r="AR79" s="1">
        <v>0.123</v>
      </c>
      <c r="AS79" s="1">
        <v>0.23499999999999999</v>
      </c>
      <c r="AT79" s="1">
        <v>0.191</v>
      </c>
      <c r="AU79" s="1">
        <v>8.5999999999999993E-2</v>
      </c>
      <c r="AV79" s="1">
        <v>9.7000000000000003E-2</v>
      </c>
      <c r="AW79" s="1">
        <v>0.14499999999999999</v>
      </c>
      <c r="AX79" s="1">
        <v>6.5000000000000002E-2</v>
      </c>
      <c r="AY79" s="1">
        <v>5.8000000000000003E-2</v>
      </c>
      <c r="AZ79" s="1">
        <v>-3.1019999999999999</v>
      </c>
      <c r="BA79" s="1">
        <v>2285</v>
      </c>
      <c r="BB79" s="1">
        <v>13.23</v>
      </c>
      <c r="BC79" s="1">
        <v>2786</v>
      </c>
      <c r="BF79" s="1">
        <f t="shared" si="40"/>
        <v>1208</v>
      </c>
      <c r="BM79" s="17">
        <v>16.25</v>
      </c>
      <c r="BN79" s="17">
        <f t="shared" si="44"/>
        <v>32.825000000000003</v>
      </c>
      <c r="BO79" s="18">
        <f t="shared" si="15"/>
        <v>11.04</v>
      </c>
      <c r="BP79" s="18">
        <f t="shared" si="16"/>
        <v>21.22</v>
      </c>
      <c r="BR79" s="1">
        <f t="shared" si="17"/>
        <v>96</v>
      </c>
      <c r="BS79" s="1">
        <f t="shared" si="18"/>
        <v>75</v>
      </c>
      <c r="BT79" s="1">
        <f t="shared" si="19"/>
        <v>45.4</v>
      </c>
      <c r="BU79" s="60">
        <f t="shared" si="20"/>
        <v>0.35099999999999998</v>
      </c>
      <c r="BV79" s="60">
        <f t="shared" si="41"/>
        <v>0.42199999999999999</v>
      </c>
      <c r="BX79" s="51">
        <f t="shared" si="45"/>
        <v>0</v>
      </c>
      <c r="BY79" s="46">
        <v>7.5400000000000009</v>
      </c>
      <c r="BZ79" s="1">
        <v>0</v>
      </c>
      <c r="CB79" s="17">
        <f t="shared" si="46"/>
        <v>11.04</v>
      </c>
      <c r="CC79" s="17">
        <f t="shared" si="47"/>
        <v>21.22</v>
      </c>
      <c r="CD79" s="3">
        <f t="shared" si="48"/>
        <v>-2.2999999999999998</v>
      </c>
      <c r="CE79" s="1" t="s">
        <v>218</v>
      </c>
      <c r="CF79" s="1" t="s">
        <v>218</v>
      </c>
      <c r="CG79" s="3">
        <f t="shared" si="49"/>
        <v>-0.1</v>
      </c>
      <c r="CH79" s="3">
        <f t="shared" si="50"/>
        <v>-0.1</v>
      </c>
      <c r="CI79" s="3">
        <f t="shared" si="51"/>
        <v>0.3</v>
      </c>
      <c r="CJ79" s="3">
        <f t="shared" si="52"/>
        <v>0.8</v>
      </c>
      <c r="CK79" s="27">
        <f t="shared" si="53"/>
        <v>75</v>
      </c>
      <c r="CL79" s="1">
        <f t="shared" si="54"/>
        <v>3.3</v>
      </c>
      <c r="CM79" s="1" t="s">
        <v>218</v>
      </c>
      <c r="CN79" s="1" t="s">
        <v>218</v>
      </c>
      <c r="CO79" s="1">
        <f t="shared" si="55"/>
        <v>0</v>
      </c>
      <c r="CP79" s="1">
        <f t="shared" si="56"/>
        <v>-0.1</v>
      </c>
      <c r="CQ79" s="1">
        <f t="shared" si="57"/>
        <v>0.3</v>
      </c>
      <c r="CR79" s="1">
        <f t="shared" si="58"/>
        <v>0.9</v>
      </c>
      <c r="CS79" s="2">
        <f t="shared" si="59"/>
        <v>96</v>
      </c>
      <c r="CT79" s="1">
        <f t="shared" si="60"/>
        <v>-5.7</v>
      </c>
      <c r="CU79" s="1" t="s">
        <v>218</v>
      </c>
      <c r="CV79" s="1" t="s">
        <v>218</v>
      </c>
      <c r="CW79" s="1">
        <f t="shared" si="61"/>
        <v>-0.2</v>
      </c>
      <c r="CX79" s="1">
        <f t="shared" si="62"/>
        <v>-0.2</v>
      </c>
      <c r="CY79" s="1">
        <f t="shared" si="63"/>
        <v>0.2</v>
      </c>
      <c r="CZ79" s="1">
        <f t="shared" si="64"/>
        <v>0.7</v>
      </c>
      <c r="DA79" s="2">
        <f t="shared" si="65"/>
        <v>45.4</v>
      </c>
      <c r="DB79" s="20">
        <f t="shared" si="66"/>
        <v>1208</v>
      </c>
      <c r="DC79" s="1">
        <f>ROUND(PPTest!K79,1)</f>
        <v>0</v>
      </c>
      <c r="DD79" s="27">
        <f t="shared" si="42"/>
        <v>1.41</v>
      </c>
      <c r="DE79" s="3">
        <f t="shared" si="67"/>
        <v>4.55</v>
      </c>
      <c r="DF79" s="24">
        <f t="shared" si="68"/>
        <v>0.35099999999999998</v>
      </c>
      <c r="DG79" s="24">
        <f t="shared" si="69"/>
        <v>0.42199999999999999</v>
      </c>
      <c r="DH79" s="17">
        <f t="shared" si="70"/>
        <v>13.23</v>
      </c>
      <c r="DQ79" s="1">
        <v>5.4</v>
      </c>
      <c r="DR79" s="1">
        <v>10.9</v>
      </c>
      <c r="DS79" s="1">
        <v>-0.1</v>
      </c>
    </row>
    <row r="80" spans="1:123" x14ac:dyDescent="0.2">
      <c r="A80" s="15">
        <f t="shared" si="71"/>
        <v>36599</v>
      </c>
      <c r="B80" s="1">
        <v>74</v>
      </c>
      <c r="C80" s="1">
        <v>2.7320000000000002</v>
      </c>
      <c r="D80" s="1">
        <v>5.2130000000000001</v>
      </c>
      <c r="E80" s="1">
        <v>-2.7589999999999999</v>
      </c>
      <c r="F80" s="1">
        <v>108.3</v>
      </c>
      <c r="I80" s="1">
        <v>-5.2999999999999999E-2</v>
      </c>
      <c r="J80" s="1">
        <v>-2.5950000000000002</v>
      </c>
      <c r="K80" s="1">
        <v>-1.927</v>
      </c>
      <c r="L80" s="1">
        <v>-0.13</v>
      </c>
      <c r="M80" s="1">
        <v>0.27500000000000002</v>
      </c>
      <c r="N80" s="1">
        <v>0.86</v>
      </c>
      <c r="O80" s="1">
        <v>0</v>
      </c>
      <c r="P80" s="2">
        <v>2.6413333333333333</v>
      </c>
      <c r="R80" s="1">
        <v>-1.6459999999999999</v>
      </c>
      <c r="S80" s="1">
        <v>438</v>
      </c>
      <c r="T80" s="1">
        <v>108.9</v>
      </c>
      <c r="U80" s="1">
        <v>652</v>
      </c>
      <c r="X80" s="1">
        <v>5.0000000000000001E-3</v>
      </c>
      <c r="Y80" s="1">
        <v>-2.4980000000000002</v>
      </c>
      <c r="Z80" s="1">
        <v>-0.61699999999999999</v>
      </c>
      <c r="AA80" s="1">
        <v>-8.6999999999999994E-2</v>
      </c>
      <c r="AB80" s="1">
        <v>0.317</v>
      </c>
      <c r="AC80" s="1">
        <v>0.90400000000000003</v>
      </c>
      <c r="AD80" s="2">
        <v>7.5679999999999996</v>
      </c>
      <c r="AE80" s="1">
        <v>731</v>
      </c>
      <c r="AF80" s="1">
        <v>-4.6150000000000002</v>
      </c>
      <c r="AG80" s="1">
        <v>2343</v>
      </c>
      <c r="AH80" s="1">
        <v>104.8</v>
      </c>
      <c r="AI80" s="1">
        <v>5</v>
      </c>
      <c r="AL80" s="1">
        <v>-0.21299999999999999</v>
      </c>
      <c r="AM80" s="1">
        <v>-2.6819999999999999</v>
      </c>
      <c r="AN80" s="1">
        <v>-4.7939999999999996</v>
      </c>
      <c r="AO80" s="1">
        <v>-0.158</v>
      </c>
      <c r="AP80" s="1">
        <v>0.245</v>
      </c>
      <c r="AQ80" s="1">
        <v>0.82799999999999996</v>
      </c>
      <c r="AR80" s="1">
        <v>3.4000000000000002E-2</v>
      </c>
      <c r="AS80" s="1">
        <v>4.2000000000000003E-2</v>
      </c>
      <c r="AT80" s="1">
        <v>1.6E-2</v>
      </c>
      <c r="AU80" s="1">
        <v>1.2E-2</v>
      </c>
      <c r="AV80" s="1">
        <v>0.126</v>
      </c>
      <c r="AW80" s="1">
        <v>0.63800000000000001</v>
      </c>
      <c r="AX80" s="1">
        <v>0.121</v>
      </c>
      <c r="AY80" s="1">
        <v>0.01</v>
      </c>
      <c r="AZ80" s="1">
        <v>-2.089</v>
      </c>
      <c r="BA80" s="1">
        <v>2145</v>
      </c>
      <c r="BB80" s="1">
        <v>13.23</v>
      </c>
      <c r="BC80" s="1">
        <v>2786</v>
      </c>
      <c r="BF80" s="1">
        <f t="shared" si="40"/>
        <v>1348</v>
      </c>
      <c r="BM80" s="17">
        <v>16.510000000000002</v>
      </c>
      <c r="BN80" s="17">
        <f t="shared" si="44"/>
        <v>33.350200000000001</v>
      </c>
      <c r="BO80" s="18">
        <f t="shared" si="15"/>
        <v>2.68</v>
      </c>
      <c r="BP80" s="18">
        <f t="shared" si="16"/>
        <v>5.73</v>
      </c>
      <c r="BR80" s="1">
        <f t="shared" si="17"/>
        <v>97.5</v>
      </c>
      <c r="BS80" s="1">
        <f t="shared" si="18"/>
        <v>96.5</v>
      </c>
      <c r="BT80" s="1">
        <f t="shared" si="19"/>
        <v>90.9</v>
      </c>
      <c r="BU80" s="60">
        <f t="shared" si="20"/>
        <v>0.49199999999999999</v>
      </c>
      <c r="BV80" s="60">
        <f t="shared" si="41"/>
        <v>4.9000000000000002E-2</v>
      </c>
      <c r="BX80" s="51">
        <f t="shared" si="45"/>
        <v>16.799999999999997</v>
      </c>
      <c r="BY80" s="46">
        <v>6.5</v>
      </c>
      <c r="BZ80" s="1">
        <v>12</v>
      </c>
      <c r="CB80" s="17">
        <f t="shared" si="46"/>
        <v>2.68</v>
      </c>
      <c r="CC80" s="17">
        <f t="shared" si="47"/>
        <v>5.73</v>
      </c>
      <c r="CD80" s="3">
        <f t="shared" si="48"/>
        <v>-2.8</v>
      </c>
      <c r="CE80" s="1" t="s">
        <v>218</v>
      </c>
      <c r="CF80" s="1" t="s">
        <v>218</v>
      </c>
      <c r="CG80" s="3">
        <f t="shared" si="49"/>
        <v>-0.1</v>
      </c>
      <c r="CH80" s="3">
        <f t="shared" si="50"/>
        <v>-0.1</v>
      </c>
      <c r="CI80" s="3">
        <f t="shared" si="51"/>
        <v>0.3</v>
      </c>
      <c r="CJ80" s="3">
        <f t="shared" si="52"/>
        <v>0.9</v>
      </c>
      <c r="CK80" s="27">
        <f t="shared" si="53"/>
        <v>96.5</v>
      </c>
      <c r="CL80" s="1">
        <f t="shared" si="54"/>
        <v>-1.6</v>
      </c>
      <c r="CM80" s="1" t="s">
        <v>218</v>
      </c>
      <c r="CN80" s="1" t="s">
        <v>218</v>
      </c>
      <c r="CO80" s="1">
        <f t="shared" si="55"/>
        <v>0</v>
      </c>
      <c r="CP80" s="1">
        <f t="shared" si="56"/>
        <v>-0.1</v>
      </c>
      <c r="CQ80" s="1">
        <f t="shared" si="57"/>
        <v>0.3</v>
      </c>
      <c r="CR80" s="1">
        <f t="shared" si="58"/>
        <v>0.9</v>
      </c>
      <c r="CS80" s="2">
        <f t="shared" si="59"/>
        <v>97.5</v>
      </c>
      <c r="CT80" s="1">
        <f t="shared" si="60"/>
        <v>-4.5999999999999996</v>
      </c>
      <c r="CU80" s="1" t="s">
        <v>218</v>
      </c>
      <c r="CV80" s="1" t="s">
        <v>218</v>
      </c>
      <c r="CW80" s="1">
        <f t="shared" si="61"/>
        <v>-0.2</v>
      </c>
      <c r="CX80" s="1">
        <f t="shared" si="62"/>
        <v>-0.2</v>
      </c>
      <c r="CY80" s="1">
        <f t="shared" si="63"/>
        <v>0.2</v>
      </c>
      <c r="CZ80" s="1">
        <f t="shared" si="64"/>
        <v>0.8</v>
      </c>
      <c r="DA80" s="2">
        <f t="shared" si="65"/>
        <v>90.9</v>
      </c>
      <c r="DB80" s="20">
        <f t="shared" si="66"/>
        <v>1348</v>
      </c>
      <c r="DC80" s="1">
        <f>ROUND(PPTest!K80,1)</f>
        <v>18.2</v>
      </c>
      <c r="DD80" s="27">
        <f t="shared" si="42"/>
        <v>2.64</v>
      </c>
      <c r="DE80" s="3">
        <f t="shared" si="67"/>
        <v>7.57</v>
      </c>
      <c r="DF80" s="24">
        <f t="shared" si="68"/>
        <v>0.49199999999999999</v>
      </c>
      <c r="DG80" s="24">
        <f t="shared" si="69"/>
        <v>4.9000000000000002E-2</v>
      </c>
      <c r="DH80" s="17">
        <f t="shared" si="70"/>
        <v>13.23</v>
      </c>
      <c r="DQ80" s="1">
        <v>4.5</v>
      </c>
      <c r="DR80" s="1">
        <v>9.1999999999999993</v>
      </c>
      <c r="DS80" s="1">
        <v>-0.2</v>
      </c>
    </row>
    <row r="81" spans="1:123" x14ac:dyDescent="0.2">
      <c r="A81" s="15">
        <f t="shared" si="71"/>
        <v>36600</v>
      </c>
      <c r="B81" s="1">
        <v>75</v>
      </c>
      <c r="C81" s="1">
        <v>13.16</v>
      </c>
      <c r="D81" s="1">
        <v>22.53</v>
      </c>
      <c r="E81" s="1">
        <v>-3.4529999999999998</v>
      </c>
      <c r="F81" s="1">
        <v>105.7</v>
      </c>
      <c r="I81" s="1">
        <v>-1.9E-2</v>
      </c>
      <c r="J81" s="1">
        <v>-2.5489999999999999</v>
      </c>
      <c r="K81" s="1">
        <v>-2.3439999999999999</v>
      </c>
      <c r="L81" s="1">
        <v>-0.125</v>
      </c>
      <c r="M81" s="1">
        <v>0.28000000000000003</v>
      </c>
      <c r="N81" s="1">
        <v>0.86199999999999999</v>
      </c>
      <c r="O81" s="1">
        <v>0</v>
      </c>
      <c r="P81" s="2">
        <v>1.5793333333333333</v>
      </c>
      <c r="R81" s="1">
        <v>-0.48899999999999999</v>
      </c>
      <c r="S81" s="1">
        <v>1402</v>
      </c>
      <c r="T81" s="1">
        <v>108.3</v>
      </c>
      <c r="U81" s="1">
        <v>107</v>
      </c>
      <c r="X81" s="1">
        <v>3.5999999999999997E-2</v>
      </c>
      <c r="Y81" s="1">
        <v>-2.4729999999999999</v>
      </c>
      <c r="Z81" s="1">
        <v>-0.127</v>
      </c>
      <c r="AA81" s="1">
        <v>-9.6000000000000002E-2</v>
      </c>
      <c r="AB81" s="1">
        <v>0.315</v>
      </c>
      <c r="AC81" s="1">
        <v>0.89700000000000002</v>
      </c>
      <c r="AD81" s="2">
        <v>3.7013333333333338</v>
      </c>
      <c r="AE81" s="1">
        <v>2222</v>
      </c>
      <c r="AF81" s="1">
        <v>-6.2910000000000004</v>
      </c>
      <c r="AG81" s="1">
        <v>706</v>
      </c>
      <c r="AH81" s="1">
        <v>97.5</v>
      </c>
      <c r="AI81" s="1">
        <v>2235</v>
      </c>
      <c r="AL81" s="1">
        <v>-0.08</v>
      </c>
      <c r="AM81" s="1">
        <v>-2.6920000000000002</v>
      </c>
      <c r="AN81" s="1">
        <v>-7.29</v>
      </c>
      <c r="AO81" s="1">
        <v>-0.153</v>
      </c>
      <c r="AP81" s="1">
        <v>0.247</v>
      </c>
      <c r="AQ81" s="1">
        <v>0.82599999999999996</v>
      </c>
      <c r="AR81" s="1">
        <v>5.8999999999999997E-2</v>
      </c>
      <c r="AS81" s="1">
        <v>0.153</v>
      </c>
      <c r="AT81" s="1">
        <v>9.4E-2</v>
      </c>
      <c r="AU81" s="1">
        <v>6.5000000000000002E-2</v>
      </c>
      <c r="AV81" s="1">
        <v>0.13700000000000001</v>
      </c>
      <c r="AW81" s="1">
        <v>0.377</v>
      </c>
      <c r="AX81" s="1">
        <v>0.09</v>
      </c>
      <c r="AY81" s="1">
        <v>2.4E-2</v>
      </c>
      <c r="AZ81" s="1">
        <v>-2.0390000000000001</v>
      </c>
      <c r="BA81" s="1">
        <v>2172</v>
      </c>
      <c r="BB81" s="1">
        <v>13.18</v>
      </c>
      <c r="BC81" s="1">
        <v>2786</v>
      </c>
      <c r="BF81" s="1">
        <f t="shared" si="40"/>
        <v>1321</v>
      </c>
      <c r="BM81" s="17">
        <v>16.77</v>
      </c>
      <c r="BN81" s="17">
        <f t="shared" si="44"/>
        <v>33.875399999999999</v>
      </c>
      <c r="BO81" s="18">
        <f t="shared" si="15"/>
        <v>12.9</v>
      </c>
      <c r="BP81" s="18">
        <f t="shared" si="16"/>
        <v>24.78</v>
      </c>
      <c r="BR81" s="1">
        <f t="shared" si="17"/>
        <v>96.5</v>
      </c>
      <c r="BS81" s="1">
        <f t="shared" si="18"/>
        <v>92.4</v>
      </c>
      <c r="BT81" s="1">
        <f t="shared" si="19"/>
        <v>79.8</v>
      </c>
      <c r="BU81" s="60">
        <f t="shared" si="20"/>
        <v>0.47</v>
      </c>
      <c r="BV81" s="60">
        <f t="shared" si="41"/>
        <v>0.11899999999999999</v>
      </c>
      <c r="BX81" s="51">
        <f t="shared" si="45"/>
        <v>0</v>
      </c>
      <c r="BY81" s="46">
        <v>0</v>
      </c>
      <c r="BZ81" s="1">
        <v>0</v>
      </c>
      <c r="CB81" s="17">
        <f t="shared" si="46"/>
        <v>12.9</v>
      </c>
      <c r="CC81" s="17">
        <f t="shared" si="47"/>
        <v>24.78</v>
      </c>
      <c r="CD81" s="3">
        <f t="shared" si="48"/>
        <v>-3.5</v>
      </c>
      <c r="CE81" s="1" t="s">
        <v>218</v>
      </c>
      <c r="CF81" s="1" t="s">
        <v>218</v>
      </c>
      <c r="CG81" s="3">
        <f t="shared" si="49"/>
        <v>0</v>
      </c>
      <c r="CH81" s="3">
        <f t="shared" si="50"/>
        <v>-0.1</v>
      </c>
      <c r="CI81" s="3">
        <f t="shared" si="51"/>
        <v>0.3</v>
      </c>
      <c r="CJ81" s="3">
        <f t="shared" si="52"/>
        <v>0.9</v>
      </c>
      <c r="CK81" s="27">
        <f t="shared" si="53"/>
        <v>92.4</v>
      </c>
      <c r="CL81" s="1">
        <f t="shared" si="54"/>
        <v>-0.5</v>
      </c>
      <c r="CM81" s="1" t="s">
        <v>218</v>
      </c>
      <c r="CN81" s="1" t="s">
        <v>218</v>
      </c>
      <c r="CO81" s="1">
        <f t="shared" si="55"/>
        <v>0</v>
      </c>
      <c r="CP81" s="1">
        <f t="shared" si="56"/>
        <v>-0.1</v>
      </c>
      <c r="CQ81" s="1">
        <f t="shared" si="57"/>
        <v>0.3</v>
      </c>
      <c r="CR81" s="1">
        <f t="shared" si="58"/>
        <v>0.9</v>
      </c>
      <c r="CS81" s="2">
        <f t="shared" si="59"/>
        <v>96.5</v>
      </c>
      <c r="CT81" s="1">
        <f t="shared" si="60"/>
        <v>-6.3</v>
      </c>
      <c r="CU81" s="1" t="s">
        <v>218</v>
      </c>
      <c r="CV81" s="1" t="s">
        <v>218</v>
      </c>
      <c r="CW81" s="1">
        <f t="shared" si="61"/>
        <v>-0.1</v>
      </c>
      <c r="CX81" s="1">
        <f t="shared" si="62"/>
        <v>-0.2</v>
      </c>
      <c r="CY81" s="1">
        <f t="shared" si="63"/>
        <v>0.2</v>
      </c>
      <c r="CZ81" s="1">
        <f t="shared" si="64"/>
        <v>0.8</v>
      </c>
      <c r="DA81" s="2">
        <f t="shared" si="65"/>
        <v>79.8</v>
      </c>
      <c r="DB81" s="20">
        <f t="shared" si="66"/>
        <v>1321</v>
      </c>
      <c r="DC81" s="1">
        <f>ROUND(PPTest!K81,1)</f>
        <v>0</v>
      </c>
      <c r="DD81" s="27">
        <f t="shared" si="42"/>
        <v>1.58</v>
      </c>
      <c r="DE81" s="3">
        <f t="shared" si="67"/>
        <v>3.7</v>
      </c>
      <c r="DF81" s="24">
        <f t="shared" si="68"/>
        <v>0.47</v>
      </c>
      <c r="DG81" s="24">
        <f t="shared" si="69"/>
        <v>0.11899999999999999</v>
      </c>
      <c r="DH81" s="17">
        <f t="shared" si="70"/>
        <v>13.18</v>
      </c>
      <c r="DQ81" s="1">
        <v>4.8</v>
      </c>
      <c r="DR81" s="1">
        <v>11.2</v>
      </c>
      <c r="DS81" s="1">
        <v>-1.7</v>
      </c>
    </row>
    <row r="82" spans="1:123" x14ac:dyDescent="0.2">
      <c r="A82" s="15">
        <f t="shared" si="71"/>
        <v>36601</v>
      </c>
      <c r="B82" s="1">
        <v>76</v>
      </c>
      <c r="C82" s="1">
        <v>4.5599999999999996</v>
      </c>
      <c r="D82" s="1">
        <v>8</v>
      </c>
      <c r="E82" s="1">
        <v>-2.3039999999999998</v>
      </c>
      <c r="F82" s="1">
        <v>108.6</v>
      </c>
      <c r="G82" s="1">
        <v>-2.6139999999999999</v>
      </c>
      <c r="I82" s="1">
        <v>6.0000000000000001E-3</v>
      </c>
      <c r="J82" s="1">
        <v>-2.5139999999999998</v>
      </c>
      <c r="K82" s="1">
        <v>-2.149</v>
      </c>
      <c r="L82" s="1">
        <v>-0.121</v>
      </c>
      <c r="M82" s="1">
        <v>0.28000000000000003</v>
      </c>
      <c r="N82" s="1">
        <v>0.85899999999999999</v>
      </c>
      <c r="O82" s="1">
        <v>0</v>
      </c>
      <c r="P82" s="2">
        <v>2.5939999999999999</v>
      </c>
      <c r="R82" s="1">
        <v>-1.0249999999999999</v>
      </c>
      <c r="S82" s="1">
        <v>1423</v>
      </c>
      <c r="T82" s="1">
        <v>109</v>
      </c>
      <c r="U82" s="1">
        <v>1802</v>
      </c>
      <c r="V82" s="1">
        <v>-0.20200000000000001</v>
      </c>
      <c r="X82" s="1">
        <v>4.1000000000000002E-2</v>
      </c>
      <c r="Y82" s="1">
        <v>-2.383</v>
      </c>
      <c r="Z82" s="1">
        <v>-1.266</v>
      </c>
      <c r="AA82" s="1">
        <v>-8.5000000000000006E-2</v>
      </c>
      <c r="AB82" s="1">
        <v>0.30399999999999999</v>
      </c>
      <c r="AC82" s="1">
        <v>0.88700000000000001</v>
      </c>
      <c r="AD82" s="2">
        <v>6.9546666666666663</v>
      </c>
      <c r="AE82" s="1">
        <v>1543</v>
      </c>
      <c r="AF82" s="1">
        <v>-4.0289999999999999</v>
      </c>
      <c r="AG82" s="1">
        <v>0</v>
      </c>
      <c r="AH82" s="1">
        <v>108</v>
      </c>
      <c r="AI82" s="1">
        <v>1147</v>
      </c>
      <c r="AJ82" s="1">
        <v>-4.7830000000000004</v>
      </c>
      <c r="AL82" s="1">
        <v>-7.1999999999999995E-2</v>
      </c>
      <c r="AM82" s="1">
        <v>-2.7170000000000001</v>
      </c>
      <c r="AN82" s="1">
        <v>-3.5070000000000001</v>
      </c>
      <c r="AO82" s="1">
        <v>-0.17599999999999999</v>
      </c>
      <c r="AP82" s="1">
        <v>0.193</v>
      </c>
      <c r="AQ82" s="1">
        <v>0.75700000000000001</v>
      </c>
      <c r="AR82" s="1">
        <v>1E-3</v>
      </c>
      <c r="AS82" s="1">
        <v>0</v>
      </c>
      <c r="AT82" s="1">
        <v>3.0000000000000001E-3</v>
      </c>
      <c r="AU82" s="1">
        <v>1.2999999999999999E-2</v>
      </c>
      <c r="AV82" s="1">
        <v>0.16600000000000001</v>
      </c>
      <c r="AW82" s="1">
        <v>0.64100000000000001</v>
      </c>
      <c r="AX82" s="1">
        <v>0.15</v>
      </c>
      <c r="AY82" s="1">
        <v>2.5000000000000001E-2</v>
      </c>
      <c r="AZ82" s="1">
        <v>-1.5680000000000001</v>
      </c>
      <c r="BA82" s="1">
        <v>2110</v>
      </c>
      <c r="BB82" s="1">
        <v>13.24</v>
      </c>
      <c r="BC82" s="1">
        <v>2786</v>
      </c>
      <c r="BF82" s="1">
        <f t="shared" si="40"/>
        <v>1383</v>
      </c>
      <c r="BM82" s="17">
        <v>17.03</v>
      </c>
      <c r="BN82" s="17">
        <f t="shared" si="44"/>
        <v>34.400600000000004</v>
      </c>
      <c r="BO82" s="18">
        <f t="shared" si="15"/>
        <v>4.47</v>
      </c>
      <c r="BP82" s="18">
        <f t="shared" si="16"/>
        <v>8.8000000000000007</v>
      </c>
      <c r="BR82" s="1">
        <f t="shared" si="17"/>
        <v>97.6</v>
      </c>
      <c r="BS82" s="1">
        <f t="shared" si="18"/>
        <v>97</v>
      </c>
      <c r="BT82" s="1">
        <f t="shared" si="19"/>
        <v>96</v>
      </c>
      <c r="BU82" s="60">
        <f t="shared" si="20"/>
        <v>0.54400000000000004</v>
      </c>
      <c r="BV82" s="60">
        <f t="shared" si="41"/>
        <v>2.3E-2</v>
      </c>
      <c r="BX82" s="51">
        <f t="shared" si="45"/>
        <v>21</v>
      </c>
      <c r="BY82" s="46">
        <v>6.8900000000000006</v>
      </c>
      <c r="BZ82" s="1">
        <v>15</v>
      </c>
      <c r="CB82" s="17">
        <f t="shared" si="46"/>
        <v>4.47</v>
      </c>
      <c r="CC82" s="17">
        <f t="shared" si="47"/>
        <v>8.8000000000000007</v>
      </c>
      <c r="CD82" s="3">
        <f t="shared" si="48"/>
        <v>-2.2999999999999998</v>
      </c>
      <c r="CE82" s="3">
        <f t="shared" ref="CE82:CE135" si="72">ROUND(G82,1)</f>
        <v>-2.6</v>
      </c>
      <c r="CF82" s="1" t="s">
        <v>218</v>
      </c>
      <c r="CG82" s="3">
        <f t="shared" si="49"/>
        <v>0</v>
      </c>
      <c r="CH82" s="3">
        <f t="shared" si="50"/>
        <v>-0.1</v>
      </c>
      <c r="CI82" s="3">
        <f t="shared" si="51"/>
        <v>0.3</v>
      </c>
      <c r="CJ82" s="3">
        <f t="shared" si="52"/>
        <v>0.9</v>
      </c>
      <c r="CK82" s="27">
        <f t="shared" si="53"/>
        <v>97</v>
      </c>
      <c r="CL82" s="1">
        <f t="shared" si="54"/>
        <v>-1</v>
      </c>
      <c r="CM82" s="1">
        <f t="shared" ref="CM82:CM135" si="73">ROUND(V82,1)</f>
        <v>-0.2</v>
      </c>
      <c r="CN82" s="1" t="s">
        <v>218</v>
      </c>
      <c r="CO82" s="1">
        <f t="shared" si="55"/>
        <v>0</v>
      </c>
      <c r="CP82" s="1">
        <f t="shared" si="56"/>
        <v>-0.1</v>
      </c>
      <c r="CQ82" s="1">
        <f t="shared" si="57"/>
        <v>0.3</v>
      </c>
      <c r="CR82" s="1">
        <f t="shared" si="58"/>
        <v>0.9</v>
      </c>
      <c r="CS82" s="2">
        <f t="shared" si="59"/>
        <v>97.6</v>
      </c>
      <c r="CT82" s="1">
        <f t="shared" si="60"/>
        <v>-4</v>
      </c>
      <c r="CU82" s="1">
        <f t="shared" ref="CU82:CU135" si="74">ROUND(AJ82,1)</f>
        <v>-4.8</v>
      </c>
      <c r="CV82" s="1" t="s">
        <v>218</v>
      </c>
      <c r="CW82" s="1">
        <f t="shared" si="61"/>
        <v>-0.1</v>
      </c>
      <c r="CX82" s="1">
        <f t="shared" si="62"/>
        <v>-0.2</v>
      </c>
      <c r="CY82" s="1">
        <f t="shared" si="63"/>
        <v>0.2</v>
      </c>
      <c r="CZ82" s="1">
        <f t="shared" si="64"/>
        <v>0.8</v>
      </c>
      <c r="DA82" s="2">
        <f t="shared" si="65"/>
        <v>96</v>
      </c>
      <c r="DB82" s="20">
        <f t="shared" si="66"/>
        <v>1383</v>
      </c>
      <c r="DC82" s="1">
        <f>ROUND(PPTest!K82,1)</f>
        <v>8.1</v>
      </c>
      <c r="DD82" s="27">
        <f t="shared" si="42"/>
        <v>2.59</v>
      </c>
      <c r="DE82" s="3">
        <f t="shared" si="67"/>
        <v>6.95</v>
      </c>
      <c r="DF82" s="24">
        <f t="shared" si="68"/>
        <v>0.54400000000000004</v>
      </c>
      <c r="DG82" s="24">
        <f t="shared" si="69"/>
        <v>2.3E-2</v>
      </c>
      <c r="DH82" s="17">
        <f t="shared" si="70"/>
        <v>13.24</v>
      </c>
      <c r="DQ82" s="1">
        <v>2.8</v>
      </c>
      <c r="DR82" s="1">
        <v>5.8</v>
      </c>
      <c r="DS82" s="1">
        <v>-0.2</v>
      </c>
    </row>
    <row r="83" spans="1:123" x14ac:dyDescent="0.2">
      <c r="A83" s="15">
        <f t="shared" si="71"/>
        <v>36602</v>
      </c>
      <c r="B83" s="1">
        <v>77</v>
      </c>
      <c r="C83" s="1">
        <v>8.06</v>
      </c>
      <c r="D83" s="1">
        <v>14.03</v>
      </c>
      <c r="E83" s="1">
        <v>-3.9969999999999999</v>
      </c>
      <c r="F83" s="1">
        <v>107.2</v>
      </c>
      <c r="G83" s="1">
        <v>-4.165</v>
      </c>
      <c r="I83" s="1">
        <v>2.8000000000000001E-2</v>
      </c>
      <c r="J83" s="1">
        <v>-2.363</v>
      </c>
      <c r="K83" s="1">
        <v>-4.0629999999999997</v>
      </c>
      <c r="L83" s="1">
        <v>-0.115</v>
      </c>
      <c r="M83" s="1">
        <v>0.28799999999999998</v>
      </c>
      <c r="N83" s="1">
        <v>0.86499999999999999</v>
      </c>
      <c r="O83" s="1">
        <v>0</v>
      </c>
      <c r="P83" s="2">
        <v>2.3513333333333333</v>
      </c>
      <c r="R83" s="1">
        <v>-1.27</v>
      </c>
      <c r="S83" s="1">
        <v>1605</v>
      </c>
      <c r="T83" s="1">
        <v>108.5</v>
      </c>
      <c r="U83" s="1">
        <v>25</v>
      </c>
      <c r="V83" s="1">
        <v>-0.42699999999999999</v>
      </c>
      <c r="X83" s="1">
        <v>5.5E-2</v>
      </c>
      <c r="Y83" s="1">
        <v>-2.3079999999999998</v>
      </c>
      <c r="Z83" s="1">
        <v>-2.0470000000000002</v>
      </c>
      <c r="AA83" s="1">
        <v>-0.09</v>
      </c>
      <c r="AB83" s="1">
        <v>0.30599999999999999</v>
      </c>
      <c r="AC83" s="1">
        <v>0.88900000000000001</v>
      </c>
      <c r="AD83" s="2">
        <v>6.0213333333333345</v>
      </c>
      <c r="AE83" s="1">
        <v>958</v>
      </c>
      <c r="AF83" s="1">
        <v>-5.5389999999999997</v>
      </c>
      <c r="AG83" s="1">
        <v>627</v>
      </c>
      <c r="AH83" s="1">
        <v>104.6</v>
      </c>
      <c r="AI83" s="1">
        <v>2337</v>
      </c>
      <c r="AJ83" s="1">
        <v>-6.4160000000000004</v>
      </c>
      <c r="AL83" s="1">
        <v>5.0000000000000001E-3</v>
      </c>
      <c r="AM83" s="1">
        <v>-2.3959999999999999</v>
      </c>
      <c r="AN83" s="1">
        <v>-5.782</v>
      </c>
      <c r="AO83" s="1">
        <v>-0.13300000000000001</v>
      </c>
      <c r="AP83" s="1">
        <v>0.27</v>
      </c>
      <c r="AQ83" s="1">
        <v>0.84599999999999997</v>
      </c>
      <c r="AR83" s="1">
        <v>0</v>
      </c>
      <c r="AS83" s="1">
        <v>0</v>
      </c>
      <c r="AT83" s="1">
        <v>5.0000000000000001E-3</v>
      </c>
      <c r="AU83" s="1">
        <v>2.9000000000000001E-2</v>
      </c>
      <c r="AV83" s="1">
        <v>0.27400000000000002</v>
      </c>
      <c r="AW83" s="1">
        <v>0.57199999999999995</v>
      </c>
      <c r="AX83" s="1">
        <v>0.11</v>
      </c>
      <c r="AY83" s="1">
        <v>8.9999999999999993E-3</v>
      </c>
      <c r="AZ83" s="1">
        <v>-1.3759999999999999</v>
      </c>
      <c r="BA83" s="1">
        <v>1976</v>
      </c>
      <c r="BB83" s="1">
        <v>13.18</v>
      </c>
      <c r="BC83" s="1">
        <v>2786</v>
      </c>
      <c r="BF83" s="1">
        <f t="shared" si="40"/>
        <v>1517</v>
      </c>
      <c r="BM83" s="17">
        <v>17.3</v>
      </c>
      <c r="BN83" s="17">
        <f t="shared" si="44"/>
        <v>34.946000000000005</v>
      </c>
      <c r="BO83" s="18">
        <f t="shared" si="15"/>
        <v>7.9</v>
      </c>
      <c r="BP83" s="18">
        <f t="shared" si="16"/>
        <v>15.43</v>
      </c>
      <c r="BR83" s="1">
        <f t="shared" si="17"/>
        <v>96.8</v>
      </c>
      <c r="BS83" s="1">
        <f t="shared" si="18"/>
        <v>94.7</v>
      </c>
      <c r="BT83" s="1">
        <f t="shared" si="19"/>
        <v>90.6</v>
      </c>
      <c r="BU83" s="60">
        <f t="shared" si="20"/>
        <v>0.504</v>
      </c>
      <c r="BV83" s="60">
        <f t="shared" si="41"/>
        <v>5.1999999999999998E-2</v>
      </c>
      <c r="BX83" s="51">
        <f t="shared" si="45"/>
        <v>1.8199999999999996</v>
      </c>
      <c r="BY83" s="46">
        <v>0</v>
      </c>
      <c r="BZ83" s="1">
        <v>1.2999999999999998</v>
      </c>
      <c r="CB83" s="17">
        <f t="shared" si="46"/>
        <v>7.9</v>
      </c>
      <c r="CC83" s="17">
        <f t="shared" si="47"/>
        <v>15.43</v>
      </c>
      <c r="CD83" s="3">
        <f t="shared" si="48"/>
        <v>-4</v>
      </c>
      <c r="CE83" s="3">
        <f t="shared" si="72"/>
        <v>-4.2</v>
      </c>
      <c r="CF83" s="1" t="s">
        <v>218</v>
      </c>
      <c r="CG83" s="3">
        <f t="shared" si="49"/>
        <v>0</v>
      </c>
      <c r="CH83" s="3">
        <f t="shared" si="50"/>
        <v>-0.1</v>
      </c>
      <c r="CI83" s="3">
        <f t="shared" si="51"/>
        <v>0.3</v>
      </c>
      <c r="CJ83" s="3">
        <f t="shared" si="52"/>
        <v>0.9</v>
      </c>
      <c r="CK83" s="27">
        <f t="shared" si="53"/>
        <v>94.7</v>
      </c>
      <c r="CL83" s="1">
        <f t="shared" si="54"/>
        <v>-1.3</v>
      </c>
      <c r="CM83" s="1">
        <f t="shared" si="73"/>
        <v>-0.4</v>
      </c>
      <c r="CN83" s="1" t="s">
        <v>218</v>
      </c>
      <c r="CO83" s="1">
        <f t="shared" si="55"/>
        <v>0.1</v>
      </c>
      <c r="CP83" s="1">
        <f t="shared" si="56"/>
        <v>-0.1</v>
      </c>
      <c r="CQ83" s="1">
        <f t="shared" si="57"/>
        <v>0.3</v>
      </c>
      <c r="CR83" s="1">
        <f t="shared" si="58"/>
        <v>0.9</v>
      </c>
      <c r="CS83" s="2">
        <f t="shared" si="59"/>
        <v>96.8</v>
      </c>
      <c r="CT83" s="1">
        <f t="shared" si="60"/>
        <v>-5.5</v>
      </c>
      <c r="CU83" s="1">
        <f t="shared" si="74"/>
        <v>-6.4</v>
      </c>
      <c r="CV83" s="1" t="s">
        <v>218</v>
      </c>
      <c r="CW83" s="1">
        <f t="shared" si="61"/>
        <v>0</v>
      </c>
      <c r="CX83" s="1">
        <f t="shared" si="62"/>
        <v>-0.1</v>
      </c>
      <c r="CY83" s="1">
        <f t="shared" si="63"/>
        <v>0.3</v>
      </c>
      <c r="CZ83" s="1">
        <f t="shared" si="64"/>
        <v>0.8</v>
      </c>
      <c r="DA83" s="2">
        <f t="shared" si="65"/>
        <v>90.6</v>
      </c>
      <c r="DB83" s="20">
        <f t="shared" si="66"/>
        <v>1517</v>
      </c>
      <c r="DC83" s="1">
        <f>ROUND(PPTest!K83,1)</f>
        <v>17.399999999999999</v>
      </c>
      <c r="DD83" s="27">
        <f t="shared" si="42"/>
        <v>2.35</v>
      </c>
      <c r="DE83" s="3">
        <f t="shared" si="67"/>
        <v>6.02</v>
      </c>
      <c r="DF83" s="24">
        <f t="shared" si="68"/>
        <v>0.504</v>
      </c>
      <c r="DG83" s="24">
        <f t="shared" si="69"/>
        <v>5.1999999999999998E-2</v>
      </c>
      <c r="DH83" s="17">
        <f t="shared" si="70"/>
        <v>13.18</v>
      </c>
      <c r="DQ83" s="1">
        <v>3.4</v>
      </c>
      <c r="DR83" s="1">
        <v>6.9</v>
      </c>
      <c r="DS83" s="1">
        <v>-0.2</v>
      </c>
    </row>
    <row r="84" spans="1:123" x14ac:dyDescent="0.2">
      <c r="A84" s="15">
        <f t="shared" si="71"/>
        <v>36603</v>
      </c>
      <c r="B84" s="1">
        <v>78</v>
      </c>
      <c r="C84" s="1">
        <v>3.3010000000000002</v>
      </c>
      <c r="D84" s="1">
        <v>5.8540000000000001</v>
      </c>
      <c r="E84" s="1">
        <v>-2.6850000000000001</v>
      </c>
      <c r="F84" s="1">
        <v>103.7</v>
      </c>
      <c r="G84" s="1">
        <v>-2.944</v>
      </c>
      <c r="I84" s="1">
        <v>0.02</v>
      </c>
      <c r="J84" s="1">
        <v>-2.3140000000000001</v>
      </c>
      <c r="K84" s="1">
        <v>-3.1880000000000002</v>
      </c>
      <c r="L84" s="1">
        <v>-0.11</v>
      </c>
      <c r="M84" s="1">
        <v>0.29099999999999998</v>
      </c>
      <c r="N84" s="1">
        <v>0.86599999999999999</v>
      </c>
      <c r="O84" s="1">
        <v>0</v>
      </c>
      <c r="P84" s="2">
        <v>2.4283333333333332</v>
      </c>
      <c r="R84" s="1">
        <v>-1.4490000000000001</v>
      </c>
      <c r="S84" s="1">
        <v>1228</v>
      </c>
      <c r="T84" s="1">
        <v>108.3</v>
      </c>
      <c r="U84" s="1">
        <v>2005</v>
      </c>
      <c r="V84" s="1">
        <v>-0.85299999999999998</v>
      </c>
      <c r="X84" s="1">
        <v>5.7000000000000002E-2</v>
      </c>
      <c r="Y84" s="1">
        <v>-2.1970000000000001</v>
      </c>
      <c r="Z84" s="1">
        <v>-1.9219999999999999</v>
      </c>
      <c r="AA84" s="1">
        <v>-0.09</v>
      </c>
      <c r="AB84" s="1">
        <v>0.315</v>
      </c>
      <c r="AC84" s="1">
        <v>0.88900000000000001</v>
      </c>
      <c r="AD84" s="2">
        <v>8.4746666666666659</v>
      </c>
      <c r="AE84" s="1">
        <v>2345</v>
      </c>
      <c r="AF84" s="1">
        <v>-4.5049999999999999</v>
      </c>
      <c r="AG84" s="1">
        <v>39</v>
      </c>
      <c r="AH84" s="1">
        <v>98.7</v>
      </c>
      <c r="AI84" s="1">
        <v>1506</v>
      </c>
      <c r="AJ84" s="1">
        <v>-6.3860000000000001</v>
      </c>
      <c r="AL84" s="1">
        <v>-0.08</v>
      </c>
      <c r="AM84" s="1">
        <v>-2.3620000000000001</v>
      </c>
      <c r="AN84" s="1">
        <v>-4.5759999999999996</v>
      </c>
      <c r="AO84" s="1">
        <v>-0.127</v>
      </c>
      <c r="AP84" s="1">
        <v>0.27400000000000002</v>
      </c>
      <c r="AQ84" s="1">
        <v>0.84899999999999998</v>
      </c>
      <c r="AR84" s="1">
        <v>3.1E-2</v>
      </c>
      <c r="AS84" s="1">
        <v>3.1E-2</v>
      </c>
      <c r="AT84" s="1">
        <v>5.1999999999999998E-2</v>
      </c>
      <c r="AU84" s="1">
        <v>0.112</v>
      </c>
      <c r="AV84" s="1">
        <v>0.223</v>
      </c>
      <c r="AW84" s="1">
        <v>0.32300000000000001</v>
      </c>
      <c r="AX84" s="1">
        <v>0.16900000000000001</v>
      </c>
      <c r="AY84" s="1">
        <v>5.8000000000000003E-2</v>
      </c>
      <c r="AZ84" s="1">
        <v>-1.202</v>
      </c>
      <c r="BA84" s="1">
        <v>1947</v>
      </c>
      <c r="BB84" s="1">
        <v>13.26</v>
      </c>
      <c r="BC84" s="1">
        <v>2786</v>
      </c>
      <c r="BF84" s="1">
        <f t="shared" si="40"/>
        <v>1546</v>
      </c>
      <c r="BM84" s="17">
        <v>17.559999999999999</v>
      </c>
      <c r="BN84" s="17">
        <f t="shared" si="44"/>
        <v>35.471199999999996</v>
      </c>
      <c r="BO84" s="18">
        <f t="shared" si="15"/>
        <v>3.23</v>
      </c>
      <c r="BP84" s="18">
        <f t="shared" si="16"/>
        <v>6.44</v>
      </c>
      <c r="BR84" s="1">
        <f t="shared" si="17"/>
        <v>96.5</v>
      </c>
      <c r="BS84" s="1">
        <f t="shared" si="18"/>
        <v>89.2</v>
      </c>
      <c r="BT84" s="1">
        <f t="shared" si="19"/>
        <v>80.900000000000006</v>
      </c>
      <c r="BU84" s="60">
        <f t="shared" si="20"/>
        <v>0.44400000000000001</v>
      </c>
      <c r="BV84" s="60">
        <f t="shared" si="41"/>
        <v>0.105</v>
      </c>
      <c r="BX84" s="51">
        <f t="shared" si="45"/>
        <v>9.2399999999999984</v>
      </c>
      <c r="BY84" s="46">
        <v>5.33</v>
      </c>
      <c r="BZ84" s="1">
        <v>6.6</v>
      </c>
      <c r="CB84" s="17">
        <f t="shared" si="46"/>
        <v>3.23</v>
      </c>
      <c r="CC84" s="17">
        <f t="shared" si="47"/>
        <v>6.44</v>
      </c>
      <c r="CD84" s="3">
        <f t="shared" si="48"/>
        <v>-2.7</v>
      </c>
      <c r="CE84" s="3">
        <f t="shared" si="72"/>
        <v>-2.9</v>
      </c>
      <c r="CF84" s="1" t="s">
        <v>218</v>
      </c>
      <c r="CG84" s="3">
        <f t="shared" si="49"/>
        <v>0</v>
      </c>
      <c r="CH84" s="3">
        <f t="shared" si="50"/>
        <v>-0.1</v>
      </c>
      <c r="CI84" s="3">
        <f t="shared" si="51"/>
        <v>0.3</v>
      </c>
      <c r="CJ84" s="3">
        <f t="shared" si="52"/>
        <v>0.9</v>
      </c>
      <c r="CK84" s="27">
        <f t="shared" si="53"/>
        <v>89.2</v>
      </c>
      <c r="CL84" s="1">
        <f t="shared" si="54"/>
        <v>-1.4</v>
      </c>
      <c r="CM84" s="1">
        <f t="shared" si="73"/>
        <v>-0.9</v>
      </c>
      <c r="CN84" s="1" t="s">
        <v>218</v>
      </c>
      <c r="CO84" s="1">
        <f t="shared" si="55"/>
        <v>0.1</v>
      </c>
      <c r="CP84" s="1">
        <f t="shared" si="56"/>
        <v>-0.1</v>
      </c>
      <c r="CQ84" s="1">
        <f t="shared" si="57"/>
        <v>0.3</v>
      </c>
      <c r="CR84" s="1">
        <f t="shared" si="58"/>
        <v>0.9</v>
      </c>
      <c r="CS84" s="2">
        <f t="shared" si="59"/>
        <v>96.5</v>
      </c>
      <c r="CT84" s="1">
        <f t="shared" si="60"/>
        <v>-4.5</v>
      </c>
      <c r="CU84" s="1">
        <f t="shared" si="74"/>
        <v>-6.4</v>
      </c>
      <c r="CV84" s="1" t="s">
        <v>218</v>
      </c>
      <c r="CW84" s="1">
        <f t="shared" si="61"/>
        <v>-0.1</v>
      </c>
      <c r="CX84" s="1">
        <f t="shared" si="62"/>
        <v>-0.1</v>
      </c>
      <c r="CY84" s="1">
        <f t="shared" si="63"/>
        <v>0.3</v>
      </c>
      <c r="CZ84" s="1">
        <f t="shared" si="64"/>
        <v>0.8</v>
      </c>
      <c r="DA84" s="2">
        <f t="shared" si="65"/>
        <v>80.900000000000006</v>
      </c>
      <c r="DB84" s="20">
        <f t="shared" si="66"/>
        <v>1546</v>
      </c>
      <c r="DC84" s="1">
        <f>ROUND(PPTest!K84,1)</f>
        <v>3.8</v>
      </c>
      <c r="DD84" s="27">
        <f t="shared" si="42"/>
        <v>2.4300000000000002</v>
      </c>
      <c r="DE84" s="3">
        <f t="shared" si="67"/>
        <v>8.4700000000000006</v>
      </c>
      <c r="DF84" s="24">
        <f t="shared" si="68"/>
        <v>0.44400000000000001</v>
      </c>
      <c r="DG84" s="24">
        <f t="shared" si="69"/>
        <v>0.105</v>
      </c>
      <c r="DH84" s="17">
        <f t="shared" si="70"/>
        <v>13.26</v>
      </c>
      <c r="DQ84" s="1">
        <v>1.8</v>
      </c>
      <c r="DR84" s="1">
        <v>3.5</v>
      </c>
      <c r="DS84" s="1">
        <v>0</v>
      </c>
    </row>
    <row r="85" spans="1:123" x14ac:dyDescent="0.2">
      <c r="A85" s="15">
        <f t="shared" si="71"/>
        <v>36604</v>
      </c>
      <c r="B85" s="1">
        <v>79</v>
      </c>
      <c r="C85" s="1">
        <v>12.82</v>
      </c>
      <c r="D85" s="1">
        <v>21.8</v>
      </c>
      <c r="E85" s="1">
        <v>-5.1360000000000001</v>
      </c>
      <c r="F85" s="1">
        <v>100.4</v>
      </c>
      <c r="G85" s="1">
        <v>-5.4740000000000002</v>
      </c>
      <c r="I85" s="1">
        <v>3.5999999999999997E-2</v>
      </c>
      <c r="J85" s="1">
        <v>-1.927</v>
      </c>
      <c r="K85" s="1">
        <v>-4.8410000000000002</v>
      </c>
      <c r="L85" s="1">
        <v>-0.108</v>
      </c>
      <c r="M85" s="1">
        <v>0.29299999999999998</v>
      </c>
      <c r="N85" s="1">
        <v>0.86499999999999999</v>
      </c>
      <c r="O85" s="1">
        <v>0</v>
      </c>
      <c r="P85" s="2">
        <v>2.654666666666667</v>
      </c>
      <c r="R85" s="1">
        <v>-2.0990000000000002</v>
      </c>
      <c r="S85" s="1">
        <v>1430</v>
      </c>
      <c r="T85" s="1">
        <v>108.2</v>
      </c>
      <c r="U85" s="1">
        <v>22</v>
      </c>
      <c r="V85" s="1">
        <v>0.55600000000000005</v>
      </c>
      <c r="X85" s="1">
        <v>0.113</v>
      </c>
      <c r="Y85" s="1">
        <v>-1.7190000000000001</v>
      </c>
      <c r="Z85" s="1">
        <v>-1.327</v>
      </c>
      <c r="AA85" s="1">
        <v>-8.2000000000000003E-2</v>
      </c>
      <c r="AB85" s="1">
        <v>0.314</v>
      </c>
      <c r="AC85" s="1">
        <v>0.89</v>
      </c>
      <c r="AD85" s="2">
        <v>6.9013333333333335</v>
      </c>
      <c r="AE85" s="1">
        <v>201</v>
      </c>
      <c r="AF85" s="1">
        <v>-12</v>
      </c>
      <c r="AG85" s="1">
        <v>0</v>
      </c>
      <c r="AH85" s="1">
        <v>74</v>
      </c>
      <c r="AI85" s="1">
        <v>1725</v>
      </c>
      <c r="AJ85" s="1">
        <v>-14.06</v>
      </c>
      <c r="AL85" s="1">
        <v>-0.04</v>
      </c>
      <c r="AM85" s="1">
        <v>-2.214</v>
      </c>
      <c r="AN85" s="1">
        <v>-13.46</v>
      </c>
      <c r="AO85" s="1">
        <v>-0.126</v>
      </c>
      <c r="AP85" s="1">
        <v>0.27500000000000002</v>
      </c>
      <c r="AQ85" s="1">
        <v>0.85</v>
      </c>
      <c r="AR85" s="1">
        <v>1.2999999999999999E-2</v>
      </c>
      <c r="AS85" s="1">
        <v>6.0999999999999999E-2</v>
      </c>
      <c r="AT85" s="1">
        <v>6.8000000000000005E-2</v>
      </c>
      <c r="AU85" s="1">
        <v>2.5999999999999999E-2</v>
      </c>
      <c r="AV85" s="1">
        <v>0.13600000000000001</v>
      </c>
      <c r="AW85" s="1">
        <v>0.53400000000000003</v>
      </c>
      <c r="AX85" s="1">
        <v>0.13300000000000001</v>
      </c>
      <c r="AY85" s="1">
        <v>2.8000000000000001E-2</v>
      </c>
      <c r="AZ85" s="1">
        <v>-1.07</v>
      </c>
      <c r="BA85" s="1">
        <v>1946</v>
      </c>
      <c r="BB85" s="1">
        <v>13.18</v>
      </c>
      <c r="BC85" s="1">
        <v>2786</v>
      </c>
      <c r="BF85" s="1">
        <f t="shared" si="40"/>
        <v>1547</v>
      </c>
      <c r="BM85" s="17">
        <v>17.829999999999998</v>
      </c>
      <c r="BN85" s="17">
        <f t="shared" si="44"/>
        <v>36.016599999999997</v>
      </c>
      <c r="BO85" s="18">
        <f t="shared" si="15"/>
        <v>12.56</v>
      </c>
      <c r="BP85" s="18">
        <f t="shared" si="16"/>
        <v>23.98</v>
      </c>
      <c r="BR85" s="1">
        <f t="shared" si="17"/>
        <v>96.3</v>
      </c>
      <c r="BS85" s="1">
        <f t="shared" si="18"/>
        <v>83.9</v>
      </c>
      <c r="BT85" s="1">
        <f t="shared" si="19"/>
        <v>59.1</v>
      </c>
      <c r="BU85" s="60">
        <f t="shared" si="20"/>
        <v>0.309</v>
      </c>
      <c r="BV85" s="60">
        <f t="shared" si="41"/>
        <v>0.214</v>
      </c>
      <c r="BX85" s="51">
        <f t="shared" si="45"/>
        <v>7.1399999999999988</v>
      </c>
      <c r="BY85" s="46">
        <v>0</v>
      </c>
      <c r="BZ85" s="1">
        <v>5.0999999999999996</v>
      </c>
      <c r="CB85" s="17">
        <f t="shared" si="46"/>
        <v>12.56</v>
      </c>
      <c r="CC85" s="17">
        <f t="shared" si="47"/>
        <v>23.98</v>
      </c>
      <c r="CD85" s="3">
        <f t="shared" si="48"/>
        <v>-5.0999999999999996</v>
      </c>
      <c r="CE85" s="3">
        <f t="shared" si="72"/>
        <v>-5.5</v>
      </c>
      <c r="CF85" s="1" t="s">
        <v>218</v>
      </c>
      <c r="CG85" s="3">
        <f t="shared" si="49"/>
        <v>0</v>
      </c>
      <c r="CH85" s="3">
        <f t="shared" si="50"/>
        <v>-0.1</v>
      </c>
      <c r="CI85" s="3">
        <f t="shared" si="51"/>
        <v>0.3</v>
      </c>
      <c r="CJ85" s="3">
        <f t="shared" si="52"/>
        <v>0.9</v>
      </c>
      <c r="CK85" s="27">
        <f t="shared" si="53"/>
        <v>83.9</v>
      </c>
      <c r="CL85" s="1">
        <f t="shared" si="54"/>
        <v>-2.1</v>
      </c>
      <c r="CM85" s="1">
        <f t="shared" si="73"/>
        <v>0.6</v>
      </c>
      <c r="CN85" s="1" t="s">
        <v>218</v>
      </c>
      <c r="CO85" s="1">
        <f t="shared" si="55"/>
        <v>0.1</v>
      </c>
      <c r="CP85" s="1">
        <f t="shared" si="56"/>
        <v>-0.1</v>
      </c>
      <c r="CQ85" s="1">
        <f t="shared" si="57"/>
        <v>0.3</v>
      </c>
      <c r="CR85" s="1">
        <f t="shared" si="58"/>
        <v>0.9</v>
      </c>
      <c r="CS85" s="2">
        <f t="shared" si="59"/>
        <v>96.3</v>
      </c>
      <c r="CT85" s="1">
        <f t="shared" si="60"/>
        <v>-12</v>
      </c>
      <c r="CU85" s="1">
        <f t="shared" si="74"/>
        <v>-14.1</v>
      </c>
      <c r="CV85" s="1" t="s">
        <v>218</v>
      </c>
      <c r="CW85" s="1">
        <f t="shared" si="61"/>
        <v>0</v>
      </c>
      <c r="CX85" s="1">
        <f t="shared" si="62"/>
        <v>-0.1</v>
      </c>
      <c r="CY85" s="1">
        <f t="shared" si="63"/>
        <v>0.3</v>
      </c>
      <c r="CZ85" s="1">
        <f t="shared" si="64"/>
        <v>0.9</v>
      </c>
      <c r="DA85" s="2">
        <f t="shared" si="65"/>
        <v>59.1</v>
      </c>
      <c r="DB85" s="20">
        <f t="shared" si="66"/>
        <v>1547</v>
      </c>
      <c r="DC85" s="1">
        <f>ROUND(PPTest!K85,1)</f>
        <v>0.1</v>
      </c>
      <c r="DD85" s="27">
        <f t="shared" si="42"/>
        <v>2.65</v>
      </c>
      <c r="DE85" s="3">
        <f t="shared" si="67"/>
        <v>6.9</v>
      </c>
      <c r="DF85" s="24">
        <f t="shared" si="68"/>
        <v>0.309</v>
      </c>
      <c r="DG85" s="24">
        <f t="shared" si="69"/>
        <v>0.214</v>
      </c>
      <c r="DH85" s="17">
        <f t="shared" si="70"/>
        <v>13.18</v>
      </c>
      <c r="DQ85" s="1">
        <v>3</v>
      </c>
      <c r="DR85" s="1">
        <v>8.6999999999999993</v>
      </c>
      <c r="DS85" s="1">
        <v>-2.7</v>
      </c>
    </row>
    <row r="86" spans="1:123" x14ac:dyDescent="0.2">
      <c r="A86" s="15">
        <f t="shared" si="71"/>
        <v>36605</v>
      </c>
      <c r="B86" s="1">
        <v>80</v>
      </c>
      <c r="C86" s="1">
        <v>10.82</v>
      </c>
      <c r="D86" s="1">
        <v>18.77</v>
      </c>
      <c r="E86" s="1">
        <v>-6.8170000000000002</v>
      </c>
      <c r="F86" s="1">
        <v>91.2</v>
      </c>
      <c r="G86" s="1">
        <v>-7.54</v>
      </c>
      <c r="I86" s="1">
        <v>-1.4999999999999999E-2</v>
      </c>
      <c r="J86" s="1">
        <v>-1.637</v>
      </c>
      <c r="K86" s="1">
        <v>-7.61</v>
      </c>
      <c r="L86" s="1">
        <v>-0.115</v>
      </c>
      <c r="M86" s="1">
        <v>0.28299999999999997</v>
      </c>
      <c r="N86" s="1">
        <v>0.85299999999999998</v>
      </c>
      <c r="O86" s="1">
        <v>0</v>
      </c>
      <c r="P86" s="2">
        <v>1.5449999999999999</v>
      </c>
      <c r="R86" s="1">
        <v>0.155</v>
      </c>
      <c r="S86" s="1">
        <v>1629</v>
      </c>
      <c r="T86" s="1">
        <v>106.3</v>
      </c>
      <c r="U86" s="1">
        <v>51</v>
      </c>
      <c r="V86" s="1">
        <v>0.70299999999999996</v>
      </c>
      <c r="X86" s="1">
        <v>4.9000000000000002E-2</v>
      </c>
      <c r="Y86" s="1">
        <v>-1.577</v>
      </c>
      <c r="Z86" s="1">
        <v>-0.54700000000000004</v>
      </c>
      <c r="AA86" s="1">
        <v>-0.09</v>
      </c>
      <c r="AB86" s="1">
        <v>0.311</v>
      </c>
      <c r="AC86" s="1">
        <v>0.88300000000000001</v>
      </c>
      <c r="AD86" s="2">
        <v>4.714666666666667</v>
      </c>
      <c r="AE86" s="1">
        <v>2041</v>
      </c>
      <c r="AF86" s="1">
        <v>-16.18</v>
      </c>
      <c r="AG86" s="1">
        <v>457</v>
      </c>
      <c r="AH86" s="1">
        <v>70.3</v>
      </c>
      <c r="AI86" s="1">
        <v>1524</v>
      </c>
      <c r="AJ86" s="1">
        <v>-17.559999999999999</v>
      </c>
      <c r="AL86" s="1">
        <v>-0.111</v>
      </c>
      <c r="AM86" s="1">
        <v>-1.7450000000000001</v>
      </c>
      <c r="AN86" s="1">
        <v>-17.46</v>
      </c>
      <c r="AO86" s="1">
        <v>-0.14000000000000001</v>
      </c>
      <c r="AP86" s="1">
        <v>0.25800000000000001</v>
      </c>
      <c r="AQ86" s="1">
        <v>0.82599999999999996</v>
      </c>
      <c r="AR86" s="1">
        <v>3.6999999999999998E-2</v>
      </c>
      <c r="AS86" s="1">
        <v>0.14899999999999999</v>
      </c>
      <c r="AT86" s="1">
        <v>0.26500000000000001</v>
      </c>
      <c r="AU86" s="1">
        <v>5.8999999999999997E-2</v>
      </c>
      <c r="AV86" s="1">
        <v>0.17100000000000001</v>
      </c>
      <c r="AW86" s="1">
        <v>0.21</v>
      </c>
      <c r="AX86" s="1">
        <v>7.3999999999999996E-2</v>
      </c>
      <c r="AY86" s="1">
        <v>3.5000000000000003E-2</v>
      </c>
      <c r="AZ86" s="1">
        <v>-1.948</v>
      </c>
      <c r="BA86" s="1">
        <v>1977</v>
      </c>
      <c r="BB86" s="1">
        <v>13.25</v>
      </c>
      <c r="BC86" s="1">
        <v>2786</v>
      </c>
      <c r="BF86" s="1">
        <f t="shared" si="40"/>
        <v>1516</v>
      </c>
      <c r="BM86" s="17">
        <v>18.100000000000001</v>
      </c>
      <c r="BN86" s="17">
        <f t="shared" si="44"/>
        <v>36.562000000000005</v>
      </c>
      <c r="BO86" s="18">
        <f t="shared" si="15"/>
        <v>10.6</v>
      </c>
      <c r="BP86" s="18">
        <f t="shared" si="16"/>
        <v>20.65</v>
      </c>
      <c r="BR86" s="1">
        <f t="shared" si="17"/>
        <v>93.3</v>
      </c>
      <c r="BS86" s="1">
        <f t="shared" si="18"/>
        <v>74.3</v>
      </c>
      <c r="BT86" s="1">
        <f t="shared" si="19"/>
        <v>55.9</v>
      </c>
      <c r="BU86" s="60">
        <f t="shared" si="20"/>
        <v>0.34499999999999997</v>
      </c>
      <c r="BV86" s="60">
        <f t="shared" si="41"/>
        <v>0.27200000000000002</v>
      </c>
      <c r="BX86" s="51">
        <f t="shared" si="45"/>
        <v>0</v>
      </c>
      <c r="BY86" s="46">
        <v>0</v>
      </c>
      <c r="BZ86" s="1">
        <v>0</v>
      </c>
      <c r="CB86" s="17">
        <f t="shared" si="46"/>
        <v>10.6</v>
      </c>
      <c r="CC86" s="17">
        <f t="shared" si="47"/>
        <v>20.65</v>
      </c>
      <c r="CD86" s="3">
        <f t="shared" si="48"/>
        <v>-6.8</v>
      </c>
      <c r="CE86" s="3">
        <f t="shared" si="72"/>
        <v>-7.5</v>
      </c>
      <c r="CF86" s="1" t="s">
        <v>218</v>
      </c>
      <c r="CG86" s="3">
        <f t="shared" si="49"/>
        <v>0</v>
      </c>
      <c r="CH86" s="3">
        <f t="shared" si="50"/>
        <v>-0.1</v>
      </c>
      <c r="CI86" s="3">
        <f t="shared" si="51"/>
        <v>0.3</v>
      </c>
      <c r="CJ86" s="3">
        <f t="shared" si="52"/>
        <v>0.9</v>
      </c>
      <c r="CK86" s="27">
        <f t="shared" si="53"/>
        <v>74.3</v>
      </c>
      <c r="CL86" s="1">
        <f t="shared" si="54"/>
        <v>0.2</v>
      </c>
      <c r="CM86" s="1">
        <f t="shared" si="73"/>
        <v>0.7</v>
      </c>
      <c r="CN86" s="1" t="s">
        <v>218</v>
      </c>
      <c r="CO86" s="1">
        <f t="shared" si="55"/>
        <v>0</v>
      </c>
      <c r="CP86" s="1">
        <f t="shared" si="56"/>
        <v>-0.1</v>
      </c>
      <c r="CQ86" s="1">
        <f t="shared" si="57"/>
        <v>0.3</v>
      </c>
      <c r="CR86" s="1">
        <f t="shared" si="58"/>
        <v>0.9</v>
      </c>
      <c r="CS86" s="2">
        <f t="shared" si="59"/>
        <v>93.3</v>
      </c>
      <c r="CT86" s="1">
        <f t="shared" si="60"/>
        <v>-16.2</v>
      </c>
      <c r="CU86" s="1">
        <f t="shared" si="74"/>
        <v>-17.600000000000001</v>
      </c>
      <c r="CV86" s="1" t="s">
        <v>218</v>
      </c>
      <c r="CW86" s="1">
        <f t="shared" si="61"/>
        <v>-0.1</v>
      </c>
      <c r="CX86" s="1">
        <f t="shared" si="62"/>
        <v>-0.1</v>
      </c>
      <c r="CY86" s="1">
        <f t="shared" si="63"/>
        <v>0.3</v>
      </c>
      <c r="CZ86" s="1">
        <f t="shared" si="64"/>
        <v>0.8</v>
      </c>
      <c r="DA86" s="2">
        <f t="shared" si="65"/>
        <v>55.9</v>
      </c>
      <c r="DB86" s="20">
        <f t="shared" si="66"/>
        <v>1516</v>
      </c>
      <c r="DC86" s="1">
        <f>ROUND(PPTest!K86,1)</f>
        <v>0</v>
      </c>
      <c r="DD86" s="27">
        <f t="shared" si="42"/>
        <v>1.55</v>
      </c>
      <c r="DE86" s="3">
        <f t="shared" si="67"/>
        <v>4.71</v>
      </c>
      <c r="DF86" s="24">
        <f t="shared" si="68"/>
        <v>0.34499999999999997</v>
      </c>
      <c r="DG86" s="24">
        <f t="shared" si="69"/>
        <v>0.27200000000000002</v>
      </c>
      <c r="DH86" s="17">
        <f t="shared" si="70"/>
        <v>13.25</v>
      </c>
      <c r="DQ86" s="1">
        <v>2.2000000000000002</v>
      </c>
      <c r="DR86" s="1">
        <v>9.4</v>
      </c>
      <c r="DS86" s="1">
        <v>-5.0999999999999996</v>
      </c>
    </row>
    <row r="87" spans="1:123" x14ac:dyDescent="0.2">
      <c r="A87" s="15">
        <f t="shared" si="71"/>
        <v>36606</v>
      </c>
      <c r="B87" s="1">
        <v>81</v>
      </c>
      <c r="C87" s="1">
        <v>17.59</v>
      </c>
      <c r="D87" s="1">
        <v>30.11</v>
      </c>
      <c r="E87" s="1">
        <v>-0.57399999999999995</v>
      </c>
      <c r="F87" s="1">
        <v>90.8</v>
      </c>
      <c r="G87" s="1">
        <v>-1.19</v>
      </c>
      <c r="I87" s="1">
        <v>0.04</v>
      </c>
      <c r="J87" s="1">
        <v>-1.595</v>
      </c>
      <c r="K87" s="1">
        <v>-0.64</v>
      </c>
      <c r="L87" s="1">
        <v>-0.107</v>
      </c>
      <c r="M87" s="1">
        <v>0.29199999999999998</v>
      </c>
      <c r="N87" s="1">
        <v>0.85799999999999998</v>
      </c>
      <c r="O87" s="1">
        <v>0</v>
      </c>
      <c r="P87" s="2">
        <v>2.1536666666666666</v>
      </c>
      <c r="R87" s="1">
        <v>5.6669999999999998</v>
      </c>
      <c r="S87" s="1">
        <v>1514</v>
      </c>
      <c r="T87" s="1">
        <v>106.9</v>
      </c>
      <c r="U87" s="1">
        <v>1903</v>
      </c>
      <c r="V87" s="1">
        <v>7.54</v>
      </c>
      <c r="X87" s="1">
        <v>7.4999999999999997E-2</v>
      </c>
      <c r="Y87" s="1">
        <v>-1.425</v>
      </c>
      <c r="Z87" s="1">
        <v>8.14</v>
      </c>
      <c r="AA87" s="1">
        <v>-6.7000000000000004E-2</v>
      </c>
      <c r="AB87" s="1">
        <v>0.32500000000000001</v>
      </c>
      <c r="AC87" s="1">
        <v>0.9</v>
      </c>
      <c r="AD87" s="2">
        <v>6.2346666666666666</v>
      </c>
      <c r="AE87" s="1">
        <v>932</v>
      </c>
      <c r="AF87" s="1">
        <v>-4.2430000000000003</v>
      </c>
      <c r="AG87" s="1">
        <v>23</v>
      </c>
      <c r="AH87" s="1">
        <v>60.01</v>
      </c>
      <c r="AI87" s="1">
        <v>1513</v>
      </c>
      <c r="AJ87" s="1">
        <v>-5.649</v>
      </c>
      <c r="AL87" s="1">
        <v>7.0000000000000001E-3</v>
      </c>
      <c r="AM87" s="1">
        <v>-1.6819999999999999</v>
      </c>
      <c r="AN87" s="1">
        <v>-4.774</v>
      </c>
      <c r="AO87" s="1">
        <v>-0.14399999999999999</v>
      </c>
      <c r="AP87" s="1">
        <v>0.248</v>
      </c>
      <c r="AQ87" s="1">
        <v>0.81299999999999994</v>
      </c>
      <c r="AR87" s="1">
        <v>4.4999999999999998E-2</v>
      </c>
      <c r="AS87" s="1">
        <v>0.113</v>
      </c>
      <c r="AT87" s="1">
        <v>9.5000000000000001E-2</v>
      </c>
      <c r="AU87" s="1">
        <v>6.2E-2</v>
      </c>
      <c r="AV87" s="1">
        <v>0.20399999999999999</v>
      </c>
      <c r="AW87" s="1">
        <v>0.35199999999999998</v>
      </c>
      <c r="AX87" s="1">
        <v>0.1</v>
      </c>
      <c r="AY87" s="1">
        <v>0.03</v>
      </c>
      <c r="AZ87" s="1">
        <v>-1.496</v>
      </c>
      <c r="BA87" s="1">
        <v>2035</v>
      </c>
      <c r="BB87" s="1">
        <v>13.26</v>
      </c>
      <c r="BC87" s="1">
        <v>2786</v>
      </c>
      <c r="BF87" s="1">
        <f t="shared" si="40"/>
        <v>1458</v>
      </c>
      <c r="BM87" s="17">
        <v>18.36</v>
      </c>
      <c r="BN87" s="17">
        <f t="shared" si="44"/>
        <v>37.087199999999996</v>
      </c>
      <c r="BO87" s="18">
        <f t="shared" si="15"/>
        <v>17.239999999999998</v>
      </c>
      <c r="BP87" s="18">
        <f t="shared" si="16"/>
        <v>33.119999999999997</v>
      </c>
      <c r="BR87" s="1">
        <f t="shared" si="17"/>
        <v>94.3</v>
      </c>
      <c r="BS87" s="1">
        <f t="shared" si="18"/>
        <v>73.900000000000006</v>
      </c>
      <c r="BT87" s="1">
        <f t="shared" si="19"/>
        <v>46.8</v>
      </c>
      <c r="BU87" s="60">
        <f t="shared" si="20"/>
        <v>0.42699999999999999</v>
      </c>
      <c r="BV87" s="60">
        <f t="shared" si="41"/>
        <v>0.48499999999999999</v>
      </c>
      <c r="BX87" s="51">
        <f t="shared" si="45"/>
        <v>0</v>
      </c>
      <c r="BY87" s="46">
        <v>0</v>
      </c>
      <c r="BZ87" s="1">
        <v>0</v>
      </c>
      <c r="CB87" s="17">
        <f t="shared" si="46"/>
        <v>17.239999999999998</v>
      </c>
      <c r="CC87" s="17">
        <f t="shared" si="47"/>
        <v>33.119999999999997</v>
      </c>
      <c r="CD87" s="3">
        <f t="shared" si="48"/>
        <v>-0.6</v>
      </c>
      <c r="CE87" s="3">
        <f t="shared" si="72"/>
        <v>-1.2</v>
      </c>
      <c r="CF87" s="1" t="s">
        <v>218</v>
      </c>
      <c r="CG87" s="3">
        <f t="shared" si="49"/>
        <v>0</v>
      </c>
      <c r="CH87" s="3">
        <f t="shared" si="50"/>
        <v>-0.1</v>
      </c>
      <c r="CI87" s="3">
        <f t="shared" si="51"/>
        <v>0.3</v>
      </c>
      <c r="CJ87" s="3">
        <f t="shared" si="52"/>
        <v>0.9</v>
      </c>
      <c r="CK87" s="27">
        <f t="shared" si="53"/>
        <v>73.900000000000006</v>
      </c>
      <c r="CL87" s="1">
        <f t="shared" si="54"/>
        <v>5.7</v>
      </c>
      <c r="CM87" s="1">
        <f t="shared" si="73"/>
        <v>7.5</v>
      </c>
      <c r="CN87" s="1" t="s">
        <v>218</v>
      </c>
      <c r="CO87" s="1">
        <f t="shared" si="55"/>
        <v>0.1</v>
      </c>
      <c r="CP87" s="1">
        <f t="shared" si="56"/>
        <v>-0.1</v>
      </c>
      <c r="CQ87" s="1">
        <f t="shared" si="57"/>
        <v>0.3</v>
      </c>
      <c r="CR87" s="1">
        <f t="shared" si="58"/>
        <v>0.9</v>
      </c>
      <c r="CS87" s="2">
        <f t="shared" si="59"/>
        <v>94.3</v>
      </c>
      <c r="CT87" s="1">
        <f t="shared" si="60"/>
        <v>-4.2</v>
      </c>
      <c r="CU87" s="1">
        <f t="shared" si="74"/>
        <v>-5.6</v>
      </c>
      <c r="CV87" s="1" t="s">
        <v>218</v>
      </c>
      <c r="CW87" s="1">
        <f t="shared" si="61"/>
        <v>0</v>
      </c>
      <c r="CX87" s="1">
        <f t="shared" si="62"/>
        <v>-0.1</v>
      </c>
      <c r="CY87" s="1">
        <f t="shared" si="63"/>
        <v>0.2</v>
      </c>
      <c r="CZ87" s="1">
        <f t="shared" si="64"/>
        <v>0.8</v>
      </c>
      <c r="DA87" s="2">
        <f t="shared" si="65"/>
        <v>46.8</v>
      </c>
      <c r="DB87" s="20">
        <f t="shared" si="66"/>
        <v>1458</v>
      </c>
      <c r="DC87" s="1">
        <f>ROUND(PPTest!K87,1)</f>
        <v>0</v>
      </c>
      <c r="DD87" s="27">
        <f t="shared" si="42"/>
        <v>2.15</v>
      </c>
      <c r="DE87" s="3">
        <f t="shared" si="67"/>
        <v>6.23</v>
      </c>
      <c r="DF87" s="24">
        <f t="shared" si="68"/>
        <v>0.42699999999999999</v>
      </c>
      <c r="DG87" s="24">
        <f t="shared" si="69"/>
        <v>0.48499999999999999</v>
      </c>
      <c r="DH87" s="17">
        <f t="shared" si="70"/>
        <v>13.26</v>
      </c>
      <c r="DQ87" s="1">
        <v>6.5</v>
      </c>
      <c r="DR87" s="1">
        <v>13.4</v>
      </c>
      <c r="DS87" s="1">
        <v>-0.4</v>
      </c>
    </row>
    <row r="88" spans="1:123" x14ac:dyDescent="0.2">
      <c r="A88" s="15">
        <f t="shared" si="71"/>
        <v>36607</v>
      </c>
      <c r="B88" s="1">
        <v>82</v>
      </c>
      <c r="C88" s="1">
        <v>4.1529999999999996</v>
      </c>
      <c r="D88" s="1">
        <v>7.7</v>
      </c>
      <c r="E88" s="1">
        <v>0.38100000000000001</v>
      </c>
      <c r="F88" s="1">
        <v>101.7</v>
      </c>
      <c r="G88" s="1">
        <v>-0.38300000000000001</v>
      </c>
      <c r="I88" s="1">
        <v>0.05</v>
      </c>
      <c r="J88" s="1">
        <v>-1.31</v>
      </c>
      <c r="K88" s="1">
        <v>-0.443</v>
      </c>
      <c r="L88" s="1">
        <v>-9.9000000000000005E-2</v>
      </c>
      <c r="M88" s="1">
        <v>0.29799999999999999</v>
      </c>
      <c r="N88" s="1">
        <v>0.86199999999999999</v>
      </c>
      <c r="O88" s="1">
        <v>0</v>
      </c>
      <c r="P88" s="2">
        <v>2.0236666666666663</v>
      </c>
      <c r="R88" s="1">
        <v>2.4209999999999998</v>
      </c>
      <c r="S88" s="1">
        <v>1719</v>
      </c>
      <c r="T88" s="1">
        <v>109.6</v>
      </c>
      <c r="U88" s="1">
        <v>1539</v>
      </c>
      <c r="V88" s="1">
        <v>1.911</v>
      </c>
      <c r="X88" s="1">
        <v>0.108</v>
      </c>
      <c r="Y88" s="1">
        <v>-1.137</v>
      </c>
      <c r="Z88" s="1">
        <v>-0.16200000000000001</v>
      </c>
      <c r="AA88" s="1">
        <v>-5.2999999999999999E-2</v>
      </c>
      <c r="AB88" s="1">
        <v>0.33800000000000002</v>
      </c>
      <c r="AC88" s="1">
        <v>0.90200000000000002</v>
      </c>
      <c r="AD88" s="2">
        <v>6.8479999999999999</v>
      </c>
      <c r="AE88" s="1">
        <v>1008</v>
      </c>
      <c r="AF88" s="1">
        <v>-2.2309999999999999</v>
      </c>
      <c r="AG88" s="1">
        <v>2018</v>
      </c>
      <c r="AH88" s="1">
        <v>80.2</v>
      </c>
      <c r="AI88" s="1">
        <v>332</v>
      </c>
      <c r="AJ88" s="1">
        <v>-5.3179999999999996</v>
      </c>
      <c r="AL88" s="1">
        <v>-4.0000000000000001E-3</v>
      </c>
      <c r="AM88" s="1">
        <v>-1.464</v>
      </c>
      <c r="AN88" s="1">
        <v>-0.68799999999999994</v>
      </c>
      <c r="AO88" s="1">
        <v>-0.121</v>
      </c>
      <c r="AP88" s="1">
        <v>0.27800000000000002</v>
      </c>
      <c r="AQ88" s="1">
        <v>0.84199999999999997</v>
      </c>
      <c r="AR88" s="1">
        <v>6.5000000000000002E-2</v>
      </c>
      <c r="AS88" s="1">
        <v>0.08</v>
      </c>
      <c r="AT88" s="1">
        <v>7.3999999999999996E-2</v>
      </c>
      <c r="AU88" s="1">
        <v>5.6000000000000001E-2</v>
      </c>
      <c r="AV88" s="1">
        <v>0.13400000000000001</v>
      </c>
      <c r="AW88" s="1">
        <v>0.29499999999999998</v>
      </c>
      <c r="AX88" s="1">
        <v>0.2</v>
      </c>
      <c r="AY88" s="1">
        <v>9.6000000000000002E-2</v>
      </c>
      <c r="AZ88" s="1">
        <v>-1.034</v>
      </c>
      <c r="BA88" s="1">
        <v>2026</v>
      </c>
      <c r="BB88" s="1">
        <v>13.24</v>
      </c>
      <c r="BC88" s="1">
        <v>2786</v>
      </c>
      <c r="BF88" s="1">
        <f t="shared" si="40"/>
        <v>1467</v>
      </c>
      <c r="BM88" s="17">
        <v>18.63</v>
      </c>
      <c r="BN88" s="17">
        <f t="shared" si="44"/>
        <v>37.632599999999996</v>
      </c>
      <c r="BO88" s="18">
        <f t="shared" si="15"/>
        <v>4.07</v>
      </c>
      <c r="BP88" s="18">
        <f t="shared" si="16"/>
        <v>8.4700000000000006</v>
      </c>
      <c r="BR88" s="1">
        <f t="shared" si="17"/>
        <v>98.6</v>
      </c>
      <c r="BS88" s="1">
        <f t="shared" si="18"/>
        <v>86</v>
      </c>
      <c r="BT88" s="1">
        <f t="shared" si="19"/>
        <v>64.599999999999994</v>
      </c>
      <c r="BU88" s="60">
        <f t="shared" si="20"/>
        <v>0.47</v>
      </c>
      <c r="BV88" s="60">
        <f t="shared" si="41"/>
        <v>0.25800000000000001</v>
      </c>
      <c r="BX88" s="51">
        <f t="shared" si="45"/>
        <v>7.2799999999999958</v>
      </c>
      <c r="BY88" s="46">
        <v>11.499999999999998</v>
      </c>
      <c r="BZ88" s="1">
        <v>5.1999999999999975</v>
      </c>
      <c r="CB88" s="17">
        <f t="shared" si="46"/>
        <v>4.07</v>
      </c>
      <c r="CC88" s="17">
        <f t="shared" si="47"/>
        <v>8.4700000000000006</v>
      </c>
      <c r="CD88" s="3">
        <f t="shared" si="48"/>
        <v>0.4</v>
      </c>
      <c r="CE88" s="3">
        <f t="shared" si="72"/>
        <v>-0.4</v>
      </c>
      <c r="CF88" s="1" t="s">
        <v>218</v>
      </c>
      <c r="CG88" s="3">
        <f t="shared" si="49"/>
        <v>0.1</v>
      </c>
      <c r="CH88" s="3">
        <f t="shared" si="50"/>
        <v>-0.1</v>
      </c>
      <c r="CI88" s="3">
        <f t="shared" si="51"/>
        <v>0.3</v>
      </c>
      <c r="CJ88" s="3">
        <f t="shared" si="52"/>
        <v>0.9</v>
      </c>
      <c r="CK88" s="27">
        <f t="shared" si="53"/>
        <v>86</v>
      </c>
      <c r="CL88" s="1">
        <f t="shared" si="54"/>
        <v>2.4</v>
      </c>
      <c r="CM88" s="1">
        <f t="shared" si="73"/>
        <v>1.9</v>
      </c>
      <c r="CN88" s="1" t="s">
        <v>218</v>
      </c>
      <c r="CO88" s="1">
        <f t="shared" si="55"/>
        <v>0.1</v>
      </c>
      <c r="CP88" s="1">
        <f t="shared" si="56"/>
        <v>-0.1</v>
      </c>
      <c r="CQ88" s="1">
        <f t="shared" si="57"/>
        <v>0.3</v>
      </c>
      <c r="CR88" s="1">
        <f t="shared" si="58"/>
        <v>0.9</v>
      </c>
      <c r="CS88" s="2">
        <f t="shared" si="59"/>
        <v>98.6</v>
      </c>
      <c r="CT88" s="1">
        <f t="shared" si="60"/>
        <v>-2.2000000000000002</v>
      </c>
      <c r="CU88" s="1">
        <f t="shared" si="74"/>
        <v>-5.3</v>
      </c>
      <c r="CV88" s="1" t="s">
        <v>218</v>
      </c>
      <c r="CW88" s="1">
        <f t="shared" si="61"/>
        <v>0</v>
      </c>
      <c r="CX88" s="1">
        <f t="shared" si="62"/>
        <v>-0.1</v>
      </c>
      <c r="CY88" s="1">
        <f t="shared" si="63"/>
        <v>0.3</v>
      </c>
      <c r="CZ88" s="1">
        <f t="shared" si="64"/>
        <v>0.8</v>
      </c>
      <c r="DA88" s="2">
        <f t="shared" si="65"/>
        <v>64.599999999999994</v>
      </c>
      <c r="DB88" s="20">
        <f t="shared" si="66"/>
        <v>1467</v>
      </c>
      <c r="DC88" s="1">
        <f>ROUND(PPTest!K88,1)</f>
        <v>1.2</v>
      </c>
      <c r="DD88" s="27">
        <f t="shared" si="42"/>
        <v>2.02</v>
      </c>
      <c r="DE88" s="3">
        <f t="shared" si="67"/>
        <v>6.85</v>
      </c>
      <c r="DF88" s="24">
        <f t="shared" si="68"/>
        <v>0.47</v>
      </c>
      <c r="DG88" s="24">
        <f t="shared" si="69"/>
        <v>0.25800000000000001</v>
      </c>
      <c r="DH88" s="17">
        <f t="shared" si="70"/>
        <v>13.24</v>
      </c>
      <c r="DQ88" s="1">
        <v>4.2</v>
      </c>
      <c r="DR88" s="1">
        <v>8.5</v>
      </c>
      <c r="DS88" s="1">
        <v>-0.2</v>
      </c>
    </row>
    <row r="89" spans="1:123" x14ac:dyDescent="0.2">
      <c r="A89" s="15">
        <f t="shared" si="71"/>
        <v>36608</v>
      </c>
      <c r="B89" s="1">
        <v>83</v>
      </c>
      <c r="C89" s="1">
        <v>6.6890000000000001</v>
      </c>
      <c r="D89" s="1">
        <v>11.85</v>
      </c>
      <c r="E89" s="1">
        <v>-2.83</v>
      </c>
      <c r="F89" s="1">
        <v>107.9</v>
      </c>
      <c r="G89" s="1">
        <v>-3.141</v>
      </c>
      <c r="I89" s="1">
        <v>6.8000000000000005E-2</v>
      </c>
      <c r="J89" s="1">
        <v>-1.254</v>
      </c>
      <c r="K89" s="1">
        <v>-1.466</v>
      </c>
      <c r="L89" s="1">
        <v>-8.8999999999999996E-2</v>
      </c>
      <c r="M89" s="1">
        <v>0.30499999999999999</v>
      </c>
      <c r="N89" s="1">
        <v>0.86699999999999999</v>
      </c>
      <c r="O89" s="1">
        <v>0</v>
      </c>
      <c r="P89" s="2">
        <v>2.0326666666666666</v>
      </c>
      <c r="R89" s="1">
        <v>-0.69599999999999995</v>
      </c>
      <c r="S89" s="1">
        <v>1519</v>
      </c>
      <c r="T89" s="1">
        <v>108.9</v>
      </c>
      <c r="U89" s="1">
        <v>333</v>
      </c>
      <c r="V89" s="1">
        <v>2.387</v>
      </c>
      <c r="X89" s="1">
        <v>9.6000000000000002E-2</v>
      </c>
      <c r="Y89" s="1">
        <v>-1.1379999999999999</v>
      </c>
      <c r="Z89" s="1">
        <v>-0.48</v>
      </c>
      <c r="AA89" s="1">
        <v>-6.8000000000000005E-2</v>
      </c>
      <c r="AB89" s="1">
        <v>0.32400000000000001</v>
      </c>
      <c r="AC89" s="1">
        <v>0.88200000000000001</v>
      </c>
      <c r="AD89" s="2">
        <v>4.9813333333333336</v>
      </c>
      <c r="AE89" s="1">
        <v>940</v>
      </c>
      <c r="AF89" s="1">
        <v>-4.4619999999999997</v>
      </c>
      <c r="AG89" s="1">
        <v>2236</v>
      </c>
      <c r="AH89" s="1">
        <v>103.6</v>
      </c>
      <c r="AI89" s="1">
        <v>1522</v>
      </c>
      <c r="AJ89" s="1">
        <v>-6.2969999999999997</v>
      </c>
      <c r="AL89" s="1">
        <v>0.05</v>
      </c>
      <c r="AM89" s="1">
        <v>-1.325</v>
      </c>
      <c r="AN89" s="1">
        <v>-4.0279999999999996</v>
      </c>
      <c r="AO89" s="1">
        <v>-0.108</v>
      </c>
      <c r="AP89" s="1">
        <v>0.29099999999999998</v>
      </c>
      <c r="AQ89" s="1">
        <v>0.85399999999999998</v>
      </c>
      <c r="AR89" s="1">
        <v>0.02</v>
      </c>
      <c r="AS89" s="1">
        <v>4.1000000000000002E-2</v>
      </c>
      <c r="AT89" s="1">
        <v>4.7E-2</v>
      </c>
      <c r="AU89" s="1">
        <v>3.5000000000000003E-2</v>
      </c>
      <c r="AV89" s="1">
        <v>0.13300000000000001</v>
      </c>
      <c r="AW89" s="1">
        <v>0.56999999999999995</v>
      </c>
      <c r="AX89" s="1">
        <v>0.13</v>
      </c>
      <c r="AY89" s="1">
        <v>2.5000000000000001E-2</v>
      </c>
      <c r="AZ89" s="1">
        <v>-0.69099999999999995</v>
      </c>
      <c r="BA89" s="1">
        <v>1981</v>
      </c>
      <c r="BB89" s="1">
        <v>13.26</v>
      </c>
      <c r="BC89" s="1">
        <v>2786</v>
      </c>
      <c r="BF89" s="1">
        <f t="shared" si="40"/>
        <v>1512</v>
      </c>
      <c r="BM89" s="17">
        <v>18.899999999999999</v>
      </c>
      <c r="BN89" s="17">
        <f t="shared" si="44"/>
        <v>38.177999999999997</v>
      </c>
      <c r="BO89" s="18">
        <f t="shared" si="15"/>
        <v>6.56</v>
      </c>
      <c r="BP89" s="18">
        <f t="shared" si="16"/>
        <v>13.04</v>
      </c>
      <c r="BR89" s="1">
        <f t="shared" si="17"/>
        <v>97.5</v>
      </c>
      <c r="BS89" s="1">
        <f t="shared" si="18"/>
        <v>95.9</v>
      </c>
      <c r="BT89" s="1">
        <f t="shared" si="19"/>
        <v>89</v>
      </c>
      <c r="BU89" s="60">
        <f t="shared" si="20"/>
        <v>0.51600000000000001</v>
      </c>
      <c r="BV89" s="60">
        <f t="shared" si="41"/>
        <v>6.4000000000000001E-2</v>
      </c>
      <c r="BX89" s="51">
        <f t="shared" si="45"/>
        <v>5.4599999999999991</v>
      </c>
      <c r="BY89" s="46">
        <v>9.6</v>
      </c>
      <c r="BZ89" s="1">
        <v>3.8999999999999995</v>
      </c>
      <c r="CB89" s="17">
        <f t="shared" si="46"/>
        <v>6.56</v>
      </c>
      <c r="CC89" s="17">
        <f t="shared" si="47"/>
        <v>13.04</v>
      </c>
      <c r="CD89" s="3">
        <f t="shared" si="48"/>
        <v>-2.8</v>
      </c>
      <c r="CE89" s="3">
        <f t="shared" si="72"/>
        <v>-3.1</v>
      </c>
      <c r="CF89" s="1" t="s">
        <v>218</v>
      </c>
      <c r="CG89" s="3">
        <f t="shared" si="49"/>
        <v>0.1</v>
      </c>
      <c r="CH89" s="3">
        <f t="shared" si="50"/>
        <v>-0.1</v>
      </c>
      <c r="CI89" s="3">
        <f t="shared" si="51"/>
        <v>0.3</v>
      </c>
      <c r="CJ89" s="3">
        <f t="shared" si="52"/>
        <v>0.9</v>
      </c>
      <c r="CK89" s="27">
        <f t="shared" si="53"/>
        <v>95.9</v>
      </c>
      <c r="CL89" s="1">
        <f t="shared" si="54"/>
        <v>-0.7</v>
      </c>
      <c r="CM89" s="1">
        <f t="shared" si="73"/>
        <v>2.4</v>
      </c>
      <c r="CN89" s="1" t="s">
        <v>218</v>
      </c>
      <c r="CO89" s="1">
        <f t="shared" si="55"/>
        <v>0.1</v>
      </c>
      <c r="CP89" s="1">
        <f t="shared" si="56"/>
        <v>-0.1</v>
      </c>
      <c r="CQ89" s="1">
        <f t="shared" si="57"/>
        <v>0.3</v>
      </c>
      <c r="CR89" s="1">
        <f t="shared" si="58"/>
        <v>0.9</v>
      </c>
      <c r="CS89" s="2">
        <f t="shared" si="59"/>
        <v>97.5</v>
      </c>
      <c r="CT89" s="1">
        <f t="shared" si="60"/>
        <v>-4.5</v>
      </c>
      <c r="CU89" s="1">
        <f t="shared" si="74"/>
        <v>-6.3</v>
      </c>
      <c r="CV89" s="1" t="s">
        <v>218</v>
      </c>
      <c r="CW89" s="1">
        <f t="shared" si="61"/>
        <v>0.1</v>
      </c>
      <c r="CX89" s="1">
        <f t="shared" si="62"/>
        <v>-0.1</v>
      </c>
      <c r="CY89" s="1">
        <f t="shared" si="63"/>
        <v>0.3</v>
      </c>
      <c r="CZ89" s="1">
        <f t="shared" si="64"/>
        <v>0.9</v>
      </c>
      <c r="DA89" s="2">
        <f t="shared" si="65"/>
        <v>89</v>
      </c>
      <c r="DB89" s="20">
        <f t="shared" si="66"/>
        <v>1512</v>
      </c>
      <c r="DC89" s="1">
        <f>ROUND(PPTest!K89,1)</f>
        <v>5.9</v>
      </c>
      <c r="DD89" s="27">
        <f t="shared" si="42"/>
        <v>2.0299999999999998</v>
      </c>
      <c r="DE89" s="3">
        <f t="shared" si="67"/>
        <v>4.9800000000000004</v>
      </c>
      <c r="DF89" s="24">
        <f t="shared" si="68"/>
        <v>0.51600000000000001</v>
      </c>
      <c r="DG89" s="24">
        <f t="shared" si="69"/>
        <v>6.4000000000000001E-2</v>
      </c>
      <c r="DH89" s="17">
        <f t="shared" si="70"/>
        <v>13.26</v>
      </c>
      <c r="DQ89" s="1">
        <v>6.1</v>
      </c>
      <c r="DR89" s="1">
        <v>11.1</v>
      </c>
      <c r="DS89" s="1">
        <v>1.1000000000000001</v>
      </c>
    </row>
    <row r="90" spans="1:123" x14ac:dyDescent="0.2">
      <c r="A90" s="15">
        <f t="shared" si="71"/>
        <v>36609</v>
      </c>
      <c r="B90" s="1">
        <v>84</v>
      </c>
      <c r="C90" s="1">
        <v>14.24</v>
      </c>
      <c r="D90" s="1">
        <v>24.25</v>
      </c>
      <c r="E90" s="1">
        <v>-2.2970000000000002</v>
      </c>
      <c r="F90" s="1">
        <v>93.4</v>
      </c>
      <c r="G90" s="1">
        <v>-2.5990000000000002</v>
      </c>
      <c r="I90" s="1">
        <v>5.2999999999999999E-2</v>
      </c>
      <c r="J90" s="1">
        <v>-1.3089999999999999</v>
      </c>
      <c r="K90" s="1">
        <v>-1.9690000000000001</v>
      </c>
      <c r="L90" s="1">
        <v>-8.8999999999999996E-2</v>
      </c>
      <c r="M90" s="1">
        <v>0.30499999999999999</v>
      </c>
      <c r="N90" s="1">
        <v>0.86399999999999999</v>
      </c>
      <c r="O90" s="1">
        <v>0</v>
      </c>
      <c r="P90" s="2">
        <v>1.3546666666666667</v>
      </c>
      <c r="R90" s="1">
        <v>2.0289999999999999</v>
      </c>
      <c r="S90" s="1">
        <v>1329</v>
      </c>
      <c r="T90" s="1">
        <v>108.5</v>
      </c>
      <c r="U90" s="1">
        <v>8</v>
      </c>
      <c r="V90" s="1">
        <v>4.9260000000000002</v>
      </c>
      <c r="X90" s="1">
        <v>8.5000000000000006E-2</v>
      </c>
      <c r="Y90" s="1">
        <v>-1.28</v>
      </c>
      <c r="Z90" s="1">
        <v>0.20300000000000001</v>
      </c>
      <c r="AA90" s="1">
        <v>-6.9000000000000006E-2</v>
      </c>
      <c r="AB90" s="1">
        <v>0.32200000000000001</v>
      </c>
      <c r="AC90" s="1">
        <v>0.88300000000000001</v>
      </c>
      <c r="AD90" s="2">
        <v>6.3946666666666667</v>
      </c>
      <c r="AE90" s="1">
        <v>1235</v>
      </c>
      <c r="AF90" s="1">
        <v>-5.1639999999999997</v>
      </c>
      <c r="AG90" s="1">
        <v>628</v>
      </c>
      <c r="AH90" s="1">
        <v>59.86</v>
      </c>
      <c r="AI90" s="1">
        <v>1336</v>
      </c>
      <c r="AJ90" s="1">
        <v>-6.4160000000000004</v>
      </c>
      <c r="AL90" s="1">
        <v>1.9E-2</v>
      </c>
      <c r="AM90" s="1">
        <v>-1.33</v>
      </c>
      <c r="AN90" s="1">
        <v>-5.88</v>
      </c>
      <c r="AO90" s="1">
        <v>-0.104</v>
      </c>
      <c r="AP90" s="1">
        <v>0.28799999999999998</v>
      </c>
      <c r="AQ90" s="1">
        <v>0.84599999999999997</v>
      </c>
      <c r="AR90" s="1">
        <v>7.0000000000000007E-2</v>
      </c>
      <c r="AS90" s="1">
        <v>0.20699999999999999</v>
      </c>
      <c r="AT90" s="1">
        <v>0.23699999999999999</v>
      </c>
      <c r="AU90" s="1">
        <v>0.14499999999999999</v>
      </c>
      <c r="AV90" s="1">
        <v>0.14299999999999999</v>
      </c>
      <c r="AW90" s="1">
        <v>0.115</v>
      </c>
      <c r="AX90" s="1">
        <v>4.1000000000000002E-2</v>
      </c>
      <c r="AY90" s="1">
        <v>4.2000000000000003E-2</v>
      </c>
      <c r="AZ90" s="1">
        <v>-0.78700000000000003</v>
      </c>
      <c r="BA90" s="1">
        <v>2009</v>
      </c>
      <c r="BB90" s="1">
        <v>13.26</v>
      </c>
      <c r="BC90" s="1">
        <v>2786</v>
      </c>
      <c r="BF90" s="1">
        <f t="shared" si="40"/>
        <v>1484</v>
      </c>
      <c r="BM90" s="17">
        <v>19.16</v>
      </c>
      <c r="BN90" s="17">
        <f t="shared" si="44"/>
        <v>38.703200000000002</v>
      </c>
      <c r="BO90" s="18">
        <f t="shared" si="15"/>
        <v>13.96</v>
      </c>
      <c r="BP90" s="18">
        <f t="shared" si="16"/>
        <v>26.68</v>
      </c>
      <c r="BR90" s="1">
        <f t="shared" si="17"/>
        <v>96.8</v>
      </c>
      <c r="BS90" s="1">
        <f t="shared" si="18"/>
        <v>76.2</v>
      </c>
      <c r="BT90" s="1">
        <f t="shared" si="19"/>
        <v>46.7</v>
      </c>
      <c r="BU90" s="60">
        <f t="shared" si="20"/>
        <v>0.33</v>
      </c>
      <c r="BV90" s="60">
        <f t="shared" si="41"/>
        <v>0.377</v>
      </c>
      <c r="BX90" s="51">
        <f t="shared" si="45"/>
        <v>0</v>
      </c>
      <c r="BY90" s="46">
        <v>0</v>
      </c>
      <c r="BZ90" s="1">
        <v>0</v>
      </c>
      <c r="CB90" s="17">
        <f t="shared" si="46"/>
        <v>13.96</v>
      </c>
      <c r="CC90" s="17">
        <f t="shared" si="47"/>
        <v>26.68</v>
      </c>
      <c r="CD90" s="3">
        <f t="shared" si="48"/>
        <v>-2.2999999999999998</v>
      </c>
      <c r="CE90" s="3">
        <f t="shared" si="72"/>
        <v>-2.6</v>
      </c>
      <c r="CF90" s="1" t="s">
        <v>218</v>
      </c>
      <c r="CG90" s="3">
        <f t="shared" si="49"/>
        <v>0.1</v>
      </c>
      <c r="CH90" s="3">
        <f t="shared" si="50"/>
        <v>-0.1</v>
      </c>
      <c r="CI90" s="3">
        <f t="shared" si="51"/>
        <v>0.3</v>
      </c>
      <c r="CJ90" s="3">
        <f t="shared" si="52"/>
        <v>0.9</v>
      </c>
      <c r="CK90" s="27">
        <f t="shared" si="53"/>
        <v>76.2</v>
      </c>
      <c r="CL90" s="1">
        <f t="shared" si="54"/>
        <v>2</v>
      </c>
      <c r="CM90" s="1">
        <f t="shared" si="73"/>
        <v>4.9000000000000004</v>
      </c>
      <c r="CN90" s="1" t="s">
        <v>218</v>
      </c>
      <c r="CO90" s="1">
        <f t="shared" si="55"/>
        <v>0.1</v>
      </c>
      <c r="CP90" s="1">
        <f t="shared" si="56"/>
        <v>-0.1</v>
      </c>
      <c r="CQ90" s="1">
        <f t="shared" si="57"/>
        <v>0.3</v>
      </c>
      <c r="CR90" s="1">
        <f t="shared" si="58"/>
        <v>0.9</v>
      </c>
      <c r="CS90" s="2">
        <f t="shared" si="59"/>
        <v>96.8</v>
      </c>
      <c r="CT90" s="1">
        <f t="shared" si="60"/>
        <v>-5.2</v>
      </c>
      <c r="CU90" s="1">
        <f t="shared" si="74"/>
        <v>-6.4</v>
      </c>
      <c r="CV90" s="1" t="s">
        <v>218</v>
      </c>
      <c r="CW90" s="1">
        <f t="shared" si="61"/>
        <v>0</v>
      </c>
      <c r="CX90" s="1">
        <f t="shared" si="62"/>
        <v>-0.1</v>
      </c>
      <c r="CY90" s="1">
        <f t="shared" si="63"/>
        <v>0.3</v>
      </c>
      <c r="CZ90" s="1">
        <f t="shared" si="64"/>
        <v>0.8</v>
      </c>
      <c r="DA90" s="2">
        <f t="shared" si="65"/>
        <v>46.7</v>
      </c>
      <c r="DB90" s="20">
        <f t="shared" si="66"/>
        <v>1484</v>
      </c>
      <c r="DC90" s="1">
        <f>ROUND(PPTest!K90,1)</f>
        <v>0</v>
      </c>
      <c r="DD90" s="27">
        <f t="shared" si="42"/>
        <v>1.35</v>
      </c>
      <c r="DE90" s="3">
        <f t="shared" si="67"/>
        <v>6.39</v>
      </c>
      <c r="DF90" s="24">
        <f t="shared" si="68"/>
        <v>0.33</v>
      </c>
      <c r="DG90" s="24">
        <f t="shared" si="69"/>
        <v>0.377</v>
      </c>
      <c r="DH90" s="17">
        <f t="shared" si="70"/>
        <v>13.26</v>
      </c>
      <c r="DQ90" s="1">
        <v>6.2</v>
      </c>
      <c r="DR90" s="1">
        <v>11.4</v>
      </c>
      <c r="DS90" s="1">
        <v>0.9</v>
      </c>
    </row>
    <row r="91" spans="1:123" x14ac:dyDescent="0.2">
      <c r="A91" s="15">
        <f t="shared" si="71"/>
        <v>36610</v>
      </c>
      <c r="B91" s="1">
        <v>85</v>
      </c>
      <c r="C91" s="1">
        <v>9.64</v>
      </c>
      <c r="D91" s="1">
        <v>16.57</v>
      </c>
      <c r="E91" s="1">
        <v>-2.9</v>
      </c>
      <c r="F91" s="1">
        <v>99.9</v>
      </c>
      <c r="G91" s="1">
        <v>-3.53</v>
      </c>
      <c r="I91" s="1">
        <v>0.06</v>
      </c>
      <c r="J91" s="1">
        <v>-1.3</v>
      </c>
      <c r="K91" s="1">
        <v>-1.7769999999999999</v>
      </c>
      <c r="L91" s="1">
        <v>-8.6999999999999994E-2</v>
      </c>
      <c r="M91" s="1">
        <v>0.30599999999999999</v>
      </c>
      <c r="N91" s="1">
        <v>0.86199999999999999</v>
      </c>
      <c r="O91" s="1">
        <v>0</v>
      </c>
      <c r="P91" s="2">
        <v>2.0539999999999998</v>
      </c>
      <c r="R91" s="1">
        <v>0.71299999999999997</v>
      </c>
      <c r="S91" s="1">
        <v>1705</v>
      </c>
      <c r="T91" s="1">
        <v>108.5</v>
      </c>
      <c r="U91" s="1">
        <v>2021</v>
      </c>
      <c r="V91" s="1">
        <v>1.964</v>
      </c>
      <c r="X91" s="1">
        <v>8.7999999999999995E-2</v>
      </c>
      <c r="Y91" s="1">
        <v>-1.2430000000000001</v>
      </c>
      <c r="Z91" s="1">
        <v>-0.26300000000000001</v>
      </c>
      <c r="AA91" s="1">
        <v>-6.6000000000000003E-2</v>
      </c>
      <c r="AB91" s="1">
        <v>0.32600000000000001</v>
      </c>
      <c r="AC91" s="1">
        <v>0.88</v>
      </c>
      <c r="AD91" s="2">
        <v>5.2213333333333338</v>
      </c>
      <c r="AE91" s="1">
        <v>1108</v>
      </c>
      <c r="AF91" s="1">
        <v>-10.09</v>
      </c>
      <c r="AG91" s="1">
        <v>2247</v>
      </c>
      <c r="AH91" s="1">
        <v>79.900000000000006</v>
      </c>
      <c r="AI91" s="1">
        <v>432</v>
      </c>
      <c r="AJ91" s="1">
        <v>-11.88</v>
      </c>
      <c r="AL91" s="1">
        <v>1.4E-2</v>
      </c>
      <c r="AM91" s="1">
        <v>-1.339</v>
      </c>
      <c r="AN91" s="1">
        <v>-11.55</v>
      </c>
      <c r="AO91" s="1">
        <v>-0.10299999999999999</v>
      </c>
      <c r="AP91" s="1">
        <v>0.28899999999999998</v>
      </c>
      <c r="AQ91" s="1">
        <v>0.84299999999999997</v>
      </c>
      <c r="AR91" s="1">
        <v>7.0000000000000001E-3</v>
      </c>
      <c r="AS91" s="1">
        <v>0.1</v>
      </c>
      <c r="AT91" s="1">
        <v>0.15</v>
      </c>
      <c r="AU91" s="1">
        <v>5.8999999999999997E-2</v>
      </c>
      <c r="AV91" s="1">
        <v>0.17399999999999999</v>
      </c>
      <c r="AW91" s="1">
        <v>0.40300000000000002</v>
      </c>
      <c r="AX91" s="1">
        <v>9.0999999999999998E-2</v>
      </c>
      <c r="AY91" s="1">
        <v>1.7000000000000001E-2</v>
      </c>
      <c r="AZ91" s="1">
        <v>-0.78900000000000003</v>
      </c>
      <c r="BA91" s="1">
        <v>2003</v>
      </c>
      <c r="BB91" s="1">
        <v>13.26</v>
      </c>
      <c r="BC91" s="1">
        <v>2786</v>
      </c>
      <c r="BF91" s="1">
        <f t="shared" si="40"/>
        <v>1490</v>
      </c>
      <c r="BM91" s="17">
        <v>19.440000000000001</v>
      </c>
      <c r="BN91" s="17">
        <f t="shared" si="44"/>
        <v>39.268800000000006</v>
      </c>
      <c r="BO91" s="18">
        <f t="shared" si="15"/>
        <v>9.4499999999999993</v>
      </c>
      <c r="BP91" s="18">
        <f t="shared" si="16"/>
        <v>18.23</v>
      </c>
      <c r="BR91" s="1">
        <f t="shared" si="17"/>
        <v>96.8</v>
      </c>
      <c r="BS91" s="1">
        <f t="shared" si="18"/>
        <v>83.1</v>
      </c>
      <c r="BT91" s="1">
        <f t="shared" si="19"/>
        <v>64.3</v>
      </c>
      <c r="BU91" s="60">
        <f t="shared" si="20"/>
        <v>0.41299999999999998</v>
      </c>
      <c r="BV91" s="60">
        <f t="shared" si="41"/>
        <v>0.22900000000000001</v>
      </c>
      <c r="BX91" s="51">
        <f t="shared" si="45"/>
        <v>2.8</v>
      </c>
      <c r="BY91" s="46">
        <v>0</v>
      </c>
      <c r="BZ91" s="1">
        <v>2</v>
      </c>
      <c r="CB91" s="17">
        <f t="shared" si="46"/>
        <v>9.4499999999999993</v>
      </c>
      <c r="CC91" s="17">
        <f t="shared" si="47"/>
        <v>18.23</v>
      </c>
      <c r="CD91" s="3">
        <f t="shared" si="48"/>
        <v>-2.9</v>
      </c>
      <c r="CE91" s="3">
        <f t="shared" si="72"/>
        <v>-3.5</v>
      </c>
      <c r="CF91" s="1" t="s">
        <v>218</v>
      </c>
      <c r="CG91" s="3">
        <f t="shared" si="49"/>
        <v>0.1</v>
      </c>
      <c r="CH91" s="3">
        <f t="shared" si="50"/>
        <v>-0.1</v>
      </c>
      <c r="CI91" s="3">
        <f t="shared" si="51"/>
        <v>0.3</v>
      </c>
      <c r="CJ91" s="3">
        <f t="shared" si="52"/>
        <v>0.9</v>
      </c>
      <c r="CK91" s="27">
        <f t="shared" si="53"/>
        <v>83.1</v>
      </c>
      <c r="CL91" s="1">
        <f t="shared" si="54"/>
        <v>0.7</v>
      </c>
      <c r="CM91" s="1">
        <f t="shared" si="73"/>
        <v>2</v>
      </c>
      <c r="CN91" s="1" t="s">
        <v>218</v>
      </c>
      <c r="CO91" s="1">
        <f t="shared" si="55"/>
        <v>0.1</v>
      </c>
      <c r="CP91" s="1">
        <f t="shared" si="56"/>
        <v>-0.1</v>
      </c>
      <c r="CQ91" s="1">
        <f t="shared" si="57"/>
        <v>0.3</v>
      </c>
      <c r="CR91" s="1">
        <f t="shared" si="58"/>
        <v>0.9</v>
      </c>
      <c r="CS91" s="2">
        <f t="shared" si="59"/>
        <v>96.8</v>
      </c>
      <c r="CT91" s="1">
        <f t="shared" si="60"/>
        <v>-10.1</v>
      </c>
      <c r="CU91" s="1">
        <f t="shared" si="74"/>
        <v>-11.9</v>
      </c>
      <c r="CV91" s="1" t="s">
        <v>218</v>
      </c>
      <c r="CW91" s="1">
        <f t="shared" si="61"/>
        <v>0</v>
      </c>
      <c r="CX91" s="1">
        <f t="shared" si="62"/>
        <v>-0.1</v>
      </c>
      <c r="CY91" s="1">
        <f t="shared" si="63"/>
        <v>0.3</v>
      </c>
      <c r="CZ91" s="1">
        <f t="shared" si="64"/>
        <v>0.8</v>
      </c>
      <c r="DA91" s="2">
        <f t="shared" si="65"/>
        <v>64.3</v>
      </c>
      <c r="DB91" s="20">
        <f t="shared" si="66"/>
        <v>1490</v>
      </c>
      <c r="DC91" s="1">
        <f>ROUND(PPTest!K91,1)</f>
        <v>0.8</v>
      </c>
      <c r="DD91" s="27">
        <f t="shared" si="42"/>
        <v>2.0499999999999998</v>
      </c>
      <c r="DE91" s="3">
        <f t="shared" si="67"/>
        <v>5.22</v>
      </c>
      <c r="DF91" s="24">
        <f t="shared" si="68"/>
        <v>0.41299999999999998</v>
      </c>
      <c r="DG91" s="24">
        <f t="shared" si="69"/>
        <v>0.22900000000000001</v>
      </c>
      <c r="DH91" s="17">
        <f t="shared" si="70"/>
        <v>13.26</v>
      </c>
      <c r="DQ91" s="1">
        <v>6</v>
      </c>
      <c r="DR91" s="1">
        <v>13.2</v>
      </c>
      <c r="DS91" s="1">
        <v>-1.2</v>
      </c>
    </row>
    <row r="92" spans="1:123" x14ac:dyDescent="0.2">
      <c r="A92" s="15">
        <f t="shared" si="71"/>
        <v>36611</v>
      </c>
      <c r="B92" s="1">
        <v>86</v>
      </c>
      <c r="C92" s="1">
        <v>19.03</v>
      </c>
      <c r="D92" s="1">
        <v>32.6</v>
      </c>
      <c r="E92" s="1">
        <v>-1.3919999999999999</v>
      </c>
      <c r="F92" s="1">
        <v>79.900000000000006</v>
      </c>
      <c r="G92" s="1">
        <v>-2.2360000000000002</v>
      </c>
      <c r="I92" s="1">
        <v>3.2000000000000001E-2</v>
      </c>
      <c r="J92" s="1">
        <v>-1.1579999999999999</v>
      </c>
      <c r="K92" s="1">
        <v>-2.5470000000000002</v>
      </c>
      <c r="L92" s="1">
        <v>-9.2999999999999999E-2</v>
      </c>
      <c r="M92" s="1">
        <v>0.3</v>
      </c>
      <c r="N92" s="1">
        <v>0.85299999999999998</v>
      </c>
      <c r="O92" s="1">
        <v>0</v>
      </c>
      <c r="P92" s="2">
        <v>1.7910000000000001</v>
      </c>
      <c r="R92" s="1">
        <v>7.08</v>
      </c>
      <c r="S92" s="1">
        <v>1635</v>
      </c>
      <c r="T92" s="1">
        <v>108.5</v>
      </c>
      <c r="U92" s="1">
        <v>242</v>
      </c>
      <c r="V92" s="1">
        <v>7.78</v>
      </c>
      <c r="X92" s="1">
        <v>7.8E-2</v>
      </c>
      <c r="Y92" s="1">
        <v>-0.98499999999999999</v>
      </c>
      <c r="Z92" s="1">
        <v>9.67</v>
      </c>
      <c r="AA92" s="1">
        <v>-6.7000000000000004E-2</v>
      </c>
      <c r="AB92" s="1">
        <v>0.32200000000000001</v>
      </c>
      <c r="AC92" s="1">
        <v>0.878</v>
      </c>
      <c r="AD92" s="2">
        <v>5.1146666666666665</v>
      </c>
      <c r="AE92" s="1">
        <v>1237</v>
      </c>
      <c r="AF92" s="1">
        <v>-12.62</v>
      </c>
      <c r="AG92" s="1">
        <v>423</v>
      </c>
      <c r="AH92" s="1">
        <v>46.85</v>
      </c>
      <c r="AI92" s="1">
        <v>1211</v>
      </c>
      <c r="AJ92" s="1">
        <v>-14.11</v>
      </c>
      <c r="AL92" s="1">
        <v>-0.02</v>
      </c>
      <c r="AM92" s="1">
        <v>-1.254</v>
      </c>
      <c r="AN92" s="1">
        <v>-14.29</v>
      </c>
      <c r="AO92" s="1">
        <v>-0.113</v>
      </c>
      <c r="AP92" s="1">
        <v>0.28199999999999997</v>
      </c>
      <c r="AQ92" s="1">
        <v>0.83399999999999996</v>
      </c>
      <c r="AR92" s="1">
        <v>3.6999999999999998E-2</v>
      </c>
      <c r="AS92" s="1">
        <v>0.17399999999999999</v>
      </c>
      <c r="AT92" s="1">
        <v>0.38800000000000001</v>
      </c>
      <c r="AU92" s="1">
        <v>0.154</v>
      </c>
      <c r="AV92" s="1">
        <v>0.104</v>
      </c>
      <c r="AW92" s="1">
        <v>7.9000000000000001E-2</v>
      </c>
      <c r="AX92" s="1">
        <v>2.9000000000000001E-2</v>
      </c>
      <c r="AY92" s="1">
        <v>3.4000000000000002E-2</v>
      </c>
      <c r="AZ92" s="1">
        <v>-1.163</v>
      </c>
      <c r="BA92" s="1">
        <v>2058</v>
      </c>
      <c r="BB92" s="1">
        <v>13.29</v>
      </c>
      <c r="BC92" s="1">
        <v>2786</v>
      </c>
      <c r="BF92" s="1">
        <f t="shared" si="40"/>
        <v>1435</v>
      </c>
      <c r="BM92" s="17">
        <v>19.7</v>
      </c>
      <c r="BN92" s="17">
        <f t="shared" si="44"/>
        <v>39.793999999999997</v>
      </c>
      <c r="BO92" s="18">
        <f t="shared" si="15"/>
        <v>18.649999999999999</v>
      </c>
      <c r="BP92" s="18">
        <f t="shared" si="16"/>
        <v>35.86</v>
      </c>
      <c r="BR92" s="1">
        <f t="shared" si="17"/>
        <v>96.8</v>
      </c>
      <c r="BS92" s="1">
        <f t="shared" si="18"/>
        <v>64.3</v>
      </c>
      <c r="BT92" s="1">
        <f t="shared" si="19"/>
        <v>35.200000000000003</v>
      </c>
      <c r="BU92" s="60">
        <f t="shared" si="20"/>
        <v>0.35399999999999998</v>
      </c>
      <c r="BV92" s="60">
        <f t="shared" si="41"/>
        <v>0.65200000000000002</v>
      </c>
      <c r="BX92" s="51">
        <f t="shared" si="45"/>
        <v>0</v>
      </c>
      <c r="BY92" s="46">
        <v>0</v>
      </c>
      <c r="BZ92" s="1">
        <v>0</v>
      </c>
      <c r="CB92" s="17">
        <f t="shared" si="46"/>
        <v>18.649999999999999</v>
      </c>
      <c r="CC92" s="17">
        <f t="shared" si="47"/>
        <v>35.86</v>
      </c>
      <c r="CD92" s="3">
        <f t="shared" si="48"/>
        <v>-1.4</v>
      </c>
      <c r="CE92" s="3">
        <f t="shared" si="72"/>
        <v>-2.2000000000000002</v>
      </c>
      <c r="CF92" s="1" t="s">
        <v>218</v>
      </c>
      <c r="CG92" s="3">
        <f t="shared" si="49"/>
        <v>0</v>
      </c>
      <c r="CH92" s="3">
        <f t="shared" si="50"/>
        <v>-0.1</v>
      </c>
      <c r="CI92" s="3">
        <f t="shared" si="51"/>
        <v>0.3</v>
      </c>
      <c r="CJ92" s="3">
        <f t="shared" si="52"/>
        <v>0.9</v>
      </c>
      <c r="CK92" s="27">
        <f t="shared" si="53"/>
        <v>64.3</v>
      </c>
      <c r="CL92" s="1">
        <f t="shared" si="54"/>
        <v>7.1</v>
      </c>
      <c r="CM92" s="1">
        <f t="shared" si="73"/>
        <v>7.8</v>
      </c>
      <c r="CN92" s="1" t="s">
        <v>218</v>
      </c>
      <c r="CO92" s="1">
        <f t="shared" si="55"/>
        <v>0.1</v>
      </c>
      <c r="CP92" s="1">
        <f t="shared" si="56"/>
        <v>-0.1</v>
      </c>
      <c r="CQ92" s="1">
        <f t="shared" si="57"/>
        <v>0.3</v>
      </c>
      <c r="CR92" s="1">
        <f t="shared" si="58"/>
        <v>0.9</v>
      </c>
      <c r="CS92" s="2">
        <f t="shared" si="59"/>
        <v>96.8</v>
      </c>
      <c r="CT92" s="1">
        <f t="shared" si="60"/>
        <v>-12.6</v>
      </c>
      <c r="CU92" s="1">
        <f t="shared" si="74"/>
        <v>-14.1</v>
      </c>
      <c r="CV92" s="1" t="s">
        <v>218</v>
      </c>
      <c r="CW92" s="1">
        <f t="shared" si="61"/>
        <v>0</v>
      </c>
      <c r="CX92" s="1">
        <f t="shared" si="62"/>
        <v>-0.1</v>
      </c>
      <c r="CY92" s="1">
        <f t="shared" si="63"/>
        <v>0.3</v>
      </c>
      <c r="CZ92" s="1">
        <f t="shared" si="64"/>
        <v>0.8</v>
      </c>
      <c r="DA92" s="2">
        <f t="shared" si="65"/>
        <v>35.200000000000003</v>
      </c>
      <c r="DB92" s="20">
        <f t="shared" si="66"/>
        <v>1435</v>
      </c>
      <c r="DC92" s="1">
        <f>ROUND(PPTest!K92,1)</f>
        <v>0</v>
      </c>
      <c r="DD92" s="27">
        <f t="shared" si="42"/>
        <v>1.79</v>
      </c>
      <c r="DE92" s="3">
        <f t="shared" si="67"/>
        <v>5.1100000000000003</v>
      </c>
      <c r="DF92" s="24">
        <f t="shared" si="68"/>
        <v>0.35399999999999998</v>
      </c>
      <c r="DG92" s="24">
        <f t="shared" si="69"/>
        <v>0.65200000000000002</v>
      </c>
      <c r="DH92" s="17">
        <f t="shared" si="70"/>
        <v>13.29</v>
      </c>
      <c r="DQ92" s="1">
        <v>7.2</v>
      </c>
      <c r="DR92" s="1">
        <v>15.6</v>
      </c>
      <c r="DS92" s="1">
        <v>-1.2</v>
      </c>
    </row>
    <row r="93" spans="1:123" x14ac:dyDescent="0.2">
      <c r="A93" s="15">
        <f t="shared" si="71"/>
        <v>36612</v>
      </c>
      <c r="B93" s="1">
        <v>87</v>
      </c>
      <c r="C93" s="1">
        <v>9.0299999999999994</v>
      </c>
      <c r="D93" s="1">
        <v>15.99</v>
      </c>
      <c r="E93" s="1">
        <v>0.53</v>
      </c>
      <c r="F93" s="1">
        <v>91.3</v>
      </c>
      <c r="G93" s="1">
        <v>-0.23400000000000001</v>
      </c>
      <c r="I93" s="1">
        <v>7.0000000000000007E-2</v>
      </c>
      <c r="J93" s="1">
        <v>-0.96299999999999997</v>
      </c>
      <c r="K93" s="1">
        <v>1.1439999999999999</v>
      </c>
      <c r="L93" s="1">
        <v>-8.5999999999999993E-2</v>
      </c>
      <c r="M93" s="1">
        <v>0.30599999999999999</v>
      </c>
      <c r="N93" s="1">
        <v>0.85599999999999998</v>
      </c>
      <c r="O93" s="1">
        <v>0</v>
      </c>
      <c r="P93" s="2">
        <v>1.5666666666666667</v>
      </c>
      <c r="R93" s="1">
        <v>4.3840000000000003</v>
      </c>
      <c r="S93" s="1">
        <v>1118</v>
      </c>
      <c r="T93" s="1">
        <v>109.4</v>
      </c>
      <c r="U93" s="1">
        <v>2105</v>
      </c>
      <c r="V93" s="1">
        <v>5.1929999999999996</v>
      </c>
      <c r="X93" s="1">
        <v>0.112</v>
      </c>
      <c r="Y93" s="1">
        <v>-0.89200000000000002</v>
      </c>
      <c r="Z93" s="1">
        <v>5.7290000000000001</v>
      </c>
      <c r="AA93" s="1">
        <v>-6.0999999999999999E-2</v>
      </c>
      <c r="AB93" s="1">
        <v>0.33100000000000002</v>
      </c>
      <c r="AC93" s="1">
        <v>0.877</v>
      </c>
      <c r="AD93" s="2">
        <v>6.3680000000000003</v>
      </c>
      <c r="AE93" s="1">
        <v>2004</v>
      </c>
      <c r="AF93" s="1">
        <v>-4.5570000000000004</v>
      </c>
      <c r="AG93" s="1">
        <v>0</v>
      </c>
      <c r="AH93" s="1">
        <v>62.24</v>
      </c>
      <c r="AI93" s="1">
        <v>1120</v>
      </c>
      <c r="AJ93" s="1">
        <v>-7.38</v>
      </c>
      <c r="AL93" s="1">
        <v>0.03</v>
      </c>
      <c r="AM93" s="1">
        <v>-1.016</v>
      </c>
      <c r="AN93" s="1">
        <v>-0.85799999999999998</v>
      </c>
      <c r="AO93" s="1">
        <v>-0.104</v>
      </c>
      <c r="AP93" s="1">
        <v>0.29199999999999998</v>
      </c>
      <c r="AQ93" s="1">
        <v>0.83799999999999997</v>
      </c>
      <c r="AR93" s="1">
        <v>7.3999999999999996E-2</v>
      </c>
      <c r="AS93" s="1">
        <v>0.109</v>
      </c>
      <c r="AT93" s="1">
        <v>0.11799999999999999</v>
      </c>
      <c r="AU93" s="1">
        <v>7.8E-2</v>
      </c>
      <c r="AV93" s="1">
        <v>0.16900000000000001</v>
      </c>
      <c r="AW93" s="1">
        <v>0.309</v>
      </c>
      <c r="AX93" s="1">
        <v>0.104</v>
      </c>
      <c r="AY93" s="1">
        <v>3.9E-2</v>
      </c>
      <c r="AZ93" s="1">
        <v>-0.89300000000000002</v>
      </c>
      <c r="BA93" s="1">
        <v>2037</v>
      </c>
      <c r="BB93" s="1">
        <v>13.25</v>
      </c>
      <c r="BC93" s="1">
        <v>2786</v>
      </c>
      <c r="BF93" s="1">
        <f t="shared" si="40"/>
        <v>1456</v>
      </c>
      <c r="BM93" s="17">
        <v>19.97</v>
      </c>
      <c r="BN93" s="17">
        <f t="shared" si="44"/>
        <v>40.339399999999998</v>
      </c>
      <c r="BO93" s="18">
        <f t="shared" si="15"/>
        <v>8.85</v>
      </c>
      <c r="BP93" s="18">
        <f t="shared" si="16"/>
        <v>17.59</v>
      </c>
      <c r="BR93" s="1">
        <f t="shared" si="17"/>
        <v>98.2</v>
      </c>
      <c r="BS93" s="1">
        <f t="shared" si="18"/>
        <v>74.3</v>
      </c>
      <c r="BT93" s="1">
        <f t="shared" si="19"/>
        <v>48.8</v>
      </c>
      <c r="BU93" s="60">
        <f t="shared" si="20"/>
        <v>0.40799999999999997</v>
      </c>
      <c r="BV93" s="60">
        <f t="shared" si="41"/>
        <v>0.42799999999999999</v>
      </c>
      <c r="BX93" s="51">
        <f t="shared" si="45"/>
        <v>0</v>
      </c>
      <c r="BY93" s="46">
        <v>0</v>
      </c>
      <c r="BZ93" s="1">
        <v>0</v>
      </c>
      <c r="CB93" s="17">
        <f t="shared" si="46"/>
        <v>8.85</v>
      </c>
      <c r="CC93" s="17">
        <f t="shared" si="47"/>
        <v>17.59</v>
      </c>
      <c r="CD93" s="3">
        <f t="shared" si="48"/>
        <v>0.5</v>
      </c>
      <c r="CE93" s="3">
        <f t="shared" si="72"/>
        <v>-0.2</v>
      </c>
      <c r="CF93" s="1" t="s">
        <v>218</v>
      </c>
      <c r="CG93" s="3">
        <f t="shared" si="49"/>
        <v>0.1</v>
      </c>
      <c r="CH93" s="3">
        <f t="shared" si="50"/>
        <v>-0.1</v>
      </c>
      <c r="CI93" s="3">
        <f t="shared" si="51"/>
        <v>0.3</v>
      </c>
      <c r="CJ93" s="3">
        <f t="shared" si="52"/>
        <v>0.9</v>
      </c>
      <c r="CK93" s="27">
        <f t="shared" si="53"/>
        <v>74.3</v>
      </c>
      <c r="CL93" s="1">
        <f t="shared" si="54"/>
        <v>4.4000000000000004</v>
      </c>
      <c r="CM93" s="1">
        <f t="shared" si="73"/>
        <v>5.2</v>
      </c>
      <c r="CN93" s="1" t="s">
        <v>218</v>
      </c>
      <c r="CO93" s="1">
        <f t="shared" si="55"/>
        <v>0.1</v>
      </c>
      <c r="CP93" s="1">
        <f t="shared" si="56"/>
        <v>-0.1</v>
      </c>
      <c r="CQ93" s="1">
        <f t="shared" si="57"/>
        <v>0.3</v>
      </c>
      <c r="CR93" s="1">
        <f t="shared" si="58"/>
        <v>0.9</v>
      </c>
      <c r="CS93" s="2">
        <f t="shared" si="59"/>
        <v>98.2</v>
      </c>
      <c r="CT93" s="1">
        <f t="shared" si="60"/>
        <v>-4.5999999999999996</v>
      </c>
      <c r="CU93" s="1">
        <f t="shared" si="74"/>
        <v>-7.4</v>
      </c>
      <c r="CV93" s="1" t="s">
        <v>218</v>
      </c>
      <c r="CW93" s="1">
        <f t="shared" si="61"/>
        <v>0</v>
      </c>
      <c r="CX93" s="1">
        <f t="shared" si="62"/>
        <v>-0.1</v>
      </c>
      <c r="CY93" s="1">
        <f t="shared" si="63"/>
        <v>0.3</v>
      </c>
      <c r="CZ93" s="1">
        <f t="shared" si="64"/>
        <v>0.8</v>
      </c>
      <c r="DA93" s="2">
        <f t="shared" si="65"/>
        <v>48.8</v>
      </c>
      <c r="DB93" s="20">
        <f t="shared" si="66"/>
        <v>1456</v>
      </c>
      <c r="DC93" s="1">
        <f>ROUND(PPTest!K93,1)</f>
        <v>2.7</v>
      </c>
      <c r="DD93" s="27">
        <f t="shared" si="42"/>
        <v>1.57</v>
      </c>
      <c r="DE93" s="3">
        <f t="shared" si="67"/>
        <v>6.37</v>
      </c>
      <c r="DF93" s="24">
        <f t="shared" si="68"/>
        <v>0.40799999999999997</v>
      </c>
      <c r="DG93" s="24">
        <f t="shared" si="69"/>
        <v>0.42799999999999999</v>
      </c>
      <c r="DH93" s="17">
        <f t="shared" si="70"/>
        <v>13.25</v>
      </c>
      <c r="DQ93" s="1">
        <v>6.1</v>
      </c>
      <c r="DR93" s="1">
        <v>12.2</v>
      </c>
      <c r="DS93" s="1">
        <v>0</v>
      </c>
    </row>
    <row r="94" spans="1:123" x14ac:dyDescent="0.2">
      <c r="A94" s="15">
        <f t="shared" si="71"/>
        <v>36613</v>
      </c>
      <c r="B94" s="1">
        <v>88</v>
      </c>
      <c r="C94" s="1">
        <v>11.3</v>
      </c>
      <c r="D94" s="1">
        <v>19.45</v>
      </c>
      <c r="E94" s="1">
        <v>-2.4620000000000002</v>
      </c>
      <c r="F94" s="1">
        <v>99.1</v>
      </c>
      <c r="G94" s="1">
        <v>-2.8860000000000001</v>
      </c>
      <c r="I94" s="1">
        <v>7.3999999999999996E-2</v>
      </c>
      <c r="J94" s="1">
        <v>-0.95399999999999996</v>
      </c>
      <c r="K94" s="1">
        <v>-1.038</v>
      </c>
      <c r="L94" s="1">
        <v>-7.8E-2</v>
      </c>
      <c r="M94" s="1">
        <v>0.313</v>
      </c>
      <c r="N94" s="1">
        <v>0.85899999999999999</v>
      </c>
      <c r="O94" s="1">
        <v>0</v>
      </c>
      <c r="P94" s="2">
        <v>1.5996666666666666</v>
      </c>
      <c r="R94" s="1">
        <v>2.0859999999999999</v>
      </c>
      <c r="S94" s="1">
        <v>1526</v>
      </c>
      <c r="T94" s="1">
        <v>108.8</v>
      </c>
      <c r="U94" s="1">
        <v>532</v>
      </c>
      <c r="V94" s="1">
        <v>3.4260000000000002</v>
      </c>
      <c r="X94" s="1">
        <v>0.1</v>
      </c>
      <c r="Y94" s="1">
        <v>-0.91600000000000004</v>
      </c>
      <c r="Z94" s="1">
        <v>-2.5000000000000001E-2</v>
      </c>
      <c r="AA94" s="1">
        <v>-0.06</v>
      </c>
      <c r="AB94" s="1">
        <v>0.33200000000000002</v>
      </c>
      <c r="AC94" s="1">
        <v>0.88100000000000001</v>
      </c>
      <c r="AD94" s="2">
        <v>4.4480000000000004</v>
      </c>
      <c r="AE94" s="1">
        <v>1820</v>
      </c>
      <c r="AF94" s="1">
        <v>-6.2949999999999999</v>
      </c>
      <c r="AG94" s="1">
        <v>58</v>
      </c>
      <c r="AH94" s="1">
        <v>67.8</v>
      </c>
      <c r="AI94" s="1">
        <v>1527</v>
      </c>
      <c r="AJ94" s="1">
        <v>-8.6</v>
      </c>
      <c r="AL94" s="1">
        <v>5.0999999999999997E-2</v>
      </c>
      <c r="AM94" s="1">
        <v>-0.999</v>
      </c>
      <c r="AN94" s="1">
        <v>-3.528</v>
      </c>
      <c r="AO94" s="1">
        <v>-9.7000000000000003E-2</v>
      </c>
      <c r="AP94" s="1">
        <v>0.29499999999999998</v>
      </c>
      <c r="AQ94" s="1">
        <v>0.84499999999999997</v>
      </c>
      <c r="AR94" s="1">
        <v>0.03</v>
      </c>
      <c r="AS94" s="1">
        <v>0.10100000000000001</v>
      </c>
      <c r="AT94" s="1">
        <v>0.11799999999999999</v>
      </c>
      <c r="AU94" s="1">
        <v>2.9000000000000001E-2</v>
      </c>
      <c r="AV94" s="1">
        <v>0.13500000000000001</v>
      </c>
      <c r="AW94" s="1">
        <v>0.42599999999999999</v>
      </c>
      <c r="AX94" s="1">
        <v>0.13300000000000001</v>
      </c>
      <c r="AY94" s="1">
        <v>2.7E-2</v>
      </c>
      <c r="AZ94" s="1">
        <v>-0.65200000000000002</v>
      </c>
      <c r="BA94" s="1">
        <v>2057</v>
      </c>
      <c r="BB94" s="1">
        <v>13.26</v>
      </c>
      <c r="BC94" s="1">
        <v>2786</v>
      </c>
      <c r="BF94" s="1">
        <f t="shared" si="40"/>
        <v>1436</v>
      </c>
      <c r="BM94" s="17">
        <v>20.239999999999998</v>
      </c>
      <c r="BN94" s="17">
        <f t="shared" si="44"/>
        <v>40.884799999999998</v>
      </c>
      <c r="BO94" s="18">
        <f t="shared" si="15"/>
        <v>11.07</v>
      </c>
      <c r="BP94" s="18">
        <f t="shared" si="16"/>
        <v>21.4</v>
      </c>
      <c r="BR94" s="1">
        <f t="shared" si="17"/>
        <v>97.3</v>
      </c>
      <c r="BS94" s="1">
        <f t="shared" si="18"/>
        <v>81.900000000000006</v>
      </c>
      <c r="BT94" s="1">
        <f t="shared" si="19"/>
        <v>53.7</v>
      </c>
      <c r="BU94" s="60">
        <f t="shared" si="20"/>
        <v>0.38100000000000001</v>
      </c>
      <c r="BV94" s="60">
        <f t="shared" si="41"/>
        <v>0.32800000000000001</v>
      </c>
      <c r="BX94" s="51">
        <f t="shared" si="45"/>
        <v>0</v>
      </c>
      <c r="BY94" s="46">
        <v>0</v>
      </c>
      <c r="BZ94" s="1">
        <v>0</v>
      </c>
      <c r="CB94" s="17">
        <f t="shared" si="46"/>
        <v>11.07</v>
      </c>
      <c r="CC94" s="17">
        <f t="shared" si="47"/>
        <v>21.4</v>
      </c>
      <c r="CD94" s="3">
        <f t="shared" si="48"/>
        <v>-2.5</v>
      </c>
      <c r="CE94" s="3">
        <f t="shared" si="72"/>
        <v>-2.9</v>
      </c>
      <c r="CF94" s="1" t="s">
        <v>218</v>
      </c>
      <c r="CG94" s="3">
        <f t="shared" si="49"/>
        <v>0.1</v>
      </c>
      <c r="CH94" s="3">
        <f t="shared" si="50"/>
        <v>-0.1</v>
      </c>
      <c r="CI94" s="3">
        <f t="shared" si="51"/>
        <v>0.3</v>
      </c>
      <c r="CJ94" s="3">
        <f t="shared" si="52"/>
        <v>0.9</v>
      </c>
      <c r="CK94" s="27">
        <f t="shared" si="53"/>
        <v>81.900000000000006</v>
      </c>
      <c r="CL94" s="1">
        <f t="shared" si="54"/>
        <v>2.1</v>
      </c>
      <c r="CM94" s="1">
        <f t="shared" si="73"/>
        <v>3.4</v>
      </c>
      <c r="CN94" s="1" t="s">
        <v>218</v>
      </c>
      <c r="CO94" s="1">
        <f t="shared" si="55"/>
        <v>0.1</v>
      </c>
      <c r="CP94" s="1">
        <f t="shared" si="56"/>
        <v>-0.1</v>
      </c>
      <c r="CQ94" s="1">
        <f t="shared" si="57"/>
        <v>0.3</v>
      </c>
      <c r="CR94" s="1">
        <f t="shared" si="58"/>
        <v>0.9</v>
      </c>
      <c r="CS94" s="2">
        <f t="shared" si="59"/>
        <v>97.3</v>
      </c>
      <c r="CT94" s="1">
        <f t="shared" si="60"/>
        <v>-6.3</v>
      </c>
      <c r="CU94" s="1">
        <f t="shared" si="74"/>
        <v>-8.6</v>
      </c>
      <c r="CV94" s="1" t="s">
        <v>218</v>
      </c>
      <c r="CW94" s="1">
        <f t="shared" si="61"/>
        <v>0.1</v>
      </c>
      <c r="CX94" s="1">
        <f t="shared" si="62"/>
        <v>-0.1</v>
      </c>
      <c r="CY94" s="1">
        <f t="shared" si="63"/>
        <v>0.3</v>
      </c>
      <c r="CZ94" s="1">
        <f t="shared" si="64"/>
        <v>0.8</v>
      </c>
      <c r="DA94" s="2">
        <f t="shared" si="65"/>
        <v>53.7</v>
      </c>
      <c r="DB94" s="20">
        <f t="shared" si="66"/>
        <v>1436</v>
      </c>
      <c r="DC94" s="1">
        <f>ROUND(PPTest!K94,1)</f>
        <v>0</v>
      </c>
      <c r="DD94" s="27">
        <f t="shared" si="42"/>
        <v>1.6</v>
      </c>
      <c r="DE94" s="3">
        <f t="shared" si="67"/>
        <v>4.45</v>
      </c>
      <c r="DF94" s="24">
        <f t="shared" si="68"/>
        <v>0.38100000000000001</v>
      </c>
      <c r="DG94" s="24">
        <f t="shared" si="69"/>
        <v>0.32800000000000001</v>
      </c>
      <c r="DH94" s="17">
        <f t="shared" si="70"/>
        <v>13.26</v>
      </c>
      <c r="DQ94" s="1">
        <v>8.6</v>
      </c>
      <c r="DR94" s="1">
        <v>15.1</v>
      </c>
      <c r="DS94" s="1">
        <v>2</v>
      </c>
    </row>
    <row r="95" spans="1:123" x14ac:dyDescent="0.2">
      <c r="A95" s="15">
        <f t="shared" si="71"/>
        <v>36614</v>
      </c>
      <c r="B95" s="1">
        <v>89</v>
      </c>
      <c r="C95" s="1">
        <v>16.399999999999999</v>
      </c>
      <c r="D95" s="1">
        <v>28.3</v>
      </c>
      <c r="E95" s="1">
        <v>-3.891</v>
      </c>
      <c r="F95" s="1">
        <v>92.5</v>
      </c>
      <c r="G95" s="1">
        <v>-4.484</v>
      </c>
      <c r="I95" s="1">
        <v>7.0000000000000007E-2</v>
      </c>
      <c r="J95" s="1">
        <v>-1.1579999999999999</v>
      </c>
      <c r="K95" s="1">
        <v>-0.98899999999999999</v>
      </c>
      <c r="L95" s="1">
        <v>-7.4999999999999997E-2</v>
      </c>
      <c r="M95" s="1">
        <v>0.316</v>
      </c>
      <c r="N95" s="1">
        <v>0.86</v>
      </c>
      <c r="O95" s="1">
        <v>0</v>
      </c>
      <c r="P95" s="2">
        <v>1.8446666666666667</v>
      </c>
      <c r="R95" s="1">
        <v>2.2509999999999999</v>
      </c>
      <c r="S95" s="1">
        <v>1641</v>
      </c>
      <c r="T95" s="1">
        <v>108.3</v>
      </c>
      <c r="U95" s="1">
        <v>57</v>
      </c>
      <c r="V95" s="1">
        <v>4.782</v>
      </c>
      <c r="X95" s="1">
        <v>9.6000000000000002E-2</v>
      </c>
      <c r="Y95" s="1">
        <v>-0.93300000000000005</v>
      </c>
      <c r="Z95" s="1">
        <v>4.95</v>
      </c>
      <c r="AA95" s="1">
        <v>-5.3999999999999999E-2</v>
      </c>
      <c r="AB95" s="1">
        <v>0.33600000000000002</v>
      </c>
      <c r="AC95" s="1">
        <v>0.88300000000000001</v>
      </c>
      <c r="AD95" s="2">
        <v>5.2480000000000002</v>
      </c>
      <c r="AE95" s="1">
        <v>1506</v>
      </c>
      <c r="AF95" s="1">
        <v>-12.13</v>
      </c>
      <c r="AG95" s="1">
        <v>2355</v>
      </c>
      <c r="AH95" s="1">
        <v>52.95</v>
      </c>
      <c r="AI95" s="1">
        <v>1643</v>
      </c>
      <c r="AJ95" s="1">
        <v>-13.82</v>
      </c>
      <c r="AL95" s="1">
        <v>1.7000000000000001E-2</v>
      </c>
      <c r="AM95" s="1">
        <v>-1.371</v>
      </c>
      <c r="AN95" s="1">
        <v>-12.02</v>
      </c>
      <c r="AO95" s="1">
        <v>-9.1999999999999998E-2</v>
      </c>
      <c r="AP95" s="1">
        <v>0.3</v>
      </c>
      <c r="AQ95" s="1">
        <v>0.84399999999999997</v>
      </c>
      <c r="AR95" s="1">
        <v>2.7E-2</v>
      </c>
      <c r="AS95" s="1">
        <v>0.105</v>
      </c>
      <c r="AT95" s="1">
        <v>0.151</v>
      </c>
      <c r="AU95" s="1">
        <v>1.4E-2</v>
      </c>
      <c r="AV95" s="1">
        <v>0.14000000000000001</v>
      </c>
      <c r="AW95" s="1">
        <v>0.40899999999999997</v>
      </c>
      <c r="AX95" s="1">
        <v>0.108</v>
      </c>
      <c r="AY95" s="1">
        <v>4.5999999999999999E-2</v>
      </c>
      <c r="AZ95" s="1">
        <v>-0.65</v>
      </c>
      <c r="BA95" s="1">
        <v>2064</v>
      </c>
      <c r="BB95" s="1">
        <v>13.28</v>
      </c>
      <c r="BC95" s="1">
        <v>2786</v>
      </c>
      <c r="BF95" s="1">
        <f t="shared" si="40"/>
        <v>1429</v>
      </c>
      <c r="BM95" s="17">
        <v>20.5</v>
      </c>
      <c r="BN95" s="17">
        <f t="shared" si="44"/>
        <v>41.410000000000004</v>
      </c>
      <c r="BO95" s="18">
        <f t="shared" si="15"/>
        <v>16.07</v>
      </c>
      <c r="BP95" s="18">
        <f t="shared" si="16"/>
        <v>31.13</v>
      </c>
      <c r="BR95" s="1">
        <f t="shared" si="17"/>
        <v>96.5</v>
      </c>
      <c r="BS95" s="1">
        <f t="shared" si="18"/>
        <v>75.400000000000006</v>
      </c>
      <c r="BT95" s="1">
        <f t="shared" si="19"/>
        <v>40.6</v>
      </c>
      <c r="BU95" s="60">
        <f t="shared" si="20"/>
        <v>0.29199999999999998</v>
      </c>
      <c r="BV95" s="60">
        <f t="shared" si="41"/>
        <v>0.42699999999999999</v>
      </c>
      <c r="BX95" s="51">
        <f t="shared" si="45"/>
        <v>0.97999999999999976</v>
      </c>
      <c r="BY95" s="46">
        <v>4.42</v>
      </c>
      <c r="BZ95" s="1">
        <v>0.69999999999999984</v>
      </c>
      <c r="CB95" s="17">
        <f t="shared" si="46"/>
        <v>16.07</v>
      </c>
      <c r="CC95" s="17">
        <f t="shared" si="47"/>
        <v>31.13</v>
      </c>
      <c r="CD95" s="3">
        <f t="shared" si="48"/>
        <v>-3.9</v>
      </c>
      <c r="CE95" s="3">
        <f t="shared" si="72"/>
        <v>-4.5</v>
      </c>
      <c r="CF95" s="1" t="s">
        <v>218</v>
      </c>
      <c r="CG95" s="3">
        <f t="shared" si="49"/>
        <v>0.1</v>
      </c>
      <c r="CH95" s="3">
        <f t="shared" si="50"/>
        <v>-0.1</v>
      </c>
      <c r="CI95" s="3">
        <f t="shared" si="51"/>
        <v>0.3</v>
      </c>
      <c r="CJ95" s="3">
        <f t="shared" si="52"/>
        <v>0.9</v>
      </c>
      <c r="CK95" s="27">
        <f t="shared" si="53"/>
        <v>75.400000000000006</v>
      </c>
      <c r="CL95" s="1">
        <f t="shared" si="54"/>
        <v>2.2999999999999998</v>
      </c>
      <c r="CM95" s="1">
        <f t="shared" si="73"/>
        <v>4.8</v>
      </c>
      <c r="CN95" s="1" t="s">
        <v>218</v>
      </c>
      <c r="CO95" s="1">
        <f t="shared" si="55"/>
        <v>0.1</v>
      </c>
      <c r="CP95" s="1">
        <f t="shared" si="56"/>
        <v>-0.1</v>
      </c>
      <c r="CQ95" s="1">
        <f t="shared" si="57"/>
        <v>0.3</v>
      </c>
      <c r="CR95" s="1">
        <f t="shared" si="58"/>
        <v>0.9</v>
      </c>
      <c r="CS95" s="2">
        <f t="shared" si="59"/>
        <v>96.5</v>
      </c>
      <c r="CT95" s="1">
        <f t="shared" si="60"/>
        <v>-12.1</v>
      </c>
      <c r="CU95" s="1">
        <f t="shared" si="74"/>
        <v>-13.8</v>
      </c>
      <c r="CV95" s="1" t="s">
        <v>218</v>
      </c>
      <c r="CW95" s="1">
        <f t="shared" si="61"/>
        <v>0</v>
      </c>
      <c r="CX95" s="1">
        <f t="shared" si="62"/>
        <v>-0.1</v>
      </c>
      <c r="CY95" s="1">
        <f t="shared" si="63"/>
        <v>0.3</v>
      </c>
      <c r="CZ95" s="1">
        <f t="shared" si="64"/>
        <v>0.8</v>
      </c>
      <c r="DA95" s="2">
        <f t="shared" si="65"/>
        <v>40.6</v>
      </c>
      <c r="DB95" s="20">
        <f t="shared" si="66"/>
        <v>1429</v>
      </c>
      <c r="DC95" s="1">
        <f>ROUND(PPTest!K95,1)</f>
        <v>0</v>
      </c>
      <c r="DD95" s="27">
        <f t="shared" si="42"/>
        <v>1.84</v>
      </c>
      <c r="DE95" s="3">
        <f t="shared" si="67"/>
        <v>5.25</v>
      </c>
      <c r="DF95" s="24">
        <f t="shared" si="68"/>
        <v>0.29199999999999998</v>
      </c>
      <c r="DG95" s="24">
        <f t="shared" si="69"/>
        <v>0.42699999999999999</v>
      </c>
      <c r="DH95" s="17">
        <f t="shared" si="70"/>
        <v>13.28</v>
      </c>
      <c r="DQ95" s="1">
        <v>5.2</v>
      </c>
      <c r="DR95" s="1">
        <v>13</v>
      </c>
      <c r="DS95" s="1">
        <v>-2.6</v>
      </c>
    </row>
    <row r="96" spans="1:123" x14ac:dyDescent="0.2">
      <c r="A96" s="15">
        <f t="shared" si="71"/>
        <v>36615</v>
      </c>
      <c r="B96" s="1">
        <v>90</v>
      </c>
      <c r="C96" s="1">
        <v>19.59</v>
      </c>
      <c r="D96" s="1">
        <v>32.770000000000003</v>
      </c>
      <c r="E96" s="1">
        <v>-4.3330000000000002</v>
      </c>
      <c r="F96" s="1">
        <v>78.5</v>
      </c>
      <c r="G96" s="1">
        <v>-5.1050000000000004</v>
      </c>
      <c r="I96" s="1">
        <v>3.1E-2</v>
      </c>
      <c r="J96" s="1">
        <v>-1.177</v>
      </c>
      <c r="K96" s="1">
        <v>-3.5609999999999999</v>
      </c>
      <c r="L96" s="1">
        <v>-8.7999999999999995E-2</v>
      </c>
      <c r="M96" s="1">
        <v>0.30299999999999999</v>
      </c>
      <c r="N96" s="1">
        <v>0.84499999999999997</v>
      </c>
      <c r="O96" s="1">
        <v>0</v>
      </c>
      <c r="P96" s="2">
        <v>2.0226666666666668</v>
      </c>
      <c r="R96" s="1">
        <v>4.4550000000000001</v>
      </c>
      <c r="S96" s="1">
        <v>1441</v>
      </c>
      <c r="T96" s="1">
        <v>106.2</v>
      </c>
      <c r="U96" s="1">
        <v>349</v>
      </c>
      <c r="V96" s="1">
        <v>5.7519999999999998</v>
      </c>
      <c r="X96" s="1">
        <v>8.1000000000000003E-2</v>
      </c>
      <c r="Y96" s="1">
        <v>-1.018</v>
      </c>
      <c r="Z96" s="1">
        <v>8.35</v>
      </c>
      <c r="AA96" s="1">
        <v>-6.4000000000000001E-2</v>
      </c>
      <c r="AB96" s="1">
        <v>0.33300000000000002</v>
      </c>
      <c r="AC96" s="1">
        <v>0.876</v>
      </c>
      <c r="AD96" s="2">
        <v>5.1146666666666665</v>
      </c>
      <c r="AE96" s="1">
        <v>1408</v>
      </c>
      <c r="AF96" s="1">
        <v>-14.03</v>
      </c>
      <c r="AG96" s="1">
        <v>302</v>
      </c>
      <c r="AH96" s="1">
        <v>38.92</v>
      </c>
      <c r="AI96" s="1">
        <v>1422</v>
      </c>
      <c r="AJ96" s="1">
        <v>-15.4</v>
      </c>
      <c r="AL96" s="1">
        <v>-2.5000000000000001E-2</v>
      </c>
      <c r="AM96" s="1">
        <v>-1.363</v>
      </c>
      <c r="AN96" s="1">
        <v>-15.64</v>
      </c>
      <c r="AO96" s="1">
        <v>-0.115</v>
      </c>
      <c r="AP96" s="1">
        <v>0.27200000000000002</v>
      </c>
      <c r="AQ96" s="1">
        <v>0.81499999999999995</v>
      </c>
      <c r="AR96" s="1">
        <v>1.2E-2</v>
      </c>
      <c r="AS96" s="1">
        <v>0.20599999999999999</v>
      </c>
      <c r="AT96" s="1">
        <v>0.377</v>
      </c>
      <c r="AU96" s="1">
        <v>3.0000000000000001E-3</v>
      </c>
      <c r="AV96" s="1">
        <v>0.10100000000000001</v>
      </c>
      <c r="AW96" s="1">
        <v>0.22700000000000001</v>
      </c>
      <c r="AX96" s="1">
        <v>6.6000000000000003E-2</v>
      </c>
      <c r="AY96" s="1">
        <v>8.0000000000000002E-3</v>
      </c>
      <c r="AZ96" s="1">
        <v>-1.756</v>
      </c>
      <c r="BA96" s="1">
        <v>2078</v>
      </c>
      <c r="BB96" s="1">
        <v>13.28</v>
      </c>
      <c r="BC96" s="1">
        <v>2786</v>
      </c>
      <c r="BF96" s="1">
        <f t="shared" si="40"/>
        <v>1415</v>
      </c>
      <c r="BM96" s="17">
        <v>20.77</v>
      </c>
      <c r="BN96" s="17">
        <f t="shared" si="44"/>
        <v>41.955399999999997</v>
      </c>
      <c r="BO96" s="18">
        <f t="shared" si="15"/>
        <v>19.2</v>
      </c>
      <c r="BP96" s="18">
        <f t="shared" si="16"/>
        <v>36.049999999999997</v>
      </c>
      <c r="BR96" s="1">
        <f t="shared" si="17"/>
        <v>93.2</v>
      </c>
      <c r="BS96" s="1">
        <f t="shared" si="18"/>
        <v>63.1</v>
      </c>
      <c r="BT96" s="1">
        <f t="shared" si="19"/>
        <v>28.2</v>
      </c>
      <c r="BU96" s="60">
        <f t="shared" si="20"/>
        <v>0.23699999999999999</v>
      </c>
      <c r="BV96" s="60">
        <f t="shared" si="41"/>
        <v>0.60299999999999998</v>
      </c>
      <c r="BX96" s="51">
        <f t="shared" si="45"/>
        <v>0</v>
      </c>
      <c r="BY96" s="46">
        <v>0</v>
      </c>
      <c r="BZ96" s="1">
        <v>0</v>
      </c>
      <c r="CB96" s="17">
        <f t="shared" si="46"/>
        <v>19.2</v>
      </c>
      <c r="CC96" s="17">
        <f t="shared" si="47"/>
        <v>36.049999999999997</v>
      </c>
      <c r="CD96" s="3">
        <f t="shared" si="48"/>
        <v>-4.3</v>
      </c>
      <c r="CE96" s="3">
        <f t="shared" si="72"/>
        <v>-5.0999999999999996</v>
      </c>
      <c r="CF96" s="1" t="s">
        <v>218</v>
      </c>
      <c r="CG96" s="3">
        <f t="shared" si="49"/>
        <v>0</v>
      </c>
      <c r="CH96" s="3">
        <f t="shared" si="50"/>
        <v>-0.1</v>
      </c>
      <c r="CI96" s="3">
        <f t="shared" si="51"/>
        <v>0.3</v>
      </c>
      <c r="CJ96" s="3">
        <f t="shared" si="52"/>
        <v>0.8</v>
      </c>
      <c r="CK96" s="27">
        <f t="shared" si="53"/>
        <v>63.1</v>
      </c>
      <c r="CL96" s="1">
        <f t="shared" si="54"/>
        <v>4.5</v>
      </c>
      <c r="CM96" s="1">
        <f t="shared" si="73"/>
        <v>5.8</v>
      </c>
      <c r="CN96" s="1" t="s">
        <v>218</v>
      </c>
      <c r="CO96" s="1">
        <f t="shared" si="55"/>
        <v>0.1</v>
      </c>
      <c r="CP96" s="1">
        <f t="shared" si="56"/>
        <v>-0.1</v>
      </c>
      <c r="CQ96" s="1">
        <f t="shared" si="57"/>
        <v>0.3</v>
      </c>
      <c r="CR96" s="1">
        <f t="shared" si="58"/>
        <v>0.9</v>
      </c>
      <c r="CS96" s="2">
        <f t="shared" si="59"/>
        <v>93.2</v>
      </c>
      <c r="CT96" s="1">
        <f t="shared" si="60"/>
        <v>-14</v>
      </c>
      <c r="CU96" s="1">
        <f t="shared" si="74"/>
        <v>-15.4</v>
      </c>
      <c r="CV96" s="1" t="s">
        <v>218</v>
      </c>
      <c r="CW96" s="1">
        <f t="shared" si="61"/>
        <v>0</v>
      </c>
      <c r="CX96" s="1">
        <f t="shared" si="62"/>
        <v>-0.1</v>
      </c>
      <c r="CY96" s="1">
        <f t="shared" si="63"/>
        <v>0.3</v>
      </c>
      <c r="CZ96" s="1">
        <f t="shared" si="64"/>
        <v>0.8</v>
      </c>
      <c r="DA96" s="2">
        <f t="shared" si="65"/>
        <v>28.2</v>
      </c>
      <c r="DB96" s="20">
        <f t="shared" si="66"/>
        <v>1415</v>
      </c>
      <c r="DC96" s="1">
        <f>ROUND(PPTest!K96,1)</f>
        <v>0</v>
      </c>
      <c r="DD96" s="27">
        <f t="shared" si="42"/>
        <v>2.02</v>
      </c>
      <c r="DE96" s="3">
        <f t="shared" si="67"/>
        <v>5.1100000000000003</v>
      </c>
      <c r="DF96" s="24">
        <f t="shared" si="68"/>
        <v>0.23699999999999999</v>
      </c>
      <c r="DG96" s="24">
        <f t="shared" si="69"/>
        <v>0.60299999999999998</v>
      </c>
      <c r="DH96" s="17">
        <f t="shared" si="70"/>
        <v>13.28</v>
      </c>
      <c r="DQ96" s="1">
        <v>6</v>
      </c>
      <c r="DR96" s="1">
        <v>16.2</v>
      </c>
      <c r="DS96" s="1">
        <v>-4.2</v>
      </c>
    </row>
    <row r="97" spans="1:123" x14ac:dyDescent="0.2">
      <c r="A97" s="15">
        <f t="shared" si="71"/>
        <v>36616</v>
      </c>
      <c r="B97" s="1">
        <v>91</v>
      </c>
      <c r="C97" s="1">
        <v>14.52</v>
      </c>
      <c r="D97" s="1">
        <v>25.27</v>
      </c>
      <c r="E97" s="1">
        <v>-0.51</v>
      </c>
      <c r="F97" s="1">
        <v>80.900000000000006</v>
      </c>
      <c r="G97" s="1">
        <v>-1.2549999999999999</v>
      </c>
      <c r="I97" s="1">
        <v>3.9E-2</v>
      </c>
      <c r="J97" s="1">
        <v>-1.1499999999999999</v>
      </c>
      <c r="K97" s="1">
        <v>-1.4650000000000001</v>
      </c>
      <c r="L97" s="1">
        <v>-8.6999999999999994E-2</v>
      </c>
      <c r="M97" s="1">
        <v>0.30299999999999999</v>
      </c>
      <c r="N97" s="1">
        <v>0.84099999999999997</v>
      </c>
      <c r="O97" s="1">
        <v>0</v>
      </c>
      <c r="P97" s="2">
        <v>1.7080000000000002</v>
      </c>
      <c r="R97" s="1">
        <v>6.6660000000000004</v>
      </c>
      <c r="S97" s="1">
        <v>1254</v>
      </c>
      <c r="T97" s="1">
        <v>106.6</v>
      </c>
      <c r="U97" s="1">
        <v>458</v>
      </c>
      <c r="V97" s="1">
        <v>9.76</v>
      </c>
      <c r="X97" s="1">
        <v>8.7999999999999995E-2</v>
      </c>
      <c r="Y97" s="1">
        <v>-0.77800000000000002</v>
      </c>
      <c r="Z97" s="1">
        <v>8.69</v>
      </c>
      <c r="AA97" s="1">
        <v>-0.05</v>
      </c>
      <c r="AB97" s="1">
        <v>0.33100000000000002</v>
      </c>
      <c r="AC97" s="1">
        <v>0.871</v>
      </c>
      <c r="AD97" s="2">
        <v>4.7680000000000007</v>
      </c>
      <c r="AE97" s="1">
        <v>1331</v>
      </c>
      <c r="AF97" s="1">
        <v>-10.98</v>
      </c>
      <c r="AG97" s="1">
        <v>546</v>
      </c>
      <c r="AH97" s="1">
        <v>44.28</v>
      </c>
      <c r="AI97" s="1">
        <v>1207</v>
      </c>
      <c r="AJ97" s="1">
        <v>-12.29</v>
      </c>
      <c r="AL97" s="1">
        <v>-2.4E-2</v>
      </c>
      <c r="AM97" s="1">
        <v>-1.389</v>
      </c>
      <c r="AN97" s="1">
        <v>-12.46</v>
      </c>
      <c r="AO97" s="1">
        <v>-0.127</v>
      </c>
      <c r="AP97" s="1">
        <v>0.26400000000000001</v>
      </c>
      <c r="AQ97" s="1">
        <v>0.80600000000000005</v>
      </c>
      <c r="AR97" s="1">
        <v>3.7999999999999999E-2</v>
      </c>
      <c r="AS97" s="1">
        <v>0.19800000000000001</v>
      </c>
      <c r="AT97" s="1">
        <v>0.33500000000000002</v>
      </c>
      <c r="AU97" s="1">
        <v>0.02</v>
      </c>
      <c r="AV97" s="1">
        <v>9.0999999999999998E-2</v>
      </c>
      <c r="AW97" s="1">
        <v>0.20799999999999999</v>
      </c>
      <c r="AX97" s="1">
        <v>7.4999999999999997E-2</v>
      </c>
      <c r="AY97" s="1">
        <v>3.4000000000000002E-2</v>
      </c>
      <c r="AZ97" s="1">
        <v>-1.8480000000000001</v>
      </c>
      <c r="BA97" s="1">
        <v>2103</v>
      </c>
      <c r="BB97" s="1">
        <v>13.29</v>
      </c>
      <c r="BC97" s="1">
        <v>2786</v>
      </c>
      <c r="BF97" s="1">
        <f t="shared" si="40"/>
        <v>1390</v>
      </c>
      <c r="BM97" s="17">
        <v>21.03</v>
      </c>
      <c r="BN97" s="17">
        <f t="shared" si="44"/>
        <v>42.480600000000003</v>
      </c>
      <c r="BO97" s="18">
        <f t="shared" si="15"/>
        <v>14.23</v>
      </c>
      <c r="BP97" s="18">
        <f t="shared" si="16"/>
        <v>27.8</v>
      </c>
      <c r="BR97" s="1">
        <f t="shared" si="17"/>
        <v>93.8</v>
      </c>
      <c r="BS97" s="1">
        <f t="shared" si="18"/>
        <v>65.2</v>
      </c>
      <c r="BT97" s="1">
        <f t="shared" si="19"/>
        <v>33</v>
      </c>
      <c r="BU97" s="60">
        <f t="shared" si="20"/>
        <v>0.32300000000000001</v>
      </c>
      <c r="BV97" s="60">
        <f t="shared" si="41"/>
        <v>0.65600000000000003</v>
      </c>
      <c r="BX97" s="51">
        <f t="shared" si="45"/>
        <v>0</v>
      </c>
      <c r="BY97" s="46">
        <v>0</v>
      </c>
      <c r="BZ97" s="1">
        <v>0</v>
      </c>
      <c r="CB97" s="17">
        <f t="shared" si="46"/>
        <v>14.23</v>
      </c>
      <c r="CC97" s="17">
        <f t="shared" si="47"/>
        <v>27.8</v>
      </c>
      <c r="CD97" s="3">
        <f t="shared" si="48"/>
        <v>-0.5</v>
      </c>
      <c r="CE97" s="3">
        <f t="shared" si="72"/>
        <v>-1.3</v>
      </c>
      <c r="CF97" s="1" t="s">
        <v>218</v>
      </c>
      <c r="CG97" s="3">
        <f t="shared" si="49"/>
        <v>0</v>
      </c>
      <c r="CH97" s="3">
        <f t="shared" si="50"/>
        <v>-0.1</v>
      </c>
      <c r="CI97" s="3">
        <f t="shared" si="51"/>
        <v>0.3</v>
      </c>
      <c r="CJ97" s="3">
        <f t="shared" si="52"/>
        <v>0.8</v>
      </c>
      <c r="CK97" s="27">
        <f t="shared" si="53"/>
        <v>65.2</v>
      </c>
      <c r="CL97" s="1">
        <f t="shared" si="54"/>
        <v>6.7</v>
      </c>
      <c r="CM97" s="1">
        <f t="shared" si="73"/>
        <v>9.8000000000000007</v>
      </c>
      <c r="CN97" s="1" t="s">
        <v>218</v>
      </c>
      <c r="CO97" s="1">
        <f t="shared" si="55"/>
        <v>0.1</v>
      </c>
      <c r="CP97" s="1">
        <f t="shared" si="56"/>
        <v>-0.1</v>
      </c>
      <c r="CQ97" s="1">
        <f t="shared" si="57"/>
        <v>0.3</v>
      </c>
      <c r="CR97" s="1">
        <f t="shared" si="58"/>
        <v>0.9</v>
      </c>
      <c r="CS97" s="2">
        <f t="shared" si="59"/>
        <v>93.8</v>
      </c>
      <c r="CT97" s="1">
        <f t="shared" si="60"/>
        <v>-11</v>
      </c>
      <c r="CU97" s="1">
        <f t="shared" si="74"/>
        <v>-12.3</v>
      </c>
      <c r="CV97" s="1" t="s">
        <v>218</v>
      </c>
      <c r="CW97" s="1">
        <f t="shared" si="61"/>
        <v>0</v>
      </c>
      <c r="CX97" s="1">
        <f t="shared" si="62"/>
        <v>-0.1</v>
      </c>
      <c r="CY97" s="1">
        <f t="shared" si="63"/>
        <v>0.3</v>
      </c>
      <c r="CZ97" s="1">
        <f t="shared" si="64"/>
        <v>0.8</v>
      </c>
      <c r="DA97" s="2">
        <f t="shared" si="65"/>
        <v>33</v>
      </c>
      <c r="DB97" s="20">
        <f t="shared" si="66"/>
        <v>1390</v>
      </c>
      <c r="DC97" s="1">
        <f>ROUND(PPTest!K97,1)</f>
        <v>0</v>
      </c>
      <c r="DD97" s="27">
        <f t="shared" si="42"/>
        <v>1.71</v>
      </c>
      <c r="DE97" s="3">
        <f t="shared" si="67"/>
        <v>4.7699999999999996</v>
      </c>
      <c r="DF97" s="24">
        <f t="shared" si="68"/>
        <v>0.32300000000000001</v>
      </c>
      <c r="DG97" s="24">
        <f t="shared" si="69"/>
        <v>0.65600000000000003</v>
      </c>
      <c r="DH97" s="17">
        <f t="shared" si="70"/>
        <v>13.29</v>
      </c>
      <c r="DQ97" s="1">
        <v>7</v>
      </c>
      <c r="DR97" s="1">
        <v>17.399999999999999</v>
      </c>
      <c r="DS97" s="1">
        <v>-3.5</v>
      </c>
    </row>
    <row r="98" spans="1:123" x14ac:dyDescent="0.2">
      <c r="A98" s="15">
        <f t="shared" si="71"/>
        <v>36617</v>
      </c>
      <c r="B98" s="1">
        <v>92</v>
      </c>
      <c r="C98" s="1">
        <v>6.319</v>
      </c>
      <c r="D98" s="1">
        <v>11.61</v>
      </c>
      <c r="E98" s="1">
        <v>2.3530000000000002</v>
      </c>
      <c r="F98" s="1">
        <v>91</v>
      </c>
      <c r="G98" s="1">
        <v>1.534</v>
      </c>
      <c r="I98" s="1">
        <v>6.9000000000000006E-2</v>
      </c>
      <c r="J98" s="1">
        <v>-0.63600000000000001</v>
      </c>
      <c r="K98" s="1">
        <v>1.86</v>
      </c>
      <c r="L98" s="1">
        <v>-7.1999999999999995E-2</v>
      </c>
      <c r="M98" s="1">
        <v>0.314</v>
      </c>
      <c r="N98" s="1">
        <v>0.85</v>
      </c>
      <c r="O98" s="1">
        <v>0</v>
      </c>
      <c r="P98" s="2">
        <v>2.4026666666666667</v>
      </c>
      <c r="R98" s="1">
        <v>5.6440000000000001</v>
      </c>
      <c r="S98" s="1">
        <v>1018</v>
      </c>
      <c r="T98" s="1">
        <v>105.6</v>
      </c>
      <c r="U98" s="1">
        <v>519</v>
      </c>
      <c r="V98" s="1">
        <v>5.7089999999999996</v>
      </c>
      <c r="X98" s="1">
        <v>0.10199999999999999</v>
      </c>
      <c r="Y98" s="1">
        <v>-0.47599999999999998</v>
      </c>
      <c r="Z98" s="1">
        <v>6.0789999999999997</v>
      </c>
      <c r="AA98" s="1">
        <v>-3.7999999999999999E-2</v>
      </c>
      <c r="AB98" s="1">
        <v>0.33600000000000002</v>
      </c>
      <c r="AC98" s="1">
        <v>0.877</v>
      </c>
      <c r="AD98" s="2">
        <v>7.6480000000000006</v>
      </c>
      <c r="AE98" s="1">
        <v>1426</v>
      </c>
      <c r="AF98" s="1">
        <v>-1.877</v>
      </c>
      <c r="AG98" s="1">
        <v>543</v>
      </c>
      <c r="AH98" s="1">
        <v>75.3</v>
      </c>
      <c r="AI98" s="1">
        <v>1018</v>
      </c>
      <c r="AJ98" s="1">
        <v>-3.234</v>
      </c>
      <c r="AL98" s="1">
        <v>3.5999999999999997E-2</v>
      </c>
      <c r="AM98" s="1">
        <v>-0.79500000000000004</v>
      </c>
      <c r="AN98" s="1">
        <v>-0.83599999999999997</v>
      </c>
      <c r="AO98" s="1">
        <v>-9.8000000000000004E-2</v>
      </c>
      <c r="AP98" s="1">
        <v>0.28599999999999998</v>
      </c>
      <c r="AQ98" s="1">
        <v>0.82699999999999996</v>
      </c>
      <c r="AR98" s="1">
        <v>4.5999999999999999E-2</v>
      </c>
      <c r="AS98" s="1">
        <v>0.19600000000000001</v>
      </c>
      <c r="AT98" s="1">
        <v>0.11700000000000001</v>
      </c>
      <c r="AU98" s="1">
        <v>2.4E-2</v>
      </c>
      <c r="AV98" s="1">
        <v>0.13600000000000001</v>
      </c>
      <c r="AW98" s="1">
        <v>0.38200000000000001</v>
      </c>
      <c r="AX98" s="1">
        <v>7.0000000000000007E-2</v>
      </c>
      <c r="AY98" s="1">
        <v>2.9000000000000001E-2</v>
      </c>
      <c r="AZ98" s="1">
        <v>-0.88100000000000001</v>
      </c>
      <c r="BA98" s="1">
        <v>2130</v>
      </c>
      <c r="BB98" s="1">
        <v>13.25</v>
      </c>
      <c r="BC98" s="1">
        <v>2786</v>
      </c>
      <c r="BF98" s="1">
        <f t="shared" si="40"/>
        <v>1363</v>
      </c>
      <c r="BM98" s="17">
        <v>21.3</v>
      </c>
      <c r="BN98" s="17">
        <f t="shared" si="44"/>
        <v>43.026000000000003</v>
      </c>
      <c r="BO98" s="18">
        <f t="shared" si="15"/>
        <v>6.19</v>
      </c>
      <c r="BP98" s="18">
        <f t="shared" si="16"/>
        <v>12.77</v>
      </c>
      <c r="BR98" s="1">
        <f t="shared" si="17"/>
        <v>92.2</v>
      </c>
      <c r="BS98" s="1">
        <f t="shared" si="18"/>
        <v>74.099999999999994</v>
      </c>
      <c r="BT98" s="1">
        <f t="shared" si="19"/>
        <v>60.3</v>
      </c>
      <c r="BU98" s="60">
        <f t="shared" si="20"/>
        <v>0.55000000000000004</v>
      </c>
      <c r="BV98" s="60">
        <f t="shared" si="41"/>
        <v>0.36199999999999999</v>
      </c>
      <c r="BW98" s="2"/>
      <c r="BX98" s="51">
        <f t="shared" si="45"/>
        <v>1.1199999999999994</v>
      </c>
      <c r="BY98" s="46">
        <v>0</v>
      </c>
      <c r="BZ98" s="1">
        <v>0.79999999999999971</v>
      </c>
      <c r="CB98" s="17">
        <f t="shared" si="46"/>
        <v>6.19</v>
      </c>
      <c r="CC98" s="17">
        <f t="shared" si="47"/>
        <v>12.77</v>
      </c>
      <c r="CD98" s="3">
        <f t="shared" si="48"/>
        <v>2.4</v>
      </c>
      <c r="CE98" s="3">
        <f t="shared" si="72"/>
        <v>1.5</v>
      </c>
      <c r="CF98" s="1" t="s">
        <v>218</v>
      </c>
      <c r="CG98" s="3">
        <f t="shared" si="49"/>
        <v>0.1</v>
      </c>
      <c r="CH98" s="3">
        <f t="shared" si="50"/>
        <v>-0.1</v>
      </c>
      <c r="CI98" s="3">
        <f t="shared" si="51"/>
        <v>0.3</v>
      </c>
      <c r="CJ98" s="3">
        <f t="shared" si="52"/>
        <v>0.9</v>
      </c>
      <c r="CK98" s="27">
        <f t="shared" si="53"/>
        <v>74.099999999999994</v>
      </c>
      <c r="CL98" s="1">
        <f t="shared" si="54"/>
        <v>5.6</v>
      </c>
      <c r="CM98" s="1">
        <f t="shared" si="73"/>
        <v>5.7</v>
      </c>
      <c r="CN98" s="1" t="s">
        <v>218</v>
      </c>
      <c r="CO98" s="1">
        <f t="shared" si="55"/>
        <v>0.1</v>
      </c>
      <c r="CP98" s="1">
        <f t="shared" si="56"/>
        <v>0</v>
      </c>
      <c r="CQ98" s="1">
        <f t="shared" si="57"/>
        <v>0.3</v>
      </c>
      <c r="CR98" s="1">
        <f t="shared" si="58"/>
        <v>0.9</v>
      </c>
      <c r="CS98" s="2">
        <f t="shared" si="59"/>
        <v>92.2</v>
      </c>
      <c r="CT98" s="1">
        <f t="shared" si="60"/>
        <v>-1.9</v>
      </c>
      <c r="CU98" s="1">
        <f t="shared" si="74"/>
        <v>-3.2</v>
      </c>
      <c r="CV98" s="1" t="s">
        <v>218</v>
      </c>
      <c r="CW98" s="1">
        <f t="shared" si="61"/>
        <v>0</v>
      </c>
      <c r="CX98" s="1">
        <f t="shared" si="62"/>
        <v>-0.1</v>
      </c>
      <c r="CY98" s="1">
        <f t="shared" si="63"/>
        <v>0.3</v>
      </c>
      <c r="CZ98" s="1">
        <f t="shared" si="64"/>
        <v>0.8</v>
      </c>
      <c r="DA98" s="2">
        <f t="shared" si="65"/>
        <v>60.3</v>
      </c>
      <c r="DB98" s="20">
        <f t="shared" si="66"/>
        <v>1363</v>
      </c>
      <c r="DC98" s="1">
        <f>ROUND(PPTest!K98,1)</f>
        <v>0</v>
      </c>
      <c r="DD98" s="27">
        <f t="shared" si="42"/>
        <v>2.4</v>
      </c>
      <c r="DE98" s="3">
        <f t="shared" si="67"/>
        <v>7.65</v>
      </c>
      <c r="DF98" s="24">
        <f t="shared" si="68"/>
        <v>0.55000000000000004</v>
      </c>
      <c r="DG98" s="24">
        <f t="shared" si="69"/>
        <v>0.36199999999999999</v>
      </c>
      <c r="DH98" s="17">
        <f t="shared" si="70"/>
        <v>13.25</v>
      </c>
      <c r="DQ98" s="1">
        <v>8.1999999999999993</v>
      </c>
      <c r="DR98" s="1">
        <v>15.8</v>
      </c>
      <c r="DS98" s="1">
        <v>0.5</v>
      </c>
    </row>
    <row r="99" spans="1:123" x14ac:dyDescent="0.2">
      <c r="A99" s="15">
        <f t="shared" si="71"/>
        <v>36618</v>
      </c>
      <c r="B99" s="1">
        <v>93</v>
      </c>
      <c r="C99" s="1">
        <v>19.93</v>
      </c>
      <c r="D99" s="1">
        <v>34.4</v>
      </c>
      <c r="E99" s="1">
        <v>2.448</v>
      </c>
      <c r="F99" s="1">
        <v>76.900000000000006</v>
      </c>
      <c r="G99" s="1">
        <v>1.7529999999999999</v>
      </c>
      <c r="I99" s="1">
        <v>8.1000000000000003E-2</v>
      </c>
      <c r="J99" s="1">
        <v>-0.43</v>
      </c>
      <c r="K99" s="1">
        <v>4.1669999999999998</v>
      </c>
      <c r="L99" s="1">
        <v>-5.0999999999999997E-2</v>
      </c>
      <c r="M99" s="1">
        <v>0.32300000000000001</v>
      </c>
      <c r="N99" s="1">
        <v>0.85899999999999999</v>
      </c>
      <c r="O99" s="1">
        <v>0</v>
      </c>
      <c r="P99" s="2">
        <v>1.7886666666666668</v>
      </c>
      <c r="R99" s="1">
        <v>7.93</v>
      </c>
      <c r="S99" s="1">
        <v>1435</v>
      </c>
      <c r="T99" s="1">
        <v>104.7</v>
      </c>
      <c r="U99" s="1">
        <v>41</v>
      </c>
      <c r="V99" s="1">
        <v>9.2899999999999991</v>
      </c>
      <c r="X99" s="1">
        <v>0.107</v>
      </c>
      <c r="Y99" s="1">
        <v>-0.377</v>
      </c>
      <c r="Z99" s="1">
        <v>12.62</v>
      </c>
      <c r="AA99" s="1">
        <v>-2.9000000000000001E-2</v>
      </c>
      <c r="AB99" s="1">
        <v>0.34499999999999997</v>
      </c>
      <c r="AC99" s="1">
        <v>0.88500000000000001</v>
      </c>
      <c r="AD99" s="2">
        <v>5.2480000000000002</v>
      </c>
      <c r="AE99" s="1">
        <v>1053</v>
      </c>
      <c r="AF99" s="1">
        <v>-2.8730000000000002</v>
      </c>
      <c r="AG99" s="1">
        <v>2313</v>
      </c>
      <c r="AH99" s="1">
        <v>35.99</v>
      </c>
      <c r="AI99" s="1">
        <v>1226</v>
      </c>
      <c r="AJ99" s="1">
        <v>-4.1539999999999999</v>
      </c>
      <c r="AL99" s="1">
        <v>3.6999999999999998E-2</v>
      </c>
      <c r="AM99" s="1">
        <v>-0.49199999999999999</v>
      </c>
      <c r="AN99" s="1">
        <v>-1.054</v>
      </c>
      <c r="AO99" s="1">
        <v>-7.5999999999999998E-2</v>
      </c>
      <c r="AP99" s="1">
        <v>0.29199999999999998</v>
      </c>
      <c r="AQ99" s="1">
        <v>0.83699999999999997</v>
      </c>
      <c r="AR99" s="1">
        <v>0.06</v>
      </c>
      <c r="AS99" s="1">
        <v>0.17199999999999999</v>
      </c>
      <c r="AT99" s="1">
        <v>0.19500000000000001</v>
      </c>
      <c r="AU99" s="1">
        <v>6.4000000000000001E-2</v>
      </c>
      <c r="AV99" s="1">
        <v>0.153</v>
      </c>
      <c r="AW99" s="1">
        <v>0.22</v>
      </c>
      <c r="AX99" s="1">
        <v>8.5999999999999993E-2</v>
      </c>
      <c r="AY99" s="1">
        <v>0.05</v>
      </c>
      <c r="AZ99" s="1">
        <v>-0.25</v>
      </c>
      <c r="BA99" s="1">
        <v>2176</v>
      </c>
      <c r="BB99" s="1">
        <v>13.24</v>
      </c>
      <c r="BC99" s="1">
        <v>2786</v>
      </c>
      <c r="BF99" s="1">
        <f t="shared" si="40"/>
        <v>1317</v>
      </c>
      <c r="BM99" s="17">
        <v>21.56</v>
      </c>
      <c r="BN99" s="17">
        <f t="shared" si="44"/>
        <v>43.551199999999994</v>
      </c>
      <c r="BO99" s="18">
        <f t="shared" si="15"/>
        <v>19.53</v>
      </c>
      <c r="BP99" s="18">
        <f t="shared" si="16"/>
        <v>37.840000000000003</v>
      </c>
      <c r="BR99" s="1">
        <f t="shared" si="17"/>
        <v>90.8</v>
      </c>
      <c r="BS99" s="1">
        <f t="shared" si="18"/>
        <v>61.7</v>
      </c>
      <c r="BT99" s="1">
        <f t="shared" si="19"/>
        <v>25.7</v>
      </c>
      <c r="BU99" s="60">
        <f t="shared" si="20"/>
        <v>0.27400000000000002</v>
      </c>
      <c r="BV99" s="60">
        <f t="shared" si="41"/>
        <v>0.79200000000000004</v>
      </c>
      <c r="BW99" s="2"/>
      <c r="BX99" s="51">
        <f t="shared" si="45"/>
        <v>0</v>
      </c>
      <c r="BY99" s="46">
        <v>0</v>
      </c>
      <c r="BZ99" s="1">
        <v>0</v>
      </c>
      <c r="CB99" s="17">
        <f t="shared" si="46"/>
        <v>19.53</v>
      </c>
      <c r="CC99" s="17">
        <f t="shared" si="47"/>
        <v>37.840000000000003</v>
      </c>
      <c r="CD99" s="3">
        <f t="shared" si="48"/>
        <v>2.4</v>
      </c>
      <c r="CE99" s="3">
        <f t="shared" si="72"/>
        <v>1.8</v>
      </c>
      <c r="CF99" s="1" t="s">
        <v>218</v>
      </c>
      <c r="CG99" s="3">
        <f t="shared" si="49"/>
        <v>0.1</v>
      </c>
      <c r="CH99" s="3">
        <f t="shared" si="50"/>
        <v>-0.1</v>
      </c>
      <c r="CI99" s="3">
        <f t="shared" si="51"/>
        <v>0.3</v>
      </c>
      <c r="CJ99" s="3">
        <f t="shared" si="52"/>
        <v>0.9</v>
      </c>
      <c r="CK99" s="27">
        <f t="shared" si="53"/>
        <v>61.7</v>
      </c>
      <c r="CL99" s="1">
        <f t="shared" si="54"/>
        <v>7.9</v>
      </c>
      <c r="CM99" s="1">
        <f t="shared" si="73"/>
        <v>9.3000000000000007</v>
      </c>
      <c r="CN99" s="1" t="s">
        <v>218</v>
      </c>
      <c r="CO99" s="1">
        <f t="shared" si="55"/>
        <v>0.1</v>
      </c>
      <c r="CP99" s="1">
        <f t="shared" si="56"/>
        <v>0</v>
      </c>
      <c r="CQ99" s="1">
        <f t="shared" si="57"/>
        <v>0.3</v>
      </c>
      <c r="CR99" s="1">
        <f t="shared" si="58"/>
        <v>0.9</v>
      </c>
      <c r="CS99" s="2">
        <f t="shared" si="59"/>
        <v>90.8</v>
      </c>
      <c r="CT99" s="1">
        <f t="shared" si="60"/>
        <v>-2.9</v>
      </c>
      <c r="CU99" s="1">
        <f t="shared" si="74"/>
        <v>-4.2</v>
      </c>
      <c r="CV99" s="1" t="s">
        <v>218</v>
      </c>
      <c r="CW99" s="1">
        <f t="shared" si="61"/>
        <v>0</v>
      </c>
      <c r="CX99" s="1">
        <f t="shared" si="62"/>
        <v>-0.1</v>
      </c>
      <c r="CY99" s="1">
        <f t="shared" si="63"/>
        <v>0.3</v>
      </c>
      <c r="CZ99" s="1">
        <f t="shared" si="64"/>
        <v>0.8</v>
      </c>
      <c r="DA99" s="2">
        <f t="shared" si="65"/>
        <v>25.7</v>
      </c>
      <c r="DB99" s="20">
        <f t="shared" si="66"/>
        <v>1317</v>
      </c>
      <c r="DC99" s="1">
        <f>ROUND(PPTest!K99,1)</f>
        <v>0</v>
      </c>
      <c r="DD99" s="27">
        <f t="shared" si="42"/>
        <v>1.79</v>
      </c>
      <c r="DE99" s="3">
        <f t="shared" si="67"/>
        <v>5.25</v>
      </c>
      <c r="DF99" s="24">
        <f t="shared" si="68"/>
        <v>0.27400000000000002</v>
      </c>
      <c r="DG99" s="24">
        <f t="shared" si="69"/>
        <v>0.79200000000000004</v>
      </c>
      <c r="DH99" s="17">
        <f t="shared" si="70"/>
        <v>13.24</v>
      </c>
      <c r="DQ99" s="1">
        <v>9.5</v>
      </c>
      <c r="DR99" s="1">
        <v>20</v>
      </c>
      <c r="DS99" s="1">
        <v>-1</v>
      </c>
    </row>
    <row r="100" spans="1:123" x14ac:dyDescent="0.2">
      <c r="A100" s="15">
        <f t="shared" si="71"/>
        <v>36619</v>
      </c>
      <c r="B100" s="1">
        <v>94</v>
      </c>
      <c r="C100" s="1">
        <v>8.0500000000000007</v>
      </c>
      <c r="D100" s="1">
        <v>14.01</v>
      </c>
      <c r="E100" s="1">
        <v>4.625</v>
      </c>
      <c r="F100" s="1">
        <v>71.5</v>
      </c>
      <c r="G100" s="1">
        <v>3.6360000000000001</v>
      </c>
      <c r="I100" s="1">
        <v>7.1999999999999995E-2</v>
      </c>
      <c r="J100" s="1">
        <v>-0.625</v>
      </c>
      <c r="K100" s="1">
        <v>3.1070000000000002</v>
      </c>
      <c r="L100" s="1">
        <v>-4.4999999999999998E-2</v>
      </c>
      <c r="M100" s="1">
        <v>0.32100000000000001</v>
      </c>
      <c r="N100" s="1">
        <v>0.85599999999999998</v>
      </c>
      <c r="O100" s="1">
        <v>0</v>
      </c>
      <c r="P100" s="2">
        <v>1.9133333333333333</v>
      </c>
      <c r="R100" s="1">
        <v>8.91</v>
      </c>
      <c r="S100" s="1">
        <v>1726</v>
      </c>
      <c r="T100" s="1">
        <v>106.3</v>
      </c>
      <c r="U100" s="1">
        <v>532</v>
      </c>
      <c r="V100" s="1">
        <v>8.35</v>
      </c>
      <c r="X100" s="1">
        <v>0.104</v>
      </c>
      <c r="Y100" s="1">
        <v>-0.33500000000000002</v>
      </c>
      <c r="Z100" s="1">
        <v>8.7899999999999991</v>
      </c>
      <c r="AA100" s="1">
        <v>-0.01</v>
      </c>
      <c r="AB100" s="1">
        <v>0.35799999999999998</v>
      </c>
      <c r="AC100" s="1">
        <v>0.89900000000000002</v>
      </c>
      <c r="AD100" s="2">
        <v>7.381333333333334</v>
      </c>
      <c r="AE100" s="1">
        <v>2230</v>
      </c>
      <c r="AF100" s="1">
        <v>-3.3359999999999999</v>
      </c>
      <c r="AG100" s="1">
        <v>153</v>
      </c>
      <c r="AH100" s="1">
        <v>51.11</v>
      </c>
      <c r="AI100" s="1">
        <v>1213</v>
      </c>
      <c r="AJ100" s="1">
        <v>-4.3659999999999997</v>
      </c>
      <c r="AL100" s="1">
        <v>3.5000000000000003E-2</v>
      </c>
      <c r="AM100" s="1">
        <v>-1.02</v>
      </c>
      <c r="AN100" s="1">
        <v>-1.107</v>
      </c>
      <c r="AO100" s="1">
        <v>-6.3E-2</v>
      </c>
      <c r="AP100" s="1">
        <v>0.30599999999999999</v>
      </c>
      <c r="AQ100" s="1">
        <v>0.83499999999999996</v>
      </c>
      <c r="AR100" s="1">
        <v>4.2999999999999997E-2</v>
      </c>
      <c r="AS100" s="1">
        <v>0.16500000000000001</v>
      </c>
      <c r="AT100" s="1">
        <v>0.11700000000000001</v>
      </c>
      <c r="AU100" s="1">
        <v>3.4000000000000002E-2</v>
      </c>
      <c r="AV100" s="1">
        <v>0.13900000000000001</v>
      </c>
      <c r="AW100" s="1">
        <v>0.32</v>
      </c>
      <c r="AX100" s="1">
        <v>0.127</v>
      </c>
      <c r="AY100" s="1">
        <v>5.3999999999999999E-2</v>
      </c>
      <c r="AZ100" s="1">
        <v>-0.23300000000000001</v>
      </c>
      <c r="BA100" s="1">
        <v>2195</v>
      </c>
      <c r="BB100" s="1">
        <v>13.29</v>
      </c>
      <c r="BC100" s="1">
        <v>2786</v>
      </c>
      <c r="BF100" s="1">
        <f t="shared" si="40"/>
        <v>1298</v>
      </c>
      <c r="BM100" s="17">
        <v>21.82</v>
      </c>
      <c r="BN100" s="17">
        <f t="shared" si="44"/>
        <v>44.0764</v>
      </c>
      <c r="BO100" s="18">
        <f t="shared" ref="BO100:BO131" si="75">ROUND(C100*BO$2,2)</f>
        <v>7.89</v>
      </c>
      <c r="BP100" s="18">
        <f t="shared" ref="BP100:BP131" si="76">ROUND(D100*BP$2,2)</f>
        <v>15.41</v>
      </c>
      <c r="BR100" s="1">
        <f t="shared" ref="BR100:BR131" si="77">ROUND(IF(T100&gt;BR$2,100,IF(T100&gt;BR$3,BS$1*T100+BS$2, T100*BS$3+BS$4)),1)</f>
        <v>93.3</v>
      </c>
      <c r="BS100" s="1">
        <f t="shared" ref="BS100:BS131" si="78">ROUND(IF(F100&gt;BR$2,100, IF(F100&gt;BR$3,BS$1*F100+BS$2, F100*BS$3+BS$4)),1)</f>
        <v>56.9</v>
      </c>
      <c r="BT100" s="1">
        <f t="shared" ref="BT100:BT131" si="79">ROUND(IF(AH100&gt;BR$2,100,IF(AH100&gt;BR$3,BS$1*AH100+BS$2, AH100*BS$3+BS$4)),1)</f>
        <v>39</v>
      </c>
      <c r="BU100" s="60">
        <f t="shared" ref="BU100:BU131" si="80">ROUND(0.6105*(EXP((17.273*R100)/(R100+237.3)))*BT100/100, 3)</f>
        <v>0.44500000000000001</v>
      </c>
      <c r="BV100" s="60">
        <f t="shared" si="41"/>
        <v>0.69599999999999995</v>
      </c>
      <c r="BW100" s="2"/>
      <c r="BX100" s="51">
        <f t="shared" si="45"/>
        <v>0</v>
      </c>
      <c r="BY100" s="46">
        <v>0</v>
      </c>
      <c r="BZ100" s="1">
        <v>0</v>
      </c>
      <c r="CB100" s="17">
        <f t="shared" si="46"/>
        <v>7.89</v>
      </c>
      <c r="CC100" s="17">
        <f t="shared" si="47"/>
        <v>15.41</v>
      </c>
      <c r="CD100" s="3">
        <f t="shared" si="48"/>
        <v>4.5999999999999996</v>
      </c>
      <c r="CE100" s="3">
        <f t="shared" si="72"/>
        <v>3.6</v>
      </c>
      <c r="CF100" s="1" t="s">
        <v>218</v>
      </c>
      <c r="CG100" s="3">
        <f t="shared" si="49"/>
        <v>0.1</v>
      </c>
      <c r="CH100" s="3">
        <f t="shared" si="50"/>
        <v>0</v>
      </c>
      <c r="CI100" s="3">
        <f t="shared" si="51"/>
        <v>0.3</v>
      </c>
      <c r="CJ100" s="3">
        <f t="shared" si="52"/>
        <v>0.9</v>
      </c>
      <c r="CK100" s="27">
        <f t="shared" si="53"/>
        <v>56.9</v>
      </c>
      <c r="CL100" s="1">
        <f t="shared" si="54"/>
        <v>8.9</v>
      </c>
      <c r="CM100" s="1">
        <f t="shared" si="73"/>
        <v>8.4</v>
      </c>
      <c r="CN100" s="1" t="s">
        <v>218</v>
      </c>
      <c r="CO100" s="1">
        <f t="shared" si="55"/>
        <v>0.1</v>
      </c>
      <c r="CP100" s="1">
        <f t="shared" si="56"/>
        <v>0</v>
      </c>
      <c r="CQ100" s="1">
        <f t="shared" si="57"/>
        <v>0.4</v>
      </c>
      <c r="CR100" s="1">
        <f t="shared" si="58"/>
        <v>0.9</v>
      </c>
      <c r="CS100" s="2">
        <f t="shared" si="59"/>
        <v>93.3</v>
      </c>
      <c r="CT100" s="1">
        <f t="shared" si="60"/>
        <v>-3.3</v>
      </c>
      <c r="CU100" s="1">
        <f t="shared" si="74"/>
        <v>-4.4000000000000004</v>
      </c>
      <c r="CV100" s="1" t="s">
        <v>218</v>
      </c>
      <c r="CW100" s="1">
        <f t="shared" si="61"/>
        <v>0</v>
      </c>
      <c r="CX100" s="1">
        <f t="shared" si="62"/>
        <v>-0.1</v>
      </c>
      <c r="CY100" s="1">
        <f t="shared" si="63"/>
        <v>0.3</v>
      </c>
      <c r="CZ100" s="1">
        <f t="shared" si="64"/>
        <v>0.8</v>
      </c>
      <c r="DA100" s="2">
        <f t="shared" si="65"/>
        <v>39</v>
      </c>
      <c r="DB100" s="20">
        <f t="shared" si="66"/>
        <v>1298</v>
      </c>
      <c r="DC100" s="1">
        <f>ROUND(PPTest!K100,1)</f>
        <v>0</v>
      </c>
      <c r="DD100" s="27">
        <f t="shared" si="42"/>
        <v>1.91</v>
      </c>
      <c r="DE100" s="3">
        <f t="shared" si="67"/>
        <v>7.38</v>
      </c>
      <c r="DF100" s="24">
        <f t="shared" si="68"/>
        <v>0.44500000000000001</v>
      </c>
      <c r="DG100" s="24">
        <f t="shared" si="69"/>
        <v>0.69599999999999995</v>
      </c>
      <c r="DH100" s="17">
        <f t="shared" si="70"/>
        <v>13.29</v>
      </c>
      <c r="DQ100" s="1">
        <v>6.2</v>
      </c>
      <c r="DR100" s="1">
        <v>13.5</v>
      </c>
      <c r="DS100" s="1">
        <v>-1.2</v>
      </c>
    </row>
    <row r="101" spans="1:123" x14ac:dyDescent="0.2">
      <c r="A101" s="15">
        <f t="shared" si="71"/>
        <v>36620</v>
      </c>
      <c r="B101" s="1">
        <v>95</v>
      </c>
      <c r="C101" s="1">
        <v>10.5</v>
      </c>
      <c r="D101" s="1">
        <v>18.100000000000001</v>
      </c>
      <c r="E101" s="1">
        <v>1.6120000000000001</v>
      </c>
      <c r="F101" s="1">
        <v>87.8</v>
      </c>
      <c r="G101" s="1">
        <v>1.0629999999999999</v>
      </c>
      <c r="I101" s="1">
        <v>6.3E-2</v>
      </c>
      <c r="J101" s="1">
        <v>-0.55000000000000004</v>
      </c>
      <c r="K101" s="1">
        <v>2.843</v>
      </c>
      <c r="L101" s="1">
        <v>-5.1999999999999998E-2</v>
      </c>
      <c r="M101" s="1">
        <v>0.316</v>
      </c>
      <c r="N101" s="1">
        <v>0.84899999999999998</v>
      </c>
      <c r="O101" s="1">
        <v>0</v>
      </c>
      <c r="P101" s="2">
        <v>3.2946666666666671</v>
      </c>
      <c r="R101" s="1">
        <v>6.0380000000000003</v>
      </c>
      <c r="S101" s="1">
        <v>0</v>
      </c>
      <c r="T101" s="1">
        <v>108.8</v>
      </c>
      <c r="U101" s="1">
        <v>1604</v>
      </c>
      <c r="V101" s="1">
        <v>6.7</v>
      </c>
      <c r="X101" s="1">
        <v>9.0999999999999998E-2</v>
      </c>
      <c r="Y101" s="1">
        <v>-0.28499999999999998</v>
      </c>
      <c r="Z101" s="1">
        <v>8.0500000000000007</v>
      </c>
      <c r="AA101" s="1">
        <v>-3.5999999999999997E-2</v>
      </c>
      <c r="AB101" s="1">
        <v>0.33300000000000002</v>
      </c>
      <c r="AC101" s="1">
        <v>0.86299999999999999</v>
      </c>
      <c r="AD101" s="2">
        <v>8.8746666666666663</v>
      </c>
      <c r="AE101" s="1">
        <v>1303</v>
      </c>
      <c r="AF101" s="1">
        <v>-3.7679999999999998</v>
      </c>
      <c r="AG101" s="1">
        <v>2041</v>
      </c>
      <c r="AH101" s="1">
        <v>56.8</v>
      </c>
      <c r="AI101" s="1">
        <v>1310</v>
      </c>
      <c r="AJ101" s="1">
        <v>-4.7069999999999999</v>
      </c>
      <c r="AL101" s="1">
        <v>3.7999999999999999E-2</v>
      </c>
      <c r="AM101" s="1">
        <v>-1.59</v>
      </c>
      <c r="AN101" s="1">
        <v>-0.998</v>
      </c>
      <c r="AO101" s="1">
        <v>-7.8E-2</v>
      </c>
      <c r="AP101" s="1">
        <v>0.29599999999999999</v>
      </c>
      <c r="AQ101" s="1">
        <v>0.83</v>
      </c>
      <c r="AR101" s="1">
        <v>0</v>
      </c>
      <c r="AS101" s="1">
        <v>0</v>
      </c>
      <c r="AT101" s="1">
        <v>2E-3</v>
      </c>
      <c r="AU101" s="1">
        <v>1.4E-2</v>
      </c>
      <c r="AV101" s="1">
        <v>0.24</v>
      </c>
      <c r="AW101" s="1">
        <v>0.64200000000000002</v>
      </c>
      <c r="AX101" s="1">
        <v>9.2999999999999999E-2</v>
      </c>
      <c r="AY101" s="1">
        <v>8.9999999999999993E-3</v>
      </c>
      <c r="AZ101" s="1">
        <v>-0.123</v>
      </c>
      <c r="BA101" s="1">
        <v>2203</v>
      </c>
      <c r="BB101" s="1">
        <v>13.29</v>
      </c>
      <c r="BC101" s="1">
        <v>2786</v>
      </c>
      <c r="BF101" s="1">
        <f t="shared" si="40"/>
        <v>1290</v>
      </c>
      <c r="BM101" s="17">
        <v>22.08</v>
      </c>
      <c r="BN101" s="17">
        <f t="shared" si="44"/>
        <v>44.601599999999998</v>
      </c>
      <c r="BO101" s="18">
        <f t="shared" si="75"/>
        <v>10.29</v>
      </c>
      <c r="BP101" s="18">
        <f t="shared" si="76"/>
        <v>19.91</v>
      </c>
      <c r="BR101" s="1">
        <f t="shared" si="77"/>
        <v>97.3</v>
      </c>
      <c r="BS101" s="1">
        <f t="shared" si="78"/>
        <v>71.3</v>
      </c>
      <c r="BT101" s="1">
        <f t="shared" si="79"/>
        <v>44</v>
      </c>
      <c r="BU101" s="60">
        <f t="shared" si="80"/>
        <v>0.41199999999999998</v>
      </c>
      <c r="BV101" s="60">
        <f t="shared" si="41"/>
        <v>0.52400000000000002</v>
      </c>
      <c r="BW101" s="2"/>
      <c r="BX101" s="51">
        <f t="shared" si="45"/>
        <v>0.70000000000000007</v>
      </c>
      <c r="BY101" s="46">
        <v>1.1000000000000001</v>
      </c>
      <c r="BZ101" s="1">
        <v>0.50000000000000011</v>
      </c>
      <c r="CB101" s="17">
        <f t="shared" si="46"/>
        <v>10.29</v>
      </c>
      <c r="CC101" s="17">
        <f t="shared" si="47"/>
        <v>19.91</v>
      </c>
      <c r="CD101" s="3">
        <f t="shared" si="48"/>
        <v>1.6</v>
      </c>
      <c r="CE101" s="3">
        <f t="shared" si="72"/>
        <v>1.1000000000000001</v>
      </c>
      <c r="CF101" s="1" t="s">
        <v>218</v>
      </c>
      <c r="CG101" s="3">
        <f t="shared" si="49"/>
        <v>0.1</v>
      </c>
      <c r="CH101" s="3">
        <f t="shared" si="50"/>
        <v>-0.1</v>
      </c>
      <c r="CI101" s="3">
        <f t="shared" si="51"/>
        <v>0.3</v>
      </c>
      <c r="CJ101" s="3">
        <f t="shared" si="52"/>
        <v>0.8</v>
      </c>
      <c r="CK101" s="27">
        <f t="shared" si="53"/>
        <v>71.3</v>
      </c>
      <c r="CL101" s="1">
        <f t="shared" si="54"/>
        <v>6</v>
      </c>
      <c r="CM101" s="1">
        <f t="shared" si="73"/>
        <v>6.7</v>
      </c>
      <c r="CN101" s="1" t="s">
        <v>218</v>
      </c>
      <c r="CO101" s="1">
        <f t="shared" si="55"/>
        <v>0.1</v>
      </c>
      <c r="CP101" s="1">
        <f t="shared" si="56"/>
        <v>0</v>
      </c>
      <c r="CQ101" s="1">
        <f t="shared" si="57"/>
        <v>0.3</v>
      </c>
      <c r="CR101" s="1">
        <f t="shared" si="58"/>
        <v>0.9</v>
      </c>
      <c r="CS101" s="2">
        <f t="shared" si="59"/>
        <v>97.3</v>
      </c>
      <c r="CT101" s="1">
        <f t="shared" si="60"/>
        <v>-3.8</v>
      </c>
      <c r="CU101" s="1">
        <f t="shared" si="74"/>
        <v>-4.7</v>
      </c>
      <c r="CV101" s="1" t="s">
        <v>218</v>
      </c>
      <c r="CW101" s="1">
        <f t="shared" si="61"/>
        <v>0</v>
      </c>
      <c r="CX101" s="1">
        <f t="shared" si="62"/>
        <v>-0.1</v>
      </c>
      <c r="CY101" s="1">
        <f t="shared" si="63"/>
        <v>0.3</v>
      </c>
      <c r="CZ101" s="1">
        <f t="shared" si="64"/>
        <v>0.8</v>
      </c>
      <c r="DA101" s="2">
        <f t="shared" si="65"/>
        <v>44</v>
      </c>
      <c r="DB101" s="20">
        <f t="shared" si="66"/>
        <v>1290</v>
      </c>
      <c r="DC101" s="1">
        <f>ROUND(PPTest!K101,1)</f>
        <v>0</v>
      </c>
      <c r="DD101" s="27">
        <f t="shared" si="42"/>
        <v>3.29</v>
      </c>
      <c r="DE101" s="3">
        <f t="shared" si="67"/>
        <v>8.8699999999999992</v>
      </c>
      <c r="DF101" s="24">
        <f t="shared" si="68"/>
        <v>0.41199999999999998</v>
      </c>
      <c r="DG101" s="24">
        <f t="shared" si="69"/>
        <v>0.52400000000000002</v>
      </c>
      <c r="DH101" s="17">
        <f t="shared" si="70"/>
        <v>13.29</v>
      </c>
      <c r="DQ101" s="1">
        <v>7.4</v>
      </c>
      <c r="DR101" s="1">
        <v>15.5</v>
      </c>
      <c r="DS101" s="1">
        <v>-0.7</v>
      </c>
    </row>
    <row r="102" spans="1:123" x14ac:dyDescent="0.2">
      <c r="A102" s="15">
        <f t="shared" si="71"/>
        <v>36621</v>
      </c>
      <c r="B102" s="1">
        <v>96</v>
      </c>
      <c r="C102" s="1">
        <v>11.68</v>
      </c>
      <c r="D102" s="1">
        <v>20.28</v>
      </c>
      <c r="E102" s="1">
        <v>-2.8570000000000002</v>
      </c>
      <c r="F102" s="1">
        <v>92.3</v>
      </c>
      <c r="G102" s="1">
        <v>-3.1120000000000001</v>
      </c>
      <c r="I102" s="1">
        <v>5.8999999999999997E-2</v>
      </c>
      <c r="J102" s="1">
        <v>-2.988</v>
      </c>
      <c r="K102" s="1">
        <v>-1.4279999999999999</v>
      </c>
      <c r="L102" s="1">
        <v>-5.1999999999999998E-2</v>
      </c>
      <c r="M102" s="1">
        <v>0.316</v>
      </c>
      <c r="N102" s="1">
        <v>0.84099999999999997</v>
      </c>
      <c r="O102" s="1">
        <v>0</v>
      </c>
      <c r="P102" s="2">
        <v>2.9413333333333331</v>
      </c>
      <c r="R102" s="1">
        <v>0.182</v>
      </c>
      <c r="S102" s="1">
        <v>1441</v>
      </c>
      <c r="T102" s="1">
        <v>106.5</v>
      </c>
      <c r="U102" s="1">
        <v>112</v>
      </c>
      <c r="V102" s="1">
        <v>1.984</v>
      </c>
      <c r="X102" s="1">
        <v>0.10199999999999999</v>
      </c>
      <c r="Y102" s="1">
        <v>-1.573</v>
      </c>
      <c r="Z102" s="1">
        <v>-0.28599999999999998</v>
      </c>
      <c r="AA102" s="1">
        <v>-1.2999999999999999E-2</v>
      </c>
      <c r="AB102" s="1">
        <v>0.35599999999999998</v>
      </c>
      <c r="AC102" s="1">
        <v>0.874</v>
      </c>
      <c r="AD102" s="2">
        <v>7.1946666666666674</v>
      </c>
      <c r="AE102" s="1">
        <v>1019</v>
      </c>
      <c r="AF102" s="1">
        <v>-4.452</v>
      </c>
      <c r="AG102" s="1">
        <v>627</v>
      </c>
      <c r="AH102" s="1">
        <v>69.89</v>
      </c>
      <c r="AI102" s="1">
        <v>1441</v>
      </c>
      <c r="AJ102" s="1">
        <v>-4.9269999999999996</v>
      </c>
      <c r="AL102" s="1">
        <v>3.2000000000000001E-2</v>
      </c>
      <c r="AM102" s="1">
        <v>-3.9729999999999999</v>
      </c>
      <c r="AN102" s="1">
        <v>-3.7709999999999999</v>
      </c>
      <c r="AO102" s="1">
        <v>-7.2999999999999995E-2</v>
      </c>
      <c r="AP102" s="1">
        <v>0.29499999999999998</v>
      </c>
      <c r="AQ102" s="1">
        <v>0.81799999999999995</v>
      </c>
      <c r="AR102" s="1">
        <v>0</v>
      </c>
      <c r="AS102" s="1">
        <v>0</v>
      </c>
      <c r="AT102" s="1">
        <v>2E-3</v>
      </c>
      <c r="AU102" s="1">
        <v>1.7000000000000001E-2</v>
      </c>
      <c r="AV102" s="1">
        <v>0.224</v>
      </c>
      <c r="AW102" s="1">
        <v>0.63</v>
      </c>
      <c r="AX102" s="1">
        <v>0.11899999999999999</v>
      </c>
      <c r="AY102" s="1">
        <v>7.0000000000000001E-3</v>
      </c>
      <c r="AZ102" s="1">
        <v>-0.26100000000000001</v>
      </c>
      <c r="BA102" s="1">
        <v>2211</v>
      </c>
      <c r="BB102" s="1">
        <v>13.25</v>
      </c>
      <c r="BC102" s="1">
        <v>2786</v>
      </c>
      <c r="BF102" s="1">
        <f t="shared" si="40"/>
        <v>1282</v>
      </c>
      <c r="BM102" s="17">
        <v>22.34</v>
      </c>
      <c r="BN102" s="17">
        <f t="shared" si="44"/>
        <v>45.126800000000003</v>
      </c>
      <c r="BO102" s="18">
        <f t="shared" si="75"/>
        <v>11.45</v>
      </c>
      <c r="BP102" s="18">
        <f t="shared" si="76"/>
        <v>22.31</v>
      </c>
      <c r="BR102" s="1">
        <f t="shared" si="77"/>
        <v>93.6</v>
      </c>
      <c r="BS102" s="1">
        <f t="shared" si="78"/>
        <v>75.2</v>
      </c>
      <c r="BT102" s="1">
        <f t="shared" si="79"/>
        <v>55.5</v>
      </c>
      <c r="BU102" s="60">
        <f t="shared" si="80"/>
        <v>0.34300000000000003</v>
      </c>
      <c r="BV102" s="60">
        <f t="shared" si="41"/>
        <v>0.27500000000000002</v>
      </c>
      <c r="BW102" s="2"/>
      <c r="BX102" s="51">
        <f t="shared" si="45"/>
        <v>0</v>
      </c>
      <c r="BY102" s="46">
        <v>0</v>
      </c>
      <c r="BZ102" s="1">
        <v>0</v>
      </c>
      <c r="CB102" s="17">
        <f t="shared" si="46"/>
        <v>11.45</v>
      </c>
      <c r="CC102" s="17">
        <f t="shared" si="47"/>
        <v>22.31</v>
      </c>
      <c r="CD102" s="3">
        <f t="shared" si="48"/>
        <v>-2.9</v>
      </c>
      <c r="CE102" s="3">
        <f t="shared" si="72"/>
        <v>-3.1</v>
      </c>
      <c r="CF102" s="1" t="s">
        <v>218</v>
      </c>
      <c r="CG102" s="3">
        <f t="shared" si="49"/>
        <v>0.1</v>
      </c>
      <c r="CH102" s="3">
        <f t="shared" si="50"/>
        <v>-0.1</v>
      </c>
      <c r="CI102" s="3">
        <f t="shared" si="51"/>
        <v>0.3</v>
      </c>
      <c r="CJ102" s="3">
        <f t="shared" si="52"/>
        <v>0.8</v>
      </c>
      <c r="CK102" s="27">
        <f t="shared" si="53"/>
        <v>75.2</v>
      </c>
      <c r="CL102" s="1">
        <f t="shared" si="54"/>
        <v>0.2</v>
      </c>
      <c r="CM102" s="1">
        <f t="shared" si="73"/>
        <v>2</v>
      </c>
      <c r="CN102" s="1" t="s">
        <v>218</v>
      </c>
      <c r="CO102" s="1">
        <f t="shared" si="55"/>
        <v>0.1</v>
      </c>
      <c r="CP102" s="1">
        <f t="shared" si="56"/>
        <v>0</v>
      </c>
      <c r="CQ102" s="1">
        <f t="shared" si="57"/>
        <v>0.4</v>
      </c>
      <c r="CR102" s="1">
        <f t="shared" si="58"/>
        <v>0.9</v>
      </c>
      <c r="CS102" s="2">
        <f t="shared" si="59"/>
        <v>93.6</v>
      </c>
      <c r="CT102" s="1">
        <f t="shared" si="60"/>
        <v>-4.5</v>
      </c>
      <c r="CU102" s="1">
        <f t="shared" si="74"/>
        <v>-4.9000000000000004</v>
      </c>
      <c r="CV102" s="1" t="s">
        <v>218</v>
      </c>
      <c r="CW102" s="1">
        <f t="shared" si="61"/>
        <v>0</v>
      </c>
      <c r="CX102" s="1">
        <f t="shared" si="62"/>
        <v>-0.1</v>
      </c>
      <c r="CY102" s="1">
        <f t="shared" si="63"/>
        <v>0.3</v>
      </c>
      <c r="CZ102" s="1">
        <f t="shared" si="64"/>
        <v>0.8</v>
      </c>
      <c r="DA102" s="2">
        <f t="shared" si="65"/>
        <v>55.5</v>
      </c>
      <c r="DB102" s="20">
        <f t="shared" si="66"/>
        <v>1282</v>
      </c>
      <c r="DC102" s="1">
        <f>ROUND(PPTest!K102,1)</f>
        <v>0</v>
      </c>
      <c r="DD102" s="27">
        <f t="shared" si="42"/>
        <v>2.94</v>
      </c>
      <c r="DE102" s="3">
        <f t="shared" si="67"/>
        <v>7.19</v>
      </c>
      <c r="DF102" s="24">
        <f t="shared" si="68"/>
        <v>0.34300000000000003</v>
      </c>
      <c r="DG102" s="24">
        <f t="shared" si="69"/>
        <v>0.27500000000000002</v>
      </c>
      <c r="DH102" s="17">
        <f t="shared" si="70"/>
        <v>13.25</v>
      </c>
      <c r="DQ102" s="1">
        <v>4.9000000000000004</v>
      </c>
      <c r="DR102" s="1">
        <v>10.3</v>
      </c>
      <c r="DS102" s="1">
        <v>-0.5</v>
      </c>
    </row>
    <row r="103" spans="1:123" x14ac:dyDescent="0.2">
      <c r="A103" s="15">
        <f t="shared" si="71"/>
        <v>36622</v>
      </c>
      <c r="B103" s="1">
        <v>97</v>
      </c>
      <c r="C103" s="1">
        <v>12.09</v>
      </c>
      <c r="D103" s="1">
        <v>19.149999999999999</v>
      </c>
      <c r="E103" s="1">
        <v>-4.95</v>
      </c>
      <c r="F103" s="1">
        <v>104.1</v>
      </c>
      <c r="G103" s="1">
        <v>-5.359</v>
      </c>
      <c r="I103" s="1">
        <v>5.8000000000000003E-2</v>
      </c>
      <c r="J103" s="1">
        <v>-3.9420000000000002</v>
      </c>
      <c r="K103" s="1">
        <v>-3.5419999999999998</v>
      </c>
      <c r="L103" s="1">
        <v>-5.7000000000000002E-2</v>
      </c>
      <c r="M103" s="1">
        <v>0.312</v>
      </c>
      <c r="N103" s="1">
        <v>0.82299999999999995</v>
      </c>
      <c r="O103" s="1">
        <v>0</v>
      </c>
      <c r="P103" s="2">
        <v>1.8636666666666668</v>
      </c>
      <c r="R103" s="1">
        <v>-1.3779999999999999</v>
      </c>
      <c r="S103" s="1">
        <v>1537</v>
      </c>
      <c r="T103" s="1">
        <v>107.9</v>
      </c>
      <c r="U103" s="1">
        <v>2047</v>
      </c>
      <c r="V103" s="1">
        <v>1.1910000000000001</v>
      </c>
      <c r="X103" s="1">
        <v>8.5999999999999993E-2</v>
      </c>
      <c r="Y103" s="1">
        <v>-3.19</v>
      </c>
      <c r="Z103" s="1">
        <v>-0.32700000000000001</v>
      </c>
      <c r="AA103" s="1">
        <v>-3.4000000000000002E-2</v>
      </c>
      <c r="AB103" s="1">
        <v>0.33800000000000002</v>
      </c>
      <c r="AC103" s="1">
        <v>0.84799999999999998</v>
      </c>
      <c r="AD103" s="2">
        <v>5.9680000000000009</v>
      </c>
      <c r="AE103" s="1">
        <v>1317</v>
      </c>
      <c r="AF103" s="1">
        <v>-12.92</v>
      </c>
      <c r="AG103" s="1">
        <v>2359</v>
      </c>
      <c r="AH103" s="1">
        <v>86.4</v>
      </c>
      <c r="AI103" s="1">
        <v>1543</v>
      </c>
      <c r="AJ103" s="1">
        <v>-14.71</v>
      </c>
      <c r="AL103" s="1">
        <v>0.03</v>
      </c>
      <c r="AM103" s="1">
        <v>-8.1300000000000008</v>
      </c>
      <c r="AN103" s="1">
        <v>-14.42</v>
      </c>
      <c r="AO103" s="1">
        <v>-7.8E-2</v>
      </c>
      <c r="AP103" s="1">
        <v>0.29599999999999999</v>
      </c>
      <c r="AQ103" s="1">
        <v>0.79400000000000004</v>
      </c>
      <c r="AR103" s="1">
        <v>2.1999999999999999E-2</v>
      </c>
      <c r="AS103" s="1">
        <v>0.09</v>
      </c>
      <c r="AT103" s="1">
        <v>0.107</v>
      </c>
      <c r="AU103" s="1">
        <v>2.8000000000000001E-2</v>
      </c>
      <c r="AV103" s="1">
        <v>0.13200000000000001</v>
      </c>
      <c r="AW103" s="1">
        <v>0.44900000000000001</v>
      </c>
      <c r="AX103" s="1">
        <v>0.14299999999999999</v>
      </c>
      <c r="AY103" s="1">
        <v>2.9000000000000001E-2</v>
      </c>
      <c r="AZ103" s="1">
        <v>-0.378</v>
      </c>
      <c r="BB103" s="1">
        <v>13.3</v>
      </c>
      <c r="BC103" s="1">
        <v>2786</v>
      </c>
      <c r="BF103" s="22">
        <v>1282</v>
      </c>
      <c r="BM103" s="17">
        <v>22.6</v>
      </c>
      <c r="BN103" s="17">
        <f t="shared" si="44"/>
        <v>45.652000000000001</v>
      </c>
      <c r="BO103" s="18">
        <f t="shared" si="75"/>
        <v>11.85</v>
      </c>
      <c r="BP103" s="18">
        <f t="shared" si="76"/>
        <v>21.07</v>
      </c>
      <c r="BR103" s="1">
        <f t="shared" si="77"/>
        <v>95.9</v>
      </c>
      <c r="BS103" s="1">
        <f t="shared" si="78"/>
        <v>89.8</v>
      </c>
      <c r="BT103" s="1">
        <f t="shared" si="79"/>
        <v>70</v>
      </c>
      <c r="BU103" s="60">
        <f t="shared" si="80"/>
        <v>0.38600000000000001</v>
      </c>
      <c r="BV103" s="60">
        <f t="shared" si="41"/>
        <v>0.16500000000000001</v>
      </c>
      <c r="BW103" s="2"/>
      <c r="BX103" s="51">
        <f t="shared" si="45"/>
        <v>4.0599999999999996</v>
      </c>
      <c r="BY103" s="46">
        <v>19.89</v>
      </c>
      <c r="BZ103" s="1">
        <v>2.9</v>
      </c>
      <c r="CB103" s="17">
        <f t="shared" si="46"/>
        <v>11.85</v>
      </c>
      <c r="CC103" s="17">
        <f t="shared" si="47"/>
        <v>21.07</v>
      </c>
      <c r="CD103" s="3">
        <f t="shared" si="48"/>
        <v>-5</v>
      </c>
      <c r="CE103" s="3">
        <f t="shared" si="72"/>
        <v>-5.4</v>
      </c>
      <c r="CF103" s="1" t="s">
        <v>218</v>
      </c>
      <c r="CG103" s="3">
        <f t="shared" si="49"/>
        <v>0.1</v>
      </c>
      <c r="CH103" s="3">
        <f t="shared" si="50"/>
        <v>-0.1</v>
      </c>
      <c r="CI103" s="3">
        <f t="shared" si="51"/>
        <v>0.3</v>
      </c>
      <c r="CJ103" s="3">
        <f t="shared" si="52"/>
        <v>0.8</v>
      </c>
      <c r="CK103" s="27">
        <f t="shared" si="53"/>
        <v>89.8</v>
      </c>
      <c r="CL103" s="1">
        <f t="shared" si="54"/>
        <v>-1.4</v>
      </c>
      <c r="CM103" s="1">
        <f t="shared" si="73"/>
        <v>1.2</v>
      </c>
      <c r="CN103" s="1" t="s">
        <v>218</v>
      </c>
      <c r="CO103" s="1">
        <f t="shared" si="55"/>
        <v>0.1</v>
      </c>
      <c r="CP103" s="1">
        <f t="shared" si="56"/>
        <v>0</v>
      </c>
      <c r="CQ103" s="1">
        <f t="shared" si="57"/>
        <v>0.3</v>
      </c>
      <c r="CR103" s="1">
        <f t="shared" si="58"/>
        <v>0.8</v>
      </c>
      <c r="CS103" s="2">
        <f t="shared" si="59"/>
        <v>95.9</v>
      </c>
      <c r="CT103" s="1">
        <f t="shared" si="60"/>
        <v>-12.9</v>
      </c>
      <c r="CU103" s="1">
        <f t="shared" si="74"/>
        <v>-14.7</v>
      </c>
      <c r="CV103" s="1" t="s">
        <v>218</v>
      </c>
      <c r="CW103" s="1">
        <f t="shared" si="61"/>
        <v>0</v>
      </c>
      <c r="CX103" s="1">
        <f t="shared" si="62"/>
        <v>-0.1</v>
      </c>
      <c r="CY103" s="1">
        <f t="shared" si="63"/>
        <v>0.3</v>
      </c>
      <c r="CZ103" s="1">
        <f t="shared" si="64"/>
        <v>0.8</v>
      </c>
      <c r="DA103" s="2">
        <f t="shared" si="65"/>
        <v>70</v>
      </c>
      <c r="DB103" s="20">
        <f t="shared" si="66"/>
        <v>1282</v>
      </c>
      <c r="DC103" s="1">
        <f>ROUND(PPTest!K103,1)</f>
        <v>0</v>
      </c>
      <c r="DD103" s="27">
        <f t="shared" si="42"/>
        <v>1.86</v>
      </c>
      <c r="DE103" s="3">
        <f t="shared" si="67"/>
        <v>5.97</v>
      </c>
      <c r="DF103" s="24">
        <f t="shared" si="68"/>
        <v>0.38600000000000001</v>
      </c>
      <c r="DG103" s="24">
        <f t="shared" si="69"/>
        <v>0.16500000000000001</v>
      </c>
      <c r="DH103" s="17">
        <f t="shared" si="70"/>
        <v>13.3</v>
      </c>
      <c r="DQ103" s="1">
        <v>5.9</v>
      </c>
      <c r="DR103" s="1">
        <v>12.6</v>
      </c>
      <c r="DS103" s="1">
        <v>-0.8</v>
      </c>
    </row>
    <row r="104" spans="1:123" x14ac:dyDescent="0.2">
      <c r="A104" s="15">
        <f t="shared" si="71"/>
        <v>36623</v>
      </c>
      <c r="B104" s="1">
        <v>98</v>
      </c>
      <c r="C104" s="1">
        <v>18.93</v>
      </c>
      <c r="D104" s="1">
        <v>33.35</v>
      </c>
      <c r="E104" s="1">
        <v>-3.7639999999999998</v>
      </c>
      <c r="F104" s="1">
        <v>84.5</v>
      </c>
      <c r="G104" s="1">
        <v>-4.4889999999999999</v>
      </c>
      <c r="I104" s="1">
        <v>5.5E-2</v>
      </c>
      <c r="J104" s="1">
        <v>-5.7450000000000001</v>
      </c>
      <c r="K104" s="1">
        <v>-3.9009999999999998</v>
      </c>
      <c r="L104" s="1">
        <v>-5.7000000000000002E-2</v>
      </c>
      <c r="M104" s="1">
        <v>0.311</v>
      </c>
      <c r="N104" s="1">
        <v>0.80700000000000005</v>
      </c>
      <c r="O104" s="1">
        <v>0</v>
      </c>
      <c r="P104" s="2">
        <v>1.5669999999999999</v>
      </c>
      <c r="R104" s="1">
        <v>4.0659999999999998</v>
      </c>
      <c r="S104" s="1">
        <v>1352</v>
      </c>
      <c r="T104" s="1">
        <v>104.8</v>
      </c>
      <c r="U104" s="1">
        <v>540</v>
      </c>
      <c r="V104" s="1">
        <v>6.9160000000000004</v>
      </c>
      <c r="X104" s="1">
        <v>9.4E-2</v>
      </c>
      <c r="Y104" s="1">
        <v>-2.395</v>
      </c>
      <c r="Z104" s="1">
        <v>6.9</v>
      </c>
      <c r="AA104" s="1">
        <v>-3.4000000000000002E-2</v>
      </c>
      <c r="AB104" s="1">
        <v>0.33200000000000002</v>
      </c>
      <c r="AC104" s="1">
        <v>0.83399999999999996</v>
      </c>
      <c r="AD104" s="2">
        <v>5.381333333333334</v>
      </c>
      <c r="AE104" s="1">
        <v>1100</v>
      </c>
      <c r="AF104" s="1">
        <v>-14.54</v>
      </c>
      <c r="AG104" s="1">
        <v>305</v>
      </c>
      <c r="AH104" s="1">
        <v>48.07</v>
      </c>
      <c r="AI104" s="1">
        <v>1221</v>
      </c>
      <c r="AJ104" s="1">
        <v>-16.13</v>
      </c>
      <c r="AL104" s="1">
        <v>1.6E-2</v>
      </c>
      <c r="AM104" s="1">
        <v>-10.24</v>
      </c>
      <c r="AN104" s="1">
        <v>-16.25</v>
      </c>
      <c r="AO104" s="1">
        <v>-8.3000000000000004E-2</v>
      </c>
      <c r="AP104" s="1">
        <v>0.28699999999999998</v>
      </c>
      <c r="AQ104" s="1">
        <v>0.78200000000000003</v>
      </c>
      <c r="AR104" s="1">
        <v>3.5999999999999997E-2</v>
      </c>
      <c r="AS104" s="1">
        <v>0.26700000000000002</v>
      </c>
      <c r="AT104" s="1">
        <v>0.32300000000000001</v>
      </c>
      <c r="AU104" s="1">
        <v>6.7000000000000004E-2</v>
      </c>
      <c r="AV104" s="1">
        <v>0.107</v>
      </c>
      <c r="AW104" s="1">
        <v>0.13500000000000001</v>
      </c>
      <c r="AX104" s="1">
        <v>4.1000000000000002E-2</v>
      </c>
      <c r="AY104" s="1">
        <v>2.3E-2</v>
      </c>
      <c r="AZ104" s="1">
        <v>-0.47199999999999998</v>
      </c>
      <c r="BA104" s="1">
        <v>2201</v>
      </c>
      <c r="BB104" s="1">
        <v>13.31</v>
      </c>
      <c r="BC104" s="1">
        <v>2786</v>
      </c>
      <c r="BF104" s="1">
        <f t="shared" ref="BF104:BF110" si="81">$BF$1-BA104</f>
        <v>1292</v>
      </c>
      <c r="BM104" s="17">
        <v>22.86</v>
      </c>
      <c r="BN104" s="17">
        <f t="shared" si="44"/>
        <v>46.177199999999999</v>
      </c>
      <c r="BO104" s="18">
        <f t="shared" si="75"/>
        <v>18.55</v>
      </c>
      <c r="BP104" s="18">
        <f t="shared" si="76"/>
        <v>36.69</v>
      </c>
      <c r="BR104" s="1">
        <f t="shared" si="77"/>
        <v>90.9</v>
      </c>
      <c r="BS104" s="1">
        <f t="shared" si="78"/>
        <v>68.400000000000006</v>
      </c>
      <c r="BT104" s="1">
        <f t="shared" si="79"/>
        <v>36.299999999999997</v>
      </c>
      <c r="BU104" s="60">
        <f t="shared" si="80"/>
        <v>0.29599999999999999</v>
      </c>
      <c r="BV104" s="60">
        <f t="shared" si="41"/>
        <v>0.51900000000000002</v>
      </c>
      <c r="BW104" s="2"/>
      <c r="BX104" s="51">
        <f t="shared" si="45"/>
        <v>0</v>
      </c>
      <c r="BY104" s="46">
        <v>0</v>
      </c>
      <c r="BZ104" s="1">
        <v>0</v>
      </c>
      <c r="CB104" s="17">
        <f t="shared" si="46"/>
        <v>18.55</v>
      </c>
      <c r="CC104" s="17">
        <f t="shared" si="47"/>
        <v>36.69</v>
      </c>
      <c r="CD104" s="3">
        <f t="shared" si="48"/>
        <v>-3.8</v>
      </c>
      <c r="CE104" s="3">
        <f t="shared" si="72"/>
        <v>-4.5</v>
      </c>
      <c r="CF104" s="1" t="s">
        <v>218</v>
      </c>
      <c r="CG104" s="3">
        <f t="shared" si="49"/>
        <v>0.1</v>
      </c>
      <c r="CH104" s="3">
        <f t="shared" si="50"/>
        <v>-0.1</v>
      </c>
      <c r="CI104" s="3">
        <f t="shared" si="51"/>
        <v>0.3</v>
      </c>
      <c r="CJ104" s="3">
        <f t="shared" si="52"/>
        <v>0.8</v>
      </c>
      <c r="CK104" s="27">
        <f t="shared" si="53"/>
        <v>68.400000000000006</v>
      </c>
      <c r="CL104" s="1">
        <f t="shared" si="54"/>
        <v>4.0999999999999996</v>
      </c>
      <c r="CM104" s="1">
        <f t="shared" si="73"/>
        <v>6.9</v>
      </c>
      <c r="CN104" s="1" t="s">
        <v>218</v>
      </c>
      <c r="CO104" s="1">
        <f t="shared" si="55"/>
        <v>0.1</v>
      </c>
      <c r="CP104" s="1">
        <f t="shared" si="56"/>
        <v>0</v>
      </c>
      <c r="CQ104" s="1">
        <f t="shared" si="57"/>
        <v>0.3</v>
      </c>
      <c r="CR104" s="1">
        <f t="shared" si="58"/>
        <v>0.8</v>
      </c>
      <c r="CS104" s="2">
        <f t="shared" si="59"/>
        <v>90.9</v>
      </c>
      <c r="CT104" s="1">
        <f t="shared" si="60"/>
        <v>-14.5</v>
      </c>
      <c r="CU104" s="1">
        <f t="shared" si="74"/>
        <v>-16.100000000000001</v>
      </c>
      <c r="CV104" s="1" t="s">
        <v>218</v>
      </c>
      <c r="CW104" s="1">
        <f t="shared" si="61"/>
        <v>0</v>
      </c>
      <c r="CX104" s="1">
        <f t="shared" si="62"/>
        <v>-0.1</v>
      </c>
      <c r="CY104" s="1">
        <f t="shared" si="63"/>
        <v>0.3</v>
      </c>
      <c r="CZ104" s="1">
        <f t="shared" si="64"/>
        <v>0.8</v>
      </c>
      <c r="DA104" s="2">
        <f t="shared" si="65"/>
        <v>36.299999999999997</v>
      </c>
      <c r="DB104" s="20">
        <f t="shared" si="66"/>
        <v>1292</v>
      </c>
      <c r="DC104" s="1">
        <f>ROUND(PPTest!K104,1)</f>
        <v>1.3</v>
      </c>
      <c r="DD104" s="27">
        <f t="shared" si="42"/>
        <v>1.57</v>
      </c>
      <c r="DE104" s="3">
        <f t="shared" si="67"/>
        <v>5.38</v>
      </c>
      <c r="DF104" s="24">
        <f t="shared" si="68"/>
        <v>0.29599999999999999</v>
      </c>
      <c r="DG104" s="24">
        <f t="shared" si="69"/>
        <v>0.51900000000000002</v>
      </c>
      <c r="DH104" s="17">
        <f t="shared" si="70"/>
        <v>13.31</v>
      </c>
      <c r="DQ104" s="1">
        <v>6.5</v>
      </c>
      <c r="DR104" s="1">
        <v>14.5</v>
      </c>
      <c r="DS104" s="1">
        <v>-1.6</v>
      </c>
    </row>
    <row r="105" spans="1:123" x14ac:dyDescent="0.2">
      <c r="A105" s="15">
        <f t="shared" si="71"/>
        <v>36624</v>
      </c>
      <c r="B105" s="1">
        <v>99</v>
      </c>
      <c r="C105" s="1">
        <v>21.97</v>
      </c>
      <c r="D105" s="1">
        <v>37.770000000000003</v>
      </c>
      <c r="E105" s="1">
        <v>1.6519999999999999</v>
      </c>
      <c r="F105" s="1">
        <v>79.599999999999994</v>
      </c>
      <c r="G105" s="1">
        <v>0.98699999999999999</v>
      </c>
      <c r="I105" s="1">
        <v>5.8999999999999997E-2</v>
      </c>
      <c r="J105" s="1">
        <v>-1.9510000000000001</v>
      </c>
      <c r="K105" s="1">
        <v>3.3460000000000001</v>
      </c>
      <c r="L105" s="1">
        <v>-5.2999999999999999E-2</v>
      </c>
      <c r="M105" s="1">
        <v>0.31</v>
      </c>
      <c r="N105" s="1">
        <v>0.79100000000000004</v>
      </c>
      <c r="O105" s="1">
        <v>0</v>
      </c>
      <c r="P105" s="2">
        <v>1.7646666666666668</v>
      </c>
      <c r="R105" s="1">
        <v>10.14</v>
      </c>
      <c r="S105" s="1">
        <v>1243</v>
      </c>
      <c r="T105" s="1">
        <v>105.3</v>
      </c>
      <c r="U105" s="1">
        <v>531</v>
      </c>
      <c r="V105" s="1">
        <v>12.55</v>
      </c>
      <c r="X105" s="1">
        <v>9.4E-2</v>
      </c>
      <c r="Y105" s="1">
        <v>-0.312</v>
      </c>
      <c r="Z105" s="1">
        <v>15.75</v>
      </c>
      <c r="AA105" s="1">
        <v>-3.1E-2</v>
      </c>
      <c r="AB105" s="1">
        <v>0.33100000000000002</v>
      </c>
      <c r="AC105" s="1">
        <v>0.81699999999999995</v>
      </c>
      <c r="AD105" s="2">
        <v>4.7413333333333334</v>
      </c>
      <c r="AE105" s="1">
        <v>1439</v>
      </c>
      <c r="AF105" s="1">
        <v>-4.8339999999999996</v>
      </c>
      <c r="AG105" s="1">
        <v>511</v>
      </c>
      <c r="AH105" s="1">
        <v>43.25</v>
      </c>
      <c r="AI105" s="1">
        <v>1534</v>
      </c>
      <c r="AJ105" s="1">
        <v>-5.6950000000000003</v>
      </c>
      <c r="AL105" s="1">
        <v>2.9000000000000001E-2</v>
      </c>
      <c r="AM105" s="1">
        <v>-3.6309999999999998</v>
      </c>
      <c r="AN105" s="1">
        <v>-2.93</v>
      </c>
      <c r="AO105" s="1">
        <v>-7.4999999999999997E-2</v>
      </c>
      <c r="AP105" s="1">
        <v>0.28299999999999997</v>
      </c>
      <c r="AQ105" s="1">
        <v>0.76600000000000001</v>
      </c>
      <c r="AR105" s="1">
        <v>4.2999999999999997E-2</v>
      </c>
      <c r="AS105" s="1">
        <v>0.32200000000000001</v>
      </c>
      <c r="AT105" s="1">
        <v>0.32700000000000001</v>
      </c>
      <c r="AU105" s="1">
        <v>2.5999999999999999E-2</v>
      </c>
      <c r="AV105" s="1">
        <v>9.8000000000000004E-2</v>
      </c>
      <c r="AW105" s="1">
        <v>0.105</v>
      </c>
      <c r="AX105" s="1">
        <v>4.2999999999999997E-2</v>
      </c>
      <c r="AY105" s="1">
        <v>3.5000000000000003E-2</v>
      </c>
      <c r="AZ105" s="1">
        <v>-0.32200000000000001</v>
      </c>
      <c r="BA105" s="1">
        <v>2245</v>
      </c>
      <c r="BB105" s="1">
        <v>13.29</v>
      </c>
      <c r="BC105" s="1">
        <v>2786</v>
      </c>
      <c r="BF105" s="1">
        <f t="shared" si="81"/>
        <v>1248</v>
      </c>
      <c r="BM105" s="17">
        <v>23.11</v>
      </c>
      <c r="BN105" s="17">
        <f t="shared" si="44"/>
        <v>46.682200000000002</v>
      </c>
      <c r="BO105" s="18">
        <f t="shared" si="75"/>
        <v>21.53</v>
      </c>
      <c r="BP105" s="18">
        <f t="shared" si="76"/>
        <v>41.55</v>
      </c>
      <c r="BR105" s="1">
        <f t="shared" si="77"/>
        <v>91.7</v>
      </c>
      <c r="BS105" s="1">
        <f t="shared" si="78"/>
        <v>64</v>
      </c>
      <c r="BT105" s="1">
        <f t="shared" si="79"/>
        <v>32.1</v>
      </c>
      <c r="BU105" s="60">
        <f t="shared" si="80"/>
        <v>0.39800000000000002</v>
      </c>
      <c r="BV105" s="60">
        <f t="shared" si="41"/>
        <v>0.84199999999999997</v>
      </c>
      <c r="BW105" s="2"/>
      <c r="BX105" s="51">
        <f t="shared" si="45"/>
        <v>0</v>
      </c>
      <c r="BY105" s="46">
        <v>0</v>
      </c>
      <c r="BZ105" s="1">
        <v>0</v>
      </c>
      <c r="CB105" s="17">
        <f t="shared" si="46"/>
        <v>21.53</v>
      </c>
      <c r="CC105" s="17">
        <f t="shared" si="47"/>
        <v>41.55</v>
      </c>
      <c r="CD105" s="3">
        <f t="shared" si="48"/>
        <v>1.7</v>
      </c>
      <c r="CE105" s="3">
        <f t="shared" si="72"/>
        <v>1</v>
      </c>
      <c r="CF105" s="1" t="s">
        <v>218</v>
      </c>
      <c r="CG105" s="3">
        <f t="shared" si="49"/>
        <v>0.1</v>
      </c>
      <c r="CH105" s="3">
        <f t="shared" si="50"/>
        <v>-0.1</v>
      </c>
      <c r="CI105" s="3">
        <f t="shared" si="51"/>
        <v>0.3</v>
      </c>
      <c r="CJ105" s="3">
        <f t="shared" si="52"/>
        <v>0.8</v>
      </c>
      <c r="CK105" s="27">
        <f t="shared" si="53"/>
        <v>64</v>
      </c>
      <c r="CL105" s="1">
        <f t="shared" si="54"/>
        <v>10.1</v>
      </c>
      <c r="CM105" s="1">
        <f t="shared" si="73"/>
        <v>12.6</v>
      </c>
      <c r="CN105" s="1" t="s">
        <v>218</v>
      </c>
      <c r="CO105" s="1">
        <f t="shared" si="55"/>
        <v>0.1</v>
      </c>
      <c r="CP105" s="1">
        <f t="shared" si="56"/>
        <v>0</v>
      </c>
      <c r="CQ105" s="1">
        <f t="shared" si="57"/>
        <v>0.3</v>
      </c>
      <c r="CR105" s="1">
        <f t="shared" si="58"/>
        <v>0.8</v>
      </c>
      <c r="CS105" s="2">
        <f t="shared" si="59"/>
        <v>91.7</v>
      </c>
      <c r="CT105" s="1">
        <f t="shared" si="60"/>
        <v>-4.8</v>
      </c>
      <c r="CU105" s="1">
        <f t="shared" si="74"/>
        <v>-5.7</v>
      </c>
      <c r="CV105" s="1" t="s">
        <v>218</v>
      </c>
      <c r="CW105" s="1">
        <f t="shared" si="61"/>
        <v>0</v>
      </c>
      <c r="CX105" s="1">
        <f t="shared" si="62"/>
        <v>-0.1</v>
      </c>
      <c r="CY105" s="1">
        <f t="shared" si="63"/>
        <v>0.3</v>
      </c>
      <c r="CZ105" s="1">
        <f t="shared" si="64"/>
        <v>0.8</v>
      </c>
      <c r="DA105" s="2">
        <f t="shared" si="65"/>
        <v>32.1</v>
      </c>
      <c r="DB105" s="20">
        <f t="shared" si="66"/>
        <v>1248</v>
      </c>
      <c r="DC105" s="1">
        <f>ROUND(PPTest!K105,1)</f>
        <v>0</v>
      </c>
      <c r="DD105" s="27">
        <f t="shared" si="42"/>
        <v>1.76</v>
      </c>
      <c r="DE105" s="3">
        <f t="shared" si="67"/>
        <v>4.74</v>
      </c>
      <c r="DF105" s="24">
        <f t="shared" si="68"/>
        <v>0.39800000000000002</v>
      </c>
      <c r="DG105" s="24">
        <f t="shared" si="69"/>
        <v>0.84199999999999997</v>
      </c>
      <c r="DH105" s="17">
        <f t="shared" si="70"/>
        <v>13.29</v>
      </c>
      <c r="DQ105" s="1">
        <v>10.199999999999999</v>
      </c>
      <c r="DR105" s="1">
        <v>20.7</v>
      </c>
      <c r="DS105" s="1">
        <v>-0.4</v>
      </c>
    </row>
    <row r="106" spans="1:123" x14ac:dyDescent="0.2">
      <c r="A106" s="15">
        <f t="shared" si="71"/>
        <v>36625</v>
      </c>
      <c r="B106" s="1">
        <v>100</v>
      </c>
      <c r="C106" s="1">
        <v>22.62</v>
      </c>
      <c r="D106" s="1">
        <v>38.57</v>
      </c>
      <c r="E106" s="1">
        <v>2.9510000000000001</v>
      </c>
      <c r="F106" s="1">
        <v>66.599999999999994</v>
      </c>
      <c r="G106" s="1">
        <v>2.3220000000000001</v>
      </c>
      <c r="I106" s="1">
        <v>3.4000000000000002E-2</v>
      </c>
      <c r="J106" s="1">
        <v>-0.71099999999999997</v>
      </c>
      <c r="K106" s="1">
        <v>3.5190000000000001</v>
      </c>
      <c r="L106" s="1">
        <v>-5.8000000000000003E-2</v>
      </c>
      <c r="M106" s="1">
        <v>0.29599999999999999</v>
      </c>
      <c r="N106" s="1">
        <v>0.77</v>
      </c>
      <c r="O106" s="1">
        <v>0</v>
      </c>
      <c r="P106" s="2">
        <v>2.5830000000000002</v>
      </c>
      <c r="R106" s="1">
        <v>9.57</v>
      </c>
      <c r="S106" s="1">
        <v>1512</v>
      </c>
      <c r="T106" s="1">
        <v>105.6</v>
      </c>
      <c r="U106" s="1">
        <v>518</v>
      </c>
      <c r="V106" s="1">
        <v>10.48</v>
      </c>
      <c r="X106" s="1">
        <v>6.5000000000000002E-2</v>
      </c>
      <c r="Y106" s="1">
        <v>2.883</v>
      </c>
      <c r="Z106" s="1">
        <v>13.72</v>
      </c>
      <c r="AA106" s="1">
        <v>-8.0000000000000002E-3</v>
      </c>
      <c r="AB106" s="1">
        <v>0.34899999999999998</v>
      </c>
      <c r="AC106" s="1">
        <v>0.82099999999999995</v>
      </c>
      <c r="AD106" s="2">
        <v>7.674666666666667</v>
      </c>
      <c r="AE106" s="1">
        <v>1315</v>
      </c>
      <c r="AF106" s="1">
        <v>-5.1829999999999998</v>
      </c>
      <c r="AG106" s="1">
        <v>515</v>
      </c>
      <c r="AH106" s="1">
        <v>33.89</v>
      </c>
      <c r="AI106" s="1">
        <v>2240</v>
      </c>
      <c r="AJ106" s="1">
        <v>-6.1790000000000003</v>
      </c>
      <c r="AL106" s="1">
        <v>-5.0000000000000001E-3</v>
      </c>
      <c r="AM106" s="1">
        <v>-4.4340000000000002</v>
      </c>
      <c r="AN106" s="1">
        <v>-3.786</v>
      </c>
      <c r="AO106" s="1">
        <v>-9.1999999999999998E-2</v>
      </c>
      <c r="AP106" s="1">
        <v>0.26300000000000001</v>
      </c>
      <c r="AQ106" s="1">
        <v>0.73899999999999999</v>
      </c>
      <c r="AR106" s="1">
        <v>2.4E-2</v>
      </c>
      <c r="AS106" s="1">
        <v>0.14099999999999999</v>
      </c>
      <c r="AT106" s="1">
        <v>0.24199999999999999</v>
      </c>
      <c r="AU106" s="1">
        <v>2.8000000000000001E-2</v>
      </c>
      <c r="AV106" s="1">
        <v>0.14499999999999999</v>
      </c>
      <c r="AW106" s="1">
        <v>0.311</v>
      </c>
      <c r="AX106" s="1">
        <v>8.1000000000000003E-2</v>
      </c>
      <c r="AY106" s="1">
        <v>2.8000000000000001E-2</v>
      </c>
      <c r="AZ106" s="1">
        <v>-0.51400000000000001</v>
      </c>
      <c r="BA106" s="1">
        <v>2293</v>
      </c>
      <c r="BB106" s="1">
        <v>13.31</v>
      </c>
      <c r="BC106" s="1">
        <v>2786</v>
      </c>
      <c r="BF106" s="1">
        <f t="shared" si="81"/>
        <v>1200</v>
      </c>
      <c r="BM106" s="17">
        <v>23.37</v>
      </c>
      <c r="BN106" s="17">
        <f t="shared" si="44"/>
        <v>47.2074</v>
      </c>
      <c r="BO106" s="18">
        <f t="shared" si="75"/>
        <v>22.17</v>
      </c>
      <c r="BP106" s="18">
        <f t="shared" si="76"/>
        <v>42.43</v>
      </c>
      <c r="BR106" s="1">
        <f t="shared" si="77"/>
        <v>92.2</v>
      </c>
      <c r="BS106" s="1">
        <f t="shared" si="78"/>
        <v>52.6</v>
      </c>
      <c r="BT106" s="1">
        <f t="shared" si="79"/>
        <v>23.8</v>
      </c>
      <c r="BU106" s="60">
        <f t="shared" si="80"/>
        <v>0.28399999999999997</v>
      </c>
      <c r="BV106" s="60">
        <f t="shared" si="41"/>
        <v>0.90900000000000003</v>
      </c>
      <c r="BW106" s="2"/>
      <c r="BX106" s="51">
        <f t="shared" si="45"/>
        <v>0</v>
      </c>
      <c r="BY106" s="46">
        <v>0</v>
      </c>
      <c r="BZ106" s="1">
        <v>0</v>
      </c>
      <c r="CB106" s="17">
        <f t="shared" si="46"/>
        <v>22.17</v>
      </c>
      <c r="CC106" s="17">
        <f t="shared" si="47"/>
        <v>42.43</v>
      </c>
      <c r="CD106" s="3">
        <f t="shared" si="48"/>
        <v>3</v>
      </c>
      <c r="CE106" s="3">
        <f t="shared" si="72"/>
        <v>2.2999999999999998</v>
      </c>
      <c r="CF106" s="1" t="s">
        <v>218</v>
      </c>
      <c r="CG106" s="3">
        <f t="shared" si="49"/>
        <v>0</v>
      </c>
      <c r="CH106" s="3">
        <f t="shared" si="50"/>
        <v>-0.1</v>
      </c>
      <c r="CI106" s="3">
        <f t="shared" si="51"/>
        <v>0.3</v>
      </c>
      <c r="CJ106" s="3">
        <f t="shared" si="52"/>
        <v>0.8</v>
      </c>
      <c r="CK106" s="27">
        <f t="shared" si="53"/>
        <v>52.6</v>
      </c>
      <c r="CL106" s="1">
        <f t="shared" si="54"/>
        <v>9.6</v>
      </c>
      <c r="CM106" s="1">
        <f t="shared" si="73"/>
        <v>10.5</v>
      </c>
      <c r="CN106" s="1" t="s">
        <v>218</v>
      </c>
      <c r="CO106" s="1">
        <f t="shared" si="55"/>
        <v>0.1</v>
      </c>
      <c r="CP106" s="1">
        <f t="shared" si="56"/>
        <v>0</v>
      </c>
      <c r="CQ106" s="1">
        <f t="shared" si="57"/>
        <v>0.3</v>
      </c>
      <c r="CR106" s="1">
        <f t="shared" si="58"/>
        <v>0.8</v>
      </c>
      <c r="CS106" s="2">
        <f t="shared" si="59"/>
        <v>92.2</v>
      </c>
      <c r="CT106" s="1">
        <f t="shared" si="60"/>
        <v>-5.2</v>
      </c>
      <c r="CU106" s="1">
        <f t="shared" si="74"/>
        <v>-6.2</v>
      </c>
      <c r="CV106" s="1" t="s">
        <v>218</v>
      </c>
      <c r="CW106" s="1">
        <f t="shared" si="61"/>
        <v>0</v>
      </c>
      <c r="CX106" s="1">
        <f t="shared" si="62"/>
        <v>-0.1</v>
      </c>
      <c r="CY106" s="1">
        <f t="shared" si="63"/>
        <v>0.3</v>
      </c>
      <c r="CZ106" s="1">
        <f t="shared" si="64"/>
        <v>0.7</v>
      </c>
      <c r="DA106" s="2">
        <f t="shared" si="65"/>
        <v>23.8</v>
      </c>
      <c r="DB106" s="20">
        <f t="shared" si="66"/>
        <v>1200</v>
      </c>
      <c r="DC106" s="1">
        <f>ROUND(PPTest!K106,1)</f>
        <v>0</v>
      </c>
      <c r="DD106" s="27">
        <f t="shared" si="42"/>
        <v>2.58</v>
      </c>
      <c r="DE106" s="3">
        <f t="shared" si="67"/>
        <v>7.67</v>
      </c>
      <c r="DF106" s="24">
        <f t="shared" si="68"/>
        <v>0.28399999999999997</v>
      </c>
      <c r="DG106" s="24">
        <f t="shared" si="69"/>
        <v>0.90900000000000003</v>
      </c>
      <c r="DH106" s="17">
        <f t="shared" si="70"/>
        <v>13.31</v>
      </c>
      <c r="DQ106" s="1">
        <v>10.8</v>
      </c>
      <c r="DR106" s="1">
        <v>22</v>
      </c>
      <c r="DS106" s="1">
        <v>-0.5</v>
      </c>
    </row>
    <row r="107" spans="1:123" x14ac:dyDescent="0.2">
      <c r="A107" s="15">
        <f t="shared" si="71"/>
        <v>36626</v>
      </c>
      <c r="B107" s="1">
        <v>101</v>
      </c>
      <c r="C107" s="1">
        <v>23.46</v>
      </c>
      <c r="D107" s="1">
        <v>39.78</v>
      </c>
      <c r="E107" s="1">
        <v>1.351</v>
      </c>
      <c r="F107" s="1">
        <v>61.9</v>
      </c>
      <c r="G107" s="1">
        <v>0.73</v>
      </c>
      <c r="I107" s="1">
        <v>-7.0000000000000001E-3</v>
      </c>
      <c r="J107" s="1">
        <v>0.23599999999999999</v>
      </c>
      <c r="K107" s="1">
        <v>3.601</v>
      </c>
      <c r="L107" s="1">
        <v>-5.7000000000000002E-2</v>
      </c>
      <c r="M107" s="1">
        <v>0.27300000000000002</v>
      </c>
      <c r="N107" s="1">
        <v>0.745</v>
      </c>
      <c r="O107" s="1">
        <v>0</v>
      </c>
      <c r="P107" s="2">
        <v>1.9663333333333333</v>
      </c>
      <c r="R107" s="1">
        <v>9.49</v>
      </c>
      <c r="S107" s="1">
        <v>1545</v>
      </c>
      <c r="T107" s="1">
        <v>91.4</v>
      </c>
      <c r="U107" s="1">
        <v>2348</v>
      </c>
      <c r="V107" s="1">
        <v>9.77</v>
      </c>
      <c r="X107" s="1">
        <v>3.4000000000000002E-2</v>
      </c>
      <c r="Y107" s="1">
        <v>5.2130000000000001</v>
      </c>
      <c r="Z107" s="1">
        <v>14.64</v>
      </c>
      <c r="AA107" s="1">
        <v>-8.0000000000000002E-3</v>
      </c>
      <c r="AB107" s="1">
        <v>0.317</v>
      </c>
      <c r="AC107" s="1">
        <v>0.79300000000000004</v>
      </c>
      <c r="AD107" s="2">
        <v>5.1946666666666665</v>
      </c>
      <c r="AE107" s="1">
        <v>1458</v>
      </c>
      <c r="AF107" s="1">
        <v>-6.3490000000000002</v>
      </c>
      <c r="AG107" s="1">
        <v>534</v>
      </c>
      <c r="AH107" s="1">
        <v>33.15</v>
      </c>
      <c r="AI107" s="1">
        <v>1408</v>
      </c>
      <c r="AJ107" s="1">
        <v>-7.43</v>
      </c>
      <c r="AL107" s="1">
        <v>-4.9000000000000002E-2</v>
      </c>
      <c r="AM107" s="1">
        <v>-2.6440000000000001</v>
      </c>
      <c r="AN107" s="1">
        <v>-1.48</v>
      </c>
      <c r="AO107" s="1">
        <v>-9.5000000000000001E-2</v>
      </c>
      <c r="AP107" s="1">
        <v>0.23400000000000001</v>
      </c>
      <c r="AQ107" s="1">
        <v>0.70299999999999996</v>
      </c>
      <c r="AR107" s="1">
        <v>1.2E-2</v>
      </c>
      <c r="AS107" s="1">
        <v>0.27500000000000002</v>
      </c>
      <c r="AT107" s="1">
        <v>0.29099999999999998</v>
      </c>
      <c r="AU107" s="1">
        <v>4.0000000000000001E-3</v>
      </c>
      <c r="AV107" s="1">
        <v>6.0999999999999999E-2</v>
      </c>
      <c r="AW107" s="1">
        <v>0.19900000000000001</v>
      </c>
      <c r="AX107" s="1">
        <v>0.104</v>
      </c>
      <c r="AY107" s="1">
        <v>5.5E-2</v>
      </c>
      <c r="AZ107" s="1">
        <v>-0.54900000000000004</v>
      </c>
      <c r="BA107" s="1">
        <v>2330</v>
      </c>
      <c r="BB107" s="1">
        <v>13.31</v>
      </c>
      <c r="BC107" s="1">
        <v>2786</v>
      </c>
      <c r="BF107" s="1">
        <f t="shared" si="81"/>
        <v>1163</v>
      </c>
      <c r="BM107" s="17">
        <v>23.61</v>
      </c>
      <c r="BN107" s="17">
        <f t="shared" si="44"/>
        <v>47.6922</v>
      </c>
      <c r="BO107" s="18">
        <f t="shared" si="75"/>
        <v>22.99</v>
      </c>
      <c r="BP107" s="18">
        <f t="shared" si="76"/>
        <v>43.76</v>
      </c>
      <c r="BR107" s="1">
        <f t="shared" si="77"/>
        <v>74.400000000000006</v>
      </c>
      <c r="BS107" s="1">
        <f t="shared" si="78"/>
        <v>48.5</v>
      </c>
      <c r="BT107" s="1">
        <f t="shared" si="79"/>
        <v>23.2</v>
      </c>
      <c r="BU107" s="60">
        <f t="shared" si="80"/>
        <v>0.27500000000000002</v>
      </c>
      <c r="BV107" s="60">
        <f t="shared" si="41"/>
        <v>0.91</v>
      </c>
      <c r="BW107" s="2"/>
      <c r="BX107" s="51">
        <f t="shared" si="45"/>
        <v>0</v>
      </c>
      <c r="BY107" s="46">
        <v>0</v>
      </c>
      <c r="BZ107" s="1">
        <v>0</v>
      </c>
      <c r="CB107" s="17">
        <f t="shared" si="46"/>
        <v>22.99</v>
      </c>
      <c r="CC107" s="17">
        <f t="shared" si="47"/>
        <v>43.76</v>
      </c>
      <c r="CD107" s="3">
        <f t="shared" si="48"/>
        <v>1.4</v>
      </c>
      <c r="CE107" s="3">
        <f t="shared" si="72"/>
        <v>0.7</v>
      </c>
      <c r="CF107" s="1" t="s">
        <v>218</v>
      </c>
      <c r="CG107" s="3">
        <f t="shared" si="49"/>
        <v>0</v>
      </c>
      <c r="CH107" s="3">
        <f t="shared" si="50"/>
        <v>-0.1</v>
      </c>
      <c r="CI107" s="3">
        <f t="shared" si="51"/>
        <v>0.3</v>
      </c>
      <c r="CJ107" s="3">
        <f t="shared" si="52"/>
        <v>0.7</v>
      </c>
      <c r="CK107" s="27">
        <f t="shared" si="53"/>
        <v>48.5</v>
      </c>
      <c r="CL107" s="1">
        <f t="shared" si="54"/>
        <v>9.5</v>
      </c>
      <c r="CM107" s="1">
        <f t="shared" si="73"/>
        <v>9.8000000000000007</v>
      </c>
      <c r="CN107" s="1" t="s">
        <v>218</v>
      </c>
      <c r="CO107" s="1">
        <f t="shared" si="55"/>
        <v>0</v>
      </c>
      <c r="CP107" s="1">
        <f t="shared" si="56"/>
        <v>0</v>
      </c>
      <c r="CQ107" s="1">
        <f t="shared" si="57"/>
        <v>0.3</v>
      </c>
      <c r="CR107" s="1">
        <f t="shared" si="58"/>
        <v>0.8</v>
      </c>
      <c r="CS107" s="2">
        <f t="shared" si="59"/>
        <v>74.400000000000006</v>
      </c>
      <c r="CT107" s="1">
        <f t="shared" si="60"/>
        <v>-6.3</v>
      </c>
      <c r="CU107" s="1">
        <f t="shared" si="74"/>
        <v>-7.4</v>
      </c>
      <c r="CV107" s="1" t="s">
        <v>218</v>
      </c>
      <c r="CW107" s="1">
        <f t="shared" si="61"/>
        <v>0</v>
      </c>
      <c r="CX107" s="1">
        <f t="shared" si="62"/>
        <v>-0.1</v>
      </c>
      <c r="CY107" s="1">
        <f t="shared" si="63"/>
        <v>0.2</v>
      </c>
      <c r="CZ107" s="1">
        <f t="shared" si="64"/>
        <v>0.7</v>
      </c>
      <c r="DA107" s="2">
        <f t="shared" si="65"/>
        <v>23.2</v>
      </c>
      <c r="DB107" s="20">
        <f t="shared" si="66"/>
        <v>1163</v>
      </c>
      <c r="DC107" s="1">
        <f>ROUND(PPTest!K107,1)</f>
        <v>0</v>
      </c>
      <c r="DD107" s="27">
        <f t="shared" si="42"/>
        <v>1.97</v>
      </c>
      <c r="DE107" s="3">
        <f t="shared" si="67"/>
        <v>5.19</v>
      </c>
      <c r="DF107" s="24">
        <f t="shared" si="68"/>
        <v>0.27500000000000002</v>
      </c>
      <c r="DG107" s="24">
        <f t="shared" si="69"/>
        <v>0.91</v>
      </c>
      <c r="DH107" s="17">
        <f t="shared" si="70"/>
        <v>13.31</v>
      </c>
      <c r="DQ107" s="1">
        <v>9.6</v>
      </c>
      <c r="DR107" s="1">
        <v>22.2</v>
      </c>
      <c r="DS107" s="1">
        <v>-3.1</v>
      </c>
    </row>
    <row r="108" spans="1:123" x14ac:dyDescent="0.2">
      <c r="A108" s="15">
        <f t="shared" si="71"/>
        <v>36627</v>
      </c>
      <c r="B108" s="1">
        <v>102</v>
      </c>
      <c r="C108" s="1">
        <v>14.37</v>
      </c>
      <c r="D108" s="1">
        <v>24.93</v>
      </c>
      <c r="E108" s="1">
        <v>2.9169999999999998</v>
      </c>
      <c r="F108" s="1">
        <v>75.099999999999994</v>
      </c>
      <c r="G108" s="1">
        <v>2.1629999999999998</v>
      </c>
      <c r="I108" s="1">
        <v>-2.3E-2</v>
      </c>
      <c r="J108" s="1">
        <v>4.5999999999999999E-2</v>
      </c>
      <c r="K108" s="1">
        <v>2.7669999999999999</v>
      </c>
      <c r="L108" s="1">
        <v>-6.5000000000000002E-2</v>
      </c>
      <c r="M108" s="1">
        <v>0.22800000000000001</v>
      </c>
      <c r="N108" s="1">
        <v>0.68600000000000005</v>
      </c>
      <c r="O108" s="1">
        <v>0</v>
      </c>
      <c r="P108" s="2">
        <v>1.7343333333333335</v>
      </c>
      <c r="R108" s="1">
        <v>11.26</v>
      </c>
      <c r="S108" s="1">
        <v>852</v>
      </c>
      <c r="T108" s="1">
        <v>108.6</v>
      </c>
      <c r="U108" s="1">
        <v>2354</v>
      </c>
      <c r="V108" s="1">
        <v>11.57</v>
      </c>
      <c r="X108" s="1">
        <v>0.32</v>
      </c>
      <c r="Y108" s="1">
        <v>4.8280000000000003</v>
      </c>
      <c r="Z108" s="1">
        <v>13.29</v>
      </c>
      <c r="AA108" s="1">
        <v>-3.7999999999999999E-2</v>
      </c>
      <c r="AB108" s="1">
        <v>0.27</v>
      </c>
      <c r="AC108" s="1">
        <v>0.74399999999999999</v>
      </c>
      <c r="AD108" s="2">
        <v>5.0880000000000001</v>
      </c>
      <c r="AE108" s="1">
        <v>1326</v>
      </c>
      <c r="AF108" s="1">
        <v>-5.016</v>
      </c>
      <c r="AG108" s="1">
        <v>505</v>
      </c>
      <c r="AH108" s="1">
        <v>32.28</v>
      </c>
      <c r="AI108" s="1">
        <v>852</v>
      </c>
      <c r="AJ108" s="1">
        <v>-6.2690000000000001</v>
      </c>
      <c r="AL108" s="1">
        <v>-7.3999999999999996E-2</v>
      </c>
      <c r="AM108" s="1">
        <v>-4.1840000000000002</v>
      </c>
      <c r="AN108" s="1">
        <v>-4.58</v>
      </c>
      <c r="AO108" s="1">
        <v>-0.109</v>
      </c>
      <c r="AP108" s="1">
        <v>0.184</v>
      </c>
      <c r="AQ108" s="1">
        <v>0.64200000000000002</v>
      </c>
      <c r="AR108" s="1">
        <v>3.7999999999999999E-2</v>
      </c>
      <c r="AS108" s="1">
        <v>0.184</v>
      </c>
      <c r="AT108" s="1">
        <v>0.314</v>
      </c>
      <c r="AU108" s="1">
        <v>3.5000000000000003E-2</v>
      </c>
      <c r="AV108" s="1">
        <v>7.6999999999999999E-2</v>
      </c>
      <c r="AW108" s="1">
        <v>0.185</v>
      </c>
      <c r="AX108" s="1">
        <v>0.108</v>
      </c>
      <c r="AY108" s="1">
        <v>5.8000000000000003E-2</v>
      </c>
      <c r="AZ108" s="1">
        <v>-0.72399999999999998</v>
      </c>
      <c r="BA108" s="1">
        <v>2353</v>
      </c>
      <c r="BB108" s="1">
        <v>13.32</v>
      </c>
      <c r="BC108" s="1">
        <v>2786</v>
      </c>
      <c r="BF108" s="1">
        <f t="shared" si="81"/>
        <v>1140</v>
      </c>
      <c r="BM108" s="17">
        <v>23.88</v>
      </c>
      <c r="BN108" s="17">
        <f t="shared" si="44"/>
        <v>48.2376</v>
      </c>
      <c r="BO108" s="18">
        <f t="shared" si="75"/>
        <v>14.08</v>
      </c>
      <c r="BP108" s="18">
        <f t="shared" si="76"/>
        <v>27.42</v>
      </c>
      <c r="BR108" s="1">
        <f t="shared" si="77"/>
        <v>97</v>
      </c>
      <c r="BS108" s="1">
        <f t="shared" si="78"/>
        <v>60.1</v>
      </c>
      <c r="BT108" s="1">
        <f t="shared" si="79"/>
        <v>22.4</v>
      </c>
      <c r="BU108" s="60">
        <f t="shared" si="80"/>
        <v>0.29899999999999999</v>
      </c>
      <c r="BV108" s="60">
        <f t="shared" si="41"/>
        <v>1.036</v>
      </c>
      <c r="BW108" s="2"/>
      <c r="BX108" s="51">
        <f t="shared" si="45"/>
        <v>0</v>
      </c>
      <c r="BY108" s="46">
        <v>0</v>
      </c>
      <c r="BZ108" s="1">
        <v>0</v>
      </c>
      <c r="CB108" s="17">
        <f t="shared" si="46"/>
        <v>14.08</v>
      </c>
      <c r="CC108" s="17">
        <f t="shared" si="47"/>
        <v>27.42</v>
      </c>
      <c r="CD108" s="3">
        <f t="shared" si="48"/>
        <v>2.9</v>
      </c>
      <c r="CE108" s="3">
        <f t="shared" si="72"/>
        <v>2.2000000000000002</v>
      </c>
      <c r="CF108" s="1" t="s">
        <v>218</v>
      </c>
      <c r="CG108" s="3">
        <f t="shared" si="49"/>
        <v>0</v>
      </c>
      <c r="CH108" s="3">
        <f t="shared" si="50"/>
        <v>-0.1</v>
      </c>
      <c r="CI108" s="3">
        <f t="shared" si="51"/>
        <v>0.2</v>
      </c>
      <c r="CJ108" s="3">
        <f t="shared" si="52"/>
        <v>0.7</v>
      </c>
      <c r="CK108" s="27">
        <f t="shared" si="53"/>
        <v>60.1</v>
      </c>
      <c r="CL108" s="1">
        <f t="shared" si="54"/>
        <v>11.3</v>
      </c>
      <c r="CM108" s="1">
        <f t="shared" si="73"/>
        <v>11.6</v>
      </c>
      <c r="CN108" s="1" t="s">
        <v>218</v>
      </c>
      <c r="CO108" s="1">
        <f t="shared" si="55"/>
        <v>0.3</v>
      </c>
      <c r="CP108" s="1">
        <f t="shared" si="56"/>
        <v>0</v>
      </c>
      <c r="CQ108" s="1">
        <f t="shared" si="57"/>
        <v>0.3</v>
      </c>
      <c r="CR108" s="1">
        <f t="shared" si="58"/>
        <v>0.7</v>
      </c>
      <c r="CS108" s="2">
        <f t="shared" si="59"/>
        <v>97</v>
      </c>
      <c r="CT108" s="1">
        <f t="shared" si="60"/>
        <v>-5</v>
      </c>
      <c r="CU108" s="1">
        <f t="shared" si="74"/>
        <v>-6.3</v>
      </c>
      <c r="CV108" s="1" t="s">
        <v>218</v>
      </c>
      <c r="CW108" s="1">
        <f t="shared" si="61"/>
        <v>-0.1</v>
      </c>
      <c r="CX108" s="1">
        <f t="shared" si="62"/>
        <v>-0.1</v>
      </c>
      <c r="CY108" s="1">
        <f t="shared" si="63"/>
        <v>0.2</v>
      </c>
      <c r="CZ108" s="1">
        <f t="shared" si="64"/>
        <v>0.6</v>
      </c>
      <c r="DA108" s="2">
        <f t="shared" si="65"/>
        <v>22.4</v>
      </c>
      <c r="DB108" s="20">
        <f t="shared" si="66"/>
        <v>1140</v>
      </c>
      <c r="DC108" s="1">
        <f>ROUND(PPTest!K108,1)</f>
        <v>0</v>
      </c>
      <c r="DD108" s="27">
        <f t="shared" si="42"/>
        <v>1.73</v>
      </c>
      <c r="DE108" s="3">
        <f t="shared" si="67"/>
        <v>5.09</v>
      </c>
      <c r="DF108" s="24">
        <f t="shared" si="68"/>
        <v>0.29899999999999999</v>
      </c>
      <c r="DG108" s="24">
        <f t="shared" si="69"/>
        <v>1.036</v>
      </c>
      <c r="DH108" s="17">
        <f t="shared" si="70"/>
        <v>13.32</v>
      </c>
      <c r="DQ108" s="1">
        <v>8.6999999999999993</v>
      </c>
      <c r="DR108" s="1">
        <v>18.7</v>
      </c>
      <c r="DS108" s="1">
        <v>-1.3</v>
      </c>
    </row>
    <row r="109" spans="1:123" x14ac:dyDescent="0.2">
      <c r="A109" s="15">
        <f t="shared" si="71"/>
        <v>36628</v>
      </c>
      <c r="B109" s="1">
        <v>103</v>
      </c>
      <c r="C109" s="1">
        <v>16.989999999999998</v>
      </c>
      <c r="D109" s="1">
        <v>29.45</v>
      </c>
      <c r="E109" s="1">
        <v>2.4540000000000002</v>
      </c>
      <c r="F109" s="1">
        <v>86.7</v>
      </c>
      <c r="G109" s="1">
        <v>1.897</v>
      </c>
      <c r="I109" s="1">
        <v>-1.4999999999999999E-2</v>
      </c>
      <c r="J109" s="1">
        <v>1.181</v>
      </c>
      <c r="K109" s="1">
        <v>3.6059999999999999</v>
      </c>
      <c r="L109" s="1">
        <v>-6.2E-2</v>
      </c>
      <c r="M109" s="1">
        <v>0.19600000000000001</v>
      </c>
      <c r="N109" s="1">
        <v>0.63500000000000001</v>
      </c>
      <c r="O109" s="1">
        <v>0</v>
      </c>
      <c r="P109" s="2">
        <v>1.7310000000000001</v>
      </c>
      <c r="R109" s="1">
        <v>9.33</v>
      </c>
      <c r="S109" s="1">
        <v>1517</v>
      </c>
      <c r="T109" s="1">
        <v>108.5</v>
      </c>
      <c r="U109" s="1">
        <v>301</v>
      </c>
      <c r="V109" s="1">
        <v>10.51</v>
      </c>
      <c r="X109" s="1">
        <v>3.5999999999999997E-2</v>
      </c>
      <c r="Y109" s="1">
        <v>7.17</v>
      </c>
      <c r="Z109" s="1">
        <v>13.92</v>
      </c>
      <c r="AA109" s="1">
        <v>-2.4E-2</v>
      </c>
      <c r="AB109" s="1">
        <v>0.23499999999999999</v>
      </c>
      <c r="AC109" s="1">
        <v>0.68300000000000005</v>
      </c>
      <c r="AD109" s="2">
        <v>4.9013333333333335</v>
      </c>
      <c r="AE109" s="1">
        <v>1523</v>
      </c>
      <c r="AF109" s="1">
        <v>-4.8390000000000004</v>
      </c>
      <c r="AG109" s="1">
        <v>535</v>
      </c>
      <c r="AH109" s="1">
        <v>44.26</v>
      </c>
      <c r="AI109" s="1">
        <v>1301</v>
      </c>
      <c r="AJ109" s="1">
        <v>-5.641</v>
      </c>
      <c r="AL109" s="1">
        <v>-0.08</v>
      </c>
      <c r="AM109" s="1">
        <v>-1.3879999999999999</v>
      </c>
      <c r="AN109" s="1">
        <v>-0.876</v>
      </c>
      <c r="AO109" s="1">
        <v>-0.10199999999999999</v>
      </c>
      <c r="AP109" s="1">
        <v>0.156</v>
      </c>
      <c r="AQ109" s="1">
        <v>0.58699999999999997</v>
      </c>
      <c r="AR109" s="1">
        <v>3.5000000000000003E-2</v>
      </c>
      <c r="AS109" s="1">
        <v>0.23300000000000001</v>
      </c>
      <c r="AT109" s="1">
        <v>0.27400000000000002</v>
      </c>
      <c r="AU109" s="1">
        <v>1.6E-2</v>
      </c>
      <c r="AV109" s="1">
        <v>5.7000000000000002E-2</v>
      </c>
      <c r="AW109" s="1">
        <v>0.245</v>
      </c>
      <c r="AX109" s="1">
        <v>0.111</v>
      </c>
      <c r="AY109" s="1">
        <v>2.8000000000000001E-2</v>
      </c>
      <c r="AZ109" s="1">
        <v>-5.0999999999999997E-2</v>
      </c>
      <c r="BA109" s="1">
        <v>2388</v>
      </c>
      <c r="BB109" s="1">
        <v>13.3</v>
      </c>
      <c r="BC109" s="1">
        <v>2786</v>
      </c>
      <c r="BF109" s="1">
        <f t="shared" si="81"/>
        <v>1105</v>
      </c>
      <c r="BM109" s="17">
        <v>24.12</v>
      </c>
      <c r="BN109" s="17">
        <f t="shared" si="44"/>
        <v>48.7224</v>
      </c>
      <c r="BO109" s="18">
        <f t="shared" si="75"/>
        <v>16.649999999999999</v>
      </c>
      <c r="BP109" s="18">
        <f t="shared" si="76"/>
        <v>32.4</v>
      </c>
      <c r="BR109" s="1">
        <f t="shared" si="77"/>
        <v>96.8</v>
      </c>
      <c r="BS109" s="1">
        <f t="shared" si="78"/>
        <v>70.3</v>
      </c>
      <c r="BT109" s="1">
        <f t="shared" si="79"/>
        <v>32.9</v>
      </c>
      <c r="BU109" s="60">
        <f t="shared" si="80"/>
        <v>0.38600000000000001</v>
      </c>
      <c r="BV109" s="60">
        <f t="shared" si="41"/>
        <v>0.78700000000000003</v>
      </c>
      <c r="BW109" s="2"/>
      <c r="BX109" s="51">
        <f t="shared" si="45"/>
        <v>0</v>
      </c>
      <c r="BY109" s="46">
        <v>0</v>
      </c>
      <c r="BZ109" s="1">
        <v>0</v>
      </c>
      <c r="CB109" s="17">
        <f t="shared" si="46"/>
        <v>16.649999999999999</v>
      </c>
      <c r="CC109" s="17">
        <f t="shared" si="47"/>
        <v>32.4</v>
      </c>
      <c r="CD109" s="3">
        <f t="shared" si="48"/>
        <v>2.5</v>
      </c>
      <c r="CE109" s="3">
        <f t="shared" si="72"/>
        <v>1.9</v>
      </c>
      <c r="CF109" s="1" t="s">
        <v>218</v>
      </c>
      <c r="CG109" s="3">
        <f t="shared" si="49"/>
        <v>0</v>
      </c>
      <c r="CH109" s="3">
        <f t="shared" si="50"/>
        <v>-0.1</v>
      </c>
      <c r="CI109" s="3">
        <f t="shared" si="51"/>
        <v>0.2</v>
      </c>
      <c r="CJ109" s="3">
        <f t="shared" si="52"/>
        <v>0.6</v>
      </c>
      <c r="CK109" s="27">
        <f t="shared" si="53"/>
        <v>70.3</v>
      </c>
      <c r="CL109" s="1">
        <f t="shared" si="54"/>
        <v>9.3000000000000007</v>
      </c>
      <c r="CM109" s="1">
        <f t="shared" si="73"/>
        <v>10.5</v>
      </c>
      <c r="CN109" s="1" t="s">
        <v>218</v>
      </c>
      <c r="CO109" s="1">
        <f t="shared" si="55"/>
        <v>0</v>
      </c>
      <c r="CP109" s="1">
        <f t="shared" si="56"/>
        <v>0</v>
      </c>
      <c r="CQ109" s="1">
        <f t="shared" si="57"/>
        <v>0.2</v>
      </c>
      <c r="CR109" s="1">
        <f t="shared" si="58"/>
        <v>0.7</v>
      </c>
      <c r="CS109" s="2">
        <f t="shared" si="59"/>
        <v>96.8</v>
      </c>
      <c r="CT109" s="1">
        <f t="shared" si="60"/>
        <v>-4.8</v>
      </c>
      <c r="CU109" s="1">
        <f t="shared" si="74"/>
        <v>-5.6</v>
      </c>
      <c r="CV109" s="1" t="s">
        <v>218</v>
      </c>
      <c r="CW109" s="1">
        <f t="shared" si="61"/>
        <v>-0.1</v>
      </c>
      <c r="CX109" s="1">
        <f t="shared" si="62"/>
        <v>-0.1</v>
      </c>
      <c r="CY109" s="1">
        <f t="shared" si="63"/>
        <v>0.2</v>
      </c>
      <c r="CZ109" s="1">
        <f t="shared" si="64"/>
        <v>0.6</v>
      </c>
      <c r="DA109" s="2">
        <f t="shared" si="65"/>
        <v>32.9</v>
      </c>
      <c r="DB109" s="20">
        <f t="shared" si="66"/>
        <v>1105</v>
      </c>
      <c r="DC109" s="1">
        <f>ROUND(PPTest!K109,1)</f>
        <v>0</v>
      </c>
      <c r="DD109" s="27">
        <f t="shared" si="42"/>
        <v>1.73</v>
      </c>
      <c r="DE109" s="3">
        <f t="shared" si="67"/>
        <v>4.9000000000000004</v>
      </c>
      <c r="DF109" s="24">
        <f t="shared" si="68"/>
        <v>0.38600000000000001</v>
      </c>
      <c r="DG109" s="24">
        <f t="shared" si="69"/>
        <v>0.78700000000000003</v>
      </c>
      <c r="DH109" s="17">
        <f t="shared" si="70"/>
        <v>13.3</v>
      </c>
      <c r="DQ109" s="1">
        <v>9.4</v>
      </c>
      <c r="DR109" s="1">
        <v>18.8</v>
      </c>
      <c r="DS109" s="1">
        <v>-0.1</v>
      </c>
    </row>
    <row r="110" spans="1:123" x14ac:dyDescent="0.2">
      <c r="A110" s="15">
        <f t="shared" si="71"/>
        <v>36629</v>
      </c>
      <c r="B110" s="1">
        <v>104</v>
      </c>
      <c r="C110" s="1">
        <v>5.2770000000000001</v>
      </c>
      <c r="D110" s="1">
        <v>9.73</v>
      </c>
      <c r="E110" s="1">
        <v>-0.157</v>
      </c>
      <c r="F110" s="1">
        <v>107.3</v>
      </c>
      <c r="G110" s="1">
        <v>-0.81299999999999994</v>
      </c>
      <c r="I110" s="1">
        <v>2.7E-2</v>
      </c>
      <c r="J110" s="1">
        <v>3.5999999999999997E-2</v>
      </c>
      <c r="K110" s="1">
        <v>0.61199999999999999</v>
      </c>
      <c r="L110" s="1">
        <v>-6.6000000000000003E-2</v>
      </c>
      <c r="M110" s="1">
        <v>0.159</v>
      </c>
      <c r="N110" s="1">
        <v>0.56499999999999995</v>
      </c>
      <c r="O110" s="1">
        <v>0</v>
      </c>
      <c r="P110" s="2">
        <v>1.4359999999999999</v>
      </c>
      <c r="R110" s="1">
        <v>3.677</v>
      </c>
      <c r="S110" s="1">
        <v>23</v>
      </c>
      <c r="T110" s="1">
        <v>109.3</v>
      </c>
      <c r="U110" s="1">
        <v>1622</v>
      </c>
      <c r="V110" s="1">
        <v>3.8570000000000002</v>
      </c>
      <c r="X110" s="1">
        <v>5.5E-2</v>
      </c>
      <c r="Y110" s="1">
        <v>1.1539999999999999</v>
      </c>
      <c r="Z110" s="1">
        <v>3.2839999999999998</v>
      </c>
      <c r="AA110" s="1">
        <v>-3.3000000000000002E-2</v>
      </c>
      <c r="AB110" s="1">
        <v>0.189</v>
      </c>
      <c r="AC110" s="1">
        <v>0.61299999999999999</v>
      </c>
      <c r="AD110" s="2">
        <v>3.7813333333333334</v>
      </c>
      <c r="AE110" s="1">
        <v>1535</v>
      </c>
      <c r="AF110" s="1">
        <v>-4.9009999999999998</v>
      </c>
      <c r="AG110" s="1">
        <v>2342</v>
      </c>
      <c r="AH110" s="1">
        <v>98.4</v>
      </c>
      <c r="AI110" s="1">
        <v>23</v>
      </c>
      <c r="AJ110" s="1">
        <v>-5.327</v>
      </c>
      <c r="AL110" s="1">
        <v>0</v>
      </c>
      <c r="AM110" s="1">
        <v>-0.79400000000000004</v>
      </c>
      <c r="AN110" s="1">
        <v>-0.86899999999999999</v>
      </c>
      <c r="AO110" s="1">
        <v>-9.6000000000000002E-2</v>
      </c>
      <c r="AP110" s="1">
        <v>0.11899999999999999</v>
      </c>
      <c r="AQ110" s="1">
        <v>0.51800000000000002</v>
      </c>
      <c r="AR110" s="1">
        <v>3.7999999999999999E-2</v>
      </c>
      <c r="AS110" s="1">
        <v>9.2999999999999999E-2</v>
      </c>
      <c r="AT110" s="1">
        <v>7.4999999999999997E-2</v>
      </c>
      <c r="AU110" s="1">
        <v>3.2000000000000001E-2</v>
      </c>
      <c r="AV110" s="1">
        <v>0.19400000000000001</v>
      </c>
      <c r="AW110" s="1">
        <v>0.39500000000000002</v>
      </c>
      <c r="AX110" s="1">
        <v>0.11600000000000001</v>
      </c>
      <c r="AY110" s="1">
        <v>5.8000000000000003E-2</v>
      </c>
      <c r="AZ110" s="1">
        <v>-0.17699999999999999</v>
      </c>
      <c r="BA110" s="1">
        <v>2324</v>
      </c>
      <c r="BB110" s="1">
        <v>13.32</v>
      </c>
      <c r="BC110" s="1">
        <v>2786</v>
      </c>
      <c r="BF110" s="1">
        <f t="shared" si="81"/>
        <v>1169</v>
      </c>
      <c r="BM110" s="17">
        <v>24.37</v>
      </c>
      <c r="BN110" s="17">
        <f t="shared" si="44"/>
        <v>49.227400000000003</v>
      </c>
      <c r="BO110" s="18">
        <f t="shared" si="75"/>
        <v>5.17</v>
      </c>
      <c r="BP110" s="18">
        <f t="shared" si="76"/>
        <v>10.7</v>
      </c>
      <c r="BR110" s="1">
        <f t="shared" si="77"/>
        <v>98.1</v>
      </c>
      <c r="BS110" s="1">
        <f t="shared" si="78"/>
        <v>94.9</v>
      </c>
      <c r="BT110" s="1">
        <f t="shared" si="79"/>
        <v>80.599999999999994</v>
      </c>
      <c r="BU110" s="60">
        <f t="shared" si="80"/>
        <v>0.64</v>
      </c>
      <c r="BV110" s="60">
        <f t="shared" si="41"/>
        <v>0.154</v>
      </c>
      <c r="BW110" s="2"/>
      <c r="BX110" s="51">
        <f t="shared" si="45"/>
        <v>13.16</v>
      </c>
      <c r="BY110" s="46">
        <v>9.4600000000000009</v>
      </c>
      <c r="BZ110" s="1">
        <v>9.4</v>
      </c>
      <c r="CB110" s="17">
        <f t="shared" si="46"/>
        <v>5.17</v>
      </c>
      <c r="CC110" s="17">
        <f t="shared" si="47"/>
        <v>10.7</v>
      </c>
      <c r="CD110" s="3">
        <f t="shared" si="48"/>
        <v>-0.2</v>
      </c>
      <c r="CE110" s="3">
        <f t="shared" si="72"/>
        <v>-0.8</v>
      </c>
      <c r="CF110" s="1" t="s">
        <v>218</v>
      </c>
      <c r="CG110" s="3">
        <f t="shared" si="49"/>
        <v>0</v>
      </c>
      <c r="CH110" s="3">
        <f t="shared" si="50"/>
        <v>-0.1</v>
      </c>
      <c r="CI110" s="3">
        <f t="shared" si="51"/>
        <v>0.2</v>
      </c>
      <c r="CJ110" s="3">
        <f t="shared" si="52"/>
        <v>0.6</v>
      </c>
      <c r="CK110" s="27">
        <f t="shared" si="53"/>
        <v>94.9</v>
      </c>
      <c r="CL110" s="1">
        <f t="shared" si="54"/>
        <v>3.7</v>
      </c>
      <c r="CM110" s="1">
        <f t="shared" si="73"/>
        <v>3.9</v>
      </c>
      <c r="CN110" s="1" t="s">
        <v>218</v>
      </c>
      <c r="CO110" s="1">
        <f t="shared" si="55"/>
        <v>0.1</v>
      </c>
      <c r="CP110" s="1">
        <f t="shared" si="56"/>
        <v>0</v>
      </c>
      <c r="CQ110" s="1">
        <f t="shared" si="57"/>
        <v>0.2</v>
      </c>
      <c r="CR110" s="1">
        <f t="shared" si="58"/>
        <v>0.6</v>
      </c>
      <c r="CS110" s="2">
        <f t="shared" si="59"/>
        <v>98.1</v>
      </c>
      <c r="CT110" s="1">
        <f t="shared" si="60"/>
        <v>-4.9000000000000004</v>
      </c>
      <c r="CU110" s="1">
        <f t="shared" si="74"/>
        <v>-5.3</v>
      </c>
      <c r="CV110" s="1" t="s">
        <v>218</v>
      </c>
      <c r="CW110" s="1">
        <f t="shared" si="61"/>
        <v>0</v>
      </c>
      <c r="CX110" s="1">
        <f t="shared" si="62"/>
        <v>-0.1</v>
      </c>
      <c r="CY110" s="1">
        <f t="shared" si="63"/>
        <v>0.1</v>
      </c>
      <c r="CZ110" s="1">
        <f t="shared" si="64"/>
        <v>0.5</v>
      </c>
      <c r="DA110" s="2">
        <f t="shared" si="65"/>
        <v>80.599999999999994</v>
      </c>
      <c r="DB110" s="20">
        <f t="shared" si="66"/>
        <v>1169</v>
      </c>
      <c r="DC110" s="1">
        <f>ROUND(PPTest!K110,1)</f>
        <v>8.3000000000000007</v>
      </c>
      <c r="DD110" s="27">
        <f t="shared" si="42"/>
        <v>1.44</v>
      </c>
      <c r="DE110" s="3">
        <f t="shared" si="67"/>
        <v>3.78</v>
      </c>
      <c r="DF110" s="24">
        <f t="shared" si="68"/>
        <v>0.64</v>
      </c>
      <c r="DG110" s="24">
        <f t="shared" si="69"/>
        <v>0.154</v>
      </c>
      <c r="DH110" s="17">
        <f t="shared" si="70"/>
        <v>13.32</v>
      </c>
      <c r="DQ110" s="1">
        <v>8.6</v>
      </c>
      <c r="DR110" s="1">
        <v>14.8</v>
      </c>
      <c r="DS110" s="1">
        <v>2.2999999999999998</v>
      </c>
    </row>
    <row r="111" spans="1:123" x14ac:dyDescent="0.2">
      <c r="A111" s="15">
        <f t="shared" si="71"/>
        <v>36630</v>
      </c>
      <c r="B111" s="1">
        <v>105</v>
      </c>
      <c r="C111" s="1">
        <v>2.0510000000000002</v>
      </c>
      <c r="D111" s="1">
        <v>3.496</v>
      </c>
      <c r="E111" s="1">
        <v>-2.899</v>
      </c>
      <c r="F111" s="1">
        <v>108</v>
      </c>
      <c r="G111" s="1">
        <v>-3.6230000000000002</v>
      </c>
      <c r="I111" s="1">
        <v>2.7E-2</v>
      </c>
      <c r="J111" s="1">
        <v>-2.4910000000000001</v>
      </c>
      <c r="K111" s="1">
        <v>-2.1629999999999998</v>
      </c>
      <c r="L111" s="1">
        <v>-8.5000000000000006E-2</v>
      </c>
      <c r="M111" s="1">
        <v>0.11700000000000001</v>
      </c>
      <c r="N111" s="1">
        <v>0.498</v>
      </c>
      <c r="O111" s="1">
        <v>0</v>
      </c>
      <c r="P111" s="2">
        <v>1.3333333333333333</v>
      </c>
      <c r="R111" s="1">
        <v>0.63900000000000001</v>
      </c>
      <c r="S111" s="1">
        <v>1329</v>
      </c>
      <c r="T111" s="1">
        <v>109.4</v>
      </c>
      <c r="U111" s="1">
        <v>2114</v>
      </c>
      <c r="V111" s="1">
        <v>-0.25900000000000001</v>
      </c>
      <c r="X111" s="1">
        <v>6.4000000000000001E-2</v>
      </c>
      <c r="Y111" s="1">
        <v>-0.78300000000000003</v>
      </c>
      <c r="Z111" s="1">
        <v>-0.628</v>
      </c>
      <c r="AA111" s="1">
        <v>-5.5E-2</v>
      </c>
      <c r="AB111" s="1">
        <v>0.14399999999999999</v>
      </c>
      <c r="AC111" s="1">
        <v>0.53500000000000003</v>
      </c>
      <c r="AD111" s="2">
        <v>4.1013333333333337</v>
      </c>
      <c r="AE111" s="1">
        <v>1154</v>
      </c>
      <c r="AF111" s="1">
        <v>-5.6829999999999998</v>
      </c>
      <c r="AG111" s="1">
        <v>415</v>
      </c>
      <c r="AH111" s="1">
        <v>105.5</v>
      </c>
      <c r="AI111" s="1">
        <v>1238</v>
      </c>
      <c r="AJ111" s="1">
        <v>-6.2030000000000003</v>
      </c>
      <c r="AL111" s="1">
        <v>-8.9999999999999993E-3</v>
      </c>
      <c r="AM111" s="1">
        <v>-4.3570000000000002</v>
      </c>
      <c r="AN111" s="1">
        <v>-5.1870000000000003</v>
      </c>
      <c r="AO111" s="1">
        <v>-0.112</v>
      </c>
      <c r="AP111" s="1">
        <v>8.5999999999999993E-2</v>
      </c>
      <c r="AQ111" s="1">
        <v>0.46600000000000003</v>
      </c>
      <c r="AR111" s="1">
        <v>0.124</v>
      </c>
      <c r="AS111" s="1">
        <v>0.29799999999999999</v>
      </c>
      <c r="AT111" s="1">
        <v>0.17299999999999999</v>
      </c>
      <c r="AU111" s="1">
        <v>4.2999999999999997E-2</v>
      </c>
      <c r="AV111" s="1">
        <v>0.111</v>
      </c>
      <c r="AW111" s="1">
        <v>0.16800000000000001</v>
      </c>
      <c r="AX111" s="1">
        <v>5.1999999999999998E-2</v>
      </c>
      <c r="AY111" s="1">
        <v>3.1E-2</v>
      </c>
      <c r="AZ111" s="1">
        <v>-0.97599999999999998</v>
      </c>
      <c r="BB111" s="1">
        <v>13.3</v>
      </c>
      <c r="BC111" s="1">
        <v>2786</v>
      </c>
      <c r="BF111" s="22">
        <v>1169</v>
      </c>
      <c r="BM111" s="17">
        <v>24.61</v>
      </c>
      <c r="BN111" s="17">
        <f t="shared" si="44"/>
        <v>49.712200000000003</v>
      </c>
      <c r="BO111" s="18">
        <f t="shared" si="75"/>
        <v>2.0099999999999998</v>
      </c>
      <c r="BP111" s="18">
        <f t="shared" si="76"/>
        <v>3.85</v>
      </c>
      <c r="BR111" s="1">
        <f t="shared" si="77"/>
        <v>98.2</v>
      </c>
      <c r="BS111" s="1">
        <f t="shared" si="78"/>
        <v>96</v>
      </c>
      <c r="BT111" s="1">
        <f t="shared" si="79"/>
        <v>92</v>
      </c>
      <c r="BU111" s="60">
        <f t="shared" si="80"/>
        <v>0.58799999999999997</v>
      </c>
      <c r="BV111" s="60">
        <f t="shared" si="41"/>
        <v>5.0999999999999997E-2</v>
      </c>
      <c r="BW111" s="2"/>
      <c r="BX111" s="51">
        <f t="shared" si="45"/>
        <v>4.9000000000000004</v>
      </c>
      <c r="BY111" s="46">
        <v>16.32</v>
      </c>
      <c r="BZ111" s="1">
        <v>3.5000000000000004</v>
      </c>
      <c r="CB111" s="17">
        <f t="shared" si="46"/>
        <v>2.0099999999999998</v>
      </c>
      <c r="CC111" s="17">
        <f t="shared" si="47"/>
        <v>3.85</v>
      </c>
      <c r="CD111" s="3">
        <f t="shared" si="48"/>
        <v>-2.9</v>
      </c>
      <c r="CE111" s="3">
        <f t="shared" si="72"/>
        <v>-3.6</v>
      </c>
      <c r="CF111" s="1" t="s">
        <v>218</v>
      </c>
      <c r="CG111" s="3">
        <f t="shared" si="49"/>
        <v>0</v>
      </c>
      <c r="CH111" s="3">
        <f t="shared" si="50"/>
        <v>-0.1</v>
      </c>
      <c r="CI111" s="3">
        <f t="shared" si="51"/>
        <v>0.1</v>
      </c>
      <c r="CJ111" s="3">
        <f t="shared" si="52"/>
        <v>0.5</v>
      </c>
      <c r="CK111" s="27">
        <f t="shared" si="53"/>
        <v>96</v>
      </c>
      <c r="CL111" s="1">
        <f t="shared" si="54"/>
        <v>0.6</v>
      </c>
      <c r="CM111" s="1">
        <f t="shared" si="73"/>
        <v>-0.3</v>
      </c>
      <c r="CN111" s="1" t="s">
        <v>218</v>
      </c>
      <c r="CO111" s="1">
        <f t="shared" si="55"/>
        <v>0.1</v>
      </c>
      <c r="CP111" s="1">
        <f t="shared" si="56"/>
        <v>-0.1</v>
      </c>
      <c r="CQ111" s="1">
        <f t="shared" si="57"/>
        <v>0.1</v>
      </c>
      <c r="CR111" s="1">
        <f t="shared" si="58"/>
        <v>0.5</v>
      </c>
      <c r="CS111" s="2">
        <f t="shared" si="59"/>
        <v>98.2</v>
      </c>
      <c r="CT111" s="1">
        <f t="shared" si="60"/>
        <v>-5.7</v>
      </c>
      <c r="CU111" s="1">
        <f t="shared" si="74"/>
        <v>-6.2</v>
      </c>
      <c r="CV111" s="1" t="s">
        <v>218</v>
      </c>
      <c r="CW111" s="1">
        <f t="shared" si="61"/>
        <v>0</v>
      </c>
      <c r="CX111" s="1">
        <f t="shared" si="62"/>
        <v>-0.1</v>
      </c>
      <c r="CY111" s="1">
        <f t="shared" si="63"/>
        <v>0.1</v>
      </c>
      <c r="CZ111" s="1">
        <f t="shared" si="64"/>
        <v>0.5</v>
      </c>
      <c r="DA111" s="2">
        <f t="shared" si="65"/>
        <v>92</v>
      </c>
      <c r="DB111" s="20">
        <f t="shared" si="66"/>
        <v>1169</v>
      </c>
      <c r="DC111" s="1">
        <f>ROUND(PPTest!K111,1)</f>
        <v>5.0999999999999996</v>
      </c>
      <c r="DD111" s="27">
        <f t="shared" si="42"/>
        <v>1.33</v>
      </c>
      <c r="DE111" s="3">
        <f t="shared" si="67"/>
        <v>4.0999999999999996</v>
      </c>
      <c r="DF111" s="24">
        <f t="shared" si="68"/>
        <v>0.58799999999999997</v>
      </c>
      <c r="DG111" s="24">
        <f t="shared" si="69"/>
        <v>5.0999999999999997E-2</v>
      </c>
      <c r="DH111" s="17">
        <f t="shared" si="70"/>
        <v>13.3</v>
      </c>
      <c r="DQ111" s="1">
        <v>2.9</v>
      </c>
      <c r="DR111" s="1">
        <v>5.8</v>
      </c>
      <c r="DS111" s="1">
        <v>0</v>
      </c>
    </row>
    <row r="112" spans="1:123" x14ac:dyDescent="0.2">
      <c r="A112" s="15">
        <f t="shared" si="71"/>
        <v>36631</v>
      </c>
      <c r="B112" s="1">
        <v>106</v>
      </c>
      <c r="C112" s="1">
        <v>15.35</v>
      </c>
      <c r="D112" s="1">
        <v>25.93</v>
      </c>
      <c r="E112" s="1">
        <v>-7.2999999999999995E-2</v>
      </c>
      <c r="F112" s="1">
        <v>102.1</v>
      </c>
      <c r="G112" s="1">
        <v>-0.71899999999999997</v>
      </c>
      <c r="I112" s="1">
        <v>1.4999999999999999E-2</v>
      </c>
      <c r="J112" s="1">
        <v>-1.411</v>
      </c>
      <c r="K112" s="1">
        <v>-0.155</v>
      </c>
      <c r="L112" s="1">
        <v>-8.3000000000000004E-2</v>
      </c>
      <c r="M112" s="1">
        <v>0.11</v>
      </c>
      <c r="N112" s="1">
        <v>0.47799999999999998</v>
      </c>
      <c r="O112" s="1">
        <v>0</v>
      </c>
      <c r="P112" s="2">
        <v>1.2146666666666666</v>
      </c>
      <c r="R112" s="1">
        <v>4.2439999999999998</v>
      </c>
      <c r="S112" s="1">
        <v>1452</v>
      </c>
      <c r="T112" s="1">
        <v>110</v>
      </c>
      <c r="U112" s="1">
        <v>2122</v>
      </c>
      <c r="V112" s="1">
        <v>5.8360000000000003</v>
      </c>
      <c r="X112" s="1">
        <v>5.8999999999999997E-2</v>
      </c>
      <c r="Y112" s="1">
        <v>-0.374</v>
      </c>
      <c r="Z112" s="1">
        <v>6.7430000000000003</v>
      </c>
      <c r="AA112" s="1">
        <v>-4.7E-2</v>
      </c>
      <c r="AB112" s="1">
        <v>0.13700000000000001</v>
      </c>
      <c r="AC112" s="1">
        <v>0.505</v>
      </c>
      <c r="AD112" s="2">
        <v>3.4880000000000004</v>
      </c>
      <c r="AE112" s="1">
        <v>1029</v>
      </c>
      <c r="AF112" s="1">
        <v>-3.0049999999999999</v>
      </c>
      <c r="AG112" s="1">
        <v>231</v>
      </c>
      <c r="AH112" s="1">
        <v>74.099999999999994</v>
      </c>
      <c r="AI112" s="1">
        <v>1519</v>
      </c>
      <c r="AJ112" s="1">
        <v>-4.0949999999999998</v>
      </c>
      <c r="AL112" s="1">
        <v>-2.1000000000000001E-2</v>
      </c>
      <c r="AM112" s="1">
        <v>-2.6259999999999999</v>
      </c>
      <c r="AN112" s="1">
        <v>-2.9820000000000002</v>
      </c>
      <c r="AO112" s="1">
        <v>-0.107</v>
      </c>
      <c r="AP112" s="1">
        <v>7.3999999999999996E-2</v>
      </c>
      <c r="AQ112" s="1">
        <v>0.434</v>
      </c>
      <c r="AR112" s="1">
        <v>5.0999999999999997E-2</v>
      </c>
      <c r="AS112" s="1">
        <v>0.2</v>
      </c>
      <c r="AT112" s="1">
        <v>0.186</v>
      </c>
      <c r="AU112" s="1">
        <v>4.2999999999999997E-2</v>
      </c>
      <c r="AV112" s="1">
        <v>0.16700000000000001</v>
      </c>
      <c r="AW112" s="1">
        <v>0.28100000000000003</v>
      </c>
      <c r="AX112" s="1">
        <v>5.1999999999999998E-2</v>
      </c>
      <c r="AY112" s="1">
        <v>1.9E-2</v>
      </c>
      <c r="AZ112" s="1">
        <v>-0.247</v>
      </c>
      <c r="BA112" s="1">
        <v>2355</v>
      </c>
      <c r="BB112" s="1">
        <v>13.31</v>
      </c>
      <c r="BC112" s="1">
        <v>2786</v>
      </c>
      <c r="BF112" s="1">
        <f t="shared" ref="BF112:BF158" si="82">$BF$1-BA112</f>
        <v>1138</v>
      </c>
      <c r="BM112" s="17">
        <v>24.86</v>
      </c>
      <c r="BN112" s="17">
        <f t="shared" si="44"/>
        <v>50.217199999999998</v>
      </c>
      <c r="BO112" s="18">
        <f t="shared" si="75"/>
        <v>15.04</v>
      </c>
      <c r="BP112" s="18">
        <f t="shared" si="76"/>
        <v>28.52</v>
      </c>
      <c r="BR112" s="1">
        <f t="shared" si="77"/>
        <v>99.2</v>
      </c>
      <c r="BS112" s="1">
        <f t="shared" si="78"/>
        <v>86.6</v>
      </c>
      <c r="BT112" s="1">
        <f t="shared" si="79"/>
        <v>59.2</v>
      </c>
      <c r="BU112" s="60">
        <f t="shared" si="80"/>
        <v>0.49</v>
      </c>
      <c r="BV112" s="60">
        <f t="shared" si="41"/>
        <v>0.33800000000000002</v>
      </c>
      <c r="BW112" s="2"/>
      <c r="BX112" s="51">
        <f t="shared" si="45"/>
        <v>4.4799999999999995</v>
      </c>
      <c r="BY112" s="46">
        <v>8.6</v>
      </c>
      <c r="BZ112" s="1">
        <v>3.2</v>
      </c>
      <c r="CB112" s="17">
        <f t="shared" si="46"/>
        <v>15.04</v>
      </c>
      <c r="CC112" s="17">
        <f t="shared" si="47"/>
        <v>28.52</v>
      </c>
      <c r="CD112" s="3">
        <f t="shared" si="48"/>
        <v>-0.1</v>
      </c>
      <c r="CE112" s="3">
        <f t="shared" si="72"/>
        <v>-0.7</v>
      </c>
      <c r="CF112" s="1" t="s">
        <v>218</v>
      </c>
      <c r="CG112" s="3">
        <f t="shared" si="49"/>
        <v>0</v>
      </c>
      <c r="CH112" s="3">
        <f t="shared" si="50"/>
        <v>-0.1</v>
      </c>
      <c r="CI112" s="3">
        <f t="shared" si="51"/>
        <v>0.1</v>
      </c>
      <c r="CJ112" s="3">
        <f t="shared" si="52"/>
        <v>0.5</v>
      </c>
      <c r="CK112" s="27">
        <f t="shared" si="53"/>
        <v>86.6</v>
      </c>
      <c r="CL112" s="1">
        <f t="shared" si="54"/>
        <v>4.2</v>
      </c>
      <c r="CM112" s="1">
        <f t="shared" si="73"/>
        <v>5.8</v>
      </c>
      <c r="CN112" s="1" t="s">
        <v>218</v>
      </c>
      <c r="CO112" s="1">
        <f t="shared" si="55"/>
        <v>0.1</v>
      </c>
      <c r="CP112" s="1">
        <f t="shared" si="56"/>
        <v>0</v>
      </c>
      <c r="CQ112" s="1">
        <f t="shared" si="57"/>
        <v>0.1</v>
      </c>
      <c r="CR112" s="1">
        <f t="shared" si="58"/>
        <v>0.5</v>
      </c>
      <c r="CS112" s="2">
        <f t="shared" si="59"/>
        <v>99.2</v>
      </c>
      <c r="CT112" s="1">
        <f t="shared" si="60"/>
        <v>-3</v>
      </c>
      <c r="CU112" s="1">
        <f t="shared" si="74"/>
        <v>-4.0999999999999996</v>
      </c>
      <c r="CV112" s="1" t="s">
        <v>218</v>
      </c>
      <c r="CW112" s="1">
        <f t="shared" si="61"/>
        <v>0</v>
      </c>
      <c r="CX112" s="1">
        <f t="shared" si="62"/>
        <v>-0.1</v>
      </c>
      <c r="CY112" s="1">
        <f t="shared" si="63"/>
        <v>0.1</v>
      </c>
      <c r="CZ112" s="1">
        <f t="shared" si="64"/>
        <v>0.4</v>
      </c>
      <c r="DA112" s="2">
        <f t="shared" si="65"/>
        <v>59.2</v>
      </c>
      <c r="DB112" s="20">
        <f t="shared" si="66"/>
        <v>1138</v>
      </c>
      <c r="DC112" s="1">
        <f>ROUND(PPTest!K112,1)</f>
        <v>4.7</v>
      </c>
      <c r="DD112" s="27">
        <f t="shared" si="42"/>
        <v>1.21</v>
      </c>
      <c r="DE112" s="3">
        <f t="shared" si="67"/>
        <v>3.49</v>
      </c>
      <c r="DF112" s="24">
        <f t="shared" si="68"/>
        <v>0.49</v>
      </c>
      <c r="DG112" s="24">
        <f t="shared" si="69"/>
        <v>0.33800000000000002</v>
      </c>
      <c r="DH112" s="17">
        <f t="shared" si="70"/>
        <v>13.31</v>
      </c>
      <c r="DQ112" s="1">
        <v>5.3</v>
      </c>
      <c r="DR112" s="1">
        <v>10.7</v>
      </c>
      <c r="DS112" s="1">
        <v>-0.2</v>
      </c>
    </row>
    <row r="113" spans="1:123" x14ac:dyDescent="0.2">
      <c r="A113" s="15">
        <f t="shared" si="71"/>
        <v>36632</v>
      </c>
      <c r="B113" s="1">
        <v>107</v>
      </c>
      <c r="C113" s="1">
        <v>13.54</v>
      </c>
      <c r="D113" s="1">
        <v>23.9</v>
      </c>
      <c r="E113" s="1">
        <v>-0.10299999999999999</v>
      </c>
      <c r="F113" s="1">
        <v>100.2</v>
      </c>
      <c r="G113" s="1">
        <v>-0.76400000000000001</v>
      </c>
      <c r="I113" s="1">
        <v>3.1E-2</v>
      </c>
      <c r="J113" s="1">
        <v>-1.8109999999999999</v>
      </c>
      <c r="K113" s="1">
        <v>0.72799999999999998</v>
      </c>
      <c r="L113" s="1">
        <v>-8.7999999999999995E-2</v>
      </c>
      <c r="M113" s="1">
        <v>0.108</v>
      </c>
      <c r="N113" s="1">
        <v>0.46700000000000003</v>
      </c>
      <c r="O113" s="1">
        <v>0</v>
      </c>
      <c r="P113" s="2">
        <v>1.4890000000000001</v>
      </c>
      <c r="R113" s="1">
        <v>5.4790000000000001</v>
      </c>
      <c r="S113" s="1">
        <v>1440</v>
      </c>
      <c r="T113" s="1">
        <v>109.9</v>
      </c>
      <c r="U113" s="1">
        <v>2234</v>
      </c>
      <c r="V113" s="1">
        <v>6.9889999999999999</v>
      </c>
      <c r="X113" s="1">
        <v>0.38100000000000001</v>
      </c>
      <c r="Y113" s="1">
        <v>-0.214</v>
      </c>
      <c r="Z113" s="1">
        <v>8.57</v>
      </c>
      <c r="AA113" s="1">
        <v>-0.05</v>
      </c>
      <c r="AB113" s="1">
        <v>0.14499999999999999</v>
      </c>
      <c r="AC113" s="1">
        <v>0.50800000000000001</v>
      </c>
      <c r="AD113" s="2">
        <v>4.6080000000000005</v>
      </c>
      <c r="AE113" s="1">
        <v>1455</v>
      </c>
      <c r="AF113" s="1">
        <v>-6.5</v>
      </c>
      <c r="AG113" s="1">
        <v>530</v>
      </c>
      <c r="AH113" s="1">
        <v>69.260000000000005</v>
      </c>
      <c r="AI113" s="1">
        <v>1441</v>
      </c>
      <c r="AJ113" s="1">
        <v>-7.5</v>
      </c>
      <c r="AL113" s="1">
        <v>-0.04</v>
      </c>
      <c r="AM113" s="1">
        <v>-6.4269999999999996</v>
      </c>
      <c r="AN113" s="1">
        <v>-4.2389999999999999</v>
      </c>
      <c r="AO113" s="1">
        <v>-0.14000000000000001</v>
      </c>
      <c r="AP113" s="1">
        <v>4.7E-2</v>
      </c>
      <c r="AQ113" s="1">
        <v>0.39800000000000002</v>
      </c>
      <c r="AR113" s="1">
        <v>1.9E-2</v>
      </c>
      <c r="AS113" s="1">
        <v>0.151</v>
      </c>
      <c r="AT113" s="1">
        <v>0.24299999999999999</v>
      </c>
      <c r="AU113" s="1">
        <v>2.1000000000000001E-2</v>
      </c>
      <c r="AV113" s="1">
        <v>0.151</v>
      </c>
      <c r="AW113" s="1">
        <v>0.32300000000000001</v>
      </c>
      <c r="AX113" s="1">
        <v>7.1999999999999995E-2</v>
      </c>
      <c r="AY113" s="1">
        <v>0.02</v>
      </c>
      <c r="AZ113" s="1">
        <v>-0.58199999999999996</v>
      </c>
      <c r="BA113" s="1">
        <v>2339</v>
      </c>
      <c r="BB113" s="1">
        <v>13.34</v>
      </c>
      <c r="BC113" s="1">
        <v>2786</v>
      </c>
      <c r="BF113" s="1">
        <f t="shared" si="82"/>
        <v>1154</v>
      </c>
      <c r="BM113" s="17">
        <v>25.1</v>
      </c>
      <c r="BN113" s="17">
        <f t="shared" si="44"/>
        <v>50.702000000000005</v>
      </c>
      <c r="BO113" s="18">
        <f t="shared" si="75"/>
        <v>13.27</v>
      </c>
      <c r="BP113" s="18">
        <f t="shared" si="76"/>
        <v>26.29</v>
      </c>
      <c r="BR113" s="1">
        <f t="shared" si="77"/>
        <v>99</v>
      </c>
      <c r="BS113" s="1">
        <f t="shared" si="78"/>
        <v>83.6</v>
      </c>
      <c r="BT113" s="1">
        <f t="shared" si="79"/>
        <v>54.9</v>
      </c>
      <c r="BU113" s="60">
        <f t="shared" si="80"/>
        <v>0.495</v>
      </c>
      <c r="BV113" s="60">
        <f t="shared" si="41"/>
        <v>0.40699999999999997</v>
      </c>
      <c r="BW113" s="2"/>
      <c r="BX113" s="51">
        <f t="shared" si="45"/>
        <v>0</v>
      </c>
      <c r="BY113" s="46">
        <v>2.9</v>
      </c>
      <c r="BZ113" s="1">
        <v>0</v>
      </c>
      <c r="CB113" s="17">
        <f t="shared" si="46"/>
        <v>13.27</v>
      </c>
      <c r="CC113" s="17">
        <f t="shared" si="47"/>
        <v>26.29</v>
      </c>
      <c r="CD113" s="3">
        <f t="shared" si="48"/>
        <v>-0.1</v>
      </c>
      <c r="CE113" s="3">
        <f t="shared" si="72"/>
        <v>-0.8</v>
      </c>
      <c r="CF113" s="1" t="s">
        <v>218</v>
      </c>
      <c r="CG113" s="3">
        <f t="shared" si="49"/>
        <v>0</v>
      </c>
      <c r="CH113" s="3">
        <f t="shared" si="50"/>
        <v>-0.1</v>
      </c>
      <c r="CI113" s="3">
        <f t="shared" si="51"/>
        <v>0.1</v>
      </c>
      <c r="CJ113" s="3">
        <f t="shared" si="52"/>
        <v>0.5</v>
      </c>
      <c r="CK113" s="27">
        <f t="shared" si="53"/>
        <v>83.6</v>
      </c>
      <c r="CL113" s="1">
        <f t="shared" si="54"/>
        <v>5.5</v>
      </c>
      <c r="CM113" s="1">
        <f t="shared" si="73"/>
        <v>7</v>
      </c>
      <c r="CN113" s="1" t="s">
        <v>218</v>
      </c>
      <c r="CO113" s="1">
        <f t="shared" si="55"/>
        <v>0.4</v>
      </c>
      <c r="CP113" s="1">
        <f t="shared" si="56"/>
        <v>-0.1</v>
      </c>
      <c r="CQ113" s="1">
        <f t="shared" si="57"/>
        <v>0.1</v>
      </c>
      <c r="CR113" s="1">
        <f t="shared" si="58"/>
        <v>0.5</v>
      </c>
      <c r="CS113" s="2">
        <f t="shared" si="59"/>
        <v>99</v>
      </c>
      <c r="CT113" s="1">
        <f t="shared" si="60"/>
        <v>-6.5</v>
      </c>
      <c r="CU113" s="1">
        <f t="shared" si="74"/>
        <v>-7.5</v>
      </c>
      <c r="CV113" s="1" t="s">
        <v>218</v>
      </c>
      <c r="CW113" s="1">
        <f t="shared" si="61"/>
        <v>0</v>
      </c>
      <c r="CX113" s="1">
        <f t="shared" si="62"/>
        <v>-0.1</v>
      </c>
      <c r="CY113" s="1">
        <f t="shared" si="63"/>
        <v>0</v>
      </c>
      <c r="CZ113" s="1">
        <f t="shared" si="64"/>
        <v>0.4</v>
      </c>
      <c r="DA113" s="2">
        <f t="shared" si="65"/>
        <v>54.9</v>
      </c>
      <c r="DB113" s="20">
        <f t="shared" si="66"/>
        <v>1154</v>
      </c>
      <c r="DC113" s="1">
        <f>ROUND(PPTest!K113,1)</f>
        <v>2.1</v>
      </c>
      <c r="DD113" s="27">
        <f t="shared" si="42"/>
        <v>1.49</v>
      </c>
      <c r="DE113" s="3">
        <f t="shared" si="67"/>
        <v>4.6100000000000003</v>
      </c>
      <c r="DF113" s="24">
        <f t="shared" si="68"/>
        <v>0.495</v>
      </c>
      <c r="DG113" s="24">
        <f t="shared" si="69"/>
        <v>0.40699999999999997</v>
      </c>
      <c r="DH113" s="17">
        <f t="shared" si="70"/>
        <v>13.34</v>
      </c>
      <c r="DQ113" s="1">
        <v>8</v>
      </c>
      <c r="DR113" s="1">
        <v>16.3</v>
      </c>
      <c r="DS113" s="1">
        <v>-0.4</v>
      </c>
    </row>
    <row r="114" spans="1:123" x14ac:dyDescent="0.2">
      <c r="A114" s="15">
        <f t="shared" si="71"/>
        <v>36633</v>
      </c>
      <c r="B114" s="1">
        <v>108</v>
      </c>
      <c r="C114" s="1">
        <v>25.89</v>
      </c>
      <c r="D114" s="1">
        <v>40.22</v>
      </c>
      <c r="E114" s="1">
        <v>0.309</v>
      </c>
      <c r="F114" s="1">
        <v>78.099999999999994</v>
      </c>
      <c r="G114" s="1">
        <v>-0.625</v>
      </c>
      <c r="I114" s="1">
        <v>2.8000000000000001E-2</v>
      </c>
      <c r="J114" s="1">
        <v>-3.5999999999999997E-2</v>
      </c>
      <c r="K114" s="1">
        <v>3.6539999999999999</v>
      </c>
      <c r="L114" s="1">
        <v>-8.1000000000000003E-2</v>
      </c>
      <c r="M114" s="1">
        <v>0.11700000000000001</v>
      </c>
      <c r="N114" s="1">
        <v>0.47099999999999997</v>
      </c>
      <c r="O114" s="1">
        <v>0</v>
      </c>
      <c r="P114" s="2">
        <v>1.6260000000000001</v>
      </c>
      <c r="R114" s="1">
        <v>7.67</v>
      </c>
      <c r="S114" s="1">
        <v>1554</v>
      </c>
      <c r="T114" s="1">
        <v>109.6</v>
      </c>
      <c r="U114" s="1">
        <v>242</v>
      </c>
      <c r="V114" s="1">
        <v>8.5500000000000007</v>
      </c>
      <c r="X114" s="1">
        <v>0.16500000000000001</v>
      </c>
      <c r="Y114" s="1">
        <v>4.851</v>
      </c>
      <c r="Z114" s="1">
        <v>13.74</v>
      </c>
      <c r="AA114" s="1">
        <v>6.0000000000000001E-3</v>
      </c>
      <c r="AB114" s="1">
        <v>0.19</v>
      </c>
      <c r="AC114" s="1">
        <v>0.54300000000000004</v>
      </c>
      <c r="AD114" s="2">
        <v>4.3946666666666667</v>
      </c>
      <c r="AE114" s="1">
        <v>1512</v>
      </c>
      <c r="AF114" s="1">
        <v>-6.1219999999999999</v>
      </c>
      <c r="AG114" s="1">
        <v>2357</v>
      </c>
      <c r="AH114" s="1">
        <v>34.69</v>
      </c>
      <c r="AI114" s="1">
        <v>1555</v>
      </c>
      <c r="AJ114" s="1">
        <v>-8.83</v>
      </c>
      <c r="AL114" s="1">
        <v>-6.6000000000000003E-2</v>
      </c>
      <c r="AM114" s="1">
        <v>-2.5419999999999998</v>
      </c>
      <c r="AN114" s="1">
        <v>-0.91400000000000003</v>
      </c>
      <c r="AO114" s="1">
        <v>-0.14399999999999999</v>
      </c>
      <c r="AP114" s="1">
        <v>5.1999999999999998E-2</v>
      </c>
      <c r="AQ114" s="1">
        <v>0.39800000000000002</v>
      </c>
      <c r="AR114" s="1">
        <v>7.3999999999999996E-2</v>
      </c>
      <c r="AS114" s="1">
        <v>0.29199999999999998</v>
      </c>
      <c r="AT114" s="1">
        <v>0.16900000000000001</v>
      </c>
      <c r="AU114" s="1">
        <v>4.1000000000000002E-2</v>
      </c>
      <c r="AV114" s="1">
        <v>0.10299999999999999</v>
      </c>
      <c r="AW114" s="1">
        <v>0.17599999999999999</v>
      </c>
      <c r="AX114" s="1">
        <v>7.8E-2</v>
      </c>
      <c r="AY114" s="1">
        <v>6.7000000000000004E-2</v>
      </c>
      <c r="AZ114" s="1">
        <v>-0.222</v>
      </c>
      <c r="BA114" s="1">
        <v>2384</v>
      </c>
      <c r="BB114" s="1">
        <v>13.33</v>
      </c>
      <c r="BC114" s="1">
        <v>2786</v>
      </c>
      <c r="BF114" s="1">
        <f t="shared" si="82"/>
        <v>1109</v>
      </c>
      <c r="BM114" s="17">
        <v>25.34</v>
      </c>
      <c r="BN114" s="17">
        <f t="shared" si="44"/>
        <v>51.186799999999998</v>
      </c>
      <c r="BO114" s="18">
        <f t="shared" si="75"/>
        <v>25.37</v>
      </c>
      <c r="BP114" s="18">
        <f t="shared" si="76"/>
        <v>44.24</v>
      </c>
      <c r="BR114" s="1">
        <f t="shared" si="77"/>
        <v>98.6</v>
      </c>
      <c r="BS114" s="1">
        <f t="shared" si="78"/>
        <v>62.7</v>
      </c>
      <c r="BT114" s="1">
        <f t="shared" si="79"/>
        <v>24.5</v>
      </c>
      <c r="BU114" s="60">
        <f t="shared" si="80"/>
        <v>0.25700000000000001</v>
      </c>
      <c r="BV114" s="60">
        <f t="shared" si="41"/>
        <v>0.79200000000000004</v>
      </c>
      <c r="BW114" s="2"/>
      <c r="BX114" s="51">
        <f t="shared" si="45"/>
        <v>0</v>
      </c>
      <c r="BY114" s="46">
        <v>0.89999999999999991</v>
      </c>
      <c r="BZ114" s="1">
        <v>0</v>
      </c>
      <c r="CB114" s="17">
        <f t="shared" si="46"/>
        <v>25.37</v>
      </c>
      <c r="CC114" s="17">
        <f t="shared" si="47"/>
        <v>44.24</v>
      </c>
      <c r="CD114" s="3">
        <f t="shared" si="48"/>
        <v>0.3</v>
      </c>
      <c r="CE114" s="3">
        <f t="shared" si="72"/>
        <v>-0.6</v>
      </c>
      <c r="CF114" s="1" t="s">
        <v>218</v>
      </c>
      <c r="CG114" s="3">
        <f t="shared" si="49"/>
        <v>0</v>
      </c>
      <c r="CH114" s="3">
        <f t="shared" si="50"/>
        <v>-0.1</v>
      </c>
      <c r="CI114" s="3">
        <f t="shared" si="51"/>
        <v>0.1</v>
      </c>
      <c r="CJ114" s="3">
        <f t="shared" si="52"/>
        <v>0.5</v>
      </c>
      <c r="CK114" s="27">
        <f t="shared" si="53"/>
        <v>62.7</v>
      </c>
      <c r="CL114" s="1">
        <f t="shared" si="54"/>
        <v>7.7</v>
      </c>
      <c r="CM114" s="1">
        <f t="shared" si="73"/>
        <v>8.6</v>
      </c>
      <c r="CN114" s="1" t="s">
        <v>218</v>
      </c>
      <c r="CO114" s="1">
        <f t="shared" si="55"/>
        <v>0.2</v>
      </c>
      <c r="CP114" s="1">
        <f t="shared" si="56"/>
        <v>0</v>
      </c>
      <c r="CQ114" s="1">
        <f t="shared" si="57"/>
        <v>0.2</v>
      </c>
      <c r="CR114" s="1">
        <f t="shared" si="58"/>
        <v>0.5</v>
      </c>
      <c r="CS114" s="2">
        <f t="shared" si="59"/>
        <v>98.6</v>
      </c>
      <c r="CT114" s="1">
        <f t="shared" si="60"/>
        <v>-6.1</v>
      </c>
      <c r="CU114" s="1">
        <f t="shared" si="74"/>
        <v>-8.8000000000000007</v>
      </c>
      <c r="CV114" s="1" t="s">
        <v>218</v>
      </c>
      <c r="CW114" s="1">
        <f t="shared" si="61"/>
        <v>-0.1</v>
      </c>
      <c r="CX114" s="1">
        <f t="shared" si="62"/>
        <v>-0.1</v>
      </c>
      <c r="CY114" s="1">
        <f t="shared" si="63"/>
        <v>0.1</v>
      </c>
      <c r="CZ114" s="1">
        <f t="shared" si="64"/>
        <v>0.4</v>
      </c>
      <c r="DA114" s="2">
        <f t="shared" si="65"/>
        <v>24.5</v>
      </c>
      <c r="DB114" s="20">
        <f t="shared" si="66"/>
        <v>1109</v>
      </c>
      <c r="DC114" s="1">
        <f>ROUND(PPTest!K114,1)</f>
        <v>0</v>
      </c>
      <c r="DD114" s="27">
        <f t="shared" si="42"/>
        <v>1.63</v>
      </c>
      <c r="DE114" s="3">
        <f t="shared" si="67"/>
        <v>4.3899999999999997</v>
      </c>
      <c r="DF114" s="24">
        <f t="shared" si="68"/>
        <v>0.25700000000000001</v>
      </c>
      <c r="DG114" s="24">
        <f t="shared" si="69"/>
        <v>0.79200000000000004</v>
      </c>
      <c r="DH114" s="17">
        <f t="shared" si="70"/>
        <v>13.33</v>
      </c>
      <c r="DQ114" s="1">
        <v>9.8000000000000007</v>
      </c>
      <c r="DR114" s="1">
        <v>19.2</v>
      </c>
      <c r="DS114" s="1">
        <v>0.4</v>
      </c>
    </row>
    <row r="115" spans="1:123" x14ac:dyDescent="0.2">
      <c r="A115" s="15">
        <f t="shared" si="71"/>
        <v>36634</v>
      </c>
      <c r="B115" s="1">
        <v>109</v>
      </c>
      <c r="C115" s="1">
        <v>25.15</v>
      </c>
      <c r="D115" s="1">
        <v>42.56</v>
      </c>
      <c r="E115" s="1">
        <v>2.2370000000000001</v>
      </c>
      <c r="F115" s="1">
        <v>69.510000000000005</v>
      </c>
      <c r="G115" s="1">
        <v>1.732</v>
      </c>
      <c r="I115" s="1">
        <v>5.0000000000000001E-3</v>
      </c>
      <c r="J115" s="1">
        <v>0.39800000000000002</v>
      </c>
      <c r="K115" s="1">
        <v>3.4060000000000001</v>
      </c>
      <c r="L115" s="1">
        <v>-7.9000000000000001E-2</v>
      </c>
      <c r="M115" s="1">
        <v>0.111</v>
      </c>
      <c r="N115" s="1">
        <v>0.46100000000000002</v>
      </c>
      <c r="O115" s="1">
        <v>0</v>
      </c>
      <c r="P115" s="2">
        <v>2.1040000000000001</v>
      </c>
      <c r="R115" s="1">
        <v>12.2</v>
      </c>
      <c r="S115" s="1">
        <v>1528</v>
      </c>
      <c r="T115" s="1">
        <v>104</v>
      </c>
      <c r="U115" s="1">
        <v>523</v>
      </c>
      <c r="V115" s="1">
        <v>13.08</v>
      </c>
      <c r="X115" s="1">
        <v>0.20499999999999999</v>
      </c>
      <c r="Y115" s="1">
        <v>12.39</v>
      </c>
      <c r="Z115" s="1">
        <v>17.38</v>
      </c>
      <c r="AA115" s="1">
        <v>6.6000000000000003E-2</v>
      </c>
      <c r="AB115" s="1">
        <v>0.252</v>
      </c>
      <c r="AC115" s="1">
        <v>0.61099999999999999</v>
      </c>
      <c r="AD115" s="2">
        <v>5.2480000000000002</v>
      </c>
      <c r="AE115" s="1">
        <v>1548</v>
      </c>
      <c r="AF115" s="1">
        <v>-7.24</v>
      </c>
      <c r="AG115" s="1">
        <v>506</v>
      </c>
      <c r="AH115" s="1">
        <v>26.75</v>
      </c>
      <c r="AI115" s="1">
        <v>1332</v>
      </c>
      <c r="AJ115" s="1">
        <v>-8.33</v>
      </c>
      <c r="AL115" s="1">
        <v>-9.6000000000000002E-2</v>
      </c>
      <c r="AM115" s="1">
        <v>-7.61</v>
      </c>
      <c r="AN115" s="1">
        <v>-8.0399999999999991</v>
      </c>
      <c r="AO115" s="1">
        <v>-0.188</v>
      </c>
      <c r="AP115" s="1">
        <v>-1.0999999999999999E-2</v>
      </c>
      <c r="AQ115" s="1">
        <v>0.32300000000000001</v>
      </c>
      <c r="AR115" s="1">
        <v>0.02</v>
      </c>
      <c r="AS115" s="1">
        <v>0.28100000000000003</v>
      </c>
      <c r="AT115" s="1">
        <v>0.28799999999999998</v>
      </c>
      <c r="AU115" s="1">
        <v>6.0000000000000001E-3</v>
      </c>
      <c r="AV115" s="1">
        <v>0.05</v>
      </c>
      <c r="AW115" s="1">
        <v>0.17599999999999999</v>
      </c>
      <c r="AX115" s="1">
        <v>0.13600000000000001</v>
      </c>
      <c r="AY115" s="1">
        <v>4.2999999999999997E-2</v>
      </c>
      <c r="AZ115" s="1">
        <v>-0.60699999999999998</v>
      </c>
      <c r="BA115" s="1">
        <v>2432</v>
      </c>
      <c r="BB115" s="1">
        <v>13.34</v>
      </c>
      <c r="BC115" s="1">
        <v>2786</v>
      </c>
      <c r="BF115" s="1">
        <f t="shared" si="82"/>
        <v>1061</v>
      </c>
      <c r="BM115" s="17">
        <v>25.58</v>
      </c>
      <c r="BN115" s="17">
        <f t="shared" si="44"/>
        <v>51.671599999999998</v>
      </c>
      <c r="BO115" s="18">
        <f t="shared" si="75"/>
        <v>24.65</v>
      </c>
      <c r="BP115" s="18">
        <f t="shared" si="76"/>
        <v>46.82</v>
      </c>
      <c r="BR115" s="1">
        <f t="shared" si="77"/>
        <v>89.7</v>
      </c>
      <c r="BS115" s="1">
        <f t="shared" si="78"/>
        <v>55.2</v>
      </c>
      <c r="BT115" s="1">
        <f t="shared" si="79"/>
        <v>17.5</v>
      </c>
      <c r="BU115" s="60">
        <f t="shared" si="80"/>
        <v>0.249</v>
      </c>
      <c r="BV115" s="60">
        <f t="shared" si="41"/>
        <v>1.1739999999999999</v>
      </c>
      <c r="BW115" s="2"/>
      <c r="BX115" s="51">
        <f t="shared" si="45"/>
        <v>0</v>
      </c>
      <c r="BY115" s="46">
        <v>0</v>
      </c>
      <c r="BZ115" s="1">
        <v>0</v>
      </c>
      <c r="CB115" s="17">
        <f t="shared" si="46"/>
        <v>24.65</v>
      </c>
      <c r="CC115" s="17">
        <f t="shared" si="47"/>
        <v>46.82</v>
      </c>
      <c r="CD115" s="3">
        <f t="shared" si="48"/>
        <v>2.2000000000000002</v>
      </c>
      <c r="CE115" s="3">
        <f t="shared" si="72"/>
        <v>1.7</v>
      </c>
      <c r="CF115" s="1" t="s">
        <v>218</v>
      </c>
      <c r="CG115" s="3">
        <f t="shared" si="49"/>
        <v>0</v>
      </c>
      <c r="CH115" s="3">
        <f t="shared" si="50"/>
        <v>-0.1</v>
      </c>
      <c r="CI115" s="3">
        <f t="shared" si="51"/>
        <v>0.1</v>
      </c>
      <c r="CJ115" s="3">
        <f t="shared" si="52"/>
        <v>0.5</v>
      </c>
      <c r="CK115" s="27">
        <f t="shared" si="53"/>
        <v>55.2</v>
      </c>
      <c r="CL115" s="1">
        <f t="shared" si="54"/>
        <v>12.2</v>
      </c>
      <c r="CM115" s="1">
        <f t="shared" si="73"/>
        <v>13.1</v>
      </c>
      <c r="CN115" s="1" t="s">
        <v>218</v>
      </c>
      <c r="CO115" s="1">
        <f t="shared" si="55"/>
        <v>0.2</v>
      </c>
      <c r="CP115" s="1">
        <f t="shared" si="56"/>
        <v>0.1</v>
      </c>
      <c r="CQ115" s="1">
        <f t="shared" si="57"/>
        <v>0.3</v>
      </c>
      <c r="CR115" s="1">
        <f t="shared" si="58"/>
        <v>0.6</v>
      </c>
      <c r="CS115" s="2">
        <f t="shared" si="59"/>
        <v>89.7</v>
      </c>
      <c r="CT115" s="1">
        <f t="shared" si="60"/>
        <v>-7.2</v>
      </c>
      <c r="CU115" s="1">
        <f t="shared" si="74"/>
        <v>-8.3000000000000007</v>
      </c>
      <c r="CV115" s="1" t="s">
        <v>218</v>
      </c>
      <c r="CW115" s="1">
        <f t="shared" si="61"/>
        <v>-0.1</v>
      </c>
      <c r="CX115" s="1">
        <f t="shared" si="62"/>
        <v>-0.2</v>
      </c>
      <c r="CY115" s="1">
        <f t="shared" si="63"/>
        <v>0</v>
      </c>
      <c r="CZ115" s="1">
        <f t="shared" si="64"/>
        <v>0.3</v>
      </c>
      <c r="DA115" s="2">
        <f t="shared" si="65"/>
        <v>17.5</v>
      </c>
      <c r="DB115" s="20">
        <f t="shared" si="66"/>
        <v>1061</v>
      </c>
      <c r="DC115" s="1">
        <f>ROUND(PPTest!K115,1)</f>
        <v>0</v>
      </c>
      <c r="DD115" s="27">
        <f t="shared" si="42"/>
        <v>2.1</v>
      </c>
      <c r="DE115" s="3">
        <f t="shared" si="67"/>
        <v>5.25</v>
      </c>
      <c r="DF115" s="24">
        <f t="shared" si="68"/>
        <v>0.249</v>
      </c>
      <c r="DG115" s="24">
        <f t="shared" si="69"/>
        <v>1.1739999999999999</v>
      </c>
      <c r="DH115" s="17">
        <f t="shared" si="70"/>
        <v>13.34</v>
      </c>
      <c r="DQ115" s="1">
        <v>11</v>
      </c>
      <c r="DR115" s="1">
        <v>24.4</v>
      </c>
      <c r="DS115" s="1">
        <v>-2.5</v>
      </c>
    </row>
    <row r="116" spans="1:123" x14ac:dyDescent="0.2">
      <c r="A116" s="15">
        <f t="shared" si="71"/>
        <v>36635</v>
      </c>
      <c r="B116" s="1">
        <v>110</v>
      </c>
      <c r="C116" s="1">
        <v>26.27</v>
      </c>
      <c r="D116" s="1">
        <v>44.5</v>
      </c>
      <c r="E116" s="1">
        <v>3.1269999999999998</v>
      </c>
      <c r="F116" s="1">
        <v>66.88</v>
      </c>
      <c r="G116" s="1">
        <v>2.544</v>
      </c>
      <c r="I116" s="1">
        <v>3.2000000000000001E-2</v>
      </c>
      <c r="J116" s="1">
        <v>2.0819999999999999</v>
      </c>
      <c r="K116" s="1">
        <v>5.173</v>
      </c>
      <c r="L116" s="1">
        <v>-6.7000000000000004E-2</v>
      </c>
      <c r="M116" s="1">
        <v>0.11600000000000001</v>
      </c>
      <c r="N116" s="1">
        <v>0.45700000000000002</v>
      </c>
      <c r="O116" s="1">
        <v>0</v>
      </c>
      <c r="P116" s="2">
        <v>1.8393333333333333</v>
      </c>
      <c r="R116" s="1">
        <v>12.69</v>
      </c>
      <c r="S116" s="1">
        <v>1636</v>
      </c>
      <c r="T116" s="1">
        <v>99.2</v>
      </c>
      <c r="U116" s="1">
        <v>511</v>
      </c>
      <c r="V116" s="1">
        <v>13.99</v>
      </c>
      <c r="X116" s="1">
        <v>0.28699999999999998</v>
      </c>
      <c r="Y116" s="1">
        <v>12.01</v>
      </c>
      <c r="Z116" s="1">
        <v>18.690000000000001</v>
      </c>
      <c r="AA116" s="1">
        <v>0.108</v>
      </c>
      <c r="AB116" s="1">
        <v>0.3</v>
      </c>
      <c r="AC116" s="1">
        <v>0.65200000000000002</v>
      </c>
      <c r="AD116" s="2">
        <v>4.6080000000000005</v>
      </c>
      <c r="AE116" s="1">
        <v>1504</v>
      </c>
      <c r="AF116" s="1">
        <v>-5.16</v>
      </c>
      <c r="AG116" s="1">
        <v>511</v>
      </c>
      <c r="AH116" s="1">
        <v>34.14</v>
      </c>
      <c r="AI116" s="1">
        <v>1731</v>
      </c>
      <c r="AJ116" s="1">
        <v>-6.3220000000000001</v>
      </c>
      <c r="AL116" s="1">
        <v>-8.6999999999999994E-2</v>
      </c>
      <c r="AM116" s="1">
        <v>-2.5510000000000002</v>
      </c>
      <c r="AN116" s="1">
        <v>-1.7290000000000001</v>
      </c>
      <c r="AO116" s="1">
        <v>-0.21099999999999999</v>
      </c>
      <c r="AP116" s="1">
        <v>-5.1999999999999998E-2</v>
      </c>
      <c r="AQ116" s="1">
        <v>0.27</v>
      </c>
      <c r="AR116" s="1">
        <v>3.3000000000000002E-2</v>
      </c>
      <c r="AS116" s="1">
        <v>0.23300000000000001</v>
      </c>
      <c r="AT116" s="1">
        <v>0.34200000000000003</v>
      </c>
      <c r="AU116" s="1">
        <v>1.2E-2</v>
      </c>
      <c r="AV116" s="1">
        <v>8.5999999999999993E-2</v>
      </c>
      <c r="AW116" s="1">
        <v>0.17499999999999999</v>
      </c>
      <c r="AX116" s="1">
        <v>5.5E-2</v>
      </c>
      <c r="AY116" s="1">
        <v>6.4000000000000001E-2</v>
      </c>
      <c r="AZ116" s="1">
        <v>0.17799999999999999</v>
      </c>
      <c r="BA116" s="1">
        <v>2470</v>
      </c>
      <c r="BB116" s="1">
        <v>13.34</v>
      </c>
      <c r="BC116" s="1">
        <v>2786</v>
      </c>
      <c r="BF116" s="1">
        <f t="shared" si="82"/>
        <v>1023</v>
      </c>
      <c r="BM116" s="17">
        <v>25.81</v>
      </c>
      <c r="BN116" s="17">
        <f t="shared" si="44"/>
        <v>52.136199999999995</v>
      </c>
      <c r="BO116" s="18">
        <f t="shared" si="75"/>
        <v>25.74</v>
      </c>
      <c r="BP116" s="18">
        <f t="shared" si="76"/>
        <v>48.95</v>
      </c>
      <c r="BR116" s="1">
        <f t="shared" si="77"/>
        <v>82</v>
      </c>
      <c r="BS116" s="1">
        <f t="shared" si="78"/>
        <v>52.9</v>
      </c>
      <c r="BT116" s="1">
        <f t="shared" si="79"/>
        <v>24</v>
      </c>
      <c r="BU116" s="60">
        <f t="shared" si="80"/>
        <v>0.35199999999999998</v>
      </c>
      <c r="BV116" s="60">
        <f t="shared" si="41"/>
        <v>1.115</v>
      </c>
      <c r="BW116" s="2"/>
      <c r="BX116" s="51">
        <f t="shared" si="45"/>
        <v>0</v>
      </c>
      <c r="BY116" s="46">
        <v>0</v>
      </c>
      <c r="BZ116" s="1">
        <v>0</v>
      </c>
      <c r="CB116" s="17">
        <f t="shared" si="46"/>
        <v>25.74</v>
      </c>
      <c r="CC116" s="17">
        <f t="shared" si="47"/>
        <v>48.95</v>
      </c>
      <c r="CD116" s="3">
        <f t="shared" si="48"/>
        <v>3.1</v>
      </c>
      <c r="CE116" s="3">
        <f t="shared" si="72"/>
        <v>2.5</v>
      </c>
      <c r="CF116" s="1" t="s">
        <v>218</v>
      </c>
      <c r="CG116" s="3">
        <f t="shared" si="49"/>
        <v>0</v>
      </c>
      <c r="CH116" s="3">
        <f t="shared" si="50"/>
        <v>-0.1</v>
      </c>
      <c r="CI116" s="3">
        <f t="shared" si="51"/>
        <v>0.1</v>
      </c>
      <c r="CJ116" s="3">
        <f t="shared" si="52"/>
        <v>0.5</v>
      </c>
      <c r="CK116" s="27">
        <f t="shared" si="53"/>
        <v>52.9</v>
      </c>
      <c r="CL116" s="1">
        <f t="shared" si="54"/>
        <v>12.7</v>
      </c>
      <c r="CM116" s="1">
        <f t="shared" si="73"/>
        <v>14</v>
      </c>
      <c r="CN116" s="1" t="s">
        <v>218</v>
      </c>
      <c r="CO116" s="1">
        <f t="shared" si="55"/>
        <v>0.3</v>
      </c>
      <c r="CP116" s="1">
        <f t="shared" si="56"/>
        <v>0.1</v>
      </c>
      <c r="CQ116" s="1">
        <f t="shared" si="57"/>
        <v>0.3</v>
      </c>
      <c r="CR116" s="1">
        <f t="shared" si="58"/>
        <v>0.7</v>
      </c>
      <c r="CS116" s="2">
        <f t="shared" si="59"/>
        <v>82</v>
      </c>
      <c r="CT116" s="1">
        <f t="shared" si="60"/>
        <v>-5.2</v>
      </c>
      <c r="CU116" s="1">
        <f t="shared" si="74"/>
        <v>-6.3</v>
      </c>
      <c r="CV116" s="1" t="s">
        <v>218</v>
      </c>
      <c r="CW116" s="1">
        <f t="shared" si="61"/>
        <v>-0.1</v>
      </c>
      <c r="CX116" s="1">
        <f t="shared" si="62"/>
        <v>-0.2</v>
      </c>
      <c r="CY116" s="1">
        <f t="shared" si="63"/>
        <v>-0.1</v>
      </c>
      <c r="CZ116" s="1">
        <f t="shared" si="64"/>
        <v>0.3</v>
      </c>
      <c r="DA116" s="2">
        <f t="shared" si="65"/>
        <v>24</v>
      </c>
      <c r="DB116" s="20">
        <f t="shared" si="66"/>
        <v>1023</v>
      </c>
      <c r="DC116" s="1">
        <f>ROUND(PPTest!K116,1)</f>
        <v>0</v>
      </c>
      <c r="DD116" s="27">
        <f t="shared" si="42"/>
        <v>1.84</v>
      </c>
      <c r="DE116" s="3">
        <f t="shared" si="67"/>
        <v>4.6100000000000003</v>
      </c>
      <c r="DF116" s="24">
        <f t="shared" si="68"/>
        <v>0.35199999999999998</v>
      </c>
      <c r="DG116" s="24">
        <f t="shared" si="69"/>
        <v>1.115</v>
      </c>
      <c r="DH116" s="17">
        <f t="shared" si="70"/>
        <v>13.34</v>
      </c>
      <c r="DQ116" s="1">
        <v>11.7</v>
      </c>
      <c r="DR116" s="1">
        <v>24.3</v>
      </c>
      <c r="DS116" s="1">
        <v>-0.9</v>
      </c>
    </row>
    <row r="117" spans="1:123" x14ac:dyDescent="0.2">
      <c r="A117" s="15">
        <f t="shared" si="71"/>
        <v>36636</v>
      </c>
      <c r="B117" s="1">
        <v>111</v>
      </c>
      <c r="C117" s="1">
        <v>14.74</v>
      </c>
      <c r="D117" s="1">
        <v>25.32</v>
      </c>
      <c r="E117" s="1">
        <v>2.1640000000000001</v>
      </c>
      <c r="F117" s="1">
        <v>88.4</v>
      </c>
      <c r="G117" s="1">
        <v>1.627</v>
      </c>
      <c r="I117" s="1">
        <v>0.107</v>
      </c>
      <c r="J117" s="1">
        <v>1.35</v>
      </c>
      <c r="K117" s="1">
        <v>3.0470000000000002</v>
      </c>
      <c r="L117" s="1">
        <v>-8.2000000000000003E-2</v>
      </c>
      <c r="M117" s="1">
        <v>8.6999999999999994E-2</v>
      </c>
      <c r="N117" s="1">
        <v>0.41899999999999998</v>
      </c>
      <c r="O117" s="1">
        <v>0</v>
      </c>
      <c r="P117" s="2">
        <v>1.7393333333333334</v>
      </c>
      <c r="R117" s="1">
        <v>8.7799999999999994</v>
      </c>
      <c r="S117" s="1">
        <v>1535</v>
      </c>
      <c r="T117" s="1">
        <v>104.6</v>
      </c>
      <c r="U117" s="1">
        <v>2339</v>
      </c>
      <c r="V117" s="1">
        <v>9.17</v>
      </c>
      <c r="X117" s="1">
        <v>0.26</v>
      </c>
      <c r="Y117" s="1">
        <v>6.0439999999999996</v>
      </c>
      <c r="Z117" s="1">
        <v>10.32</v>
      </c>
      <c r="AA117" s="1">
        <v>2.3E-2</v>
      </c>
      <c r="AB117" s="1">
        <v>0.20100000000000001</v>
      </c>
      <c r="AC117" s="1">
        <v>0.53600000000000003</v>
      </c>
      <c r="AD117" s="2">
        <v>4.9280000000000008</v>
      </c>
      <c r="AE117" s="1">
        <v>1016</v>
      </c>
      <c r="AF117" s="1">
        <v>-2.9769999999999999</v>
      </c>
      <c r="AG117" s="1">
        <v>103</v>
      </c>
      <c r="AH117" s="1">
        <v>68.290000000000006</v>
      </c>
      <c r="AI117" s="1">
        <v>1535</v>
      </c>
      <c r="AJ117" s="1">
        <v>-4.2729999999999997</v>
      </c>
      <c r="AL117" s="1">
        <v>-5.7000000000000002E-2</v>
      </c>
      <c r="AM117" s="1">
        <v>-0.78200000000000003</v>
      </c>
      <c r="AN117" s="1">
        <v>-1.4410000000000001</v>
      </c>
      <c r="AO117" s="1">
        <v>-0.16400000000000001</v>
      </c>
      <c r="AP117" s="1">
        <v>2E-3</v>
      </c>
      <c r="AQ117" s="1">
        <v>0.32700000000000001</v>
      </c>
      <c r="AR117" s="1">
        <v>5.6000000000000001E-2</v>
      </c>
      <c r="AS117" s="1">
        <v>0.38300000000000001</v>
      </c>
      <c r="AT117" s="1">
        <v>0.20300000000000001</v>
      </c>
      <c r="AU117" s="1">
        <v>0.01</v>
      </c>
      <c r="AV117" s="1">
        <v>4.7E-2</v>
      </c>
      <c r="AW117" s="1">
        <v>0.17499999999999999</v>
      </c>
      <c r="AX117" s="1">
        <v>8.5000000000000006E-2</v>
      </c>
      <c r="AY117" s="1">
        <v>4.2000000000000003E-2</v>
      </c>
      <c r="AZ117" s="1">
        <v>0.32</v>
      </c>
      <c r="BA117" s="1">
        <v>2500</v>
      </c>
      <c r="BB117" s="1">
        <v>13.35</v>
      </c>
      <c r="BC117" s="1">
        <v>2786</v>
      </c>
      <c r="BF117" s="1">
        <f t="shared" si="82"/>
        <v>993</v>
      </c>
      <c r="BM117" s="17">
        <v>26.04</v>
      </c>
      <c r="BN117" s="17">
        <f t="shared" si="44"/>
        <v>52.6008</v>
      </c>
      <c r="BO117" s="18">
        <f t="shared" si="75"/>
        <v>14.45</v>
      </c>
      <c r="BP117" s="18">
        <f t="shared" si="76"/>
        <v>27.85</v>
      </c>
      <c r="BR117" s="1">
        <f t="shared" si="77"/>
        <v>90.6</v>
      </c>
      <c r="BS117" s="1">
        <f t="shared" si="78"/>
        <v>71.8</v>
      </c>
      <c r="BT117" s="1">
        <f t="shared" si="79"/>
        <v>54.1</v>
      </c>
      <c r="BU117" s="60">
        <f t="shared" si="80"/>
        <v>0.61199999999999999</v>
      </c>
      <c r="BV117" s="60">
        <f t="shared" si="41"/>
        <v>0.51900000000000002</v>
      </c>
      <c r="BW117" s="2"/>
      <c r="BX117" s="51">
        <f t="shared" si="45"/>
        <v>0</v>
      </c>
      <c r="BY117" s="46">
        <v>0</v>
      </c>
      <c r="BZ117" s="1">
        <v>0</v>
      </c>
      <c r="CB117" s="17">
        <f t="shared" si="46"/>
        <v>14.45</v>
      </c>
      <c r="CC117" s="17">
        <f t="shared" si="47"/>
        <v>27.85</v>
      </c>
      <c r="CD117" s="3">
        <f t="shared" si="48"/>
        <v>2.2000000000000002</v>
      </c>
      <c r="CE117" s="3">
        <f t="shared" si="72"/>
        <v>1.6</v>
      </c>
      <c r="CF117" s="1" t="s">
        <v>218</v>
      </c>
      <c r="CG117" s="3">
        <f t="shared" si="49"/>
        <v>0.1</v>
      </c>
      <c r="CH117" s="3">
        <f t="shared" si="50"/>
        <v>-0.1</v>
      </c>
      <c r="CI117" s="3">
        <f t="shared" si="51"/>
        <v>0.1</v>
      </c>
      <c r="CJ117" s="3">
        <f t="shared" si="52"/>
        <v>0.4</v>
      </c>
      <c r="CK117" s="27">
        <f t="shared" si="53"/>
        <v>71.8</v>
      </c>
      <c r="CL117" s="1">
        <f t="shared" si="54"/>
        <v>8.8000000000000007</v>
      </c>
      <c r="CM117" s="1">
        <f t="shared" si="73"/>
        <v>9.1999999999999993</v>
      </c>
      <c r="CN117" s="1" t="s">
        <v>218</v>
      </c>
      <c r="CO117" s="1">
        <f t="shared" si="55"/>
        <v>0.3</v>
      </c>
      <c r="CP117" s="1">
        <f t="shared" si="56"/>
        <v>0</v>
      </c>
      <c r="CQ117" s="1">
        <f t="shared" si="57"/>
        <v>0.2</v>
      </c>
      <c r="CR117" s="1">
        <f t="shared" si="58"/>
        <v>0.5</v>
      </c>
      <c r="CS117" s="2">
        <f t="shared" si="59"/>
        <v>90.6</v>
      </c>
      <c r="CT117" s="1">
        <f t="shared" si="60"/>
        <v>-3</v>
      </c>
      <c r="CU117" s="1">
        <f t="shared" si="74"/>
        <v>-4.3</v>
      </c>
      <c r="CV117" s="1" t="s">
        <v>218</v>
      </c>
      <c r="CW117" s="1">
        <f t="shared" si="61"/>
        <v>-0.1</v>
      </c>
      <c r="CX117" s="1">
        <f t="shared" si="62"/>
        <v>-0.2</v>
      </c>
      <c r="CY117" s="1">
        <f t="shared" si="63"/>
        <v>0</v>
      </c>
      <c r="CZ117" s="1">
        <f t="shared" si="64"/>
        <v>0.3</v>
      </c>
      <c r="DA117" s="2">
        <f t="shared" si="65"/>
        <v>54.1</v>
      </c>
      <c r="DB117" s="20">
        <f t="shared" si="66"/>
        <v>993</v>
      </c>
      <c r="DC117" s="1">
        <f>ROUND(PPTest!K117,1)</f>
        <v>0</v>
      </c>
      <c r="DD117" s="27">
        <f t="shared" si="42"/>
        <v>1.74</v>
      </c>
      <c r="DE117" s="3">
        <f t="shared" si="67"/>
        <v>4.93</v>
      </c>
      <c r="DF117" s="24">
        <f t="shared" si="68"/>
        <v>0.61199999999999999</v>
      </c>
      <c r="DG117" s="24">
        <f t="shared" si="69"/>
        <v>0.51900000000000002</v>
      </c>
      <c r="DH117" s="17">
        <f t="shared" si="70"/>
        <v>13.35</v>
      </c>
      <c r="DQ117" s="1">
        <v>10.5</v>
      </c>
      <c r="DR117" s="1">
        <v>19.100000000000001</v>
      </c>
      <c r="DS117" s="1">
        <v>1.9</v>
      </c>
    </row>
    <row r="118" spans="1:123" x14ac:dyDescent="0.2">
      <c r="A118" s="15">
        <f t="shared" si="71"/>
        <v>36637</v>
      </c>
      <c r="B118" s="1">
        <v>112</v>
      </c>
      <c r="C118" s="1">
        <v>20.94</v>
      </c>
      <c r="D118" s="1">
        <v>35.869999999999997</v>
      </c>
      <c r="E118" s="1">
        <v>6.359</v>
      </c>
      <c r="F118" s="1">
        <v>78.5</v>
      </c>
      <c r="G118" s="1">
        <v>5.7439999999999998</v>
      </c>
      <c r="I118" s="1">
        <v>0.28499999999999998</v>
      </c>
      <c r="J118" s="1">
        <v>4.8520000000000003</v>
      </c>
      <c r="K118" s="1">
        <v>6.859</v>
      </c>
      <c r="L118" s="1">
        <v>-2.9000000000000001E-2</v>
      </c>
      <c r="M118" s="1">
        <v>0.127</v>
      </c>
      <c r="N118" s="1">
        <v>0.46300000000000002</v>
      </c>
      <c r="O118" s="1">
        <v>0</v>
      </c>
      <c r="P118" s="2">
        <v>2.019333333333333</v>
      </c>
      <c r="R118" s="1">
        <v>11.99</v>
      </c>
      <c r="S118" s="1">
        <v>1156</v>
      </c>
      <c r="T118" s="1">
        <v>107</v>
      </c>
      <c r="U118" s="1">
        <v>258</v>
      </c>
      <c r="V118" s="1">
        <v>12.92</v>
      </c>
      <c r="X118" s="1">
        <v>0.44500000000000001</v>
      </c>
      <c r="Y118" s="1">
        <v>11.04</v>
      </c>
      <c r="Z118" s="1">
        <v>15.8</v>
      </c>
      <c r="AA118" s="1">
        <v>0.14599999999999999</v>
      </c>
      <c r="AB118" s="1">
        <v>0.29599999999999999</v>
      </c>
      <c r="AC118" s="1">
        <v>0.64100000000000001</v>
      </c>
      <c r="AD118" s="2">
        <v>7.1946666666666674</v>
      </c>
      <c r="AE118" s="1">
        <v>854</v>
      </c>
      <c r="AF118" s="1">
        <v>-1.726</v>
      </c>
      <c r="AG118" s="1">
        <v>6</v>
      </c>
      <c r="AH118" s="1">
        <v>50.1</v>
      </c>
      <c r="AI118" s="1">
        <v>1156</v>
      </c>
      <c r="AJ118" s="1">
        <v>-2.593</v>
      </c>
      <c r="AL118" s="1">
        <v>7.4999999999999997E-2</v>
      </c>
      <c r="AM118" s="1">
        <v>-0.71699999999999997</v>
      </c>
      <c r="AN118" s="1">
        <v>-0.61699999999999999</v>
      </c>
      <c r="AO118" s="1">
        <v>-0.19</v>
      </c>
      <c r="AP118" s="1">
        <v>-5.5E-2</v>
      </c>
      <c r="AQ118" s="1">
        <v>0.26700000000000002</v>
      </c>
      <c r="AR118" s="1">
        <v>5.5E-2</v>
      </c>
      <c r="AS118" s="1">
        <v>0.20599999999999999</v>
      </c>
      <c r="AT118" s="1">
        <v>0.21199999999999999</v>
      </c>
      <c r="AU118" s="1">
        <v>0.14299999999999999</v>
      </c>
      <c r="AV118" s="1">
        <v>0.16200000000000001</v>
      </c>
      <c r="AW118" s="1">
        <v>0.14699999999999999</v>
      </c>
      <c r="AX118" s="1">
        <v>4.9000000000000002E-2</v>
      </c>
      <c r="AY118" s="1">
        <v>2.5999999999999999E-2</v>
      </c>
      <c r="AZ118" s="1">
        <v>2.89</v>
      </c>
      <c r="BA118" s="1">
        <v>2550</v>
      </c>
      <c r="BB118" s="1">
        <v>13.38</v>
      </c>
      <c r="BC118" s="1">
        <v>2786</v>
      </c>
      <c r="BF118" s="1">
        <f t="shared" si="82"/>
        <v>943</v>
      </c>
      <c r="BM118" s="17">
        <v>26.27</v>
      </c>
      <c r="BN118" s="17">
        <f t="shared" si="44"/>
        <v>53.065399999999997</v>
      </c>
      <c r="BO118" s="18">
        <f t="shared" si="75"/>
        <v>20.52</v>
      </c>
      <c r="BP118" s="18">
        <f t="shared" si="76"/>
        <v>39.46</v>
      </c>
      <c r="BR118" s="1">
        <f t="shared" si="77"/>
        <v>94.4</v>
      </c>
      <c r="BS118" s="1">
        <f t="shared" si="78"/>
        <v>63.1</v>
      </c>
      <c r="BT118" s="1">
        <f t="shared" si="79"/>
        <v>38.1</v>
      </c>
      <c r="BU118" s="60">
        <f t="shared" si="80"/>
        <v>0.53400000000000003</v>
      </c>
      <c r="BV118" s="60">
        <f t="shared" si="41"/>
        <v>0.86799999999999999</v>
      </c>
      <c r="BW118" s="2"/>
      <c r="BX118" s="51">
        <f t="shared" si="45"/>
        <v>0</v>
      </c>
      <c r="BY118" s="46">
        <v>1.6</v>
      </c>
      <c r="BZ118" s="1">
        <v>0</v>
      </c>
      <c r="CB118" s="17">
        <f t="shared" si="46"/>
        <v>20.52</v>
      </c>
      <c r="CC118" s="17">
        <f t="shared" si="47"/>
        <v>39.46</v>
      </c>
      <c r="CD118" s="3">
        <f t="shared" si="48"/>
        <v>6.4</v>
      </c>
      <c r="CE118" s="3">
        <f t="shared" si="72"/>
        <v>5.7</v>
      </c>
      <c r="CF118" s="1" t="s">
        <v>218</v>
      </c>
      <c r="CG118" s="3">
        <f t="shared" si="49"/>
        <v>0.3</v>
      </c>
      <c r="CH118" s="3">
        <f t="shared" si="50"/>
        <v>0</v>
      </c>
      <c r="CI118" s="3">
        <f t="shared" si="51"/>
        <v>0.1</v>
      </c>
      <c r="CJ118" s="3">
        <f t="shared" si="52"/>
        <v>0.5</v>
      </c>
      <c r="CK118" s="27">
        <f t="shared" si="53"/>
        <v>63.1</v>
      </c>
      <c r="CL118" s="1">
        <f t="shared" si="54"/>
        <v>12</v>
      </c>
      <c r="CM118" s="1">
        <f t="shared" si="73"/>
        <v>12.9</v>
      </c>
      <c r="CN118" s="1" t="s">
        <v>218</v>
      </c>
      <c r="CO118" s="1">
        <f t="shared" si="55"/>
        <v>0.4</v>
      </c>
      <c r="CP118" s="1">
        <f t="shared" si="56"/>
        <v>0.1</v>
      </c>
      <c r="CQ118" s="1">
        <f t="shared" si="57"/>
        <v>0.3</v>
      </c>
      <c r="CR118" s="1">
        <f t="shared" si="58"/>
        <v>0.6</v>
      </c>
      <c r="CS118" s="2">
        <f t="shared" si="59"/>
        <v>94.4</v>
      </c>
      <c r="CT118" s="1">
        <f t="shared" si="60"/>
        <v>-1.7</v>
      </c>
      <c r="CU118" s="1">
        <f t="shared" si="74"/>
        <v>-2.6</v>
      </c>
      <c r="CV118" s="1" t="s">
        <v>218</v>
      </c>
      <c r="CW118" s="1">
        <f t="shared" si="61"/>
        <v>0.1</v>
      </c>
      <c r="CX118" s="1">
        <f t="shared" si="62"/>
        <v>-0.2</v>
      </c>
      <c r="CY118" s="1">
        <f t="shared" si="63"/>
        <v>-0.1</v>
      </c>
      <c r="CZ118" s="1">
        <f t="shared" si="64"/>
        <v>0.3</v>
      </c>
      <c r="DA118" s="2">
        <f t="shared" si="65"/>
        <v>38.1</v>
      </c>
      <c r="DB118" s="20">
        <f t="shared" si="66"/>
        <v>943</v>
      </c>
      <c r="DC118" s="1">
        <f>ROUND(PPTest!K118,1)</f>
        <v>0</v>
      </c>
      <c r="DD118" s="27">
        <f t="shared" si="42"/>
        <v>2.02</v>
      </c>
      <c r="DE118" s="3">
        <f t="shared" si="67"/>
        <v>7.19</v>
      </c>
      <c r="DF118" s="24">
        <f t="shared" si="68"/>
        <v>0.53400000000000003</v>
      </c>
      <c r="DG118" s="24">
        <f t="shared" si="69"/>
        <v>0.86799999999999999</v>
      </c>
      <c r="DH118" s="17">
        <f t="shared" si="70"/>
        <v>13.38</v>
      </c>
      <c r="DQ118" s="1">
        <v>12.1</v>
      </c>
      <c r="DR118" s="1">
        <v>21.5</v>
      </c>
      <c r="DS118" s="1">
        <v>2.7</v>
      </c>
    </row>
    <row r="119" spans="1:123" x14ac:dyDescent="0.2">
      <c r="A119" s="15">
        <f t="shared" si="71"/>
        <v>36638</v>
      </c>
      <c r="B119" s="1">
        <v>113</v>
      </c>
      <c r="C119" s="1">
        <v>21.56</v>
      </c>
      <c r="D119" s="1">
        <v>36.479999999999997</v>
      </c>
      <c r="E119" s="1">
        <v>3.4140000000000001</v>
      </c>
      <c r="F119" s="1">
        <v>76.7</v>
      </c>
      <c r="G119" s="1">
        <v>3.0939999999999999</v>
      </c>
      <c r="I119" s="1">
        <v>0.35799999999999998</v>
      </c>
      <c r="J119" s="1">
        <v>3.4670000000000001</v>
      </c>
      <c r="K119" s="1">
        <v>4.9480000000000004</v>
      </c>
      <c r="L119" s="1">
        <v>-3.7999999999999999E-2</v>
      </c>
      <c r="M119" s="1">
        <v>0.108</v>
      </c>
      <c r="N119" s="1">
        <v>0.46200000000000002</v>
      </c>
      <c r="O119" s="1">
        <v>0</v>
      </c>
      <c r="P119" s="2">
        <v>2.7613333333333334</v>
      </c>
      <c r="R119" s="1">
        <v>7.72</v>
      </c>
      <c r="S119" s="1">
        <v>1414</v>
      </c>
      <c r="T119" s="1">
        <v>109.4</v>
      </c>
      <c r="U119" s="1">
        <v>346</v>
      </c>
      <c r="V119" s="1">
        <v>10.029999999999999</v>
      </c>
      <c r="X119" s="1">
        <v>0.56000000000000005</v>
      </c>
      <c r="Y119" s="1">
        <v>9.06</v>
      </c>
      <c r="Z119" s="1">
        <v>12.86</v>
      </c>
      <c r="AA119" s="1">
        <v>0.14599999999999999</v>
      </c>
      <c r="AB119" s="1">
        <v>0.29899999999999999</v>
      </c>
      <c r="AC119" s="1">
        <v>0.66900000000000004</v>
      </c>
      <c r="AD119" s="2">
        <v>7.7013333333333343</v>
      </c>
      <c r="AE119" s="1">
        <v>1340</v>
      </c>
      <c r="AF119" s="1">
        <v>-2.4620000000000002</v>
      </c>
      <c r="AG119" s="1">
        <v>2309</v>
      </c>
      <c r="AH119" s="1">
        <v>29.86</v>
      </c>
      <c r="AI119" s="1">
        <v>1427</v>
      </c>
      <c r="AJ119" s="1">
        <v>-3.4609999999999999</v>
      </c>
      <c r="AL119" s="1">
        <v>0.187</v>
      </c>
      <c r="AM119" s="1">
        <v>-0.78600000000000003</v>
      </c>
      <c r="AN119" s="1">
        <v>-0.80500000000000005</v>
      </c>
      <c r="AO119" s="1">
        <v>-0.17199999999999999</v>
      </c>
      <c r="AP119" s="1">
        <v>-4.5999999999999999E-2</v>
      </c>
      <c r="AQ119" s="1">
        <v>0.32</v>
      </c>
      <c r="AR119" s="1">
        <v>0.03</v>
      </c>
      <c r="AS119" s="1">
        <v>6.3E-2</v>
      </c>
      <c r="AT119" s="1">
        <v>6.9000000000000006E-2</v>
      </c>
      <c r="AU119" s="1">
        <v>3.9E-2</v>
      </c>
      <c r="AV119" s="1">
        <v>0.19500000000000001</v>
      </c>
      <c r="AW119" s="1">
        <v>0.45600000000000002</v>
      </c>
      <c r="AX119" s="1">
        <v>0.126</v>
      </c>
      <c r="AY119" s="1">
        <v>2.4E-2</v>
      </c>
      <c r="AZ119" s="1">
        <v>2.544</v>
      </c>
      <c r="BA119" s="1">
        <v>2606</v>
      </c>
      <c r="BB119" s="1">
        <v>13.35</v>
      </c>
      <c r="BC119" s="1">
        <v>2786</v>
      </c>
      <c r="BF119" s="1">
        <f t="shared" si="82"/>
        <v>887</v>
      </c>
      <c r="BM119" s="17">
        <v>26.5</v>
      </c>
      <c r="BN119" s="17">
        <f t="shared" si="44"/>
        <v>53.53</v>
      </c>
      <c r="BO119" s="18">
        <f t="shared" si="75"/>
        <v>21.13</v>
      </c>
      <c r="BP119" s="18">
        <f t="shared" si="76"/>
        <v>40.130000000000003</v>
      </c>
      <c r="BR119" s="1">
        <f t="shared" si="77"/>
        <v>98.2</v>
      </c>
      <c r="BS119" s="1">
        <f t="shared" si="78"/>
        <v>61.5</v>
      </c>
      <c r="BT119" s="1">
        <f t="shared" si="79"/>
        <v>20.3</v>
      </c>
      <c r="BU119" s="60">
        <f t="shared" si="80"/>
        <v>0.214</v>
      </c>
      <c r="BV119" s="60">
        <f t="shared" si="41"/>
        <v>0.84</v>
      </c>
      <c r="BW119" s="2"/>
      <c r="BX119" s="51">
        <f t="shared" si="45"/>
        <v>0.97999999999999954</v>
      </c>
      <c r="BY119" s="46">
        <v>2.8000000000000003</v>
      </c>
      <c r="BZ119" s="1">
        <v>0.69999999999999973</v>
      </c>
      <c r="CB119" s="17">
        <f t="shared" si="46"/>
        <v>21.13</v>
      </c>
      <c r="CC119" s="17">
        <f t="shared" si="47"/>
        <v>40.130000000000003</v>
      </c>
      <c r="CD119" s="3">
        <f t="shared" si="48"/>
        <v>3.4</v>
      </c>
      <c r="CE119" s="3">
        <f t="shared" si="72"/>
        <v>3.1</v>
      </c>
      <c r="CF119" s="1" t="s">
        <v>218</v>
      </c>
      <c r="CG119" s="3">
        <f t="shared" si="49"/>
        <v>0.4</v>
      </c>
      <c r="CH119" s="3">
        <f t="shared" si="50"/>
        <v>0</v>
      </c>
      <c r="CI119" s="3">
        <f t="shared" si="51"/>
        <v>0.1</v>
      </c>
      <c r="CJ119" s="3">
        <f t="shared" si="52"/>
        <v>0.5</v>
      </c>
      <c r="CK119" s="27">
        <f t="shared" si="53"/>
        <v>61.5</v>
      </c>
      <c r="CL119" s="1">
        <f t="shared" si="54"/>
        <v>7.7</v>
      </c>
      <c r="CM119" s="1">
        <f t="shared" si="73"/>
        <v>10</v>
      </c>
      <c r="CN119" s="1" t="s">
        <v>218</v>
      </c>
      <c r="CO119" s="1">
        <f t="shared" si="55"/>
        <v>0.6</v>
      </c>
      <c r="CP119" s="1">
        <f t="shared" si="56"/>
        <v>0.1</v>
      </c>
      <c r="CQ119" s="1">
        <f t="shared" si="57"/>
        <v>0.3</v>
      </c>
      <c r="CR119" s="1">
        <f t="shared" si="58"/>
        <v>0.7</v>
      </c>
      <c r="CS119" s="2">
        <f t="shared" si="59"/>
        <v>98.2</v>
      </c>
      <c r="CT119" s="1">
        <f t="shared" si="60"/>
        <v>-2.5</v>
      </c>
      <c r="CU119" s="1">
        <f t="shared" si="74"/>
        <v>-3.5</v>
      </c>
      <c r="CV119" s="1" t="s">
        <v>218</v>
      </c>
      <c r="CW119" s="1">
        <f t="shared" si="61"/>
        <v>0.2</v>
      </c>
      <c r="CX119" s="1">
        <f t="shared" si="62"/>
        <v>-0.2</v>
      </c>
      <c r="CY119" s="1">
        <f t="shared" si="63"/>
        <v>0</v>
      </c>
      <c r="CZ119" s="1">
        <f t="shared" si="64"/>
        <v>0.3</v>
      </c>
      <c r="DA119" s="2">
        <f t="shared" si="65"/>
        <v>20.3</v>
      </c>
      <c r="DB119" s="20">
        <f t="shared" si="66"/>
        <v>887</v>
      </c>
      <c r="DC119" s="1">
        <f>ROUND(PPTest!K119,1)</f>
        <v>0</v>
      </c>
      <c r="DD119" s="27">
        <f t="shared" si="42"/>
        <v>2.76</v>
      </c>
      <c r="DE119" s="3">
        <f t="shared" si="67"/>
        <v>7.7</v>
      </c>
      <c r="DF119" s="24">
        <f t="shared" si="68"/>
        <v>0.214</v>
      </c>
      <c r="DG119" s="24">
        <f t="shared" si="69"/>
        <v>0.84</v>
      </c>
      <c r="DH119" s="17">
        <f t="shared" si="70"/>
        <v>13.35</v>
      </c>
      <c r="DQ119" s="1">
        <v>12.7</v>
      </c>
      <c r="DR119" s="1">
        <v>19.7</v>
      </c>
      <c r="DS119" s="1">
        <v>5.6</v>
      </c>
    </row>
    <row r="120" spans="1:123" x14ac:dyDescent="0.2">
      <c r="A120" s="15">
        <f t="shared" si="71"/>
        <v>36639</v>
      </c>
      <c r="B120" s="1">
        <v>114</v>
      </c>
      <c r="C120" s="1">
        <v>15.74</v>
      </c>
      <c r="D120" s="1">
        <v>26.42</v>
      </c>
      <c r="E120" s="1">
        <v>-0.16</v>
      </c>
      <c r="F120" s="1">
        <v>75.8</v>
      </c>
      <c r="G120" s="1">
        <v>-0.47799999999999998</v>
      </c>
      <c r="I120" s="1">
        <v>0.25800000000000001</v>
      </c>
      <c r="J120" s="1">
        <v>0.215</v>
      </c>
      <c r="K120" s="1">
        <v>1.4119999999999999</v>
      </c>
      <c r="L120" s="1">
        <v>-9.5000000000000001E-2</v>
      </c>
      <c r="M120" s="1">
        <v>2.1999999999999999E-2</v>
      </c>
      <c r="N120" s="1">
        <v>0.38900000000000001</v>
      </c>
      <c r="O120" s="1">
        <v>0</v>
      </c>
      <c r="P120" s="2">
        <v>1.8070000000000002</v>
      </c>
      <c r="R120" s="1">
        <v>5.7329999999999997</v>
      </c>
      <c r="S120" s="1">
        <v>1544</v>
      </c>
      <c r="T120" s="1">
        <v>108.4</v>
      </c>
      <c r="U120" s="1">
        <v>2251</v>
      </c>
      <c r="V120" s="1">
        <v>7.15</v>
      </c>
      <c r="X120" s="1">
        <v>0.41599999999999998</v>
      </c>
      <c r="Y120" s="1">
        <v>3.992</v>
      </c>
      <c r="Z120" s="1">
        <v>9.06</v>
      </c>
      <c r="AA120" s="1">
        <v>4.5999999999999999E-2</v>
      </c>
      <c r="AB120" s="1">
        <v>0.16600000000000001</v>
      </c>
      <c r="AC120" s="1">
        <v>0.53800000000000003</v>
      </c>
      <c r="AD120" s="2">
        <v>7.008</v>
      </c>
      <c r="AE120" s="1">
        <v>2257</v>
      </c>
      <c r="AF120" s="1">
        <v>-5.6269999999999998</v>
      </c>
      <c r="AG120" s="1">
        <v>330</v>
      </c>
      <c r="AH120" s="1">
        <v>37.94</v>
      </c>
      <c r="AI120" s="1">
        <v>1506</v>
      </c>
      <c r="AJ120" s="1">
        <v>-6.5339999999999998</v>
      </c>
      <c r="AL120" s="1">
        <v>0.13500000000000001</v>
      </c>
      <c r="AM120" s="1">
        <v>-0.82699999999999996</v>
      </c>
      <c r="AN120" s="1">
        <v>-1.399</v>
      </c>
      <c r="AO120" s="1">
        <v>-0.23799999999999999</v>
      </c>
      <c r="AP120" s="1">
        <v>-0.15</v>
      </c>
      <c r="AQ120" s="1">
        <v>0.2</v>
      </c>
      <c r="AR120" s="1">
        <v>5.2999999999999999E-2</v>
      </c>
      <c r="AS120" s="1">
        <v>0.152</v>
      </c>
      <c r="AT120" s="1">
        <v>0.158</v>
      </c>
      <c r="AU120" s="1">
        <v>8.1000000000000003E-2</v>
      </c>
      <c r="AV120" s="1">
        <v>0.13500000000000001</v>
      </c>
      <c r="AW120" s="1">
        <v>0.27800000000000002</v>
      </c>
      <c r="AX120" s="1">
        <v>0.107</v>
      </c>
      <c r="AY120" s="1">
        <v>3.5000000000000003E-2</v>
      </c>
      <c r="AZ120" s="1">
        <v>-0.69499999999999995</v>
      </c>
      <c r="BA120" s="1">
        <v>2570</v>
      </c>
      <c r="BB120" s="1">
        <v>13.38</v>
      </c>
      <c r="BC120" s="1">
        <v>2786</v>
      </c>
      <c r="BF120" s="1">
        <f t="shared" si="82"/>
        <v>923</v>
      </c>
      <c r="BM120" s="17">
        <v>26.73</v>
      </c>
      <c r="BN120" s="17">
        <f t="shared" si="44"/>
        <v>53.994599999999998</v>
      </c>
      <c r="BO120" s="18">
        <f t="shared" si="75"/>
        <v>15.43</v>
      </c>
      <c r="BP120" s="18">
        <f t="shared" si="76"/>
        <v>29.06</v>
      </c>
      <c r="BR120" s="1">
        <f t="shared" si="77"/>
        <v>96.7</v>
      </c>
      <c r="BS120" s="1">
        <f t="shared" si="78"/>
        <v>60.7</v>
      </c>
      <c r="BT120" s="1">
        <f t="shared" si="79"/>
        <v>27.4</v>
      </c>
      <c r="BU120" s="60">
        <f t="shared" si="80"/>
        <v>0.251</v>
      </c>
      <c r="BV120" s="60">
        <f t="shared" si="41"/>
        <v>0.66500000000000004</v>
      </c>
      <c r="BW120" s="2"/>
      <c r="BX120" s="51">
        <f t="shared" si="45"/>
        <v>0</v>
      </c>
      <c r="BY120" s="46">
        <v>7.9300000000000006</v>
      </c>
      <c r="BZ120" s="1">
        <v>0</v>
      </c>
      <c r="CB120" s="17">
        <f t="shared" si="46"/>
        <v>15.43</v>
      </c>
      <c r="CC120" s="17">
        <f t="shared" si="47"/>
        <v>29.06</v>
      </c>
      <c r="CD120" s="3">
        <f t="shared" si="48"/>
        <v>-0.2</v>
      </c>
      <c r="CE120" s="3">
        <f t="shared" si="72"/>
        <v>-0.5</v>
      </c>
      <c r="CF120" s="1" t="s">
        <v>218</v>
      </c>
      <c r="CG120" s="3">
        <f t="shared" si="49"/>
        <v>0.3</v>
      </c>
      <c r="CH120" s="3">
        <f t="shared" si="50"/>
        <v>-0.1</v>
      </c>
      <c r="CI120" s="3">
        <f t="shared" si="51"/>
        <v>0</v>
      </c>
      <c r="CJ120" s="3">
        <f t="shared" si="52"/>
        <v>0.4</v>
      </c>
      <c r="CK120" s="27">
        <f t="shared" si="53"/>
        <v>60.7</v>
      </c>
      <c r="CL120" s="1">
        <f t="shared" si="54"/>
        <v>5.7</v>
      </c>
      <c r="CM120" s="1">
        <f t="shared" si="73"/>
        <v>7.2</v>
      </c>
      <c r="CN120" s="1" t="s">
        <v>218</v>
      </c>
      <c r="CO120" s="1">
        <f t="shared" si="55"/>
        <v>0.4</v>
      </c>
      <c r="CP120" s="1">
        <f t="shared" si="56"/>
        <v>0</v>
      </c>
      <c r="CQ120" s="1">
        <f t="shared" si="57"/>
        <v>0.2</v>
      </c>
      <c r="CR120" s="1">
        <f t="shared" si="58"/>
        <v>0.5</v>
      </c>
      <c r="CS120" s="2">
        <f t="shared" si="59"/>
        <v>96.7</v>
      </c>
      <c r="CT120" s="1">
        <f t="shared" si="60"/>
        <v>-5.6</v>
      </c>
      <c r="CU120" s="1">
        <f t="shared" si="74"/>
        <v>-6.5</v>
      </c>
      <c r="CV120" s="1" t="s">
        <v>218</v>
      </c>
      <c r="CW120" s="1">
        <f t="shared" si="61"/>
        <v>0.1</v>
      </c>
      <c r="CX120" s="1">
        <f t="shared" si="62"/>
        <v>-0.2</v>
      </c>
      <c r="CY120" s="1">
        <f t="shared" si="63"/>
        <v>-0.2</v>
      </c>
      <c r="CZ120" s="1">
        <f t="shared" si="64"/>
        <v>0.2</v>
      </c>
      <c r="DA120" s="2">
        <f t="shared" si="65"/>
        <v>27.4</v>
      </c>
      <c r="DB120" s="20">
        <f t="shared" si="66"/>
        <v>923</v>
      </c>
      <c r="DC120" s="1">
        <f>ROUND(PPTest!K120,1)</f>
        <v>4.7</v>
      </c>
      <c r="DD120" s="27">
        <f t="shared" si="42"/>
        <v>1.81</v>
      </c>
      <c r="DE120" s="3">
        <f t="shared" si="67"/>
        <v>7.01</v>
      </c>
      <c r="DF120" s="24">
        <f t="shared" si="68"/>
        <v>0.251</v>
      </c>
      <c r="DG120" s="24">
        <f t="shared" si="69"/>
        <v>0.66500000000000004</v>
      </c>
      <c r="DH120" s="17">
        <f t="shared" si="70"/>
        <v>13.38</v>
      </c>
      <c r="DQ120" s="1">
        <v>9.3000000000000007</v>
      </c>
      <c r="DR120" s="1">
        <v>17.8</v>
      </c>
      <c r="DS120" s="1">
        <v>0.8</v>
      </c>
    </row>
    <row r="121" spans="1:123" x14ac:dyDescent="0.2">
      <c r="A121" s="15">
        <f t="shared" si="71"/>
        <v>36640</v>
      </c>
      <c r="B121" s="1">
        <v>115</v>
      </c>
      <c r="C121" s="1">
        <v>17.73</v>
      </c>
      <c r="D121" s="1">
        <v>29.89</v>
      </c>
      <c r="E121" s="1">
        <v>-3.1619999999999999</v>
      </c>
      <c r="F121" s="1">
        <v>95.2</v>
      </c>
      <c r="G121" s="1">
        <v>-3.2930000000000001</v>
      </c>
      <c r="I121" s="1">
        <v>0.154</v>
      </c>
      <c r="J121" s="1">
        <v>-1.444</v>
      </c>
      <c r="K121" s="1">
        <v>-0.248</v>
      </c>
      <c r="L121" s="1">
        <v>-0.11799999999999999</v>
      </c>
      <c r="M121" s="1">
        <v>-6.0000000000000001E-3</v>
      </c>
      <c r="N121" s="1">
        <v>0.35</v>
      </c>
      <c r="O121" s="1">
        <v>0</v>
      </c>
      <c r="P121" s="2">
        <v>2.0676666666666668</v>
      </c>
      <c r="R121" s="1">
        <v>3.1429999999999998</v>
      </c>
      <c r="S121" s="1">
        <v>1637</v>
      </c>
      <c r="T121" s="1">
        <v>108.1</v>
      </c>
      <c r="U121" s="1">
        <v>654</v>
      </c>
      <c r="V121" s="1">
        <v>5.1660000000000004</v>
      </c>
      <c r="X121" s="1">
        <v>0.35699999999999998</v>
      </c>
      <c r="Y121" s="1">
        <v>-6.4000000000000001E-2</v>
      </c>
      <c r="Z121" s="1">
        <v>4.9429999999999996</v>
      </c>
      <c r="AA121" s="1">
        <v>6.8000000000000005E-2</v>
      </c>
      <c r="AB121" s="1">
        <v>0.193</v>
      </c>
      <c r="AC121" s="1">
        <v>0.56100000000000005</v>
      </c>
      <c r="AD121" s="2">
        <v>4.7680000000000007</v>
      </c>
      <c r="AE121" s="1">
        <v>1505</v>
      </c>
      <c r="AF121" s="1">
        <v>-7.44</v>
      </c>
      <c r="AG121" s="1">
        <v>2310</v>
      </c>
      <c r="AH121" s="1">
        <v>46.94</v>
      </c>
      <c r="AI121" s="1">
        <v>1510</v>
      </c>
      <c r="AJ121" s="1">
        <v>-8.99</v>
      </c>
      <c r="AL121" s="1">
        <v>5.0999999999999997E-2</v>
      </c>
      <c r="AM121" s="1">
        <v>-6.2889999999999997</v>
      </c>
      <c r="AN121" s="1">
        <v>-1.9830000000000001</v>
      </c>
      <c r="AO121" s="1">
        <v>-0.20699999999999999</v>
      </c>
      <c r="AP121" s="1">
        <v>-0.10299999999999999</v>
      </c>
      <c r="AQ121" s="1">
        <v>0.245</v>
      </c>
      <c r="AR121" s="1">
        <v>4.3999999999999997E-2</v>
      </c>
      <c r="AS121" s="1">
        <v>0.13900000000000001</v>
      </c>
      <c r="AT121" s="1">
        <v>0.11700000000000001</v>
      </c>
      <c r="AU121" s="1">
        <v>1.9E-2</v>
      </c>
      <c r="AV121" s="1">
        <v>0.161</v>
      </c>
      <c r="AW121" s="1">
        <v>0.38</v>
      </c>
      <c r="AX121" s="1">
        <v>0.11</v>
      </c>
      <c r="AY121" s="1">
        <v>3.1E-2</v>
      </c>
      <c r="AZ121" s="1">
        <v>-2.5350000000000001</v>
      </c>
      <c r="BA121" s="1">
        <v>2604</v>
      </c>
      <c r="BB121" s="1">
        <v>13.39</v>
      </c>
      <c r="BC121" s="1">
        <v>2786</v>
      </c>
      <c r="BF121" s="1">
        <f t="shared" si="82"/>
        <v>889</v>
      </c>
      <c r="BM121" s="17">
        <v>26.95</v>
      </c>
      <c r="BN121" s="17">
        <f t="shared" si="44"/>
        <v>54.439</v>
      </c>
      <c r="BO121" s="18">
        <f t="shared" si="75"/>
        <v>17.38</v>
      </c>
      <c r="BP121" s="18">
        <f t="shared" si="76"/>
        <v>32.880000000000003</v>
      </c>
      <c r="BR121" s="1">
        <f t="shared" si="77"/>
        <v>96.2</v>
      </c>
      <c r="BS121" s="1">
        <f t="shared" si="78"/>
        <v>77.8</v>
      </c>
      <c r="BT121" s="1">
        <f t="shared" si="79"/>
        <v>35.299999999999997</v>
      </c>
      <c r="BU121" s="60">
        <f t="shared" si="80"/>
        <v>0.27</v>
      </c>
      <c r="BV121" s="60">
        <f t="shared" si="41"/>
        <v>0.495</v>
      </c>
      <c r="BW121" s="2"/>
      <c r="BX121" s="51">
        <f t="shared" si="45"/>
        <v>0</v>
      </c>
      <c r="BY121" s="46">
        <v>7.15</v>
      </c>
      <c r="BZ121" s="1">
        <v>0</v>
      </c>
      <c r="CB121" s="17">
        <f t="shared" si="46"/>
        <v>17.38</v>
      </c>
      <c r="CC121" s="17">
        <f t="shared" si="47"/>
        <v>32.880000000000003</v>
      </c>
      <c r="CD121" s="3">
        <f t="shared" si="48"/>
        <v>-3.2</v>
      </c>
      <c r="CE121" s="3">
        <f t="shared" si="72"/>
        <v>-3.3</v>
      </c>
      <c r="CF121" s="1" t="s">
        <v>218</v>
      </c>
      <c r="CG121" s="3">
        <f t="shared" si="49"/>
        <v>0.2</v>
      </c>
      <c r="CH121" s="3">
        <f t="shared" si="50"/>
        <v>-0.1</v>
      </c>
      <c r="CI121" s="3">
        <f t="shared" si="51"/>
        <v>0</v>
      </c>
      <c r="CJ121" s="3">
        <f t="shared" si="52"/>
        <v>0.4</v>
      </c>
      <c r="CK121" s="27">
        <f t="shared" si="53"/>
        <v>77.8</v>
      </c>
      <c r="CL121" s="1">
        <f t="shared" si="54"/>
        <v>3.1</v>
      </c>
      <c r="CM121" s="1">
        <f t="shared" si="73"/>
        <v>5.2</v>
      </c>
      <c r="CN121" s="1" t="s">
        <v>218</v>
      </c>
      <c r="CO121" s="1">
        <f t="shared" si="55"/>
        <v>0.4</v>
      </c>
      <c r="CP121" s="1">
        <f t="shared" si="56"/>
        <v>0.1</v>
      </c>
      <c r="CQ121" s="1">
        <f t="shared" si="57"/>
        <v>0.2</v>
      </c>
      <c r="CR121" s="1">
        <f t="shared" si="58"/>
        <v>0.6</v>
      </c>
      <c r="CS121" s="2">
        <f t="shared" si="59"/>
        <v>96.2</v>
      </c>
      <c r="CT121" s="1">
        <f t="shared" si="60"/>
        <v>-7.4</v>
      </c>
      <c r="CU121" s="1">
        <f t="shared" si="74"/>
        <v>-9</v>
      </c>
      <c r="CV121" s="1" t="s">
        <v>218</v>
      </c>
      <c r="CW121" s="1">
        <f t="shared" si="61"/>
        <v>0.1</v>
      </c>
      <c r="CX121" s="1">
        <f t="shared" si="62"/>
        <v>-0.2</v>
      </c>
      <c r="CY121" s="1">
        <f t="shared" si="63"/>
        <v>-0.1</v>
      </c>
      <c r="CZ121" s="1">
        <f t="shared" si="64"/>
        <v>0.2</v>
      </c>
      <c r="DA121" s="2">
        <f t="shared" si="65"/>
        <v>35.299999999999997</v>
      </c>
      <c r="DB121" s="20">
        <f t="shared" si="66"/>
        <v>889</v>
      </c>
      <c r="DC121" s="1">
        <f>ROUND(PPTest!K121,1)</f>
        <v>0</v>
      </c>
      <c r="DD121" s="27">
        <f t="shared" si="42"/>
        <v>2.0699999999999998</v>
      </c>
      <c r="DE121" s="3">
        <f t="shared" si="67"/>
        <v>4.7699999999999996</v>
      </c>
      <c r="DF121" s="24">
        <f t="shared" si="68"/>
        <v>0.27</v>
      </c>
      <c r="DG121" s="24">
        <f t="shared" si="69"/>
        <v>0.495</v>
      </c>
      <c r="DH121" s="17">
        <f t="shared" si="70"/>
        <v>13.39</v>
      </c>
      <c r="DQ121" s="1">
        <v>7.8</v>
      </c>
      <c r="DR121" s="1">
        <v>16.100000000000001</v>
      </c>
      <c r="DS121" s="1">
        <v>-0.5</v>
      </c>
    </row>
    <row r="122" spans="1:123" x14ac:dyDescent="0.2">
      <c r="A122" s="15">
        <f t="shared" si="71"/>
        <v>36641</v>
      </c>
      <c r="B122" s="1">
        <v>116</v>
      </c>
      <c r="C122" s="1">
        <v>12.71</v>
      </c>
      <c r="D122" s="1">
        <v>22.27</v>
      </c>
      <c r="E122" s="1">
        <v>-1.198</v>
      </c>
      <c r="F122" s="1">
        <v>88.9</v>
      </c>
      <c r="G122" s="1">
        <v>-1.69</v>
      </c>
      <c r="I122" s="1">
        <v>8.2000000000000003E-2</v>
      </c>
      <c r="J122" s="1">
        <v>-2.4750000000000001</v>
      </c>
      <c r="K122" s="1">
        <v>-1.633</v>
      </c>
      <c r="L122" s="1">
        <v>-0.113</v>
      </c>
      <c r="M122" s="1">
        <v>0</v>
      </c>
      <c r="N122" s="1">
        <v>0.33600000000000002</v>
      </c>
      <c r="O122" s="1">
        <v>0</v>
      </c>
      <c r="P122" s="2">
        <v>1.5716666666666668</v>
      </c>
      <c r="R122" s="1">
        <v>3.0539999999999998</v>
      </c>
      <c r="S122" s="1">
        <v>1638</v>
      </c>
      <c r="T122" s="1">
        <v>105.8</v>
      </c>
      <c r="U122" s="1">
        <v>2031</v>
      </c>
      <c r="V122" s="1">
        <v>4.085</v>
      </c>
      <c r="X122" s="1">
        <v>0.20899999999999999</v>
      </c>
      <c r="Y122" s="1">
        <v>-0.09</v>
      </c>
      <c r="Z122" s="1">
        <v>2.2650000000000001</v>
      </c>
      <c r="AA122" s="1">
        <v>1.2999999999999999E-2</v>
      </c>
      <c r="AB122" s="1">
        <v>0.123</v>
      </c>
      <c r="AC122" s="1">
        <v>0.47</v>
      </c>
      <c r="AD122" s="2">
        <v>5.8080000000000007</v>
      </c>
      <c r="AE122" s="1">
        <v>814</v>
      </c>
      <c r="AF122" s="1">
        <v>-7.81</v>
      </c>
      <c r="AG122" s="1">
        <v>150</v>
      </c>
      <c r="AH122" s="1">
        <v>62.27</v>
      </c>
      <c r="AI122" s="1">
        <v>654</v>
      </c>
      <c r="AJ122" s="1">
        <v>-9.4700000000000006</v>
      </c>
      <c r="AL122" s="1">
        <v>-1.0999999999999999E-2</v>
      </c>
      <c r="AM122" s="1">
        <v>-9.2100000000000009</v>
      </c>
      <c r="AN122" s="1">
        <v>-8.27</v>
      </c>
      <c r="AO122" s="1">
        <v>-0.20699999999999999</v>
      </c>
      <c r="AP122" s="1">
        <v>-0.124</v>
      </c>
      <c r="AQ122" s="1">
        <v>0.22</v>
      </c>
      <c r="AR122" s="1">
        <v>7.1999999999999995E-2</v>
      </c>
      <c r="AS122" s="1">
        <v>0.23300000000000001</v>
      </c>
      <c r="AT122" s="1">
        <v>0.16300000000000001</v>
      </c>
      <c r="AU122" s="1">
        <v>7.0000000000000007E-2</v>
      </c>
      <c r="AV122" s="1">
        <v>0.11799999999999999</v>
      </c>
      <c r="AW122" s="1">
        <v>0.217</v>
      </c>
      <c r="AX122" s="1">
        <v>8.2000000000000003E-2</v>
      </c>
      <c r="AY122" s="1">
        <v>4.3999999999999997E-2</v>
      </c>
      <c r="AZ122" s="1">
        <v>-2.25</v>
      </c>
      <c r="BA122" s="1">
        <v>2612</v>
      </c>
      <c r="BB122" s="1">
        <v>13.39</v>
      </c>
      <c r="BC122" s="1">
        <v>2786</v>
      </c>
      <c r="BF122" s="1">
        <f t="shared" si="82"/>
        <v>881</v>
      </c>
      <c r="BM122" s="17">
        <v>27.17</v>
      </c>
      <c r="BN122" s="17">
        <f t="shared" si="44"/>
        <v>54.883400000000002</v>
      </c>
      <c r="BO122" s="18">
        <f t="shared" si="75"/>
        <v>12.46</v>
      </c>
      <c r="BP122" s="18">
        <f t="shared" si="76"/>
        <v>24.5</v>
      </c>
      <c r="BR122" s="1">
        <f t="shared" si="77"/>
        <v>92.5</v>
      </c>
      <c r="BS122" s="1">
        <f t="shared" si="78"/>
        <v>72.2</v>
      </c>
      <c r="BT122" s="1">
        <f t="shared" si="79"/>
        <v>48.8</v>
      </c>
      <c r="BU122" s="60">
        <f t="shared" si="80"/>
        <v>0.371</v>
      </c>
      <c r="BV122" s="60">
        <f t="shared" si="41"/>
        <v>0.38900000000000001</v>
      </c>
      <c r="BW122" s="2"/>
      <c r="BX122" s="51">
        <f t="shared" si="45"/>
        <v>0</v>
      </c>
      <c r="BY122" s="46">
        <v>0</v>
      </c>
      <c r="BZ122" s="1">
        <v>0</v>
      </c>
      <c r="CB122" s="17">
        <f t="shared" si="46"/>
        <v>12.46</v>
      </c>
      <c r="CC122" s="17">
        <f t="shared" si="47"/>
        <v>24.5</v>
      </c>
      <c r="CD122" s="3">
        <f t="shared" si="48"/>
        <v>-1.2</v>
      </c>
      <c r="CE122" s="3">
        <f t="shared" si="72"/>
        <v>-1.7</v>
      </c>
      <c r="CF122" s="1" t="s">
        <v>218</v>
      </c>
      <c r="CG122" s="3">
        <f t="shared" si="49"/>
        <v>0.1</v>
      </c>
      <c r="CH122" s="3">
        <f t="shared" si="50"/>
        <v>-0.1</v>
      </c>
      <c r="CI122" s="3">
        <f t="shared" si="51"/>
        <v>0</v>
      </c>
      <c r="CJ122" s="3">
        <f t="shared" si="52"/>
        <v>0.3</v>
      </c>
      <c r="CK122" s="27">
        <f t="shared" si="53"/>
        <v>72.2</v>
      </c>
      <c r="CL122" s="1">
        <f t="shared" si="54"/>
        <v>3.1</v>
      </c>
      <c r="CM122" s="1">
        <f t="shared" si="73"/>
        <v>4.0999999999999996</v>
      </c>
      <c r="CN122" s="1" t="s">
        <v>218</v>
      </c>
      <c r="CO122" s="1">
        <f t="shared" si="55"/>
        <v>0.2</v>
      </c>
      <c r="CP122" s="1">
        <f t="shared" si="56"/>
        <v>0</v>
      </c>
      <c r="CQ122" s="1">
        <f t="shared" si="57"/>
        <v>0.1</v>
      </c>
      <c r="CR122" s="1">
        <f t="shared" si="58"/>
        <v>0.5</v>
      </c>
      <c r="CS122" s="2">
        <f t="shared" si="59"/>
        <v>92.5</v>
      </c>
      <c r="CT122" s="1">
        <f t="shared" si="60"/>
        <v>-7.8</v>
      </c>
      <c r="CU122" s="1">
        <f t="shared" si="74"/>
        <v>-9.5</v>
      </c>
      <c r="CV122" s="1" t="s">
        <v>218</v>
      </c>
      <c r="CW122" s="1">
        <f t="shared" si="61"/>
        <v>0</v>
      </c>
      <c r="CX122" s="1">
        <f t="shared" si="62"/>
        <v>-0.2</v>
      </c>
      <c r="CY122" s="1">
        <f t="shared" si="63"/>
        <v>-0.1</v>
      </c>
      <c r="CZ122" s="1">
        <f t="shared" si="64"/>
        <v>0.2</v>
      </c>
      <c r="DA122" s="2">
        <f t="shared" si="65"/>
        <v>48.8</v>
      </c>
      <c r="DB122" s="20">
        <f t="shared" si="66"/>
        <v>881</v>
      </c>
      <c r="DC122" s="1">
        <f>ROUND(PPTest!K122,1)</f>
        <v>0</v>
      </c>
      <c r="DD122" s="27">
        <f t="shared" si="42"/>
        <v>1.57</v>
      </c>
      <c r="DE122" s="3">
        <f t="shared" si="67"/>
        <v>5.81</v>
      </c>
      <c r="DF122" s="24">
        <f t="shared" si="68"/>
        <v>0.371</v>
      </c>
      <c r="DG122" s="24">
        <f t="shared" si="69"/>
        <v>0.38900000000000001</v>
      </c>
      <c r="DH122" s="17">
        <f t="shared" si="70"/>
        <v>13.39</v>
      </c>
      <c r="DQ122" s="1">
        <v>4.9000000000000004</v>
      </c>
      <c r="DR122" s="1">
        <v>12.5</v>
      </c>
      <c r="DS122" s="1">
        <v>-2.7</v>
      </c>
    </row>
    <row r="123" spans="1:123" x14ac:dyDescent="0.2">
      <c r="A123" s="15">
        <f t="shared" si="71"/>
        <v>36642</v>
      </c>
      <c r="B123" s="1">
        <v>117</v>
      </c>
      <c r="C123" s="1">
        <v>27.5</v>
      </c>
      <c r="D123" s="1">
        <v>46.6</v>
      </c>
      <c r="E123" s="1">
        <v>2.2370000000000001</v>
      </c>
      <c r="F123" s="1">
        <v>67.930000000000007</v>
      </c>
      <c r="G123" s="1">
        <v>1.96</v>
      </c>
      <c r="I123" s="1">
        <v>0.11700000000000001</v>
      </c>
      <c r="J123" s="1">
        <v>2.383</v>
      </c>
      <c r="K123" s="1">
        <v>4.4379999999999997</v>
      </c>
      <c r="L123" s="1">
        <v>-5.5E-2</v>
      </c>
      <c r="M123" s="1">
        <v>7.8E-2</v>
      </c>
      <c r="N123" s="1">
        <v>0.39</v>
      </c>
      <c r="O123" s="1">
        <v>0</v>
      </c>
      <c r="P123" s="2">
        <v>1.8029999999999999</v>
      </c>
      <c r="R123" s="1">
        <v>7.57</v>
      </c>
      <c r="S123" s="1">
        <v>1523</v>
      </c>
      <c r="T123" s="1">
        <v>105.6</v>
      </c>
      <c r="U123" s="1">
        <v>435</v>
      </c>
      <c r="V123" s="1">
        <v>8.56</v>
      </c>
      <c r="X123" s="1">
        <v>0.36499999999999999</v>
      </c>
      <c r="Y123" s="1">
        <v>10.3</v>
      </c>
      <c r="Z123" s="1">
        <v>13.76</v>
      </c>
      <c r="AA123" s="1">
        <v>0.14699999999999999</v>
      </c>
      <c r="AB123" s="1">
        <v>0.29699999999999999</v>
      </c>
      <c r="AC123" s="1">
        <v>0.62</v>
      </c>
      <c r="AD123" s="2">
        <v>6.2346666666666666</v>
      </c>
      <c r="AE123" s="1">
        <v>1249</v>
      </c>
      <c r="AF123" s="1">
        <v>-6.1529999999999996</v>
      </c>
      <c r="AG123" s="1">
        <v>520</v>
      </c>
      <c r="AH123" s="1">
        <v>42.51</v>
      </c>
      <c r="AI123" s="1">
        <v>1549</v>
      </c>
      <c r="AJ123" s="1">
        <v>-7.25</v>
      </c>
      <c r="AL123" s="1">
        <v>-0.10100000000000001</v>
      </c>
      <c r="AM123" s="1">
        <v>-2.835</v>
      </c>
      <c r="AN123" s="1">
        <v>-0.69699999999999995</v>
      </c>
      <c r="AO123" s="1">
        <v>-0.251</v>
      </c>
      <c r="AP123" s="1">
        <v>-0.158</v>
      </c>
      <c r="AQ123" s="1">
        <v>0.14099999999999999</v>
      </c>
      <c r="AR123" s="1">
        <v>6.7000000000000004E-2</v>
      </c>
      <c r="AS123" s="1">
        <v>0.21099999999999999</v>
      </c>
      <c r="AT123" s="1">
        <v>0.29799999999999999</v>
      </c>
      <c r="AU123" s="1">
        <v>0.13</v>
      </c>
      <c r="AV123" s="1">
        <v>0.1</v>
      </c>
      <c r="AW123" s="1">
        <v>0.105</v>
      </c>
      <c r="AX123" s="1">
        <v>3.5000000000000003E-2</v>
      </c>
      <c r="AY123" s="1">
        <v>5.3999999999999999E-2</v>
      </c>
      <c r="AZ123" s="1">
        <v>1.2290000000000001</v>
      </c>
      <c r="BA123" s="1">
        <v>2650</v>
      </c>
      <c r="BB123" s="1">
        <v>13.39</v>
      </c>
      <c r="BC123" s="1">
        <v>2786</v>
      </c>
      <c r="BF123" s="1">
        <f t="shared" si="82"/>
        <v>843</v>
      </c>
      <c r="BM123" s="17">
        <v>27.38</v>
      </c>
      <c r="BN123" s="17">
        <f t="shared" si="44"/>
        <v>55.307600000000001</v>
      </c>
      <c r="BO123" s="18">
        <f t="shared" si="75"/>
        <v>26.95</v>
      </c>
      <c r="BP123" s="18">
        <f t="shared" si="76"/>
        <v>51.26</v>
      </c>
      <c r="BR123" s="1">
        <f t="shared" si="77"/>
        <v>92.2</v>
      </c>
      <c r="BS123" s="1">
        <f t="shared" si="78"/>
        <v>53.8</v>
      </c>
      <c r="BT123" s="1">
        <f t="shared" si="79"/>
        <v>31.4</v>
      </c>
      <c r="BU123" s="60">
        <f t="shared" si="80"/>
        <v>0.32700000000000001</v>
      </c>
      <c r="BV123" s="60">
        <f t="shared" si="41"/>
        <v>0.71399999999999997</v>
      </c>
      <c r="BW123" s="2"/>
      <c r="BX123" s="51">
        <f t="shared" si="45"/>
        <v>0</v>
      </c>
      <c r="BY123" s="46">
        <v>0</v>
      </c>
      <c r="BZ123" s="1">
        <v>0</v>
      </c>
      <c r="CB123" s="17">
        <f t="shared" si="46"/>
        <v>26.95</v>
      </c>
      <c r="CC123" s="17">
        <f t="shared" si="47"/>
        <v>51.26</v>
      </c>
      <c r="CD123" s="3">
        <f t="shared" si="48"/>
        <v>2.2000000000000002</v>
      </c>
      <c r="CE123" s="3">
        <f t="shared" si="72"/>
        <v>2</v>
      </c>
      <c r="CF123" s="1" t="s">
        <v>218</v>
      </c>
      <c r="CG123" s="3">
        <f t="shared" si="49"/>
        <v>0.1</v>
      </c>
      <c r="CH123" s="3">
        <f t="shared" si="50"/>
        <v>-0.1</v>
      </c>
      <c r="CI123" s="3">
        <f t="shared" si="51"/>
        <v>0.1</v>
      </c>
      <c r="CJ123" s="3">
        <f t="shared" si="52"/>
        <v>0.4</v>
      </c>
      <c r="CK123" s="27">
        <f t="shared" si="53"/>
        <v>53.8</v>
      </c>
      <c r="CL123" s="1">
        <f t="shared" si="54"/>
        <v>7.6</v>
      </c>
      <c r="CM123" s="1">
        <f t="shared" si="73"/>
        <v>8.6</v>
      </c>
      <c r="CN123" s="1" t="s">
        <v>218</v>
      </c>
      <c r="CO123" s="1">
        <f t="shared" si="55"/>
        <v>0.4</v>
      </c>
      <c r="CP123" s="1">
        <f t="shared" si="56"/>
        <v>0.1</v>
      </c>
      <c r="CQ123" s="1">
        <f t="shared" si="57"/>
        <v>0.3</v>
      </c>
      <c r="CR123" s="1">
        <f t="shared" si="58"/>
        <v>0.6</v>
      </c>
      <c r="CS123" s="2">
        <f t="shared" si="59"/>
        <v>92.2</v>
      </c>
      <c r="CT123" s="1">
        <f t="shared" si="60"/>
        <v>-6.2</v>
      </c>
      <c r="CU123" s="1">
        <f t="shared" si="74"/>
        <v>-7.3</v>
      </c>
      <c r="CV123" s="1" t="s">
        <v>218</v>
      </c>
      <c r="CW123" s="1">
        <f t="shared" si="61"/>
        <v>-0.1</v>
      </c>
      <c r="CX123" s="1">
        <f t="shared" si="62"/>
        <v>-0.3</v>
      </c>
      <c r="CY123" s="1">
        <f t="shared" si="63"/>
        <v>-0.2</v>
      </c>
      <c r="CZ123" s="1">
        <f t="shared" si="64"/>
        <v>0.1</v>
      </c>
      <c r="DA123" s="2">
        <f t="shared" si="65"/>
        <v>31.4</v>
      </c>
      <c r="DB123" s="20">
        <f t="shared" si="66"/>
        <v>843</v>
      </c>
      <c r="DC123" s="1">
        <f>ROUND(PPTest!K123,1)</f>
        <v>0</v>
      </c>
      <c r="DD123" s="27">
        <f t="shared" si="42"/>
        <v>1.8</v>
      </c>
      <c r="DE123" s="3">
        <f t="shared" si="67"/>
        <v>6.23</v>
      </c>
      <c r="DF123" s="24">
        <f t="shared" si="68"/>
        <v>0.32700000000000001</v>
      </c>
      <c r="DG123" s="24">
        <f t="shared" si="69"/>
        <v>0.71399999999999997</v>
      </c>
      <c r="DH123" s="17">
        <f t="shared" si="70"/>
        <v>13.39</v>
      </c>
      <c r="DQ123" s="1">
        <v>11.4</v>
      </c>
      <c r="DR123" s="1">
        <v>19.399999999999999</v>
      </c>
      <c r="DS123" s="1">
        <v>3.4</v>
      </c>
    </row>
    <row r="124" spans="1:123" x14ac:dyDescent="0.2">
      <c r="A124" s="15">
        <f t="shared" si="71"/>
        <v>36643</v>
      </c>
      <c r="B124" s="1">
        <v>118</v>
      </c>
      <c r="C124" s="1">
        <v>18.23</v>
      </c>
      <c r="D124" s="1">
        <v>31.3</v>
      </c>
      <c r="E124" s="1">
        <v>9.09</v>
      </c>
      <c r="F124" s="1">
        <v>53.84</v>
      </c>
      <c r="G124" s="1">
        <v>8.4499999999999993</v>
      </c>
      <c r="I124" s="1">
        <v>0.28499999999999998</v>
      </c>
      <c r="J124" s="1">
        <v>8.01</v>
      </c>
      <c r="K124" s="1">
        <v>9.44</v>
      </c>
      <c r="L124" s="1">
        <v>3.5999999999999997E-2</v>
      </c>
      <c r="M124" s="1">
        <v>0.185</v>
      </c>
      <c r="N124" s="1">
        <v>0.48799999999999999</v>
      </c>
      <c r="O124" s="1">
        <v>0</v>
      </c>
      <c r="P124" s="2">
        <v>2.3446666666666665</v>
      </c>
      <c r="R124" s="1">
        <v>15.87</v>
      </c>
      <c r="S124" s="1">
        <v>1512</v>
      </c>
      <c r="T124" s="1">
        <v>109.5</v>
      </c>
      <c r="U124" s="1">
        <v>2357</v>
      </c>
      <c r="V124" s="1">
        <v>17.46</v>
      </c>
      <c r="X124" s="1">
        <v>0.54400000000000004</v>
      </c>
      <c r="Y124" s="1">
        <v>15.47</v>
      </c>
      <c r="Z124" s="1">
        <v>18.96</v>
      </c>
      <c r="AA124" s="1">
        <v>0.19400000000000001</v>
      </c>
      <c r="AB124" s="1">
        <v>0.35599999999999998</v>
      </c>
      <c r="AC124" s="1">
        <v>0.66500000000000004</v>
      </c>
      <c r="AD124" s="2">
        <v>7.1946666666666674</v>
      </c>
      <c r="AE124" s="1">
        <v>2334</v>
      </c>
      <c r="AF124" s="1">
        <v>2.1579999999999999</v>
      </c>
      <c r="AG124" s="1">
        <v>0</v>
      </c>
      <c r="AH124" s="1">
        <v>34.57</v>
      </c>
      <c r="AI124" s="1">
        <v>1512</v>
      </c>
      <c r="AJ124" s="1">
        <v>0.41099999999999998</v>
      </c>
      <c r="AL124" s="1">
        <v>5.7000000000000002E-2</v>
      </c>
      <c r="AM124" s="1">
        <v>1.746</v>
      </c>
      <c r="AN124" s="1">
        <v>2.0550000000000002</v>
      </c>
      <c r="AO124" s="1">
        <v>-0.13400000000000001</v>
      </c>
      <c r="AP124" s="1">
        <v>-2E-3</v>
      </c>
      <c r="AQ124" s="1">
        <v>0.28100000000000003</v>
      </c>
      <c r="AR124" s="1">
        <v>0.13200000000000001</v>
      </c>
      <c r="AS124" s="1">
        <v>0.30199999999999999</v>
      </c>
      <c r="AT124" s="1">
        <v>0.24</v>
      </c>
      <c r="AU124" s="1">
        <v>0.114</v>
      </c>
      <c r="AV124" s="1">
        <v>6.4000000000000001E-2</v>
      </c>
      <c r="AW124" s="1">
        <v>6.9000000000000006E-2</v>
      </c>
      <c r="AX124" s="1">
        <v>0.04</v>
      </c>
      <c r="AY124" s="1">
        <v>3.9E-2</v>
      </c>
      <c r="AZ124" s="1">
        <v>6.2960000000000003</v>
      </c>
      <c r="BA124" s="1">
        <v>2694</v>
      </c>
      <c r="BB124" s="1">
        <v>13.36</v>
      </c>
      <c r="BC124" s="1">
        <v>2786</v>
      </c>
      <c r="BF124" s="1">
        <f t="shared" si="82"/>
        <v>799</v>
      </c>
      <c r="BM124" s="17">
        <v>27.6</v>
      </c>
      <c r="BN124" s="17">
        <f t="shared" si="44"/>
        <v>55.752000000000002</v>
      </c>
      <c r="BO124" s="18">
        <f t="shared" si="75"/>
        <v>17.87</v>
      </c>
      <c r="BP124" s="18">
        <f t="shared" si="76"/>
        <v>34.43</v>
      </c>
      <c r="BR124" s="1">
        <f t="shared" si="77"/>
        <v>98.4</v>
      </c>
      <c r="BS124" s="1">
        <f t="shared" si="78"/>
        <v>41.4</v>
      </c>
      <c r="BT124" s="1">
        <f t="shared" si="79"/>
        <v>24.4</v>
      </c>
      <c r="BU124" s="60">
        <f t="shared" si="80"/>
        <v>0.44</v>
      </c>
      <c r="BV124" s="60">
        <f t="shared" si="41"/>
        <v>1.363</v>
      </c>
      <c r="BW124" s="2"/>
      <c r="BX124" s="51">
        <f t="shared" si="45"/>
        <v>0</v>
      </c>
      <c r="BY124" s="46">
        <v>6.6000000000000005</v>
      </c>
      <c r="BZ124" s="1">
        <v>0</v>
      </c>
      <c r="CB124" s="17">
        <f t="shared" si="46"/>
        <v>17.87</v>
      </c>
      <c r="CC124" s="17">
        <f t="shared" si="47"/>
        <v>34.43</v>
      </c>
      <c r="CD124" s="3">
        <f t="shared" si="48"/>
        <v>9.1</v>
      </c>
      <c r="CE124" s="3">
        <f t="shared" si="72"/>
        <v>8.5</v>
      </c>
      <c r="CF124" s="1" t="s">
        <v>218</v>
      </c>
      <c r="CG124" s="3">
        <f t="shared" si="49"/>
        <v>0.3</v>
      </c>
      <c r="CH124" s="3">
        <f t="shared" si="50"/>
        <v>0</v>
      </c>
      <c r="CI124" s="3">
        <f t="shared" si="51"/>
        <v>0.2</v>
      </c>
      <c r="CJ124" s="3">
        <f t="shared" si="52"/>
        <v>0.5</v>
      </c>
      <c r="CK124" s="27">
        <f t="shared" si="53"/>
        <v>41.4</v>
      </c>
      <c r="CL124" s="1">
        <f t="shared" si="54"/>
        <v>15.9</v>
      </c>
      <c r="CM124" s="1">
        <f t="shared" si="73"/>
        <v>17.5</v>
      </c>
      <c r="CN124" s="1" t="s">
        <v>218</v>
      </c>
      <c r="CO124" s="1">
        <f t="shared" si="55"/>
        <v>0.5</v>
      </c>
      <c r="CP124" s="1">
        <f t="shared" si="56"/>
        <v>0.2</v>
      </c>
      <c r="CQ124" s="1">
        <f t="shared" si="57"/>
        <v>0.4</v>
      </c>
      <c r="CR124" s="1">
        <f t="shared" si="58"/>
        <v>0.7</v>
      </c>
      <c r="CS124" s="2">
        <f t="shared" si="59"/>
        <v>98.4</v>
      </c>
      <c r="CT124" s="1">
        <f t="shared" si="60"/>
        <v>2.2000000000000002</v>
      </c>
      <c r="CU124" s="1">
        <f t="shared" si="74"/>
        <v>0.4</v>
      </c>
      <c r="CV124" s="1" t="s">
        <v>218</v>
      </c>
      <c r="CW124" s="1">
        <f t="shared" si="61"/>
        <v>0.1</v>
      </c>
      <c r="CX124" s="1">
        <f t="shared" si="62"/>
        <v>-0.1</v>
      </c>
      <c r="CY124" s="1">
        <f t="shared" si="63"/>
        <v>0</v>
      </c>
      <c r="CZ124" s="1">
        <f t="shared" si="64"/>
        <v>0.3</v>
      </c>
      <c r="DA124" s="2">
        <f t="shared" si="65"/>
        <v>24.4</v>
      </c>
      <c r="DB124" s="20">
        <f t="shared" si="66"/>
        <v>799</v>
      </c>
      <c r="DC124" s="1">
        <f>ROUND(PPTest!K124,1)</f>
        <v>0</v>
      </c>
      <c r="DD124" s="27">
        <f t="shared" si="42"/>
        <v>2.34</v>
      </c>
      <c r="DE124" s="3">
        <f t="shared" si="67"/>
        <v>7.19</v>
      </c>
      <c r="DF124" s="24">
        <f t="shared" si="68"/>
        <v>0.44</v>
      </c>
      <c r="DG124" s="24">
        <f t="shared" si="69"/>
        <v>1.363</v>
      </c>
      <c r="DH124" s="17">
        <f t="shared" si="70"/>
        <v>13.36</v>
      </c>
      <c r="DQ124" s="1">
        <v>14.8</v>
      </c>
      <c r="DR124" s="1">
        <v>24.8</v>
      </c>
      <c r="DS124" s="1">
        <v>4.7</v>
      </c>
    </row>
    <row r="125" spans="1:123" x14ac:dyDescent="0.2">
      <c r="A125" s="15">
        <f t="shared" si="71"/>
        <v>36644</v>
      </c>
      <c r="B125" s="1">
        <v>119</v>
      </c>
      <c r="C125" s="1">
        <v>17.91</v>
      </c>
      <c r="D125" s="1">
        <v>30.48</v>
      </c>
      <c r="E125" s="1">
        <v>0.31900000000000001</v>
      </c>
      <c r="F125" s="1">
        <v>97.9</v>
      </c>
      <c r="G125" s="1">
        <v>-0.35899999999999999</v>
      </c>
      <c r="I125" s="1">
        <v>0.161</v>
      </c>
      <c r="J125" s="1">
        <v>-3.2000000000000001E-2</v>
      </c>
      <c r="K125" s="1">
        <v>1.0509999999999999</v>
      </c>
      <c r="L125" s="1">
        <v>-9.8000000000000004E-2</v>
      </c>
      <c r="M125" s="1">
        <v>2.1000000000000001E-2</v>
      </c>
      <c r="N125" s="1">
        <v>0.36699999999999999</v>
      </c>
      <c r="O125" s="1">
        <v>0</v>
      </c>
      <c r="P125" s="2">
        <v>2.1883333333333335</v>
      </c>
      <c r="R125" s="1">
        <v>4.55</v>
      </c>
      <c r="S125" s="1">
        <v>1710</v>
      </c>
      <c r="T125" s="1">
        <v>110.2</v>
      </c>
      <c r="U125" s="1">
        <v>242</v>
      </c>
      <c r="V125" s="1">
        <v>5.92</v>
      </c>
      <c r="X125" s="1">
        <v>0.254</v>
      </c>
      <c r="Y125" s="1">
        <v>2.782</v>
      </c>
      <c r="Z125" s="1">
        <v>5.9160000000000004</v>
      </c>
      <c r="AA125" s="1">
        <v>0</v>
      </c>
      <c r="AB125" s="1">
        <v>0.127</v>
      </c>
      <c r="AC125" s="1">
        <v>0.47699999999999998</v>
      </c>
      <c r="AD125" s="2">
        <v>7.2213333333333338</v>
      </c>
      <c r="AE125" s="1">
        <v>253</v>
      </c>
      <c r="AF125" s="1">
        <v>-3.407</v>
      </c>
      <c r="AG125" s="1">
        <v>0</v>
      </c>
      <c r="AH125" s="1">
        <v>63.56</v>
      </c>
      <c r="AI125" s="1">
        <v>1632</v>
      </c>
      <c r="AJ125" s="1">
        <v>-4.7370000000000001</v>
      </c>
      <c r="AL125" s="1">
        <v>7.9000000000000001E-2</v>
      </c>
      <c r="AM125" s="1">
        <v>-0.83799999999999997</v>
      </c>
      <c r="AN125" s="1">
        <v>-0.78200000000000003</v>
      </c>
      <c r="AO125" s="1">
        <v>-0.18099999999999999</v>
      </c>
      <c r="AP125" s="1">
        <v>-0.11799999999999999</v>
      </c>
      <c r="AQ125" s="1">
        <v>0.27600000000000002</v>
      </c>
      <c r="AR125" s="1">
        <v>1.7999999999999999E-2</v>
      </c>
      <c r="AS125" s="1">
        <v>2.3E-2</v>
      </c>
      <c r="AT125" s="1">
        <v>1.7999999999999999E-2</v>
      </c>
      <c r="AU125" s="1">
        <v>4.5999999999999999E-2</v>
      </c>
      <c r="AV125" s="1">
        <v>0.22600000000000001</v>
      </c>
      <c r="AW125" s="1">
        <v>0.53800000000000003</v>
      </c>
      <c r="AX125" s="1">
        <v>9.9000000000000005E-2</v>
      </c>
      <c r="AY125" s="1">
        <v>3.3000000000000002E-2</v>
      </c>
      <c r="AZ125" s="1">
        <v>0.20899999999999999</v>
      </c>
      <c r="BA125" s="1">
        <v>2713</v>
      </c>
      <c r="BB125" s="1">
        <v>13.38</v>
      </c>
      <c r="BC125" s="1">
        <v>2786</v>
      </c>
      <c r="BF125" s="1">
        <f t="shared" si="82"/>
        <v>780</v>
      </c>
      <c r="BM125" s="17">
        <v>27.81</v>
      </c>
      <c r="BN125" s="17">
        <f t="shared" si="44"/>
        <v>56.176199999999994</v>
      </c>
      <c r="BO125" s="18">
        <f t="shared" si="75"/>
        <v>17.55</v>
      </c>
      <c r="BP125" s="18">
        <f t="shared" si="76"/>
        <v>33.53</v>
      </c>
      <c r="BR125" s="1">
        <f t="shared" si="77"/>
        <v>100</v>
      </c>
      <c r="BS125" s="1">
        <f t="shared" si="78"/>
        <v>80.2</v>
      </c>
      <c r="BT125" s="1">
        <f t="shared" si="79"/>
        <v>49.9</v>
      </c>
      <c r="BU125" s="60">
        <f t="shared" si="80"/>
        <v>0.42199999999999999</v>
      </c>
      <c r="BV125" s="60">
        <f t="shared" si="41"/>
        <v>0.42399999999999999</v>
      </c>
      <c r="BW125" s="2"/>
      <c r="BX125" s="51">
        <f t="shared" si="45"/>
        <v>14.840000000000002</v>
      </c>
      <c r="BY125" s="46">
        <v>6.2100000000000009</v>
      </c>
      <c r="BZ125" s="1">
        <v>10.600000000000001</v>
      </c>
      <c r="CB125" s="17">
        <f t="shared" si="46"/>
        <v>17.55</v>
      </c>
      <c r="CC125" s="17">
        <f t="shared" si="47"/>
        <v>33.53</v>
      </c>
      <c r="CD125" s="3">
        <f t="shared" si="48"/>
        <v>0.3</v>
      </c>
      <c r="CE125" s="3">
        <f t="shared" si="72"/>
        <v>-0.4</v>
      </c>
      <c r="CF125" s="1" t="s">
        <v>218</v>
      </c>
      <c r="CG125" s="3">
        <f t="shared" si="49"/>
        <v>0.2</v>
      </c>
      <c r="CH125" s="3">
        <f t="shared" si="50"/>
        <v>-0.1</v>
      </c>
      <c r="CI125" s="3">
        <f t="shared" si="51"/>
        <v>0</v>
      </c>
      <c r="CJ125" s="3">
        <f t="shared" si="52"/>
        <v>0.4</v>
      </c>
      <c r="CK125" s="27">
        <f t="shared" si="53"/>
        <v>80.2</v>
      </c>
      <c r="CL125" s="1">
        <f t="shared" si="54"/>
        <v>4.5999999999999996</v>
      </c>
      <c r="CM125" s="1">
        <f t="shared" si="73"/>
        <v>5.9</v>
      </c>
      <c r="CN125" s="1" t="s">
        <v>218</v>
      </c>
      <c r="CO125" s="1">
        <f t="shared" si="55"/>
        <v>0.3</v>
      </c>
      <c r="CP125" s="1">
        <f t="shared" si="56"/>
        <v>0</v>
      </c>
      <c r="CQ125" s="1">
        <f t="shared" si="57"/>
        <v>0.1</v>
      </c>
      <c r="CR125" s="1">
        <f t="shared" si="58"/>
        <v>0.5</v>
      </c>
      <c r="CS125" s="2">
        <f t="shared" si="59"/>
        <v>100</v>
      </c>
      <c r="CT125" s="1">
        <f t="shared" si="60"/>
        <v>-3.4</v>
      </c>
      <c r="CU125" s="1">
        <f t="shared" si="74"/>
        <v>-4.7</v>
      </c>
      <c r="CV125" s="1" t="s">
        <v>218</v>
      </c>
      <c r="CW125" s="1">
        <f t="shared" si="61"/>
        <v>0.1</v>
      </c>
      <c r="CX125" s="1">
        <f t="shared" si="62"/>
        <v>-0.2</v>
      </c>
      <c r="CY125" s="1">
        <f t="shared" si="63"/>
        <v>-0.1</v>
      </c>
      <c r="CZ125" s="1">
        <f t="shared" si="64"/>
        <v>0.3</v>
      </c>
      <c r="DA125" s="2">
        <f t="shared" si="65"/>
        <v>49.9</v>
      </c>
      <c r="DB125" s="20">
        <f t="shared" si="66"/>
        <v>780</v>
      </c>
      <c r="DC125" s="1">
        <f>ROUND(PPTest!K125,1)</f>
        <v>0</v>
      </c>
      <c r="DD125" s="27">
        <f t="shared" si="42"/>
        <v>2.19</v>
      </c>
      <c r="DE125" s="3">
        <f t="shared" si="67"/>
        <v>7.22</v>
      </c>
      <c r="DF125" s="24">
        <f t="shared" si="68"/>
        <v>0.42199999999999999</v>
      </c>
      <c r="DG125" s="24">
        <f t="shared" si="69"/>
        <v>0.42399999999999999</v>
      </c>
      <c r="DH125" s="17">
        <f t="shared" si="70"/>
        <v>13.38</v>
      </c>
      <c r="DQ125" s="1">
        <v>11.9</v>
      </c>
      <c r="DR125" s="1">
        <v>21.3</v>
      </c>
      <c r="DS125" s="1">
        <v>2.4</v>
      </c>
    </row>
    <row r="126" spans="1:123" x14ac:dyDescent="0.2">
      <c r="A126" s="15">
        <f t="shared" si="71"/>
        <v>36645</v>
      </c>
      <c r="B126" s="1">
        <v>120</v>
      </c>
      <c r="C126" s="1">
        <v>15.92</v>
      </c>
      <c r="D126" s="1">
        <v>27.51</v>
      </c>
      <c r="E126" s="1">
        <v>0.46600000000000003</v>
      </c>
      <c r="F126" s="1">
        <v>79</v>
      </c>
      <c r="G126" s="1">
        <v>5.6000000000000001E-2</v>
      </c>
      <c r="I126" s="1">
        <v>0.17499999999999999</v>
      </c>
      <c r="J126" s="1">
        <v>0.35599999999999998</v>
      </c>
      <c r="K126" s="1">
        <v>1.5169999999999999</v>
      </c>
      <c r="L126" s="1">
        <v>-9.5000000000000001E-2</v>
      </c>
      <c r="M126" s="1">
        <v>5.0000000000000001E-3</v>
      </c>
      <c r="N126" s="1">
        <v>0.36399999999999999</v>
      </c>
      <c r="O126" s="1">
        <v>0</v>
      </c>
      <c r="P126" s="2">
        <v>1.5286666666666668</v>
      </c>
      <c r="R126" s="1">
        <v>5.9560000000000004</v>
      </c>
      <c r="S126" s="1">
        <v>1509</v>
      </c>
      <c r="T126" s="1">
        <v>106.2</v>
      </c>
      <c r="U126" s="1">
        <v>523</v>
      </c>
      <c r="V126" s="1">
        <v>8.74</v>
      </c>
      <c r="X126" s="1">
        <v>0.35199999999999998</v>
      </c>
      <c r="Y126" s="1">
        <v>5.5590000000000002</v>
      </c>
      <c r="Z126" s="1">
        <v>8.98</v>
      </c>
      <c r="AA126" s="1">
        <v>7.3999999999999996E-2</v>
      </c>
      <c r="AB126" s="1">
        <v>0.18</v>
      </c>
      <c r="AC126" s="1">
        <v>0.54400000000000004</v>
      </c>
      <c r="AD126" s="2">
        <v>7.008</v>
      </c>
      <c r="AE126" s="1">
        <v>1341</v>
      </c>
      <c r="AF126" s="1">
        <v>-5.9740000000000002</v>
      </c>
      <c r="AG126" s="1">
        <v>509</v>
      </c>
      <c r="AH126" s="1">
        <v>43.62</v>
      </c>
      <c r="AI126" s="1">
        <v>1509</v>
      </c>
      <c r="AJ126" s="1">
        <v>-6.798</v>
      </c>
      <c r="AL126" s="1">
        <v>6.0000000000000001E-3</v>
      </c>
      <c r="AM126" s="1">
        <v>-3.371</v>
      </c>
      <c r="AN126" s="1">
        <v>-0.90500000000000003</v>
      </c>
      <c r="AO126" s="1">
        <v>-0.25</v>
      </c>
      <c r="AP126" s="1">
        <v>-0.185</v>
      </c>
      <c r="AQ126" s="1">
        <v>0.158</v>
      </c>
      <c r="AR126" s="1">
        <v>5.8000000000000003E-2</v>
      </c>
      <c r="AS126" s="1">
        <v>0.185</v>
      </c>
      <c r="AT126" s="1">
        <v>0.123</v>
      </c>
      <c r="AU126" s="1">
        <v>5.8000000000000003E-2</v>
      </c>
      <c r="AV126" s="1">
        <v>0.14299999999999999</v>
      </c>
      <c r="AW126" s="1">
        <v>0.23499999999999999</v>
      </c>
      <c r="AX126" s="1">
        <v>0.128</v>
      </c>
      <c r="AY126" s="1">
        <v>7.0000000000000007E-2</v>
      </c>
      <c r="AZ126" s="1">
        <v>-0.34399999999999997</v>
      </c>
      <c r="BA126" s="1">
        <v>2687</v>
      </c>
      <c r="BB126" s="1">
        <v>13.38</v>
      </c>
      <c r="BC126" s="1">
        <v>2786</v>
      </c>
      <c r="BF126" s="1">
        <f t="shared" si="82"/>
        <v>806</v>
      </c>
      <c r="BM126" s="17">
        <v>28.02</v>
      </c>
      <c r="BN126" s="17">
        <f t="shared" si="44"/>
        <v>56.6004</v>
      </c>
      <c r="BO126" s="18">
        <f t="shared" si="75"/>
        <v>15.6</v>
      </c>
      <c r="BP126" s="18">
        <f t="shared" si="76"/>
        <v>30.26</v>
      </c>
      <c r="BR126" s="1">
        <f t="shared" si="77"/>
        <v>93.2</v>
      </c>
      <c r="BS126" s="1">
        <f t="shared" si="78"/>
        <v>63.5</v>
      </c>
      <c r="BT126" s="1">
        <f t="shared" si="79"/>
        <v>32.4</v>
      </c>
      <c r="BU126" s="60">
        <f t="shared" si="80"/>
        <v>0.30199999999999999</v>
      </c>
      <c r="BV126" s="60">
        <f t="shared" si="41"/>
        <v>0.63</v>
      </c>
      <c r="BW126" s="2"/>
      <c r="BX126" s="51">
        <f t="shared" si="45"/>
        <v>0</v>
      </c>
      <c r="BY126" s="46">
        <v>0</v>
      </c>
      <c r="BZ126" s="1">
        <v>0</v>
      </c>
      <c r="CB126" s="17">
        <f t="shared" si="46"/>
        <v>15.6</v>
      </c>
      <c r="CC126" s="17">
        <f t="shared" si="47"/>
        <v>30.26</v>
      </c>
      <c r="CD126" s="3">
        <f t="shared" si="48"/>
        <v>0.5</v>
      </c>
      <c r="CE126" s="3">
        <f t="shared" si="72"/>
        <v>0.1</v>
      </c>
      <c r="CF126" s="1" t="s">
        <v>218</v>
      </c>
      <c r="CG126" s="3">
        <f t="shared" si="49"/>
        <v>0.2</v>
      </c>
      <c r="CH126" s="3">
        <f t="shared" si="50"/>
        <v>-0.1</v>
      </c>
      <c r="CI126" s="3">
        <f t="shared" si="51"/>
        <v>0</v>
      </c>
      <c r="CJ126" s="3">
        <f t="shared" si="52"/>
        <v>0.4</v>
      </c>
      <c r="CK126" s="27">
        <f t="shared" si="53"/>
        <v>63.5</v>
      </c>
      <c r="CL126" s="1">
        <f t="shared" si="54"/>
        <v>6</v>
      </c>
      <c r="CM126" s="1">
        <f t="shared" si="73"/>
        <v>8.6999999999999993</v>
      </c>
      <c r="CN126" s="1" t="s">
        <v>218</v>
      </c>
      <c r="CO126" s="1">
        <f t="shared" si="55"/>
        <v>0.4</v>
      </c>
      <c r="CP126" s="1">
        <f t="shared" si="56"/>
        <v>0.1</v>
      </c>
      <c r="CQ126" s="1">
        <f t="shared" si="57"/>
        <v>0.2</v>
      </c>
      <c r="CR126" s="1">
        <f t="shared" si="58"/>
        <v>0.5</v>
      </c>
      <c r="CS126" s="2">
        <f t="shared" si="59"/>
        <v>93.2</v>
      </c>
      <c r="CT126" s="1">
        <f t="shared" si="60"/>
        <v>-6</v>
      </c>
      <c r="CU126" s="1">
        <f t="shared" si="74"/>
        <v>-6.8</v>
      </c>
      <c r="CV126" s="1" t="s">
        <v>218</v>
      </c>
      <c r="CW126" s="1">
        <f t="shared" si="61"/>
        <v>0</v>
      </c>
      <c r="CX126" s="1">
        <f t="shared" si="62"/>
        <v>-0.3</v>
      </c>
      <c r="CY126" s="1">
        <f t="shared" si="63"/>
        <v>-0.2</v>
      </c>
      <c r="CZ126" s="1">
        <f t="shared" si="64"/>
        <v>0.2</v>
      </c>
      <c r="DA126" s="2">
        <f t="shared" si="65"/>
        <v>32.4</v>
      </c>
      <c r="DB126" s="20">
        <f t="shared" si="66"/>
        <v>806</v>
      </c>
      <c r="DC126" s="1">
        <f>ROUND(PPTest!K126,1)</f>
        <v>3.4</v>
      </c>
      <c r="DD126" s="27">
        <f t="shared" si="42"/>
        <v>1.53</v>
      </c>
      <c r="DE126" s="3">
        <f t="shared" si="67"/>
        <v>7.01</v>
      </c>
      <c r="DF126" s="24">
        <f t="shared" si="68"/>
        <v>0.30199999999999999</v>
      </c>
      <c r="DG126" s="24">
        <f t="shared" si="69"/>
        <v>0.63</v>
      </c>
      <c r="DH126" s="17">
        <f t="shared" si="70"/>
        <v>13.38</v>
      </c>
      <c r="DQ126" s="1">
        <v>9</v>
      </c>
      <c r="DR126" s="1">
        <v>18.600000000000001</v>
      </c>
      <c r="DS126" s="1">
        <v>-0.7</v>
      </c>
    </row>
    <row r="127" spans="1:123" x14ac:dyDescent="0.2">
      <c r="A127" s="15">
        <f t="shared" si="71"/>
        <v>36646</v>
      </c>
      <c r="B127" s="1">
        <v>121</v>
      </c>
      <c r="C127" s="1">
        <v>12.03</v>
      </c>
      <c r="D127" s="1">
        <v>21.09</v>
      </c>
      <c r="E127" s="1">
        <v>3.8969999999999998</v>
      </c>
      <c r="F127" s="1">
        <v>81.2</v>
      </c>
      <c r="G127" s="1">
        <v>3.452</v>
      </c>
      <c r="I127" s="1">
        <v>0.16</v>
      </c>
      <c r="J127" s="1">
        <v>3.4350000000000001</v>
      </c>
      <c r="K127" s="1">
        <v>4.4260000000000002</v>
      </c>
      <c r="L127" s="1">
        <v>-4.2000000000000003E-2</v>
      </c>
      <c r="M127" s="1">
        <v>5.6000000000000001E-2</v>
      </c>
      <c r="N127" s="1">
        <v>0.40500000000000003</v>
      </c>
      <c r="O127" s="1">
        <v>0</v>
      </c>
      <c r="P127" s="2">
        <v>1.6736666666666666</v>
      </c>
      <c r="R127" s="1">
        <v>9.19</v>
      </c>
      <c r="S127" s="1">
        <v>1617</v>
      </c>
      <c r="T127" s="1">
        <v>105.4</v>
      </c>
      <c r="U127" s="1">
        <v>130</v>
      </c>
      <c r="V127" s="1">
        <v>9.94</v>
      </c>
      <c r="X127" s="1">
        <v>0.34599999999999997</v>
      </c>
      <c r="Y127" s="1">
        <v>8.89</v>
      </c>
      <c r="Z127" s="1">
        <v>12.03</v>
      </c>
      <c r="AA127" s="1">
        <v>0.122</v>
      </c>
      <c r="AB127" s="1">
        <v>0.221</v>
      </c>
      <c r="AC127" s="1">
        <v>0.57099999999999995</v>
      </c>
      <c r="AD127" s="2">
        <v>5.8613333333333344</v>
      </c>
      <c r="AE127" s="1">
        <v>1043</v>
      </c>
      <c r="AF127" s="1">
        <v>-0.372</v>
      </c>
      <c r="AG127" s="1">
        <v>213</v>
      </c>
      <c r="AH127" s="1">
        <v>56.81</v>
      </c>
      <c r="AI127" s="1">
        <v>1754</v>
      </c>
      <c r="AJ127" s="1">
        <v>-0.88100000000000001</v>
      </c>
      <c r="AL127" s="1">
        <v>2.9000000000000001E-2</v>
      </c>
      <c r="AM127" s="1">
        <v>-0.432</v>
      </c>
      <c r="AN127" s="1">
        <v>-0.65</v>
      </c>
      <c r="AO127" s="1">
        <v>-0.14399999999999999</v>
      </c>
      <c r="AP127" s="1">
        <v>-4.1000000000000002E-2</v>
      </c>
      <c r="AQ127" s="1">
        <v>0.307</v>
      </c>
      <c r="AR127" s="1">
        <v>0.105</v>
      </c>
      <c r="AS127" s="1">
        <v>0.191</v>
      </c>
      <c r="AT127" s="1">
        <v>0.17699999999999999</v>
      </c>
      <c r="AU127" s="1">
        <v>0.105</v>
      </c>
      <c r="AV127" s="1">
        <v>8.5000000000000006E-2</v>
      </c>
      <c r="AW127" s="1">
        <v>0.14399999999999999</v>
      </c>
      <c r="AX127" s="1">
        <v>0.125</v>
      </c>
      <c r="AY127" s="1">
        <v>6.9000000000000006E-2</v>
      </c>
      <c r="AZ127" s="1">
        <v>2.8679999999999999</v>
      </c>
      <c r="BA127" s="1">
        <v>2692</v>
      </c>
      <c r="BB127" s="1">
        <v>13.4</v>
      </c>
      <c r="BC127" s="1">
        <v>2786</v>
      </c>
      <c r="BF127" s="1">
        <f t="shared" si="82"/>
        <v>801</v>
      </c>
      <c r="BM127" s="17">
        <v>28.22</v>
      </c>
      <c r="BN127" s="17">
        <f t="shared" si="44"/>
        <v>57.004399999999997</v>
      </c>
      <c r="BO127" s="18">
        <f t="shared" si="75"/>
        <v>11.79</v>
      </c>
      <c r="BP127" s="18">
        <f t="shared" si="76"/>
        <v>23.2</v>
      </c>
      <c r="BR127" s="1">
        <f t="shared" si="77"/>
        <v>91.9</v>
      </c>
      <c r="BS127" s="1">
        <f t="shared" si="78"/>
        <v>65.5</v>
      </c>
      <c r="BT127" s="1">
        <f t="shared" si="79"/>
        <v>44</v>
      </c>
      <c r="BU127" s="60">
        <f t="shared" si="80"/>
        <v>0.51100000000000001</v>
      </c>
      <c r="BV127" s="60">
        <f t="shared" si="41"/>
        <v>0.65</v>
      </c>
      <c r="BW127" s="2"/>
      <c r="BX127" s="51">
        <f t="shared" si="45"/>
        <v>0.27999999999999992</v>
      </c>
      <c r="BY127" s="46">
        <v>0</v>
      </c>
      <c r="BZ127" s="1">
        <v>0.19999999999999996</v>
      </c>
      <c r="CB127" s="17">
        <f t="shared" si="46"/>
        <v>11.79</v>
      </c>
      <c r="CC127" s="17">
        <f t="shared" si="47"/>
        <v>23.2</v>
      </c>
      <c r="CD127" s="3">
        <f t="shared" si="48"/>
        <v>3.9</v>
      </c>
      <c r="CE127" s="3">
        <f t="shared" si="72"/>
        <v>3.5</v>
      </c>
      <c r="CF127" s="1" t="s">
        <v>218</v>
      </c>
      <c r="CG127" s="3">
        <f t="shared" si="49"/>
        <v>0.2</v>
      </c>
      <c r="CH127" s="3">
        <f t="shared" si="50"/>
        <v>0</v>
      </c>
      <c r="CI127" s="3">
        <f t="shared" si="51"/>
        <v>0.1</v>
      </c>
      <c r="CJ127" s="3">
        <f t="shared" si="52"/>
        <v>0.4</v>
      </c>
      <c r="CK127" s="27">
        <f t="shared" si="53"/>
        <v>65.5</v>
      </c>
      <c r="CL127" s="1">
        <f t="shared" si="54"/>
        <v>9.1999999999999993</v>
      </c>
      <c r="CM127" s="1">
        <f t="shared" si="73"/>
        <v>9.9</v>
      </c>
      <c r="CN127" s="1" t="s">
        <v>218</v>
      </c>
      <c r="CO127" s="1">
        <f t="shared" si="55"/>
        <v>0.3</v>
      </c>
      <c r="CP127" s="1">
        <f t="shared" si="56"/>
        <v>0.1</v>
      </c>
      <c r="CQ127" s="1">
        <f t="shared" si="57"/>
        <v>0.2</v>
      </c>
      <c r="CR127" s="1">
        <f t="shared" si="58"/>
        <v>0.6</v>
      </c>
      <c r="CS127" s="2">
        <f t="shared" si="59"/>
        <v>91.9</v>
      </c>
      <c r="CT127" s="1">
        <f t="shared" si="60"/>
        <v>-0.4</v>
      </c>
      <c r="CU127" s="1">
        <f t="shared" si="74"/>
        <v>-0.9</v>
      </c>
      <c r="CV127" s="1" t="s">
        <v>218</v>
      </c>
      <c r="CW127" s="1">
        <f t="shared" si="61"/>
        <v>0</v>
      </c>
      <c r="CX127" s="1">
        <f t="shared" si="62"/>
        <v>-0.1</v>
      </c>
      <c r="CY127" s="1">
        <f t="shared" si="63"/>
        <v>0</v>
      </c>
      <c r="CZ127" s="1">
        <f t="shared" si="64"/>
        <v>0.3</v>
      </c>
      <c r="DA127" s="2">
        <f t="shared" si="65"/>
        <v>44</v>
      </c>
      <c r="DB127" s="20">
        <f t="shared" si="66"/>
        <v>801</v>
      </c>
      <c r="DC127" s="1">
        <f>ROUND(PPTest!K127,1)</f>
        <v>0</v>
      </c>
      <c r="DD127" s="27">
        <f t="shared" si="42"/>
        <v>1.67</v>
      </c>
      <c r="DE127" s="3">
        <f t="shared" si="67"/>
        <v>5.86</v>
      </c>
      <c r="DF127" s="24">
        <f t="shared" si="68"/>
        <v>0.51100000000000001</v>
      </c>
      <c r="DG127" s="24">
        <f t="shared" si="69"/>
        <v>0.65</v>
      </c>
      <c r="DH127" s="17">
        <f t="shared" si="70"/>
        <v>13.4</v>
      </c>
      <c r="DQ127" s="1">
        <v>10.9</v>
      </c>
      <c r="DR127" s="1">
        <v>16.3</v>
      </c>
      <c r="DS127" s="1">
        <v>5.4</v>
      </c>
    </row>
    <row r="128" spans="1:123" x14ac:dyDescent="0.2">
      <c r="A128" s="15">
        <f t="shared" si="71"/>
        <v>36647</v>
      </c>
      <c r="B128" s="1">
        <v>122</v>
      </c>
      <c r="C128" s="1">
        <v>11.03</v>
      </c>
      <c r="D128" s="1">
        <v>19.45</v>
      </c>
      <c r="E128" s="1">
        <v>3.2330000000000001</v>
      </c>
      <c r="F128" s="1">
        <v>97.6</v>
      </c>
      <c r="G128" s="1">
        <v>2.6219999999999999</v>
      </c>
      <c r="I128" s="1">
        <v>0.20799999999999999</v>
      </c>
      <c r="J128" s="1">
        <v>2.7869999999999999</v>
      </c>
      <c r="K128" s="1">
        <v>3.7970000000000002</v>
      </c>
      <c r="L128" s="1">
        <v>-5.6000000000000001E-2</v>
      </c>
      <c r="M128" s="1">
        <v>4.9000000000000002E-2</v>
      </c>
      <c r="N128" s="1">
        <v>0.39100000000000001</v>
      </c>
      <c r="O128" s="1">
        <v>0</v>
      </c>
      <c r="P128" s="2">
        <v>1.641</v>
      </c>
      <c r="R128" s="1">
        <v>7.91</v>
      </c>
      <c r="S128" s="1">
        <v>1622</v>
      </c>
      <c r="T128" s="1">
        <v>109.7</v>
      </c>
      <c r="U128" s="1">
        <v>439</v>
      </c>
      <c r="V128" s="1">
        <v>9.32</v>
      </c>
      <c r="X128" s="1">
        <v>0.38400000000000001</v>
      </c>
      <c r="Y128" s="1">
        <v>7.32</v>
      </c>
      <c r="Z128" s="1">
        <v>10.07</v>
      </c>
      <c r="AA128" s="1">
        <v>7.2999999999999995E-2</v>
      </c>
      <c r="AB128" s="1">
        <v>0.17499999999999999</v>
      </c>
      <c r="AC128" s="1">
        <v>0.53100000000000003</v>
      </c>
      <c r="AD128" s="2">
        <v>4.6613333333333333</v>
      </c>
      <c r="AE128" s="1">
        <v>855</v>
      </c>
      <c r="AF128" s="1">
        <v>-6.7000000000000004E-2</v>
      </c>
      <c r="AG128" s="1">
        <v>2355</v>
      </c>
      <c r="AH128" s="1">
        <v>68.13</v>
      </c>
      <c r="AI128" s="1">
        <v>1619</v>
      </c>
      <c r="AJ128" s="1">
        <v>-0.86699999999999999</v>
      </c>
      <c r="AL128" s="1">
        <v>3.4000000000000002E-2</v>
      </c>
      <c r="AM128" s="1">
        <v>-0.36499999999999999</v>
      </c>
      <c r="AN128" s="1">
        <v>-0.4</v>
      </c>
      <c r="AO128" s="1">
        <v>-0.14599999999999999</v>
      </c>
      <c r="AP128" s="1">
        <v>-3.9E-2</v>
      </c>
      <c r="AQ128" s="1">
        <v>0.30299999999999999</v>
      </c>
      <c r="AR128" s="1">
        <v>7.1999999999999995E-2</v>
      </c>
      <c r="AS128" s="1">
        <v>0.249</v>
      </c>
      <c r="AT128" s="1">
        <v>0.14699999999999999</v>
      </c>
      <c r="AU128" s="1">
        <v>2.8000000000000001E-2</v>
      </c>
      <c r="AV128" s="1">
        <v>0.104</v>
      </c>
      <c r="AW128" s="1">
        <v>0.3</v>
      </c>
      <c r="AX128" s="1">
        <v>7.5999999999999998E-2</v>
      </c>
      <c r="AY128" s="1">
        <v>2.5000000000000001E-2</v>
      </c>
      <c r="AZ128" s="1">
        <v>2.601</v>
      </c>
      <c r="BA128" s="1">
        <v>2712</v>
      </c>
      <c r="BB128" s="1">
        <v>13.39</v>
      </c>
      <c r="BC128" s="1">
        <v>2786</v>
      </c>
      <c r="BF128" s="1">
        <f t="shared" si="82"/>
        <v>781</v>
      </c>
      <c r="BM128" s="17">
        <v>28.42</v>
      </c>
      <c r="BN128" s="17">
        <f t="shared" si="44"/>
        <v>57.408400000000007</v>
      </c>
      <c r="BO128" s="18">
        <f t="shared" si="75"/>
        <v>10.81</v>
      </c>
      <c r="BP128" s="18">
        <f t="shared" si="76"/>
        <v>21.4</v>
      </c>
      <c r="BR128" s="1">
        <f t="shared" si="77"/>
        <v>98.7</v>
      </c>
      <c r="BS128" s="1">
        <f t="shared" si="78"/>
        <v>79.900000000000006</v>
      </c>
      <c r="BT128" s="1">
        <f t="shared" si="79"/>
        <v>54</v>
      </c>
      <c r="BU128" s="60">
        <f t="shared" si="80"/>
        <v>0.57599999999999996</v>
      </c>
      <c r="BV128" s="60">
        <f t="shared" si="41"/>
        <v>0.49099999999999999</v>
      </c>
      <c r="BX128" s="51">
        <f t="shared" si="45"/>
        <v>5.4600000000000009</v>
      </c>
      <c r="BY128" s="46">
        <v>5.5</v>
      </c>
      <c r="BZ128" s="1">
        <v>3.9000000000000008</v>
      </c>
      <c r="CB128" s="17">
        <f t="shared" si="46"/>
        <v>10.81</v>
      </c>
      <c r="CC128" s="17">
        <f t="shared" si="47"/>
        <v>21.4</v>
      </c>
      <c r="CD128" s="3">
        <f t="shared" si="48"/>
        <v>3.2</v>
      </c>
      <c r="CE128" s="3">
        <f t="shared" si="72"/>
        <v>2.6</v>
      </c>
      <c r="CF128" s="1" t="s">
        <v>218</v>
      </c>
      <c r="CG128" s="3">
        <f t="shared" si="49"/>
        <v>0.2</v>
      </c>
      <c r="CH128" s="3">
        <f t="shared" si="50"/>
        <v>-0.1</v>
      </c>
      <c r="CI128" s="3">
        <f t="shared" si="51"/>
        <v>0</v>
      </c>
      <c r="CJ128" s="3">
        <f t="shared" si="52"/>
        <v>0.4</v>
      </c>
      <c r="CK128" s="27">
        <f t="shared" si="53"/>
        <v>79.900000000000006</v>
      </c>
      <c r="CL128" s="1">
        <f t="shared" si="54"/>
        <v>7.9</v>
      </c>
      <c r="CM128" s="1">
        <f t="shared" si="73"/>
        <v>9.3000000000000007</v>
      </c>
      <c r="CN128" s="1" t="s">
        <v>218</v>
      </c>
      <c r="CO128" s="1">
        <f t="shared" si="55"/>
        <v>0.4</v>
      </c>
      <c r="CP128" s="1">
        <f t="shared" si="56"/>
        <v>0.1</v>
      </c>
      <c r="CQ128" s="1">
        <f t="shared" si="57"/>
        <v>0.2</v>
      </c>
      <c r="CR128" s="1">
        <f t="shared" si="58"/>
        <v>0.5</v>
      </c>
      <c r="CS128" s="2">
        <f t="shared" si="59"/>
        <v>98.7</v>
      </c>
      <c r="CT128" s="1">
        <f t="shared" si="60"/>
        <v>-0.1</v>
      </c>
      <c r="CU128" s="1">
        <f t="shared" si="74"/>
        <v>-0.9</v>
      </c>
      <c r="CV128" s="1" t="s">
        <v>218</v>
      </c>
      <c r="CW128" s="1">
        <f t="shared" si="61"/>
        <v>0</v>
      </c>
      <c r="CX128" s="1">
        <f t="shared" si="62"/>
        <v>-0.1</v>
      </c>
      <c r="CY128" s="1">
        <f t="shared" si="63"/>
        <v>0</v>
      </c>
      <c r="CZ128" s="1">
        <f t="shared" si="64"/>
        <v>0.3</v>
      </c>
      <c r="DA128" s="2">
        <f t="shared" si="65"/>
        <v>54</v>
      </c>
      <c r="DB128" s="20">
        <f t="shared" si="66"/>
        <v>781</v>
      </c>
      <c r="DC128" s="1">
        <f>ROUND(PPTest!K128,1)</f>
        <v>0</v>
      </c>
      <c r="DD128" s="27">
        <f t="shared" si="42"/>
        <v>1.64</v>
      </c>
      <c r="DE128" s="3">
        <f t="shared" si="67"/>
        <v>4.66</v>
      </c>
      <c r="DF128" s="24">
        <f t="shared" si="68"/>
        <v>0.57599999999999996</v>
      </c>
      <c r="DG128" s="24">
        <f t="shared" si="69"/>
        <v>0.49099999999999999</v>
      </c>
      <c r="DH128" s="17">
        <f t="shared" si="70"/>
        <v>13.39</v>
      </c>
      <c r="DQ128" s="1">
        <v>12.8</v>
      </c>
      <c r="DR128" s="1">
        <v>18.399999999999999</v>
      </c>
      <c r="DS128" s="1">
        <v>7.1</v>
      </c>
    </row>
    <row r="129" spans="1:123" x14ac:dyDescent="0.2">
      <c r="A129" s="15">
        <f t="shared" si="71"/>
        <v>36648</v>
      </c>
      <c r="B129" s="1">
        <v>123</v>
      </c>
      <c r="C129" s="1">
        <v>19.920000000000002</v>
      </c>
      <c r="D129" s="1">
        <v>33.880000000000003</v>
      </c>
      <c r="E129" s="1">
        <v>4.7439999999999998</v>
      </c>
      <c r="F129" s="1">
        <v>80</v>
      </c>
      <c r="G129" s="1">
        <v>4.423</v>
      </c>
      <c r="I129" s="1">
        <v>0.249</v>
      </c>
      <c r="J129" s="1">
        <v>4.8049999999999997</v>
      </c>
      <c r="K129" s="1">
        <v>5.9969999999999999</v>
      </c>
      <c r="L129" s="1">
        <v>-0.02</v>
      </c>
      <c r="M129" s="1">
        <v>8.2000000000000003E-2</v>
      </c>
      <c r="N129" s="1">
        <v>0.42299999999999999</v>
      </c>
      <c r="O129" s="1">
        <v>0</v>
      </c>
      <c r="P129" s="2">
        <v>1.8936666666666666</v>
      </c>
      <c r="R129" s="1">
        <v>11.01</v>
      </c>
      <c r="S129" s="1">
        <v>1652</v>
      </c>
      <c r="T129" s="1">
        <v>108.1</v>
      </c>
      <c r="U129" s="1">
        <v>244</v>
      </c>
      <c r="V129" s="1">
        <v>11.86</v>
      </c>
      <c r="X129" s="1">
        <v>0.41499999999999998</v>
      </c>
      <c r="Y129" s="1">
        <v>10.27</v>
      </c>
      <c r="Z129" s="1">
        <v>12.99</v>
      </c>
      <c r="AA129" s="1">
        <v>0.13800000000000001</v>
      </c>
      <c r="AB129" s="1">
        <v>0.24399999999999999</v>
      </c>
      <c r="AC129" s="1">
        <v>0.59399999999999997</v>
      </c>
      <c r="AD129" s="2">
        <v>5.6213333333333342</v>
      </c>
      <c r="AE129" s="1">
        <v>1202</v>
      </c>
      <c r="AF129" s="1">
        <v>-0.08</v>
      </c>
      <c r="AG129" s="1">
        <v>6</v>
      </c>
      <c r="AH129" s="1">
        <v>44.82</v>
      </c>
      <c r="AI129" s="1">
        <v>1512</v>
      </c>
      <c r="AJ129" s="1">
        <v>-0.76800000000000002</v>
      </c>
      <c r="AL129" s="1">
        <v>0.126</v>
      </c>
      <c r="AM129" s="1">
        <v>-0.58699999999999997</v>
      </c>
      <c r="AN129" s="1">
        <v>-0.64500000000000002</v>
      </c>
      <c r="AO129" s="1">
        <v>-0.159</v>
      </c>
      <c r="AP129" s="1">
        <v>-6.0999999999999999E-2</v>
      </c>
      <c r="AQ129" s="1">
        <v>0.27300000000000002</v>
      </c>
      <c r="AR129" s="1">
        <v>3.9E-2</v>
      </c>
      <c r="AS129" s="1">
        <v>0.17499999999999999</v>
      </c>
      <c r="AT129" s="1">
        <v>0.1</v>
      </c>
      <c r="AU129" s="1">
        <v>4.2000000000000003E-2</v>
      </c>
      <c r="AV129" s="1">
        <v>0.13800000000000001</v>
      </c>
      <c r="AW129" s="1">
        <v>0.33600000000000002</v>
      </c>
      <c r="AX129" s="1">
        <v>0.13300000000000001</v>
      </c>
      <c r="AY129" s="1">
        <v>3.7999999999999999E-2</v>
      </c>
      <c r="AZ129" s="1">
        <v>4.0019999999999998</v>
      </c>
      <c r="BA129" s="1">
        <v>2749</v>
      </c>
      <c r="BB129" s="1">
        <v>13.39</v>
      </c>
      <c r="BC129" s="1">
        <v>2786</v>
      </c>
      <c r="BF129" s="1">
        <f t="shared" si="82"/>
        <v>744</v>
      </c>
      <c r="BM129" s="17">
        <v>28.61</v>
      </c>
      <c r="BN129" s="17">
        <f t="shared" si="44"/>
        <v>57.792200000000001</v>
      </c>
      <c r="BO129" s="18">
        <f t="shared" si="75"/>
        <v>19.52</v>
      </c>
      <c r="BP129" s="18">
        <f t="shared" si="76"/>
        <v>37.270000000000003</v>
      </c>
      <c r="BR129" s="1">
        <f t="shared" si="77"/>
        <v>96.2</v>
      </c>
      <c r="BS129" s="1">
        <f t="shared" si="78"/>
        <v>64.400000000000006</v>
      </c>
      <c r="BT129" s="1">
        <f t="shared" si="79"/>
        <v>33.4</v>
      </c>
      <c r="BU129" s="60">
        <f t="shared" si="80"/>
        <v>0.439</v>
      </c>
      <c r="BV129" s="60">
        <f t="shared" si="41"/>
        <v>0.875</v>
      </c>
      <c r="BX129" s="51">
        <f t="shared" si="45"/>
        <v>0</v>
      </c>
      <c r="BY129" s="46">
        <v>0</v>
      </c>
      <c r="BZ129" s="1">
        <v>0</v>
      </c>
      <c r="CB129" s="17">
        <f t="shared" si="46"/>
        <v>19.52</v>
      </c>
      <c r="CC129" s="17">
        <f t="shared" si="47"/>
        <v>37.270000000000003</v>
      </c>
      <c r="CD129" s="3">
        <f t="shared" si="48"/>
        <v>4.7</v>
      </c>
      <c r="CE129" s="3">
        <f t="shared" si="72"/>
        <v>4.4000000000000004</v>
      </c>
      <c r="CF129" s="1" t="s">
        <v>218</v>
      </c>
      <c r="CG129" s="3">
        <f t="shared" si="49"/>
        <v>0.2</v>
      </c>
      <c r="CH129" s="3">
        <f t="shared" si="50"/>
        <v>0</v>
      </c>
      <c r="CI129" s="3">
        <f t="shared" si="51"/>
        <v>0.1</v>
      </c>
      <c r="CJ129" s="3">
        <f t="shared" si="52"/>
        <v>0.4</v>
      </c>
      <c r="CK129" s="27">
        <f t="shared" si="53"/>
        <v>64.400000000000006</v>
      </c>
      <c r="CL129" s="1">
        <f t="shared" si="54"/>
        <v>11</v>
      </c>
      <c r="CM129" s="1">
        <f t="shared" si="73"/>
        <v>11.9</v>
      </c>
      <c r="CN129" s="1" t="s">
        <v>218</v>
      </c>
      <c r="CO129" s="1">
        <f t="shared" si="55"/>
        <v>0.4</v>
      </c>
      <c r="CP129" s="1">
        <f t="shared" si="56"/>
        <v>0.1</v>
      </c>
      <c r="CQ129" s="1">
        <f t="shared" si="57"/>
        <v>0.2</v>
      </c>
      <c r="CR129" s="1">
        <f t="shared" si="58"/>
        <v>0.6</v>
      </c>
      <c r="CS129" s="2">
        <f t="shared" si="59"/>
        <v>96.2</v>
      </c>
      <c r="CT129" s="1">
        <f t="shared" si="60"/>
        <v>-0.1</v>
      </c>
      <c r="CU129" s="1">
        <f t="shared" si="74"/>
        <v>-0.8</v>
      </c>
      <c r="CV129" s="1" t="s">
        <v>218</v>
      </c>
      <c r="CW129" s="1">
        <f t="shared" si="61"/>
        <v>0.1</v>
      </c>
      <c r="CX129" s="1">
        <f t="shared" si="62"/>
        <v>-0.2</v>
      </c>
      <c r="CY129" s="1">
        <f t="shared" si="63"/>
        <v>-0.1</v>
      </c>
      <c r="CZ129" s="1">
        <f t="shared" si="64"/>
        <v>0.3</v>
      </c>
      <c r="DA129" s="2">
        <f t="shared" si="65"/>
        <v>33.4</v>
      </c>
      <c r="DB129" s="20">
        <f t="shared" si="66"/>
        <v>744</v>
      </c>
      <c r="DC129" s="1">
        <f>ROUND(PPTest!K129,1)</f>
        <v>0</v>
      </c>
      <c r="DD129" s="27">
        <f t="shared" si="42"/>
        <v>1.89</v>
      </c>
      <c r="DE129" s="3">
        <f t="shared" si="67"/>
        <v>5.62</v>
      </c>
      <c r="DF129" s="24">
        <f t="shared" si="68"/>
        <v>0.439</v>
      </c>
      <c r="DG129" s="24">
        <f t="shared" si="69"/>
        <v>0.875</v>
      </c>
      <c r="DH129" s="17">
        <f t="shared" si="70"/>
        <v>13.39</v>
      </c>
      <c r="DQ129" s="1">
        <v>14.5</v>
      </c>
      <c r="DR129" s="1">
        <v>23.2</v>
      </c>
      <c r="DS129" s="1">
        <v>5.7</v>
      </c>
    </row>
    <row r="130" spans="1:123" x14ac:dyDescent="0.2">
      <c r="A130" s="15">
        <f t="shared" si="71"/>
        <v>36649</v>
      </c>
      <c r="B130" s="1">
        <v>124</v>
      </c>
      <c r="C130" s="1">
        <v>8.11</v>
      </c>
      <c r="D130" s="1">
        <v>14.22</v>
      </c>
      <c r="E130" s="1">
        <v>2.4929999999999999</v>
      </c>
      <c r="F130" s="1">
        <v>97.1</v>
      </c>
      <c r="G130" s="1">
        <v>1.861</v>
      </c>
      <c r="I130" s="1">
        <v>0.14099999999999999</v>
      </c>
      <c r="J130" s="1">
        <v>2.0779999999999998</v>
      </c>
      <c r="K130" s="1">
        <v>2.5350000000000001</v>
      </c>
      <c r="L130" s="1">
        <v>-8.5000000000000006E-2</v>
      </c>
      <c r="M130" s="1">
        <v>8.9999999999999993E-3</v>
      </c>
      <c r="N130" s="1">
        <v>0.36499999999999999</v>
      </c>
      <c r="O130" s="1">
        <v>0</v>
      </c>
      <c r="P130" s="2">
        <v>1.7653333333333334</v>
      </c>
      <c r="R130" s="1">
        <v>5.6669999999999998</v>
      </c>
      <c r="S130" s="1">
        <v>133</v>
      </c>
      <c r="T130" s="1">
        <v>109.7</v>
      </c>
      <c r="U130" s="1">
        <v>1506</v>
      </c>
      <c r="V130" s="1">
        <v>6.2779999999999996</v>
      </c>
      <c r="X130" s="1">
        <v>0.26200000000000001</v>
      </c>
      <c r="Y130" s="1">
        <v>4.4580000000000002</v>
      </c>
      <c r="Z130" s="1">
        <v>5.6539999999999999</v>
      </c>
      <c r="AA130" s="1">
        <v>1.0999999999999999E-2</v>
      </c>
      <c r="AB130" s="1">
        <v>0.11899999999999999</v>
      </c>
      <c r="AC130" s="1">
        <v>0.48599999999999999</v>
      </c>
      <c r="AD130" s="2">
        <v>6.8213333333333335</v>
      </c>
      <c r="AE130" s="1">
        <v>1818</v>
      </c>
      <c r="AF130" s="1">
        <v>-4.9219999999999997</v>
      </c>
      <c r="AG130" s="1">
        <v>0</v>
      </c>
      <c r="AH130" s="1">
        <v>71.3</v>
      </c>
      <c r="AI130" s="1">
        <v>1826</v>
      </c>
      <c r="AJ130" s="1">
        <v>-6.1349999999999998</v>
      </c>
      <c r="AL130" s="1">
        <v>6.0000000000000001E-3</v>
      </c>
      <c r="AM130" s="1">
        <v>-0.59199999999999997</v>
      </c>
      <c r="AN130" s="1">
        <v>-0.69499999999999995</v>
      </c>
      <c r="AO130" s="1">
        <v>-0.187</v>
      </c>
      <c r="AP130" s="1">
        <v>-0.14199999999999999</v>
      </c>
      <c r="AQ130" s="1">
        <v>0.26800000000000002</v>
      </c>
      <c r="AR130" s="1">
        <v>6.0999999999999999E-2</v>
      </c>
      <c r="AS130" s="1">
        <v>0.112</v>
      </c>
      <c r="AT130" s="1">
        <v>0.123</v>
      </c>
      <c r="AU130" s="1">
        <v>9.9000000000000005E-2</v>
      </c>
      <c r="AV130" s="1">
        <v>0.20200000000000001</v>
      </c>
      <c r="AW130" s="1">
        <v>0.27400000000000002</v>
      </c>
      <c r="AX130" s="1">
        <v>8.5000000000000006E-2</v>
      </c>
      <c r="AY130" s="1">
        <v>4.3999999999999997E-2</v>
      </c>
      <c r="AZ130" s="1">
        <v>1.4850000000000001</v>
      </c>
      <c r="BA130" s="1">
        <v>2739</v>
      </c>
      <c r="BB130" s="1">
        <v>13.37</v>
      </c>
      <c r="BC130" s="1">
        <v>2786</v>
      </c>
      <c r="BF130" s="1">
        <f t="shared" si="82"/>
        <v>754</v>
      </c>
      <c r="BM130" s="17">
        <v>28.8</v>
      </c>
      <c r="BN130" s="17">
        <f t="shared" si="44"/>
        <v>58.176000000000002</v>
      </c>
      <c r="BO130" s="18">
        <f t="shared" si="75"/>
        <v>7.95</v>
      </c>
      <c r="BP130" s="18">
        <f t="shared" si="76"/>
        <v>15.64</v>
      </c>
      <c r="BR130" s="1">
        <f t="shared" si="77"/>
        <v>98.7</v>
      </c>
      <c r="BS130" s="1">
        <f t="shared" si="78"/>
        <v>79.400000000000006</v>
      </c>
      <c r="BT130" s="1">
        <f t="shared" si="79"/>
        <v>56.7</v>
      </c>
      <c r="BU130" s="60">
        <f t="shared" si="80"/>
        <v>0.51800000000000002</v>
      </c>
      <c r="BV130" s="60">
        <f t="shared" si="41"/>
        <v>0.39600000000000002</v>
      </c>
      <c r="BX130" s="51">
        <f t="shared" si="45"/>
        <v>17.919999999999998</v>
      </c>
      <c r="BY130" s="46">
        <v>9.3979999999999997</v>
      </c>
      <c r="BZ130" s="1">
        <v>12.8</v>
      </c>
      <c r="CB130" s="17">
        <f t="shared" si="46"/>
        <v>7.95</v>
      </c>
      <c r="CC130" s="17">
        <f t="shared" si="47"/>
        <v>15.64</v>
      </c>
      <c r="CD130" s="3">
        <f t="shared" si="48"/>
        <v>2.5</v>
      </c>
      <c r="CE130" s="3">
        <f t="shared" si="72"/>
        <v>1.9</v>
      </c>
      <c r="CF130" s="1" t="s">
        <v>218</v>
      </c>
      <c r="CG130" s="3">
        <f t="shared" si="49"/>
        <v>0.1</v>
      </c>
      <c r="CH130" s="3">
        <f t="shared" si="50"/>
        <v>-0.1</v>
      </c>
      <c r="CI130" s="3">
        <f t="shared" si="51"/>
        <v>0</v>
      </c>
      <c r="CJ130" s="3">
        <f t="shared" si="52"/>
        <v>0.4</v>
      </c>
      <c r="CK130" s="27">
        <f t="shared" si="53"/>
        <v>79.400000000000006</v>
      </c>
      <c r="CL130" s="1">
        <f t="shared" si="54"/>
        <v>5.7</v>
      </c>
      <c r="CM130" s="1">
        <f t="shared" si="73"/>
        <v>6.3</v>
      </c>
      <c r="CN130" s="1" t="s">
        <v>218</v>
      </c>
      <c r="CO130" s="1">
        <f t="shared" si="55"/>
        <v>0.3</v>
      </c>
      <c r="CP130" s="1">
        <f t="shared" si="56"/>
        <v>0</v>
      </c>
      <c r="CQ130" s="1">
        <f t="shared" si="57"/>
        <v>0.1</v>
      </c>
      <c r="CR130" s="1">
        <f t="shared" si="58"/>
        <v>0.5</v>
      </c>
      <c r="CS130" s="2">
        <f t="shared" si="59"/>
        <v>98.7</v>
      </c>
      <c r="CT130" s="1">
        <f t="shared" si="60"/>
        <v>-4.9000000000000004</v>
      </c>
      <c r="CU130" s="1">
        <f t="shared" si="74"/>
        <v>-6.1</v>
      </c>
      <c r="CV130" s="1" t="s">
        <v>218</v>
      </c>
      <c r="CW130" s="1">
        <f t="shared" si="61"/>
        <v>0</v>
      </c>
      <c r="CX130" s="1">
        <f t="shared" si="62"/>
        <v>-0.2</v>
      </c>
      <c r="CY130" s="1">
        <f t="shared" si="63"/>
        <v>-0.1</v>
      </c>
      <c r="CZ130" s="1">
        <f t="shared" si="64"/>
        <v>0.3</v>
      </c>
      <c r="DA130" s="2">
        <f t="shared" si="65"/>
        <v>56.7</v>
      </c>
      <c r="DB130" s="20">
        <f t="shared" si="66"/>
        <v>754</v>
      </c>
      <c r="DC130" s="1">
        <f>ROUND(PPTest!K130,1)</f>
        <v>1.3</v>
      </c>
      <c r="DD130" s="27">
        <f t="shared" si="42"/>
        <v>1.77</v>
      </c>
      <c r="DE130" s="3">
        <f t="shared" si="67"/>
        <v>6.82</v>
      </c>
      <c r="DF130" s="24">
        <f t="shared" si="68"/>
        <v>0.51800000000000002</v>
      </c>
      <c r="DG130" s="24">
        <f t="shared" si="69"/>
        <v>0.39600000000000002</v>
      </c>
      <c r="DH130" s="17">
        <f t="shared" si="70"/>
        <v>13.37</v>
      </c>
      <c r="DQ130" s="1">
        <v>11.4</v>
      </c>
      <c r="DR130" s="1">
        <v>18</v>
      </c>
      <c r="DS130" s="1">
        <v>4.8</v>
      </c>
    </row>
    <row r="131" spans="1:123" x14ac:dyDescent="0.2">
      <c r="A131" s="15">
        <f t="shared" si="71"/>
        <v>36650</v>
      </c>
      <c r="B131" s="1">
        <v>125</v>
      </c>
      <c r="C131" s="1">
        <v>14.91</v>
      </c>
      <c r="D131" s="1">
        <v>25.44</v>
      </c>
      <c r="E131" s="1">
        <v>-1.31</v>
      </c>
      <c r="F131" s="1">
        <v>94.7</v>
      </c>
      <c r="G131" s="1">
        <v>-1.7090000000000001</v>
      </c>
      <c r="I131" s="1">
        <v>7.3999999999999996E-2</v>
      </c>
      <c r="J131" s="1">
        <v>-1.3149999999999999</v>
      </c>
      <c r="K131" s="1">
        <v>-6.6000000000000003E-2</v>
      </c>
      <c r="L131" s="1">
        <v>-0.122</v>
      </c>
      <c r="M131" s="1">
        <v>-5.0999999999999997E-2</v>
      </c>
      <c r="N131" s="1">
        <v>0.308</v>
      </c>
      <c r="O131" s="1">
        <v>0</v>
      </c>
      <c r="P131" s="2">
        <v>1.5469999999999999</v>
      </c>
      <c r="R131" s="1">
        <v>5.0069999999999997</v>
      </c>
      <c r="S131" s="1">
        <v>1603</v>
      </c>
      <c r="T131" s="1">
        <v>108.4</v>
      </c>
      <c r="U131" s="1">
        <v>13</v>
      </c>
      <c r="V131" s="1">
        <v>6.8890000000000002</v>
      </c>
      <c r="X131" s="1">
        <v>0.27600000000000002</v>
      </c>
      <c r="Y131" s="1">
        <v>1.272</v>
      </c>
      <c r="Z131" s="1">
        <v>6.798</v>
      </c>
      <c r="AA131" s="1">
        <v>4.2000000000000003E-2</v>
      </c>
      <c r="AB131" s="1">
        <v>0.126</v>
      </c>
      <c r="AC131" s="1">
        <v>0.503</v>
      </c>
      <c r="AD131" s="2">
        <v>5.3013333333333339</v>
      </c>
      <c r="AE131" s="1">
        <v>1616</v>
      </c>
      <c r="AF131" s="1">
        <v>-7.4</v>
      </c>
      <c r="AG131" s="1">
        <v>418</v>
      </c>
      <c r="AH131" s="1">
        <v>71.400000000000006</v>
      </c>
      <c r="AI131" s="1">
        <v>1556</v>
      </c>
      <c r="AJ131" s="1">
        <v>-8.1999999999999993</v>
      </c>
      <c r="AL131" s="1">
        <v>-0.11799999999999999</v>
      </c>
      <c r="AM131" s="1">
        <v>-6.883</v>
      </c>
      <c r="AN131" s="1">
        <v>-5.2469999999999999</v>
      </c>
      <c r="AO131" s="1">
        <v>-0.27600000000000002</v>
      </c>
      <c r="AP131" s="1">
        <v>-0.246</v>
      </c>
      <c r="AQ131" s="1">
        <v>9.2999999999999999E-2</v>
      </c>
      <c r="AR131" s="1">
        <v>4.8000000000000001E-2</v>
      </c>
      <c r="AS131" s="1">
        <v>0.22</v>
      </c>
      <c r="AT131" s="1">
        <v>0.23100000000000001</v>
      </c>
      <c r="AU131" s="1">
        <v>3.9E-2</v>
      </c>
      <c r="AV131" s="1">
        <v>9.5000000000000001E-2</v>
      </c>
      <c r="AW131" s="1">
        <v>0.22700000000000001</v>
      </c>
      <c r="AX131" s="1">
        <v>9.5000000000000001E-2</v>
      </c>
      <c r="AY131" s="1">
        <v>4.4999999999999998E-2</v>
      </c>
      <c r="AZ131" s="1">
        <v>-1.855</v>
      </c>
      <c r="BA131" s="1">
        <v>2752</v>
      </c>
      <c r="BB131" s="1">
        <v>13.41</v>
      </c>
      <c r="BC131" s="1">
        <v>2786</v>
      </c>
      <c r="BF131" s="1">
        <f t="shared" si="82"/>
        <v>741</v>
      </c>
      <c r="BM131" s="17">
        <v>28.99</v>
      </c>
      <c r="BN131" s="17">
        <f t="shared" si="44"/>
        <v>58.559799999999996</v>
      </c>
      <c r="BO131" s="18">
        <f t="shared" si="75"/>
        <v>14.61</v>
      </c>
      <c r="BP131" s="18">
        <f t="shared" si="76"/>
        <v>27.98</v>
      </c>
      <c r="BR131" s="1">
        <f t="shared" si="77"/>
        <v>96.7</v>
      </c>
      <c r="BS131" s="1">
        <f t="shared" si="78"/>
        <v>77.3</v>
      </c>
      <c r="BT131" s="1">
        <f t="shared" si="79"/>
        <v>56.8</v>
      </c>
      <c r="BU131" s="60">
        <f t="shared" si="80"/>
        <v>0.496</v>
      </c>
      <c r="BV131" s="60">
        <f t="shared" si="41"/>
        <v>0.377</v>
      </c>
      <c r="BX131" s="51">
        <f t="shared" si="45"/>
        <v>0</v>
      </c>
      <c r="BY131" s="46">
        <v>1.27</v>
      </c>
      <c r="BZ131" s="1">
        <v>0</v>
      </c>
      <c r="CB131" s="17">
        <f t="shared" si="46"/>
        <v>14.61</v>
      </c>
      <c r="CC131" s="17">
        <f t="shared" si="47"/>
        <v>27.98</v>
      </c>
      <c r="CD131" s="3">
        <f t="shared" si="48"/>
        <v>-1.3</v>
      </c>
      <c r="CE131" s="3">
        <f t="shared" si="72"/>
        <v>-1.7</v>
      </c>
      <c r="CF131" s="1" t="s">
        <v>218</v>
      </c>
      <c r="CG131" s="3">
        <f t="shared" si="49"/>
        <v>0.1</v>
      </c>
      <c r="CH131" s="3">
        <f t="shared" si="50"/>
        <v>-0.1</v>
      </c>
      <c r="CI131" s="3">
        <f t="shared" si="51"/>
        <v>-0.1</v>
      </c>
      <c r="CJ131" s="3">
        <f t="shared" si="52"/>
        <v>0.3</v>
      </c>
      <c r="CK131" s="27">
        <f t="shared" si="53"/>
        <v>77.3</v>
      </c>
      <c r="CL131" s="1">
        <f t="shared" si="54"/>
        <v>5</v>
      </c>
      <c r="CM131" s="1">
        <f t="shared" si="73"/>
        <v>6.9</v>
      </c>
      <c r="CN131" s="1" t="s">
        <v>218</v>
      </c>
      <c r="CO131" s="1">
        <f t="shared" si="55"/>
        <v>0.3</v>
      </c>
      <c r="CP131" s="1">
        <f t="shared" si="56"/>
        <v>0</v>
      </c>
      <c r="CQ131" s="1">
        <f t="shared" si="57"/>
        <v>0.1</v>
      </c>
      <c r="CR131" s="1">
        <f t="shared" si="58"/>
        <v>0.5</v>
      </c>
      <c r="CS131" s="2">
        <f t="shared" si="59"/>
        <v>96.7</v>
      </c>
      <c r="CT131" s="1">
        <f t="shared" si="60"/>
        <v>-7.4</v>
      </c>
      <c r="CU131" s="1">
        <f t="shared" si="74"/>
        <v>-8.1999999999999993</v>
      </c>
      <c r="CV131" s="1" t="s">
        <v>218</v>
      </c>
      <c r="CW131" s="1">
        <f t="shared" si="61"/>
        <v>-0.1</v>
      </c>
      <c r="CX131" s="1">
        <f t="shared" si="62"/>
        <v>-0.3</v>
      </c>
      <c r="CY131" s="1">
        <f t="shared" si="63"/>
        <v>-0.2</v>
      </c>
      <c r="CZ131" s="1">
        <f t="shared" si="64"/>
        <v>0.1</v>
      </c>
      <c r="DA131" s="2">
        <f t="shared" si="65"/>
        <v>56.8</v>
      </c>
      <c r="DB131" s="20">
        <f t="shared" si="66"/>
        <v>741</v>
      </c>
      <c r="DC131" s="1">
        <f>ROUND(PPTest!K131,1)</f>
        <v>0</v>
      </c>
      <c r="DD131" s="27">
        <f t="shared" si="42"/>
        <v>1.55</v>
      </c>
      <c r="DE131" s="3">
        <f t="shared" si="67"/>
        <v>5.3</v>
      </c>
      <c r="DF131" s="24">
        <f t="shared" si="68"/>
        <v>0.496</v>
      </c>
      <c r="DG131" s="24">
        <f t="shared" si="69"/>
        <v>0.377</v>
      </c>
      <c r="DH131" s="17">
        <f t="shared" si="70"/>
        <v>13.41</v>
      </c>
      <c r="DQ131" s="1">
        <v>10.4</v>
      </c>
      <c r="DR131" s="1">
        <v>16.899999999999999</v>
      </c>
      <c r="DS131" s="1">
        <v>3.8</v>
      </c>
    </row>
    <row r="132" spans="1:123" x14ac:dyDescent="0.2">
      <c r="A132" s="15">
        <f t="shared" si="71"/>
        <v>36651</v>
      </c>
      <c r="B132" s="1">
        <v>126</v>
      </c>
      <c r="C132" s="1">
        <v>6.0759999999999996</v>
      </c>
      <c r="D132" s="1">
        <v>10.72</v>
      </c>
      <c r="E132" s="1">
        <v>-1.542</v>
      </c>
      <c r="F132" s="1">
        <v>104.3</v>
      </c>
      <c r="G132" s="1">
        <v>-2.077</v>
      </c>
      <c r="I132" s="1">
        <v>6.4000000000000001E-2</v>
      </c>
      <c r="J132" s="1">
        <v>-0.93200000000000005</v>
      </c>
      <c r="K132" s="1">
        <v>-0.47</v>
      </c>
      <c r="L132" s="1">
        <v>-0.14199999999999999</v>
      </c>
      <c r="M132" s="1">
        <v>-6.9000000000000006E-2</v>
      </c>
      <c r="N132" s="1">
        <v>0.27800000000000002</v>
      </c>
      <c r="O132" s="1">
        <v>0</v>
      </c>
      <c r="P132" s="2">
        <v>1.2486666666666666</v>
      </c>
      <c r="R132" s="1">
        <v>2.7189999999999999</v>
      </c>
      <c r="S132" s="1">
        <v>917</v>
      </c>
      <c r="T132" s="1">
        <v>109.1</v>
      </c>
      <c r="U132" s="1">
        <v>2050</v>
      </c>
      <c r="V132" s="1">
        <v>4.899</v>
      </c>
      <c r="X132" s="1">
        <v>0.2</v>
      </c>
      <c r="Y132" s="1">
        <v>-0.13400000000000001</v>
      </c>
      <c r="Z132" s="1">
        <v>-0.10100000000000001</v>
      </c>
      <c r="AA132" s="1">
        <v>-3.4000000000000002E-2</v>
      </c>
      <c r="AB132" s="1">
        <v>5.8000000000000003E-2</v>
      </c>
      <c r="AC132" s="1">
        <v>0.39800000000000002</v>
      </c>
      <c r="AD132" s="2">
        <v>4.6346666666666669</v>
      </c>
      <c r="AE132" s="1">
        <v>1244</v>
      </c>
      <c r="AF132" s="1">
        <v>-6.76</v>
      </c>
      <c r="AG132" s="1">
        <v>2340</v>
      </c>
      <c r="AH132" s="1">
        <v>78.8</v>
      </c>
      <c r="AI132" s="1">
        <v>914</v>
      </c>
      <c r="AJ132" s="1">
        <v>-8.9700000000000006</v>
      </c>
      <c r="AL132" s="1">
        <v>-7.0000000000000001E-3</v>
      </c>
      <c r="AM132" s="1">
        <v>-6.516</v>
      </c>
      <c r="AN132" s="1">
        <v>-0.72499999999999998</v>
      </c>
      <c r="AO132" s="1">
        <v>-0.22800000000000001</v>
      </c>
      <c r="AP132" s="1">
        <v>-0.16800000000000001</v>
      </c>
      <c r="AQ132" s="1">
        <v>0.17499999999999999</v>
      </c>
      <c r="AR132" s="1">
        <v>0.09</v>
      </c>
      <c r="AS132" s="1">
        <v>0.23</v>
      </c>
      <c r="AT132" s="1">
        <v>0.20200000000000001</v>
      </c>
      <c r="AU132" s="1">
        <v>6.8000000000000005E-2</v>
      </c>
      <c r="AV132" s="1">
        <v>0.11799999999999999</v>
      </c>
      <c r="AW132" s="1">
        <v>0.182</v>
      </c>
      <c r="AX132" s="1">
        <v>6.4000000000000001E-2</v>
      </c>
      <c r="AY132" s="1">
        <v>4.4999999999999998E-2</v>
      </c>
      <c r="AZ132" s="1">
        <v>-2.3050000000000002</v>
      </c>
      <c r="BA132" s="1">
        <v>2723</v>
      </c>
      <c r="BB132" s="1">
        <v>13.42</v>
      </c>
      <c r="BC132" s="1">
        <v>2786</v>
      </c>
      <c r="BF132" s="1">
        <f t="shared" si="82"/>
        <v>770</v>
      </c>
      <c r="BM132" s="17">
        <v>29.17</v>
      </c>
      <c r="BN132" s="17">
        <f t="shared" si="44"/>
        <v>58.923400000000001</v>
      </c>
      <c r="BO132" s="18">
        <f t="shared" ref="BO132:BO153" si="83">ROUND(C132*BO$2,2)</f>
        <v>5.95</v>
      </c>
      <c r="BP132" s="18">
        <f t="shared" ref="BP132:BP153" si="84">ROUND(D132*BP$2,2)</f>
        <v>11.79</v>
      </c>
      <c r="BR132" s="1">
        <f t="shared" ref="BR132:BR158" si="85">ROUND(IF(T132&gt;BR$2,100,IF(T132&gt;BR$3,BS$1*T132+BS$2, T132*BS$3+BS$4)),1)</f>
        <v>97.8</v>
      </c>
      <c r="BS132" s="1">
        <f t="shared" ref="BS132:BS158" si="86">ROUND(IF(F132&gt;BR$2,100, IF(F132&gt;BR$3,BS$1*F132+BS$2, F132*BS$3+BS$4)),1)</f>
        <v>90.1</v>
      </c>
      <c r="BT132" s="1">
        <f t="shared" ref="BT132:BT158" si="87">ROUND(IF(AH132&gt;BR$2,100,IF(AH132&gt;BR$3,BS$1*AH132+BS$2, AH132*BS$3+BS$4)),1)</f>
        <v>63.3</v>
      </c>
      <c r="BU132" s="60">
        <f t="shared" ref="BU132:BU158" si="88">ROUND(0.6105*(EXP((17.273*R132)/(R132+237.3)))*BT132/100, 3)</f>
        <v>0.47</v>
      </c>
      <c r="BV132" s="60">
        <f t="shared" si="41"/>
        <v>0.27200000000000002</v>
      </c>
      <c r="BX132" s="51">
        <f t="shared" si="45"/>
        <v>4.9000000000000004</v>
      </c>
      <c r="BY132" s="46">
        <v>4.3179999999999996</v>
      </c>
      <c r="BZ132" s="1">
        <v>3.5000000000000004</v>
      </c>
      <c r="CB132" s="17">
        <f t="shared" si="46"/>
        <v>5.95</v>
      </c>
      <c r="CC132" s="17">
        <f t="shared" si="47"/>
        <v>11.79</v>
      </c>
      <c r="CD132" s="3">
        <f t="shared" si="48"/>
        <v>-1.5</v>
      </c>
      <c r="CE132" s="3">
        <f t="shared" si="72"/>
        <v>-2.1</v>
      </c>
      <c r="CF132" s="1" t="s">
        <v>218</v>
      </c>
      <c r="CG132" s="3">
        <f t="shared" si="49"/>
        <v>0.1</v>
      </c>
      <c r="CH132" s="3">
        <f t="shared" si="50"/>
        <v>-0.1</v>
      </c>
      <c r="CI132" s="3">
        <f t="shared" si="51"/>
        <v>-0.1</v>
      </c>
      <c r="CJ132" s="3">
        <f t="shared" si="52"/>
        <v>0.3</v>
      </c>
      <c r="CK132" s="27">
        <f t="shared" si="53"/>
        <v>90.1</v>
      </c>
      <c r="CL132" s="1">
        <f t="shared" si="54"/>
        <v>2.7</v>
      </c>
      <c r="CM132" s="1">
        <f t="shared" si="73"/>
        <v>4.9000000000000004</v>
      </c>
      <c r="CN132" s="1" t="s">
        <v>218</v>
      </c>
      <c r="CO132" s="1">
        <f t="shared" si="55"/>
        <v>0.2</v>
      </c>
      <c r="CP132" s="1">
        <f t="shared" si="56"/>
        <v>0</v>
      </c>
      <c r="CQ132" s="1">
        <f t="shared" si="57"/>
        <v>0.1</v>
      </c>
      <c r="CR132" s="1">
        <f t="shared" si="58"/>
        <v>0.4</v>
      </c>
      <c r="CS132" s="2">
        <f t="shared" si="59"/>
        <v>97.8</v>
      </c>
      <c r="CT132" s="1">
        <f t="shared" si="60"/>
        <v>-6.8</v>
      </c>
      <c r="CU132" s="1">
        <f t="shared" si="74"/>
        <v>-9</v>
      </c>
      <c r="CV132" s="1" t="s">
        <v>218</v>
      </c>
      <c r="CW132" s="1">
        <f t="shared" si="61"/>
        <v>0</v>
      </c>
      <c r="CX132" s="1">
        <f t="shared" si="62"/>
        <v>-0.2</v>
      </c>
      <c r="CY132" s="1">
        <f t="shared" si="63"/>
        <v>-0.2</v>
      </c>
      <c r="CZ132" s="1">
        <f t="shared" si="64"/>
        <v>0.2</v>
      </c>
      <c r="DA132" s="2">
        <f t="shared" si="65"/>
        <v>63.3</v>
      </c>
      <c r="DB132" s="20">
        <f t="shared" si="66"/>
        <v>770</v>
      </c>
      <c r="DC132" s="1">
        <f>ROUND(PPTest!K132,1)</f>
        <v>3.8</v>
      </c>
      <c r="DD132" s="27">
        <f t="shared" si="42"/>
        <v>1.25</v>
      </c>
      <c r="DE132" s="3">
        <f t="shared" si="67"/>
        <v>4.63</v>
      </c>
      <c r="DF132" s="24">
        <f t="shared" si="68"/>
        <v>0.47</v>
      </c>
      <c r="DG132" s="24">
        <f t="shared" si="69"/>
        <v>0.27200000000000002</v>
      </c>
      <c r="DH132" s="17">
        <f t="shared" si="70"/>
        <v>13.42</v>
      </c>
      <c r="DQ132" s="1">
        <v>8.1999999999999993</v>
      </c>
      <c r="DR132" s="1">
        <v>14.3</v>
      </c>
      <c r="DS132" s="1">
        <v>2</v>
      </c>
    </row>
    <row r="133" spans="1:123" x14ac:dyDescent="0.2">
      <c r="A133" s="15">
        <f t="shared" si="71"/>
        <v>36652</v>
      </c>
      <c r="B133" s="1">
        <v>127</v>
      </c>
      <c r="C133" s="1">
        <v>18.16</v>
      </c>
      <c r="D133" s="1">
        <v>31.11</v>
      </c>
      <c r="E133" s="1">
        <v>-1.8</v>
      </c>
      <c r="F133" s="1">
        <v>89.1</v>
      </c>
      <c r="G133" s="1">
        <v>-2.2570000000000001</v>
      </c>
      <c r="I133" s="1">
        <v>5.5E-2</v>
      </c>
      <c r="J133" s="1">
        <v>-2.52</v>
      </c>
      <c r="K133" s="1">
        <v>-0.56999999999999995</v>
      </c>
      <c r="L133" s="1">
        <v>-0.104</v>
      </c>
      <c r="M133" s="1">
        <v>-2.3E-2</v>
      </c>
      <c r="N133" s="1">
        <v>0.29099999999999998</v>
      </c>
      <c r="O133" s="1">
        <v>0</v>
      </c>
      <c r="P133" s="2">
        <v>1.4216666666666666</v>
      </c>
      <c r="R133" s="1">
        <v>5.0970000000000004</v>
      </c>
      <c r="S133" s="1">
        <v>1243</v>
      </c>
      <c r="T133" s="1">
        <v>108</v>
      </c>
      <c r="U133" s="1">
        <v>51</v>
      </c>
      <c r="V133" s="1">
        <v>7.67</v>
      </c>
      <c r="X133" s="1">
        <v>0.28199999999999997</v>
      </c>
      <c r="Y133" s="1">
        <v>3.4529999999999998</v>
      </c>
      <c r="Z133" s="1">
        <v>9.34</v>
      </c>
      <c r="AA133" s="1">
        <v>8.7999999999999995E-2</v>
      </c>
      <c r="AB133" s="1">
        <v>0.186</v>
      </c>
      <c r="AC133" s="1">
        <v>0.5</v>
      </c>
      <c r="AD133" s="2">
        <v>4.3146666666666667</v>
      </c>
      <c r="AE133" s="1">
        <v>1406</v>
      </c>
      <c r="AF133" s="1">
        <v>-8.69</v>
      </c>
      <c r="AG133" s="1">
        <v>236</v>
      </c>
      <c r="AH133" s="1">
        <v>38.81</v>
      </c>
      <c r="AI133" s="1">
        <v>1554</v>
      </c>
      <c r="AJ133" s="1">
        <v>-9.7899999999999991</v>
      </c>
      <c r="AL133" s="1">
        <v>-9.6000000000000002E-2</v>
      </c>
      <c r="AM133" s="1">
        <v>-9.66</v>
      </c>
      <c r="AN133" s="1">
        <v>-8.4</v>
      </c>
      <c r="AO133" s="1">
        <v>-0.252</v>
      </c>
      <c r="AP133" s="1">
        <v>-0.219</v>
      </c>
      <c r="AQ133" s="1">
        <v>0.104</v>
      </c>
      <c r="AR133" s="1">
        <v>5.7000000000000002E-2</v>
      </c>
      <c r="AS133" s="1">
        <v>0.30499999999999999</v>
      </c>
      <c r="AT133" s="1">
        <v>0.19700000000000001</v>
      </c>
      <c r="AU133" s="1">
        <v>2.8000000000000001E-2</v>
      </c>
      <c r="AV133" s="1">
        <v>7.2999999999999995E-2</v>
      </c>
      <c r="AW133" s="1">
        <v>0.185</v>
      </c>
      <c r="AX133" s="1">
        <v>9.9000000000000005E-2</v>
      </c>
      <c r="AY133" s="1">
        <v>5.7000000000000002E-2</v>
      </c>
      <c r="AZ133" s="1">
        <v>-2.0720000000000001</v>
      </c>
      <c r="BA133" s="1">
        <v>2737</v>
      </c>
      <c r="BB133" s="1">
        <v>13.32</v>
      </c>
      <c r="BC133" s="1">
        <v>2786</v>
      </c>
      <c r="BF133" s="1">
        <f t="shared" si="82"/>
        <v>756</v>
      </c>
      <c r="BM133" s="17">
        <v>29.35</v>
      </c>
      <c r="BN133" s="17">
        <f t="shared" si="44"/>
        <v>59.287000000000006</v>
      </c>
      <c r="BO133" s="18">
        <f t="shared" si="83"/>
        <v>17.8</v>
      </c>
      <c r="BP133" s="18">
        <f t="shared" si="84"/>
        <v>34.22</v>
      </c>
      <c r="BR133" s="1">
        <f t="shared" si="85"/>
        <v>96</v>
      </c>
      <c r="BS133" s="1">
        <f t="shared" si="86"/>
        <v>72.400000000000006</v>
      </c>
      <c r="BT133" s="1">
        <f t="shared" si="87"/>
        <v>28.2</v>
      </c>
      <c r="BU133" s="60">
        <f t="shared" si="88"/>
        <v>0.248</v>
      </c>
      <c r="BV133" s="60">
        <f t="shared" ref="BV133:BV196" si="89">ROUND((100-BT133)*BU133/BT133,3)</f>
        <v>0.63100000000000001</v>
      </c>
      <c r="BX133" s="51">
        <f t="shared" si="45"/>
        <v>0</v>
      </c>
      <c r="BY133" s="46">
        <v>0</v>
      </c>
      <c r="BZ133" s="1">
        <v>0</v>
      </c>
      <c r="CB133" s="17">
        <f t="shared" si="46"/>
        <v>17.8</v>
      </c>
      <c r="CC133" s="17">
        <f t="shared" si="47"/>
        <v>34.22</v>
      </c>
      <c r="CD133" s="3">
        <f t="shared" si="48"/>
        <v>-1.8</v>
      </c>
      <c r="CE133" s="3">
        <f t="shared" si="72"/>
        <v>-2.2999999999999998</v>
      </c>
      <c r="CF133" s="1" t="s">
        <v>218</v>
      </c>
      <c r="CG133" s="3">
        <f t="shared" si="49"/>
        <v>0.1</v>
      </c>
      <c r="CH133" s="3">
        <f t="shared" si="50"/>
        <v>-0.1</v>
      </c>
      <c r="CI133" s="3">
        <f t="shared" si="51"/>
        <v>0</v>
      </c>
      <c r="CJ133" s="3">
        <f t="shared" si="52"/>
        <v>0.3</v>
      </c>
      <c r="CK133" s="27">
        <f t="shared" si="53"/>
        <v>72.400000000000006</v>
      </c>
      <c r="CL133" s="1">
        <f t="shared" si="54"/>
        <v>5.0999999999999996</v>
      </c>
      <c r="CM133" s="1">
        <f t="shared" si="73"/>
        <v>7.7</v>
      </c>
      <c r="CN133" s="1" t="s">
        <v>218</v>
      </c>
      <c r="CO133" s="1">
        <f t="shared" si="55"/>
        <v>0.3</v>
      </c>
      <c r="CP133" s="1">
        <f t="shared" si="56"/>
        <v>0.1</v>
      </c>
      <c r="CQ133" s="1">
        <f t="shared" si="57"/>
        <v>0.2</v>
      </c>
      <c r="CR133" s="1">
        <f t="shared" si="58"/>
        <v>0.5</v>
      </c>
      <c r="CS133" s="2">
        <f t="shared" si="59"/>
        <v>96</v>
      </c>
      <c r="CT133" s="1">
        <f t="shared" si="60"/>
        <v>-8.6999999999999993</v>
      </c>
      <c r="CU133" s="1">
        <f t="shared" si="74"/>
        <v>-9.8000000000000007</v>
      </c>
      <c r="CV133" s="1" t="s">
        <v>218</v>
      </c>
      <c r="CW133" s="1">
        <f t="shared" si="61"/>
        <v>-0.1</v>
      </c>
      <c r="CX133" s="1">
        <f t="shared" si="62"/>
        <v>-0.3</v>
      </c>
      <c r="CY133" s="1">
        <f t="shared" si="63"/>
        <v>-0.2</v>
      </c>
      <c r="CZ133" s="1">
        <f t="shared" si="64"/>
        <v>0.1</v>
      </c>
      <c r="DA133" s="2">
        <f t="shared" si="65"/>
        <v>28.2</v>
      </c>
      <c r="DB133" s="20">
        <f t="shared" si="66"/>
        <v>756</v>
      </c>
      <c r="DC133" s="1">
        <f>ROUND(PPTest!K133,1)</f>
        <v>0</v>
      </c>
      <c r="DD133" s="27">
        <f t="shared" ref="DD133:DD158" si="90">ROUND(P133,2)</f>
        <v>1.42</v>
      </c>
      <c r="DE133" s="3">
        <f t="shared" si="67"/>
        <v>4.3099999999999996</v>
      </c>
      <c r="DF133" s="24">
        <f t="shared" si="68"/>
        <v>0.248</v>
      </c>
      <c r="DG133" s="24">
        <f t="shared" si="69"/>
        <v>0.63100000000000001</v>
      </c>
      <c r="DH133" s="17">
        <f t="shared" si="70"/>
        <v>13.32</v>
      </c>
      <c r="DQ133" s="1">
        <v>9.6</v>
      </c>
      <c r="DR133" s="1">
        <v>17.5</v>
      </c>
      <c r="DS133" s="1">
        <v>1.7</v>
      </c>
    </row>
    <row r="134" spans="1:123" x14ac:dyDescent="0.2">
      <c r="A134" s="15">
        <f t="shared" si="71"/>
        <v>36653</v>
      </c>
      <c r="B134" s="1">
        <v>128</v>
      </c>
      <c r="C134" s="1">
        <v>17.14</v>
      </c>
      <c r="D134" s="1">
        <v>29.16</v>
      </c>
      <c r="E134" s="1">
        <v>-1.206</v>
      </c>
      <c r="F134" s="1">
        <v>85.9</v>
      </c>
      <c r="G134" s="1">
        <v>-1.6539999999999999</v>
      </c>
      <c r="I134" s="1">
        <v>2.9000000000000001E-2</v>
      </c>
      <c r="J134" s="1">
        <v>-0.62</v>
      </c>
      <c r="K134" s="1">
        <v>0.64600000000000002</v>
      </c>
      <c r="L134" s="1">
        <v>-0.10199999999999999</v>
      </c>
      <c r="M134" s="1">
        <v>-8.9999999999999993E-3</v>
      </c>
      <c r="N134" s="1">
        <v>0.29199999999999998</v>
      </c>
      <c r="O134" s="1">
        <v>0</v>
      </c>
      <c r="P134" s="2">
        <v>1.7470000000000001</v>
      </c>
      <c r="R134" s="1">
        <v>4.8659999999999997</v>
      </c>
      <c r="S134" s="1">
        <v>1802</v>
      </c>
      <c r="T134" s="1">
        <v>107.2</v>
      </c>
      <c r="U134" s="1">
        <v>445</v>
      </c>
      <c r="V134" s="1">
        <v>6.4450000000000003</v>
      </c>
      <c r="X134" s="1">
        <v>0.186</v>
      </c>
      <c r="Y134" s="1">
        <v>5.3049999999999997</v>
      </c>
      <c r="Z134" s="1">
        <v>8.7100000000000009</v>
      </c>
      <c r="AA134" s="1">
        <v>4.8000000000000001E-2</v>
      </c>
      <c r="AB134" s="1">
        <v>0.152</v>
      </c>
      <c r="AC134" s="1">
        <v>0.46200000000000002</v>
      </c>
      <c r="AD134" s="2">
        <v>3.9946666666666668</v>
      </c>
      <c r="AE134" s="1">
        <v>1644</v>
      </c>
      <c r="AF134" s="1">
        <v>-9.0299999999999994</v>
      </c>
      <c r="AG134" s="1">
        <v>427</v>
      </c>
      <c r="AH134" s="1">
        <v>51.48</v>
      </c>
      <c r="AI134" s="1">
        <v>1515</v>
      </c>
      <c r="AJ134" s="1">
        <v>-9.74</v>
      </c>
      <c r="AL134" s="1">
        <v>-0.183</v>
      </c>
      <c r="AM134" s="1">
        <v>-8.9600000000000009</v>
      </c>
      <c r="AN134" s="1">
        <v>-8.2899999999999991</v>
      </c>
      <c r="AO134" s="1">
        <v>-0.27100000000000002</v>
      </c>
      <c r="AP134" s="1">
        <v>-0.27100000000000002</v>
      </c>
      <c r="AQ134" s="1">
        <v>2.1000000000000001E-2</v>
      </c>
      <c r="AR134" s="1">
        <v>7.6999999999999999E-2</v>
      </c>
      <c r="AS134" s="1">
        <v>0.41199999999999998</v>
      </c>
      <c r="AT134" s="1">
        <v>0.28399999999999997</v>
      </c>
      <c r="AU134" s="1">
        <v>2.8000000000000001E-2</v>
      </c>
      <c r="AV134" s="1">
        <v>5.8000000000000003E-2</v>
      </c>
      <c r="AW134" s="1">
        <v>6.7000000000000004E-2</v>
      </c>
      <c r="AX134" s="1">
        <v>2.3E-2</v>
      </c>
      <c r="AY134" s="1">
        <v>0.05</v>
      </c>
      <c r="AZ134" s="1">
        <v>-1.659</v>
      </c>
      <c r="BA134" s="1">
        <v>2734</v>
      </c>
      <c r="BB134" s="1">
        <v>13.43</v>
      </c>
      <c r="BC134" s="1">
        <v>2786</v>
      </c>
      <c r="BF134" s="1">
        <f t="shared" si="82"/>
        <v>759</v>
      </c>
      <c r="BM134" s="17">
        <v>29.53</v>
      </c>
      <c r="BN134" s="17">
        <f t="shared" si="44"/>
        <v>59.650600000000004</v>
      </c>
      <c r="BO134" s="18">
        <f t="shared" si="83"/>
        <v>16.8</v>
      </c>
      <c r="BP134" s="18">
        <f t="shared" si="84"/>
        <v>32.08</v>
      </c>
      <c r="BR134" s="1">
        <f t="shared" si="85"/>
        <v>94.7</v>
      </c>
      <c r="BS134" s="1">
        <f t="shared" si="86"/>
        <v>69.599999999999994</v>
      </c>
      <c r="BT134" s="1">
        <f t="shared" si="87"/>
        <v>39.299999999999997</v>
      </c>
      <c r="BU134" s="60">
        <f t="shared" si="88"/>
        <v>0.33900000000000002</v>
      </c>
      <c r="BV134" s="60">
        <f t="shared" si="89"/>
        <v>0.52400000000000002</v>
      </c>
      <c r="BX134" s="51">
        <f t="shared" si="45"/>
        <v>0</v>
      </c>
      <c r="BY134" s="46">
        <v>0.254</v>
      </c>
      <c r="BZ134" s="1">
        <v>0</v>
      </c>
      <c r="CB134" s="17">
        <f t="shared" si="46"/>
        <v>16.8</v>
      </c>
      <c r="CC134" s="17">
        <f t="shared" si="47"/>
        <v>32.08</v>
      </c>
      <c r="CD134" s="3">
        <f t="shared" si="48"/>
        <v>-1.2</v>
      </c>
      <c r="CE134" s="3">
        <f t="shared" si="72"/>
        <v>-1.7</v>
      </c>
      <c r="CF134" s="1" t="s">
        <v>218</v>
      </c>
      <c r="CG134" s="3">
        <f t="shared" si="49"/>
        <v>0</v>
      </c>
      <c r="CH134" s="3">
        <f t="shared" si="50"/>
        <v>-0.1</v>
      </c>
      <c r="CI134" s="3">
        <f t="shared" si="51"/>
        <v>0</v>
      </c>
      <c r="CJ134" s="3">
        <f t="shared" si="52"/>
        <v>0.3</v>
      </c>
      <c r="CK134" s="27">
        <f t="shared" si="53"/>
        <v>69.599999999999994</v>
      </c>
      <c r="CL134" s="1">
        <f t="shared" si="54"/>
        <v>4.9000000000000004</v>
      </c>
      <c r="CM134" s="1">
        <f t="shared" si="73"/>
        <v>6.4</v>
      </c>
      <c r="CN134" s="1" t="s">
        <v>218</v>
      </c>
      <c r="CO134" s="1">
        <f t="shared" si="55"/>
        <v>0.2</v>
      </c>
      <c r="CP134" s="1">
        <f t="shared" si="56"/>
        <v>0</v>
      </c>
      <c r="CQ134" s="1">
        <f t="shared" si="57"/>
        <v>0.2</v>
      </c>
      <c r="CR134" s="1">
        <f t="shared" si="58"/>
        <v>0.5</v>
      </c>
      <c r="CS134" s="2">
        <f t="shared" si="59"/>
        <v>94.7</v>
      </c>
      <c r="CT134" s="1">
        <f t="shared" si="60"/>
        <v>-9</v>
      </c>
      <c r="CU134" s="1">
        <f t="shared" si="74"/>
        <v>-9.6999999999999993</v>
      </c>
      <c r="CV134" s="1" t="s">
        <v>218</v>
      </c>
      <c r="CW134" s="1">
        <f t="shared" si="61"/>
        <v>-0.2</v>
      </c>
      <c r="CX134" s="1">
        <f t="shared" si="62"/>
        <v>-0.3</v>
      </c>
      <c r="CY134" s="1">
        <f t="shared" si="63"/>
        <v>-0.3</v>
      </c>
      <c r="CZ134" s="1">
        <f t="shared" si="64"/>
        <v>0</v>
      </c>
      <c r="DA134" s="2">
        <f t="shared" si="65"/>
        <v>39.299999999999997</v>
      </c>
      <c r="DB134" s="20">
        <f t="shared" si="66"/>
        <v>759</v>
      </c>
      <c r="DC134" s="1">
        <f>ROUND(PPTest!K134,1)</f>
        <v>0.4</v>
      </c>
      <c r="DD134" s="27">
        <f t="shared" si="90"/>
        <v>1.75</v>
      </c>
      <c r="DE134" s="3">
        <f t="shared" si="67"/>
        <v>3.99</v>
      </c>
      <c r="DF134" s="24">
        <f t="shared" si="68"/>
        <v>0.33900000000000002</v>
      </c>
      <c r="DG134" s="24">
        <f t="shared" si="69"/>
        <v>0.52400000000000002</v>
      </c>
      <c r="DH134" s="17">
        <f t="shared" si="70"/>
        <v>13.43</v>
      </c>
      <c r="DQ134" s="1">
        <v>9.1999999999999993</v>
      </c>
      <c r="DR134" s="1">
        <v>19.399999999999999</v>
      </c>
      <c r="DS134" s="1">
        <v>-1</v>
      </c>
    </row>
    <row r="135" spans="1:123" x14ac:dyDescent="0.2">
      <c r="A135" s="15">
        <f t="shared" si="71"/>
        <v>36654</v>
      </c>
      <c r="B135" s="1">
        <v>129</v>
      </c>
      <c r="C135" s="1">
        <v>14.85</v>
      </c>
      <c r="D135" s="1">
        <v>25.55</v>
      </c>
      <c r="E135" s="1">
        <v>1.4179999999999999</v>
      </c>
      <c r="F135" s="1">
        <v>81.599999999999994</v>
      </c>
      <c r="G135" s="1">
        <v>1.0209999999999999</v>
      </c>
      <c r="I135" s="1">
        <v>5.6000000000000001E-2</v>
      </c>
      <c r="J135" s="1">
        <v>0.86099999999999999</v>
      </c>
      <c r="K135" s="1">
        <v>1.726</v>
      </c>
      <c r="L135" s="1">
        <v>-6.6000000000000003E-2</v>
      </c>
      <c r="M135" s="1">
        <v>4.5999999999999999E-2</v>
      </c>
      <c r="N135" s="1">
        <v>0.33200000000000002</v>
      </c>
      <c r="O135" s="1">
        <v>0</v>
      </c>
      <c r="P135" s="2">
        <v>1.65</v>
      </c>
      <c r="R135" s="1">
        <v>8.64</v>
      </c>
      <c r="S135" s="1">
        <v>1453</v>
      </c>
      <c r="T135" s="1">
        <v>109.9</v>
      </c>
      <c r="U135" s="1">
        <v>2331</v>
      </c>
      <c r="V135" s="1">
        <v>11.04</v>
      </c>
      <c r="X135" s="1">
        <v>0.23599999999999999</v>
      </c>
      <c r="Y135" s="1">
        <v>8.7899999999999991</v>
      </c>
      <c r="Z135" s="1">
        <v>10.19</v>
      </c>
      <c r="AA135" s="1">
        <v>0.11</v>
      </c>
      <c r="AB135" s="1">
        <v>0.215</v>
      </c>
      <c r="AC135" s="1">
        <v>0.51600000000000001</v>
      </c>
      <c r="AD135" s="2">
        <v>4.6346666666666669</v>
      </c>
      <c r="AE135" s="1">
        <v>839</v>
      </c>
      <c r="AF135" s="1">
        <v>-7.42</v>
      </c>
      <c r="AG135" s="1">
        <v>213</v>
      </c>
      <c r="AH135" s="1">
        <v>44.63</v>
      </c>
      <c r="AI135" s="1">
        <v>1208</v>
      </c>
      <c r="AJ135" s="1">
        <v>-8.24</v>
      </c>
      <c r="AL135" s="1">
        <v>-0.185</v>
      </c>
      <c r="AM135" s="1">
        <v>-7.47</v>
      </c>
      <c r="AN135" s="1">
        <v>-7.33</v>
      </c>
      <c r="AO135" s="1">
        <v>-0.27200000000000002</v>
      </c>
      <c r="AP135" s="1">
        <v>-0.23699999999999999</v>
      </c>
      <c r="AQ135" s="1">
        <v>3.9E-2</v>
      </c>
      <c r="AR135" s="1">
        <v>4.5999999999999999E-2</v>
      </c>
      <c r="AS135" s="1">
        <v>0.17399999999999999</v>
      </c>
      <c r="AT135" s="1">
        <v>0.223</v>
      </c>
      <c r="AU135" s="1">
        <v>5.6000000000000001E-2</v>
      </c>
      <c r="AV135" s="1">
        <v>0.113</v>
      </c>
      <c r="AW135" s="1">
        <v>0.22700000000000001</v>
      </c>
      <c r="AX135" s="1">
        <v>0.10100000000000001</v>
      </c>
      <c r="AY135" s="1">
        <v>6.0999999999999999E-2</v>
      </c>
      <c r="AZ135" s="1">
        <v>0.48</v>
      </c>
      <c r="BA135" s="1">
        <v>2737</v>
      </c>
      <c r="BB135" s="1">
        <v>13.44</v>
      </c>
      <c r="BC135" s="1">
        <v>2786</v>
      </c>
      <c r="BF135" s="1">
        <f t="shared" si="82"/>
        <v>756</v>
      </c>
      <c r="BM135" s="17">
        <v>29.69</v>
      </c>
      <c r="BN135" s="17">
        <f t="shared" ref="BN135:BN198" si="91">BM135*$BN$1</f>
        <v>59.973800000000004</v>
      </c>
      <c r="BO135" s="18">
        <f t="shared" si="83"/>
        <v>14.55</v>
      </c>
      <c r="BP135" s="18">
        <f t="shared" si="84"/>
        <v>28.11</v>
      </c>
      <c r="BR135" s="1">
        <f t="shared" si="85"/>
        <v>99</v>
      </c>
      <c r="BS135" s="1">
        <f t="shared" si="86"/>
        <v>65.8</v>
      </c>
      <c r="BT135" s="1">
        <f t="shared" si="87"/>
        <v>33.299999999999997</v>
      </c>
      <c r="BU135" s="60">
        <f t="shared" si="88"/>
        <v>0.373</v>
      </c>
      <c r="BV135" s="60">
        <f t="shared" si="89"/>
        <v>0.747</v>
      </c>
      <c r="BX135" s="51">
        <f t="shared" si="45"/>
        <v>2.2399999999999993</v>
      </c>
      <c r="BY135" s="46">
        <v>0.76200000000000001</v>
      </c>
      <c r="BZ135" s="1">
        <v>1.5999999999999996</v>
      </c>
      <c r="CB135" s="17">
        <f t="shared" si="46"/>
        <v>14.55</v>
      </c>
      <c r="CC135" s="17">
        <f t="shared" si="47"/>
        <v>28.11</v>
      </c>
      <c r="CD135" s="3">
        <f t="shared" si="48"/>
        <v>1.4</v>
      </c>
      <c r="CE135" s="3">
        <f t="shared" si="72"/>
        <v>1</v>
      </c>
      <c r="CF135" s="1" t="s">
        <v>218</v>
      </c>
      <c r="CG135" s="3">
        <f t="shared" si="49"/>
        <v>0.1</v>
      </c>
      <c r="CH135" s="3">
        <f t="shared" si="50"/>
        <v>-0.1</v>
      </c>
      <c r="CI135" s="3">
        <f t="shared" si="51"/>
        <v>0</v>
      </c>
      <c r="CJ135" s="3">
        <f t="shared" si="52"/>
        <v>0.3</v>
      </c>
      <c r="CK135" s="27">
        <f t="shared" si="53"/>
        <v>65.8</v>
      </c>
      <c r="CL135" s="1">
        <f t="shared" si="54"/>
        <v>8.6</v>
      </c>
      <c r="CM135" s="1">
        <f t="shared" si="73"/>
        <v>11</v>
      </c>
      <c r="CN135" s="1" t="s">
        <v>218</v>
      </c>
      <c r="CO135" s="1">
        <f t="shared" si="55"/>
        <v>0.2</v>
      </c>
      <c r="CP135" s="1">
        <f t="shared" si="56"/>
        <v>0.1</v>
      </c>
      <c r="CQ135" s="1">
        <f t="shared" si="57"/>
        <v>0.2</v>
      </c>
      <c r="CR135" s="1">
        <f t="shared" si="58"/>
        <v>0.5</v>
      </c>
      <c r="CS135" s="2">
        <f t="shared" si="59"/>
        <v>99</v>
      </c>
      <c r="CT135" s="1">
        <f t="shared" si="60"/>
        <v>-7.4</v>
      </c>
      <c r="CU135" s="1">
        <f t="shared" si="74"/>
        <v>-8.1999999999999993</v>
      </c>
      <c r="CV135" s="1" t="s">
        <v>218</v>
      </c>
      <c r="CW135" s="1">
        <f t="shared" si="61"/>
        <v>-0.2</v>
      </c>
      <c r="CX135" s="1">
        <f t="shared" si="62"/>
        <v>-0.3</v>
      </c>
      <c r="CY135" s="1">
        <f t="shared" si="63"/>
        <v>-0.2</v>
      </c>
      <c r="CZ135" s="1">
        <f t="shared" si="64"/>
        <v>0</v>
      </c>
      <c r="DA135" s="2">
        <f t="shared" si="65"/>
        <v>33.299999999999997</v>
      </c>
      <c r="DB135" s="20">
        <f t="shared" si="66"/>
        <v>756</v>
      </c>
      <c r="DC135" s="1">
        <f>ROUND(PPTest!K135,1)</f>
        <v>0</v>
      </c>
      <c r="DD135" s="27">
        <f t="shared" si="90"/>
        <v>1.65</v>
      </c>
      <c r="DE135" s="3">
        <f t="shared" si="67"/>
        <v>4.63</v>
      </c>
      <c r="DF135" s="24">
        <f t="shared" si="68"/>
        <v>0.373</v>
      </c>
      <c r="DG135" s="24">
        <f t="shared" si="69"/>
        <v>0.747</v>
      </c>
      <c r="DH135" s="17">
        <f t="shared" si="70"/>
        <v>13.44</v>
      </c>
      <c r="DQ135" s="1">
        <v>10</v>
      </c>
      <c r="DR135" s="1">
        <v>21.6</v>
      </c>
      <c r="DS135" s="1">
        <v>-1.6</v>
      </c>
    </row>
    <row r="136" spans="1:123" x14ac:dyDescent="0.2">
      <c r="A136" s="15">
        <f t="shared" si="71"/>
        <v>36655</v>
      </c>
      <c r="B136" s="1">
        <v>130</v>
      </c>
      <c r="C136" s="1">
        <v>14.84</v>
      </c>
      <c r="D136" s="1">
        <v>24.47</v>
      </c>
      <c r="E136" s="1">
        <v>1.6659999999999999</v>
      </c>
      <c r="F136" s="1">
        <v>94.9</v>
      </c>
      <c r="G136" s="1">
        <v>1.0649999999999999</v>
      </c>
      <c r="I136" s="1">
        <v>6.0999999999999999E-2</v>
      </c>
      <c r="J136" s="1">
        <v>1.849</v>
      </c>
      <c r="K136" s="1">
        <v>3.2040000000000002</v>
      </c>
      <c r="L136" s="1">
        <v>-7.2999999999999995E-2</v>
      </c>
      <c r="M136" s="1">
        <v>4.7E-2</v>
      </c>
      <c r="N136" s="1">
        <v>0.33</v>
      </c>
      <c r="O136" s="1">
        <v>0</v>
      </c>
      <c r="P136" s="2">
        <v>1.349</v>
      </c>
      <c r="R136" s="1">
        <v>6.1449999999999996</v>
      </c>
      <c r="S136" s="1">
        <v>1501</v>
      </c>
      <c r="T136" s="1">
        <v>110.3</v>
      </c>
      <c r="U136" s="1">
        <v>257</v>
      </c>
      <c r="V136" s="1">
        <v>7.86</v>
      </c>
      <c r="X136" s="1">
        <v>0.20699999999999999</v>
      </c>
      <c r="Y136" s="1">
        <v>6.2060000000000004</v>
      </c>
      <c r="Z136" s="1">
        <v>8.94</v>
      </c>
      <c r="AA136" s="1">
        <v>6.8000000000000005E-2</v>
      </c>
      <c r="AB136" s="1">
        <v>0.2</v>
      </c>
      <c r="AC136" s="1">
        <v>0.49199999999999999</v>
      </c>
      <c r="AD136" s="2">
        <v>5.9680000000000009</v>
      </c>
      <c r="AE136" s="1">
        <v>1048</v>
      </c>
      <c r="AF136" s="1">
        <v>-2.1360000000000001</v>
      </c>
      <c r="AG136" s="1">
        <v>502</v>
      </c>
      <c r="AH136" s="1">
        <v>59.41</v>
      </c>
      <c r="AI136" s="1">
        <v>1235</v>
      </c>
      <c r="AJ136" s="1">
        <v>-3.61</v>
      </c>
      <c r="AL136" s="1">
        <v>-0.18099999999999999</v>
      </c>
      <c r="AM136" s="1">
        <v>-0.68500000000000005</v>
      </c>
      <c r="AN136" s="1">
        <v>-0.89200000000000002</v>
      </c>
      <c r="AO136" s="1">
        <v>-0.248</v>
      </c>
      <c r="AP136" s="1">
        <v>-0.161</v>
      </c>
      <c r="AQ136" s="1">
        <v>7.8E-2</v>
      </c>
      <c r="AR136" s="1">
        <v>0.11799999999999999</v>
      </c>
      <c r="AS136" s="1">
        <v>0.23300000000000001</v>
      </c>
      <c r="AT136" s="1">
        <v>0.14799999999999999</v>
      </c>
      <c r="AU136" s="1">
        <v>0.04</v>
      </c>
      <c r="AV136" s="1">
        <v>0.11600000000000001</v>
      </c>
      <c r="AW136" s="1">
        <v>0.21</v>
      </c>
      <c r="AX136" s="1">
        <v>6.3E-2</v>
      </c>
      <c r="AY136" s="1">
        <v>7.2999999999999995E-2</v>
      </c>
      <c r="AZ136" s="1">
        <v>1.7250000000000001</v>
      </c>
      <c r="BA136" s="1">
        <v>2734</v>
      </c>
      <c r="BB136" s="1">
        <v>13.38</v>
      </c>
      <c r="BC136" s="1">
        <v>2786</v>
      </c>
      <c r="BF136" s="1">
        <f t="shared" si="82"/>
        <v>759</v>
      </c>
      <c r="BM136" s="17">
        <v>29.87</v>
      </c>
      <c r="BN136" s="17">
        <f t="shared" si="91"/>
        <v>60.337400000000002</v>
      </c>
      <c r="BO136" s="18">
        <f t="shared" si="83"/>
        <v>14.54</v>
      </c>
      <c r="BP136" s="18">
        <f t="shared" si="84"/>
        <v>26.92</v>
      </c>
      <c r="BR136" s="1">
        <f t="shared" si="85"/>
        <v>100</v>
      </c>
      <c r="BS136" s="1">
        <f t="shared" si="86"/>
        <v>77.5</v>
      </c>
      <c r="BT136" s="1">
        <f t="shared" si="87"/>
        <v>46.3</v>
      </c>
      <c r="BU136" s="60">
        <f t="shared" si="88"/>
        <v>0.437</v>
      </c>
      <c r="BV136" s="60">
        <f t="shared" si="89"/>
        <v>0.50700000000000001</v>
      </c>
      <c r="BX136" s="51">
        <f t="shared" ref="BX136:BX150" si="92">BZ136*BZ$2</f>
        <v>0</v>
      </c>
      <c r="BY136" s="46">
        <v>14.587999999999999</v>
      </c>
      <c r="BZ136" s="1">
        <v>0</v>
      </c>
      <c r="CB136" s="17">
        <f t="shared" ref="CB136:CB158" si="93">BO136</f>
        <v>14.54</v>
      </c>
      <c r="CC136" s="17">
        <f t="shared" ref="CC136:CC158" si="94">BP136</f>
        <v>26.92</v>
      </c>
      <c r="CD136" s="3">
        <f t="shared" ref="CD136:CD199" si="95">ROUND(E136,1)</f>
        <v>1.7</v>
      </c>
      <c r="CE136" s="3">
        <f t="shared" ref="CE136:CE158" si="96">ROUND(G136,1)</f>
        <v>1.1000000000000001</v>
      </c>
      <c r="CF136" s="1" t="s">
        <v>218</v>
      </c>
      <c r="CG136" s="3">
        <f t="shared" ref="CG136:CG158" si="97">ROUND(I136,1)</f>
        <v>0.1</v>
      </c>
      <c r="CH136" s="3">
        <f t="shared" ref="CH136:CH158" si="98">ROUND(L136,1)</f>
        <v>-0.1</v>
      </c>
      <c r="CI136" s="3">
        <f t="shared" ref="CI136:CI158" si="99">ROUND(M136,1)</f>
        <v>0</v>
      </c>
      <c r="CJ136" s="3">
        <f t="shared" ref="CJ136:CJ158" si="100">ROUND(N136,1)</f>
        <v>0.3</v>
      </c>
      <c r="CK136" s="27">
        <f t="shared" ref="CK136:CK158" si="101">ROUND(BS136,1)</f>
        <v>77.5</v>
      </c>
      <c r="CL136" s="1">
        <f t="shared" ref="CL136:CL199" si="102">ROUND(R136,1)</f>
        <v>6.1</v>
      </c>
      <c r="CM136" s="1">
        <f t="shared" ref="CM136:CM158" si="103">ROUND(V136,1)</f>
        <v>7.9</v>
      </c>
      <c r="CN136" s="1" t="s">
        <v>218</v>
      </c>
      <c r="CO136" s="1">
        <f t="shared" ref="CO136:CO158" si="104">ROUND(X136,1)</f>
        <v>0.2</v>
      </c>
      <c r="CP136" s="1">
        <f t="shared" ref="CP136:CP158" si="105">ROUND(AA136,1)</f>
        <v>0.1</v>
      </c>
      <c r="CQ136" s="1">
        <f t="shared" ref="CQ136:CQ158" si="106">ROUND(AB136,1)</f>
        <v>0.2</v>
      </c>
      <c r="CR136" s="1">
        <f t="shared" ref="CR136:CR158" si="107">ROUND(AC136,1)</f>
        <v>0.5</v>
      </c>
      <c r="CS136" s="2">
        <f t="shared" ref="CS136:CS158" si="108">ROUND(BR136,1)</f>
        <v>100</v>
      </c>
      <c r="CT136" s="1">
        <f t="shared" ref="CT136:CT199" si="109">ROUND(AF136,1)</f>
        <v>-2.1</v>
      </c>
      <c r="CU136" s="1">
        <f t="shared" ref="CU136:CU158" si="110">ROUND(AJ136,1)</f>
        <v>-3.6</v>
      </c>
      <c r="CV136" s="1" t="s">
        <v>218</v>
      </c>
      <c r="CW136" s="1">
        <f t="shared" ref="CW136:CW158" si="111">ROUND(AL136,1)</f>
        <v>-0.2</v>
      </c>
      <c r="CX136" s="1">
        <f t="shared" ref="CX136:CX158" si="112">ROUND(AO136,1)</f>
        <v>-0.2</v>
      </c>
      <c r="CY136" s="1">
        <f t="shared" ref="CY136:CY158" si="113">ROUND(AP136,1)</f>
        <v>-0.2</v>
      </c>
      <c r="CZ136" s="1">
        <f t="shared" ref="CZ136:CZ158" si="114">ROUND(AQ136,1)</f>
        <v>0.1</v>
      </c>
      <c r="DA136" s="2">
        <f t="shared" ref="DA136:DA199" si="115">ROUND(BT136,1)</f>
        <v>46.3</v>
      </c>
      <c r="DB136" s="20">
        <f t="shared" ref="DB136:DB199" si="116">BF136</f>
        <v>759</v>
      </c>
      <c r="DC136" s="1">
        <f>ROUND(PPTest!K136,1)</f>
        <v>0.4</v>
      </c>
      <c r="DD136" s="27">
        <f t="shared" si="90"/>
        <v>1.35</v>
      </c>
      <c r="DE136" s="3">
        <f t="shared" ref="DE136:DE158" si="117">ROUND(AD136,2)</f>
        <v>5.97</v>
      </c>
      <c r="DF136" s="24">
        <f t="shared" ref="DF136:DF199" si="118">BU136</f>
        <v>0.437</v>
      </c>
      <c r="DG136" s="24">
        <f t="shared" ref="DG136:DG199" si="119">BV136</f>
        <v>0.50700000000000001</v>
      </c>
      <c r="DH136" s="17">
        <f t="shared" ref="DH136:DH159" si="120">BB136</f>
        <v>13.38</v>
      </c>
      <c r="DQ136" s="1">
        <v>11.2</v>
      </c>
      <c r="DR136" s="1">
        <v>17.2</v>
      </c>
      <c r="DS136" s="1">
        <v>5.2</v>
      </c>
    </row>
    <row r="137" spans="1:123" x14ac:dyDescent="0.2">
      <c r="A137" s="15">
        <f t="shared" ref="A137:A200" si="121">A136+1</f>
        <v>36656</v>
      </c>
      <c r="B137" s="1">
        <v>131</v>
      </c>
      <c r="C137" s="1">
        <v>12.82</v>
      </c>
      <c r="D137" s="1">
        <v>21.13</v>
      </c>
      <c r="E137" s="1">
        <v>0.19700000000000001</v>
      </c>
      <c r="F137" s="1">
        <v>103.2</v>
      </c>
      <c r="G137" s="1">
        <v>8.8999999999999996E-2</v>
      </c>
      <c r="I137" s="1">
        <v>0.113</v>
      </c>
      <c r="J137" s="1">
        <v>0.55500000000000005</v>
      </c>
      <c r="K137" s="1">
        <v>1.3240000000000001</v>
      </c>
      <c r="L137" s="1">
        <v>-9.2999999999999999E-2</v>
      </c>
      <c r="M137" s="1">
        <v>0.04</v>
      </c>
      <c r="N137" s="1">
        <v>0.318</v>
      </c>
      <c r="O137" s="1">
        <v>0</v>
      </c>
      <c r="P137" s="2">
        <v>1.7176666666666669</v>
      </c>
      <c r="R137" s="1">
        <v>2.9870000000000001</v>
      </c>
      <c r="S137" s="1">
        <v>1722</v>
      </c>
      <c r="T137" s="1">
        <v>109.4</v>
      </c>
      <c r="U137" s="1">
        <v>2345</v>
      </c>
      <c r="V137" s="1">
        <v>5.3289999999999997</v>
      </c>
      <c r="X137" s="1">
        <v>0.24099999999999999</v>
      </c>
      <c r="Y137" s="1">
        <v>3.2829999999999999</v>
      </c>
      <c r="Z137" s="1">
        <v>5.2809999999999997</v>
      </c>
      <c r="AA137" s="1">
        <v>1.2999999999999999E-2</v>
      </c>
      <c r="AB137" s="1">
        <v>0.15</v>
      </c>
      <c r="AC137" s="1">
        <v>0.436</v>
      </c>
      <c r="AD137" s="2">
        <v>4.5546666666666669</v>
      </c>
      <c r="AE137" s="1">
        <v>1653</v>
      </c>
      <c r="AF137" s="1">
        <v>-1.369</v>
      </c>
      <c r="AG137" s="1">
        <v>2359</v>
      </c>
      <c r="AH137" s="1">
        <v>82.2</v>
      </c>
      <c r="AI137" s="1">
        <v>1724</v>
      </c>
      <c r="AJ137" s="1">
        <v>-1.9119999999999999</v>
      </c>
      <c r="AL137" s="1">
        <v>2.5999999999999999E-2</v>
      </c>
      <c r="AM137" s="1">
        <v>-0.81200000000000006</v>
      </c>
      <c r="AN137" s="1">
        <v>-1.105</v>
      </c>
      <c r="AO137" s="1">
        <v>-0.16200000000000001</v>
      </c>
      <c r="AP137" s="1">
        <v>-5.8999999999999997E-2</v>
      </c>
      <c r="AQ137" s="1">
        <v>0.217</v>
      </c>
      <c r="AR137" s="1">
        <v>5.0000000000000001E-3</v>
      </c>
      <c r="AS137" s="1">
        <v>8.9999999999999993E-3</v>
      </c>
      <c r="AT137" s="1">
        <v>1.9E-2</v>
      </c>
      <c r="AU137" s="1">
        <v>4.4999999999999998E-2</v>
      </c>
      <c r="AV137" s="1">
        <v>0.16900000000000001</v>
      </c>
      <c r="AW137" s="1">
        <v>0.53700000000000003</v>
      </c>
      <c r="AX137" s="1">
        <v>0.188</v>
      </c>
      <c r="AY137" s="1">
        <v>2.7E-2</v>
      </c>
      <c r="AZ137" s="1">
        <v>0.85799999999999998</v>
      </c>
      <c r="BA137" s="1">
        <v>2741</v>
      </c>
      <c r="BB137" s="1">
        <v>13.4</v>
      </c>
      <c r="BC137" s="1">
        <v>2786</v>
      </c>
      <c r="BF137" s="1">
        <f t="shared" si="82"/>
        <v>752</v>
      </c>
      <c r="BM137" s="17">
        <v>30.03</v>
      </c>
      <c r="BN137" s="17">
        <f t="shared" si="91"/>
        <v>60.660600000000002</v>
      </c>
      <c r="BO137" s="18">
        <f t="shared" si="83"/>
        <v>12.56</v>
      </c>
      <c r="BP137" s="18">
        <f t="shared" si="84"/>
        <v>23.24</v>
      </c>
      <c r="BR137" s="1">
        <f t="shared" si="85"/>
        <v>98.2</v>
      </c>
      <c r="BS137" s="1">
        <f t="shared" si="86"/>
        <v>88.4</v>
      </c>
      <c r="BT137" s="1">
        <f t="shared" si="87"/>
        <v>66.3</v>
      </c>
      <c r="BU137" s="60">
        <f t="shared" si="88"/>
        <v>0.502</v>
      </c>
      <c r="BV137" s="60">
        <f t="shared" si="89"/>
        <v>0.255</v>
      </c>
      <c r="BX137" s="51">
        <f t="shared" si="92"/>
        <v>4.8999999999999995</v>
      </c>
      <c r="BY137" s="46">
        <v>4.8999999999999995</v>
      </c>
      <c r="BZ137" s="1">
        <v>3.4999999999999996</v>
      </c>
      <c r="CB137" s="17">
        <f t="shared" si="93"/>
        <v>12.56</v>
      </c>
      <c r="CC137" s="17">
        <f t="shared" si="94"/>
        <v>23.24</v>
      </c>
      <c r="CD137" s="3">
        <f t="shared" si="95"/>
        <v>0.2</v>
      </c>
      <c r="CE137" s="3">
        <f t="shared" si="96"/>
        <v>0.1</v>
      </c>
      <c r="CF137" s="1" t="s">
        <v>218</v>
      </c>
      <c r="CG137" s="3">
        <f t="shared" si="97"/>
        <v>0.1</v>
      </c>
      <c r="CH137" s="3">
        <f t="shared" si="98"/>
        <v>-0.1</v>
      </c>
      <c r="CI137" s="3">
        <f t="shared" si="99"/>
        <v>0</v>
      </c>
      <c r="CJ137" s="3">
        <f t="shared" si="100"/>
        <v>0.3</v>
      </c>
      <c r="CK137" s="27">
        <f t="shared" si="101"/>
        <v>88.4</v>
      </c>
      <c r="CL137" s="1">
        <f t="shared" si="102"/>
        <v>3</v>
      </c>
      <c r="CM137" s="1">
        <f t="shared" si="103"/>
        <v>5.3</v>
      </c>
      <c r="CN137" s="1" t="s">
        <v>218</v>
      </c>
      <c r="CO137" s="1">
        <f t="shared" si="104"/>
        <v>0.2</v>
      </c>
      <c r="CP137" s="1">
        <f t="shared" si="105"/>
        <v>0</v>
      </c>
      <c r="CQ137" s="1">
        <f t="shared" si="106"/>
        <v>0.2</v>
      </c>
      <c r="CR137" s="1">
        <f t="shared" si="107"/>
        <v>0.4</v>
      </c>
      <c r="CS137" s="2">
        <f t="shared" si="108"/>
        <v>98.2</v>
      </c>
      <c r="CT137" s="1">
        <f t="shared" si="109"/>
        <v>-1.4</v>
      </c>
      <c r="CU137" s="1">
        <f t="shared" si="110"/>
        <v>-1.9</v>
      </c>
      <c r="CV137" s="1" t="s">
        <v>218</v>
      </c>
      <c r="CW137" s="1">
        <f t="shared" si="111"/>
        <v>0</v>
      </c>
      <c r="CX137" s="1">
        <f t="shared" si="112"/>
        <v>-0.2</v>
      </c>
      <c r="CY137" s="1">
        <f t="shared" si="113"/>
        <v>-0.1</v>
      </c>
      <c r="CZ137" s="1">
        <f t="shared" si="114"/>
        <v>0.2</v>
      </c>
      <c r="DA137" s="2">
        <f t="shared" si="115"/>
        <v>66.3</v>
      </c>
      <c r="DB137" s="20">
        <f t="shared" si="116"/>
        <v>752</v>
      </c>
      <c r="DC137" s="1">
        <f>ROUND(PPTest!K137,1)</f>
        <v>5.0999999999999996</v>
      </c>
      <c r="DD137" s="27">
        <f t="shared" si="90"/>
        <v>1.72</v>
      </c>
      <c r="DE137" s="3">
        <f t="shared" si="117"/>
        <v>4.55</v>
      </c>
      <c r="DF137" s="24">
        <f t="shared" si="118"/>
        <v>0.502</v>
      </c>
      <c r="DG137" s="24">
        <f t="shared" si="119"/>
        <v>0.255</v>
      </c>
      <c r="DH137" s="17">
        <f t="shared" si="120"/>
        <v>13.4</v>
      </c>
      <c r="DQ137" s="1">
        <v>10.1</v>
      </c>
      <c r="DR137" s="1">
        <v>15.4</v>
      </c>
      <c r="DS137" s="1">
        <v>4.8</v>
      </c>
    </row>
    <row r="138" spans="1:123" x14ac:dyDescent="0.2">
      <c r="A138" s="15">
        <f t="shared" si="121"/>
        <v>36657</v>
      </c>
      <c r="B138" s="1">
        <v>132</v>
      </c>
      <c r="C138" s="1">
        <v>9.7100000000000009</v>
      </c>
      <c r="D138" s="1">
        <v>16.920000000000002</v>
      </c>
      <c r="E138" s="1">
        <v>0.3</v>
      </c>
      <c r="F138" s="1">
        <v>106.3</v>
      </c>
      <c r="G138" s="1">
        <v>-0.33600000000000002</v>
      </c>
      <c r="I138" s="1">
        <v>9.8000000000000004E-2</v>
      </c>
      <c r="J138" s="1">
        <v>0.27600000000000002</v>
      </c>
      <c r="K138" s="1">
        <v>0.94499999999999995</v>
      </c>
      <c r="L138" s="1">
        <v>-0.10199999999999999</v>
      </c>
      <c r="M138" s="1">
        <v>0.03</v>
      </c>
      <c r="N138" s="1">
        <v>0.30399999999999999</v>
      </c>
      <c r="O138" s="1">
        <v>0</v>
      </c>
      <c r="P138" s="2">
        <v>1.0753333333333333</v>
      </c>
      <c r="R138" s="1">
        <v>5.024</v>
      </c>
      <c r="S138" s="1">
        <v>1458</v>
      </c>
      <c r="T138" s="1">
        <v>109.8</v>
      </c>
      <c r="U138" s="1">
        <v>2136</v>
      </c>
      <c r="V138" s="1">
        <v>3.3130000000000002</v>
      </c>
      <c r="X138" s="1">
        <v>0.19700000000000001</v>
      </c>
      <c r="Y138" s="1">
        <v>2.9969999999999999</v>
      </c>
      <c r="Z138" s="1">
        <v>5.0789999999999997</v>
      </c>
      <c r="AA138" s="1">
        <v>5.0000000000000001E-3</v>
      </c>
      <c r="AB138" s="1">
        <v>0.14299999999999999</v>
      </c>
      <c r="AC138" s="1">
        <v>0.41199999999999998</v>
      </c>
      <c r="AD138" s="2">
        <v>4.2613333333333339</v>
      </c>
      <c r="AE138" s="1">
        <v>1502</v>
      </c>
      <c r="AF138" s="1">
        <v>-1.764</v>
      </c>
      <c r="AG138" s="1">
        <v>408</v>
      </c>
      <c r="AH138" s="1">
        <v>85.2</v>
      </c>
      <c r="AI138" s="1">
        <v>1459</v>
      </c>
      <c r="AJ138" s="1">
        <v>-2.1139999999999999</v>
      </c>
      <c r="AL138" s="1">
        <v>3.4000000000000002E-2</v>
      </c>
      <c r="AM138" s="1">
        <v>-0.67600000000000005</v>
      </c>
      <c r="AN138" s="1">
        <v>-0.71599999999999997</v>
      </c>
      <c r="AO138" s="1">
        <v>-0.17100000000000001</v>
      </c>
      <c r="AP138" s="1">
        <v>-5.3999999999999999E-2</v>
      </c>
      <c r="AQ138" s="1">
        <v>0.218</v>
      </c>
      <c r="AR138" s="1">
        <v>0.10199999999999999</v>
      </c>
      <c r="AS138" s="1">
        <v>0.13300000000000001</v>
      </c>
      <c r="AT138" s="1">
        <v>0.13400000000000001</v>
      </c>
      <c r="AU138" s="1">
        <v>5.3999999999999999E-2</v>
      </c>
      <c r="AV138" s="1">
        <v>0.16400000000000001</v>
      </c>
      <c r="AW138" s="1">
        <v>0.28699999999999998</v>
      </c>
      <c r="AX138" s="1">
        <v>8.3000000000000004E-2</v>
      </c>
      <c r="AY138" s="1">
        <v>4.2999999999999997E-2</v>
      </c>
      <c r="AZ138" s="1">
        <v>0.56699999999999995</v>
      </c>
      <c r="BA138" s="1">
        <v>2729</v>
      </c>
      <c r="BB138" s="1">
        <v>13.43</v>
      </c>
      <c r="BC138" s="1">
        <v>2786</v>
      </c>
      <c r="BF138" s="1">
        <f t="shared" si="82"/>
        <v>764</v>
      </c>
      <c r="BM138" s="17">
        <v>30.19</v>
      </c>
      <c r="BN138" s="17">
        <f t="shared" si="91"/>
        <v>60.983800000000002</v>
      </c>
      <c r="BO138" s="18">
        <f t="shared" si="83"/>
        <v>9.52</v>
      </c>
      <c r="BP138" s="18">
        <f t="shared" si="84"/>
        <v>18.61</v>
      </c>
      <c r="BR138" s="1">
        <f t="shared" si="85"/>
        <v>98.9</v>
      </c>
      <c r="BS138" s="1">
        <f t="shared" si="86"/>
        <v>93.3</v>
      </c>
      <c r="BT138" s="1">
        <f t="shared" si="87"/>
        <v>69</v>
      </c>
      <c r="BU138" s="60">
        <f t="shared" si="88"/>
        <v>0.60299999999999998</v>
      </c>
      <c r="BV138" s="60">
        <f t="shared" si="89"/>
        <v>0.27100000000000002</v>
      </c>
      <c r="BX138" s="51">
        <f t="shared" si="92"/>
        <v>0.27999999999999986</v>
      </c>
      <c r="BY138" s="46">
        <v>16.999999999999996</v>
      </c>
      <c r="BZ138" s="1">
        <v>0.19999999999999993</v>
      </c>
      <c r="CB138" s="17">
        <f t="shared" si="93"/>
        <v>9.52</v>
      </c>
      <c r="CC138" s="17">
        <f t="shared" si="94"/>
        <v>18.61</v>
      </c>
      <c r="CD138" s="3">
        <f t="shared" si="95"/>
        <v>0.3</v>
      </c>
      <c r="CE138" s="3">
        <f t="shared" si="96"/>
        <v>-0.3</v>
      </c>
      <c r="CF138" s="1" t="s">
        <v>218</v>
      </c>
      <c r="CG138" s="3">
        <f t="shared" si="97"/>
        <v>0.1</v>
      </c>
      <c r="CH138" s="3">
        <f t="shared" si="98"/>
        <v>-0.1</v>
      </c>
      <c r="CI138" s="3">
        <f t="shared" si="99"/>
        <v>0</v>
      </c>
      <c r="CJ138" s="3">
        <f t="shared" si="100"/>
        <v>0.3</v>
      </c>
      <c r="CK138" s="27">
        <f t="shared" si="101"/>
        <v>93.3</v>
      </c>
      <c r="CL138" s="1">
        <f t="shared" si="102"/>
        <v>5</v>
      </c>
      <c r="CM138" s="1">
        <f t="shared" si="103"/>
        <v>3.3</v>
      </c>
      <c r="CN138" s="1" t="s">
        <v>218</v>
      </c>
      <c r="CO138" s="1">
        <f t="shared" si="104"/>
        <v>0.2</v>
      </c>
      <c r="CP138" s="1">
        <f t="shared" si="105"/>
        <v>0</v>
      </c>
      <c r="CQ138" s="1">
        <f t="shared" si="106"/>
        <v>0.1</v>
      </c>
      <c r="CR138" s="1">
        <f t="shared" si="107"/>
        <v>0.4</v>
      </c>
      <c r="CS138" s="2">
        <f t="shared" si="108"/>
        <v>98.9</v>
      </c>
      <c r="CT138" s="1">
        <f t="shared" si="109"/>
        <v>-1.8</v>
      </c>
      <c r="CU138" s="1">
        <f t="shared" si="110"/>
        <v>-2.1</v>
      </c>
      <c r="CV138" s="1" t="s">
        <v>218</v>
      </c>
      <c r="CW138" s="1">
        <f t="shared" si="111"/>
        <v>0</v>
      </c>
      <c r="CX138" s="1">
        <f t="shared" si="112"/>
        <v>-0.2</v>
      </c>
      <c r="CY138" s="1">
        <f t="shared" si="113"/>
        <v>-0.1</v>
      </c>
      <c r="CZ138" s="1">
        <f t="shared" si="114"/>
        <v>0.2</v>
      </c>
      <c r="DA138" s="2">
        <f t="shared" si="115"/>
        <v>69</v>
      </c>
      <c r="DB138" s="20">
        <f t="shared" si="116"/>
        <v>764</v>
      </c>
      <c r="DC138" s="1">
        <f>ROUND(PPTest!K138,1)</f>
        <v>1.6</v>
      </c>
      <c r="DD138" s="27">
        <f t="shared" si="90"/>
        <v>1.08</v>
      </c>
      <c r="DE138" s="3">
        <f t="shared" si="117"/>
        <v>4.26</v>
      </c>
      <c r="DF138" s="24">
        <f t="shared" si="118"/>
        <v>0.60299999999999998</v>
      </c>
      <c r="DG138" s="24">
        <f t="shared" si="119"/>
        <v>0.27100000000000002</v>
      </c>
      <c r="DH138" s="17">
        <f t="shared" si="120"/>
        <v>13.43</v>
      </c>
      <c r="DQ138" s="1">
        <v>10.7</v>
      </c>
      <c r="DR138" s="1">
        <v>16.600000000000001</v>
      </c>
      <c r="DS138" s="1">
        <v>4.8</v>
      </c>
    </row>
    <row r="139" spans="1:123" x14ac:dyDescent="0.2">
      <c r="A139" s="15">
        <f t="shared" si="121"/>
        <v>36658</v>
      </c>
      <c r="B139" s="1">
        <v>133</v>
      </c>
      <c r="C139" s="1">
        <v>14.88</v>
      </c>
      <c r="D139" s="1">
        <v>25.8</v>
      </c>
      <c r="E139" s="1">
        <v>0.65</v>
      </c>
      <c r="F139" s="1">
        <v>104.2</v>
      </c>
      <c r="G139" s="1">
        <v>7.6999999999999999E-2</v>
      </c>
      <c r="I139" s="1">
        <v>0.104</v>
      </c>
      <c r="J139" s="1">
        <v>1.214</v>
      </c>
      <c r="K139" s="1">
        <v>2.4159999999999999</v>
      </c>
      <c r="L139" s="1">
        <v>-8.2000000000000003E-2</v>
      </c>
      <c r="M139" s="1">
        <v>5.1999999999999998E-2</v>
      </c>
      <c r="N139" s="1">
        <v>0.32300000000000001</v>
      </c>
      <c r="O139" s="1">
        <v>0</v>
      </c>
      <c r="P139" s="2">
        <v>1.319</v>
      </c>
      <c r="R139" s="1">
        <v>6.0659999999999998</v>
      </c>
      <c r="S139" s="1">
        <v>1529</v>
      </c>
      <c r="T139" s="1">
        <v>110</v>
      </c>
      <c r="U139" s="1">
        <v>140</v>
      </c>
      <c r="V139" s="1">
        <v>8.27</v>
      </c>
      <c r="X139" s="1">
        <v>0.29299999999999998</v>
      </c>
      <c r="Y139" s="1">
        <v>6.0860000000000003</v>
      </c>
      <c r="Z139" s="1">
        <v>10.45</v>
      </c>
      <c r="AA139" s="1">
        <v>9.6000000000000002E-2</v>
      </c>
      <c r="AB139" s="1">
        <v>0.23100000000000001</v>
      </c>
      <c r="AC139" s="1">
        <v>0.51100000000000001</v>
      </c>
      <c r="AD139" s="2">
        <v>4.2880000000000003</v>
      </c>
      <c r="AE139" s="1">
        <v>1408</v>
      </c>
      <c r="AF139" s="1">
        <v>-2.2069999999999999</v>
      </c>
      <c r="AG139" s="1">
        <v>2242</v>
      </c>
      <c r="AH139" s="1">
        <v>77.8</v>
      </c>
      <c r="AI139" s="1">
        <v>1643</v>
      </c>
      <c r="AJ139" s="1">
        <v>-2.9350000000000001</v>
      </c>
      <c r="AL139" s="1">
        <v>-3.5999999999999997E-2</v>
      </c>
      <c r="AM139" s="1">
        <v>-0.82199999999999995</v>
      </c>
      <c r="AN139" s="1">
        <v>-0.68600000000000005</v>
      </c>
      <c r="AO139" s="1">
        <v>-0.187</v>
      </c>
      <c r="AP139" s="1">
        <v>-8.4000000000000005E-2</v>
      </c>
      <c r="AQ139" s="1">
        <v>0.21199999999999999</v>
      </c>
      <c r="AR139" s="1">
        <v>6.7000000000000004E-2</v>
      </c>
      <c r="AS139" s="1">
        <v>0.253</v>
      </c>
      <c r="AT139" s="1">
        <v>0.20499999999999999</v>
      </c>
      <c r="AU139" s="1">
        <v>2.8000000000000001E-2</v>
      </c>
      <c r="AV139" s="1">
        <v>7.9000000000000001E-2</v>
      </c>
      <c r="AW139" s="1">
        <v>0.23899999999999999</v>
      </c>
      <c r="AX139" s="1">
        <v>9.1999999999999998E-2</v>
      </c>
      <c r="AY139" s="1">
        <v>3.9E-2</v>
      </c>
      <c r="AZ139" s="1">
        <v>0.96499999999999997</v>
      </c>
      <c r="BA139" s="1">
        <v>2745</v>
      </c>
      <c r="BB139" s="1">
        <v>13.4</v>
      </c>
      <c r="BC139" s="1">
        <v>2786</v>
      </c>
      <c r="BF139" s="1">
        <f t="shared" si="82"/>
        <v>748</v>
      </c>
      <c r="BM139" s="17">
        <v>30.35</v>
      </c>
      <c r="BN139" s="17">
        <f t="shared" si="91"/>
        <v>61.307000000000002</v>
      </c>
      <c r="BO139" s="18">
        <f t="shared" si="83"/>
        <v>14.58</v>
      </c>
      <c r="BP139" s="18">
        <f t="shared" si="84"/>
        <v>28.38</v>
      </c>
      <c r="BR139" s="1">
        <f t="shared" si="85"/>
        <v>99.2</v>
      </c>
      <c r="BS139" s="1">
        <f t="shared" si="86"/>
        <v>90</v>
      </c>
      <c r="BT139" s="1">
        <f t="shared" si="87"/>
        <v>62.5</v>
      </c>
      <c r="BU139" s="60">
        <f t="shared" si="88"/>
        <v>0.58699999999999997</v>
      </c>
      <c r="BV139" s="60">
        <f t="shared" si="89"/>
        <v>0.35199999999999998</v>
      </c>
      <c r="BX139" s="51">
        <f t="shared" si="92"/>
        <v>0</v>
      </c>
      <c r="BY139" s="46">
        <v>5.7</v>
      </c>
      <c r="BZ139" s="1">
        <v>0</v>
      </c>
      <c r="CB139" s="17">
        <f t="shared" si="93"/>
        <v>14.58</v>
      </c>
      <c r="CC139" s="17">
        <f t="shared" si="94"/>
        <v>28.38</v>
      </c>
      <c r="CD139" s="3">
        <f t="shared" si="95"/>
        <v>0.7</v>
      </c>
      <c r="CE139" s="3">
        <f t="shared" si="96"/>
        <v>0.1</v>
      </c>
      <c r="CF139" s="1" t="s">
        <v>218</v>
      </c>
      <c r="CG139" s="3">
        <f t="shared" si="97"/>
        <v>0.1</v>
      </c>
      <c r="CH139" s="3">
        <f t="shared" si="98"/>
        <v>-0.1</v>
      </c>
      <c r="CI139" s="3">
        <f t="shared" si="99"/>
        <v>0.1</v>
      </c>
      <c r="CJ139" s="3">
        <f t="shared" si="100"/>
        <v>0.3</v>
      </c>
      <c r="CK139" s="27">
        <f t="shared" si="101"/>
        <v>90</v>
      </c>
      <c r="CL139" s="1">
        <f t="shared" si="102"/>
        <v>6.1</v>
      </c>
      <c r="CM139" s="1">
        <f t="shared" si="103"/>
        <v>8.3000000000000007</v>
      </c>
      <c r="CN139" s="1" t="s">
        <v>218</v>
      </c>
      <c r="CO139" s="1">
        <f t="shared" si="104"/>
        <v>0.3</v>
      </c>
      <c r="CP139" s="1">
        <f t="shared" si="105"/>
        <v>0.1</v>
      </c>
      <c r="CQ139" s="1">
        <f t="shared" si="106"/>
        <v>0.2</v>
      </c>
      <c r="CR139" s="1">
        <f t="shared" si="107"/>
        <v>0.5</v>
      </c>
      <c r="CS139" s="2">
        <f t="shared" si="108"/>
        <v>99.2</v>
      </c>
      <c r="CT139" s="1">
        <f t="shared" si="109"/>
        <v>-2.2000000000000002</v>
      </c>
      <c r="CU139" s="1">
        <f t="shared" si="110"/>
        <v>-2.9</v>
      </c>
      <c r="CV139" s="1" t="s">
        <v>218</v>
      </c>
      <c r="CW139" s="1">
        <f t="shared" si="111"/>
        <v>0</v>
      </c>
      <c r="CX139" s="1">
        <f t="shared" si="112"/>
        <v>-0.2</v>
      </c>
      <c r="CY139" s="1">
        <f t="shared" si="113"/>
        <v>-0.1</v>
      </c>
      <c r="CZ139" s="1">
        <f t="shared" si="114"/>
        <v>0.2</v>
      </c>
      <c r="DA139" s="2">
        <f t="shared" si="115"/>
        <v>62.5</v>
      </c>
      <c r="DB139" s="20">
        <f t="shared" si="116"/>
        <v>748</v>
      </c>
      <c r="DC139" s="1">
        <f>ROUND(PPTest!K139,1)</f>
        <v>0</v>
      </c>
      <c r="DD139" s="27">
        <f t="shared" si="90"/>
        <v>1.32</v>
      </c>
      <c r="DE139" s="3">
        <f t="shared" si="117"/>
        <v>4.29</v>
      </c>
      <c r="DF139" s="24">
        <f t="shared" si="118"/>
        <v>0.58699999999999997</v>
      </c>
      <c r="DG139" s="24">
        <f t="shared" si="119"/>
        <v>0.35199999999999998</v>
      </c>
      <c r="DH139" s="17">
        <f t="shared" si="120"/>
        <v>13.4</v>
      </c>
      <c r="DQ139" s="1">
        <v>11.5</v>
      </c>
      <c r="DR139" s="1">
        <v>18.7</v>
      </c>
      <c r="DS139" s="1">
        <v>4.3</v>
      </c>
    </row>
    <row r="140" spans="1:123" x14ac:dyDescent="0.2">
      <c r="A140" s="15">
        <f t="shared" si="121"/>
        <v>36659</v>
      </c>
      <c r="B140" s="1">
        <v>134</v>
      </c>
      <c r="C140" s="1">
        <v>17.11</v>
      </c>
      <c r="D140" s="1">
        <v>29.45</v>
      </c>
      <c r="E140" s="1">
        <v>2.806</v>
      </c>
      <c r="F140" s="1">
        <v>90.7</v>
      </c>
      <c r="G140" s="1">
        <v>2.4020000000000001</v>
      </c>
      <c r="I140" s="1">
        <v>0.26400000000000001</v>
      </c>
      <c r="J140" s="1">
        <v>2.7450000000000001</v>
      </c>
      <c r="K140" s="1">
        <v>3.9140000000000001</v>
      </c>
      <c r="L140" s="1">
        <v>-4.9000000000000002E-2</v>
      </c>
      <c r="M140" s="1">
        <v>7.3999999999999996E-2</v>
      </c>
      <c r="N140" s="1">
        <v>0.36</v>
      </c>
      <c r="O140" s="1">
        <v>0</v>
      </c>
      <c r="P140" s="2">
        <v>1.6933333333333334</v>
      </c>
      <c r="R140" s="1">
        <v>8.5</v>
      </c>
      <c r="S140" s="1">
        <v>1629</v>
      </c>
      <c r="T140" s="1">
        <v>108.6</v>
      </c>
      <c r="U140" s="1">
        <v>52</v>
      </c>
      <c r="V140" s="1">
        <v>9.4</v>
      </c>
      <c r="X140" s="1">
        <v>0.48899999999999999</v>
      </c>
      <c r="Y140" s="1">
        <v>9.67</v>
      </c>
      <c r="Z140" s="1">
        <v>11.64</v>
      </c>
      <c r="AA140" s="1">
        <v>0.13</v>
      </c>
      <c r="AB140" s="1">
        <v>0.26100000000000001</v>
      </c>
      <c r="AC140" s="1">
        <v>0.55100000000000005</v>
      </c>
      <c r="AD140" s="2">
        <v>4.6613333333333333</v>
      </c>
      <c r="AE140" s="1">
        <v>1524</v>
      </c>
      <c r="AF140" s="1">
        <v>-1.712</v>
      </c>
      <c r="AG140" s="1">
        <v>2359</v>
      </c>
      <c r="AH140" s="1">
        <v>61.49</v>
      </c>
      <c r="AI140" s="1">
        <v>1630</v>
      </c>
      <c r="AJ140" s="1">
        <v>-2.68</v>
      </c>
      <c r="AL140" s="1">
        <v>7.8E-2</v>
      </c>
      <c r="AM140" s="1">
        <v>-0.77100000000000002</v>
      </c>
      <c r="AN140" s="1">
        <v>-1.1399999999999999</v>
      </c>
      <c r="AO140" s="1">
        <v>-0.186</v>
      </c>
      <c r="AP140" s="1">
        <v>-9.4E-2</v>
      </c>
      <c r="AQ140" s="1">
        <v>0.217</v>
      </c>
      <c r="AR140" s="1">
        <v>0.16800000000000001</v>
      </c>
      <c r="AS140" s="1">
        <v>0.502</v>
      </c>
      <c r="AT140" s="1">
        <v>0.19600000000000001</v>
      </c>
      <c r="AU140" s="1">
        <v>1.4999999999999999E-2</v>
      </c>
      <c r="AV140" s="1">
        <v>2.4E-2</v>
      </c>
      <c r="AW140" s="1">
        <v>4.3999999999999997E-2</v>
      </c>
      <c r="AX140" s="1">
        <v>1.7000000000000001E-2</v>
      </c>
      <c r="AY140" s="1">
        <v>3.4000000000000002E-2</v>
      </c>
      <c r="AZ140" s="1">
        <v>2.375</v>
      </c>
      <c r="BA140" s="1">
        <v>2773</v>
      </c>
      <c r="BB140" s="1">
        <v>13.43</v>
      </c>
      <c r="BC140" s="1">
        <v>2786</v>
      </c>
      <c r="BF140" s="1">
        <f t="shared" si="82"/>
        <v>720</v>
      </c>
      <c r="BM140" s="17">
        <v>30.5</v>
      </c>
      <c r="BN140" s="17">
        <f t="shared" si="91"/>
        <v>61.61</v>
      </c>
      <c r="BO140" s="18">
        <f t="shared" si="83"/>
        <v>16.77</v>
      </c>
      <c r="BP140" s="18">
        <f t="shared" si="84"/>
        <v>32.4</v>
      </c>
      <c r="BR140" s="1">
        <f t="shared" si="85"/>
        <v>97</v>
      </c>
      <c r="BS140" s="1">
        <f t="shared" si="86"/>
        <v>73.8</v>
      </c>
      <c r="BT140" s="1">
        <f t="shared" si="87"/>
        <v>48.1</v>
      </c>
      <c r="BU140" s="60">
        <f t="shared" si="88"/>
        <v>0.53400000000000003</v>
      </c>
      <c r="BV140" s="60">
        <f t="shared" si="89"/>
        <v>0.57599999999999996</v>
      </c>
      <c r="BX140" s="51">
        <f t="shared" si="92"/>
        <v>0</v>
      </c>
      <c r="BY140" s="46">
        <v>0</v>
      </c>
      <c r="BZ140" s="1">
        <v>0</v>
      </c>
      <c r="CB140" s="17">
        <f t="shared" si="93"/>
        <v>16.77</v>
      </c>
      <c r="CC140" s="17">
        <f t="shared" si="94"/>
        <v>32.4</v>
      </c>
      <c r="CD140" s="3">
        <f t="shared" si="95"/>
        <v>2.8</v>
      </c>
      <c r="CE140" s="3">
        <f t="shared" si="96"/>
        <v>2.4</v>
      </c>
      <c r="CF140" s="1" t="s">
        <v>218</v>
      </c>
      <c r="CG140" s="3">
        <f t="shared" si="97"/>
        <v>0.3</v>
      </c>
      <c r="CH140" s="3">
        <f t="shared" si="98"/>
        <v>0</v>
      </c>
      <c r="CI140" s="3">
        <f t="shared" si="99"/>
        <v>0.1</v>
      </c>
      <c r="CJ140" s="3">
        <f t="shared" si="100"/>
        <v>0.4</v>
      </c>
      <c r="CK140" s="27">
        <f t="shared" si="101"/>
        <v>73.8</v>
      </c>
      <c r="CL140" s="1">
        <f t="shared" si="102"/>
        <v>8.5</v>
      </c>
      <c r="CM140" s="1">
        <f t="shared" si="103"/>
        <v>9.4</v>
      </c>
      <c r="CN140" s="1" t="s">
        <v>218</v>
      </c>
      <c r="CO140" s="1">
        <f t="shared" si="104"/>
        <v>0.5</v>
      </c>
      <c r="CP140" s="1">
        <f t="shared" si="105"/>
        <v>0.1</v>
      </c>
      <c r="CQ140" s="1">
        <f t="shared" si="106"/>
        <v>0.3</v>
      </c>
      <c r="CR140" s="1">
        <f t="shared" si="107"/>
        <v>0.6</v>
      </c>
      <c r="CS140" s="2">
        <f t="shared" si="108"/>
        <v>97</v>
      </c>
      <c r="CT140" s="1">
        <f t="shared" si="109"/>
        <v>-1.7</v>
      </c>
      <c r="CU140" s="1">
        <f t="shared" si="110"/>
        <v>-2.7</v>
      </c>
      <c r="CV140" s="1" t="s">
        <v>218</v>
      </c>
      <c r="CW140" s="1">
        <f t="shared" si="111"/>
        <v>0.1</v>
      </c>
      <c r="CX140" s="1">
        <f t="shared" si="112"/>
        <v>-0.2</v>
      </c>
      <c r="CY140" s="1">
        <f t="shared" si="113"/>
        <v>-0.1</v>
      </c>
      <c r="CZ140" s="1">
        <f t="shared" si="114"/>
        <v>0.2</v>
      </c>
      <c r="DA140" s="2">
        <f t="shared" si="115"/>
        <v>48.1</v>
      </c>
      <c r="DB140" s="20">
        <f t="shared" si="116"/>
        <v>720</v>
      </c>
      <c r="DC140" s="1">
        <f>ROUND(PPTest!K140,1)</f>
        <v>0</v>
      </c>
      <c r="DD140" s="27">
        <f t="shared" si="90"/>
        <v>1.69</v>
      </c>
      <c r="DE140" s="3">
        <f t="shared" si="117"/>
        <v>4.66</v>
      </c>
      <c r="DF140" s="24">
        <f t="shared" si="118"/>
        <v>0.53400000000000003</v>
      </c>
      <c r="DG140" s="24">
        <f t="shared" si="119"/>
        <v>0.57599999999999996</v>
      </c>
      <c r="DH140" s="17">
        <f t="shared" si="120"/>
        <v>13.43</v>
      </c>
      <c r="DQ140" s="1">
        <v>12.2</v>
      </c>
      <c r="DR140" s="1">
        <v>20</v>
      </c>
      <c r="DS140" s="1">
        <v>4.3</v>
      </c>
    </row>
    <row r="141" spans="1:123" x14ac:dyDescent="0.2">
      <c r="A141" s="15">
        <f t="shared" si="121"/>
        <v>36660</v>
      </c>
      <c r="B141" s="1">
        <v>135</v>
      </c>
      <c r="C141" s="1">
        <v>15.43</v>
      </c>
      <c r="D141" s="1">
        <v>26.77</v>
      </c>
      <c r="E141" s="1">
        <v>4.4139999999999997</v>
      </c>
      <c r="F141" s="1">
        <v>75</v>
      </c>
      <c r="G141" s="1">
        <v>3.86</v>
      </c>
      <c r="I141" s="1">
        <v>0.27500000000000002</v>
      </c>
      <c r="J141" s="1">
        <v>3.9449999999999998</v>
      </c>
      <c r="K141" s="1">
        <v>4.9640000000000004</v>
      </c>
      <c r="L141" s="1">
        <v>-3.4000000000000002E-2</v>
      </c>
      <c r="M141" s="1">
        <v>0.08</v>
      </c>
      <c r="N141" s="1">
        <v>0.38500000000000001</v>
      </c>
      <c r="O141" s="1">
        <v>0</v>
      </c>
      <c r="P141" s="2">
        <v>1.7303333333333333</v>
      </c>
      <c r="R141" s="1">
        <v>10.54</v>
      </c>
      <c r="S141" s="1">
        <v>1245</v>
      </c>
      <c r="T141" s="1">
        <v>103.8</v>
      </c>
      <c r="U141" s="1">
        <v>402</v>
      </c>
      <c r="V141" s="1">
        <v>11.96</v>
      </c>
      <c r="X141" s="1">
        <v>0.45700000000000002</v>
      </c>
      <c r="Y141" s="1">
        <v>10.87</v>
      </c>
      <c r="Z141" s="1">
        <v>12.99</v>
      </c>
      <c r="AA141" s="1">
        <v>0.157</v>
      </c>
      <c r="AB141" s="1">
        <v>0.27500000000000002</v>
      </c>
      <c r="AC141" s="1">
        <v>0.59199999999999997</v>
      </c>
      <c r="AD141" s="2">
        <v>6.048</v>
      </c>
      <c r="AE141" s="1">
        <v>1249</v>
      </c>
      <c r="AF141" s="1">
        <v>-3.1659999999999999</v>
      </c>
      <c r="AG141" s="1">
        <v>448</v>
      </c>
      <c r="AH141" s="1">
        <v>40.89</v>
      </c>
      <c r="AI141" s="1">
        <v>1241</v>
      </c>
      <c r="AJ141" s="1">
        <v>-3.9889999999999999</v>
      </c>
      <c r="AL141" s="1">
        <v>8.3000000000000004E-2</v>
      </c>
      <c r="AM141" s="1">
        <v>-0.72399999999999998</v>
      </c>
      <c r="AN141" s="1">
        <v>-0.71899999999999997</v>
      </c>
      <c r="AO141" s="1">
        <v>-0.23300000000000001</v>
      </c>
      <c r="AP141" s="1">
        <v>-0.154</v>
      </c>
      <c r="AQ141" s="1">
        <v>0.13400000000000001</v>
      </c>
      <c r="AR141" s="1">
        <v>0.11600000000000001</v>
      </c>
      <c r="AS141" s="1">
        <v>0.438</v>
      </c>
      <c r="AT141" s="1">
        <v>0.26400000000000001</v>
      </c>
      <c r="AU141" s="1">
        <v>3.6999999999999998E-2</v>
      </c>
      <c r="AV141" s="1">
        <v>3.2000000000000001E-2</v>
      </c>
      <c r="AW141" s="1">
        <v>4.2000000000000003E-2</v>
      </c>
      <c r="AX141" s="1">
        <v>1.7999999999999999E-2</v>
      </c>
      <c r="AY141" s="1">
        <v>5.1999999999999998E-2</v>
      </c>
      <c r="AZ141" s="1">
        <v>3.2429999999999999</v>
      </c>
      <c r="BA141" s="1">
        <v>2805</v>
      </c>
      <c r="BB141" s="1">
        <v>13.42</v>
      </c>
      <c r="BC141" s="1">
        <v>2786</v>
      </c>
      <c r="BF141" s="1">
        <f t="shared" si="82"/>
        <v>688</v>
      </c>
      <c r="BM141" s="17">
        <v>30.66</v>
      </c>
      <c r="BN141" s="17">
        <f t="shared" si="91"/>
        <v>61.933199999999999</v>
      </c>
      <c r="BO141" s="18">
        <f t="shared" si="83"/>
        <v>15.12</v>
      </c>
      <c r="BP141" s="18">
        <f t="shared" si="84"/>
        <v>29.45</v>
      </c>
      <c r="BR141" s="1">
        <f t="shared" si="85"/>
        <v>89.3</v>
      </c>
      <c r="BS141" s="1">
        <f t="shared" si="86"/>
        <v>60</v>
      </c>
      <c r="BT141" s="1">
        <f t="shared" si="87"/>
        <v>30</v>
      </c>
      <c r="BU141" s="60">
        <f t="shared" si="88"/>
        <v>0.38200000000000001</v>
      </c>
      <c r="BV141" s="60">
        <f t="shared" si="89"/>
        <v>0.89100000000000001</v>
      </c>
      <c r="BX141" s="51">
        <f t="shared" si="92"/>
        <v>0</v>
      </c>
      <c r="BY141" s="46">
        <v>0</v>
      </c>
      <c r="BZ141" s="1">
        <v>0</v>
      </c>
      <c r="CB141" s="17">
        <f t="shared" si="93"/>
        <v>15.12</v>
      </c>
      <c r="CC141" s="17">
        <f t="shared" si="94"/>
        <v>29.45</v>
      </c>
      <c r="CD141" s="3">
        <f t="shared" si="95"/>
        <v>4.4000000000000004</v>
      </c>
      <c r="CE141" s="3">
        <f t="shared" si="96"/>
        <v>3.9</v>
      </c>
      <c r="CF141" s="1" t="s">
        <v>218</v>
      </c>
      <c r="CG141" s="3">
        <f t="shared" si="97"/>
        <v>0.3</v>
      </c>
      <c r="CH141" s="3">
        <f t="shared" si="98"/>
        <v>0</v>
      </c>
      <c r="CI141" s="3">
        <f t="shared" si="99"/>
        <v>0.1</v>
      </c>
      <c r="CJ141" s="3">
        <f t="shared" si="100"/>
        <v>0.4</v>
      </c>
      <c r="CK141" s="27">
        <f t="shared" si="101"/>
        <v>60</v>
      </c>
      <c r="CL141" s="1">
        <f t="shared" si="102"/>
        <v>10.5</v>
      </c>
      <c r="CM141" s="1">
        <f t="shared" si="103"/>
        <v>12</v>
      </c>
      <c r="CN141" s="1" t="s">
        <v>218</v>
      </c>
      <c r="CO141" s="1">
        <f t="shared" si="104"/>
        <v>0.5</v>
      </c>
      <c r="CP141" s="1">
        <f t="shared" si="105"/>
        <v>0.2</v>
      </c>
      <c r="CQ141" s="1">
        <f t="shared" si="106"/>
        <v>0.3</v>
      </c>
      <c r="CR141" s="1">
        <f t="shared" si="107"/>
        <v>0.6</v>
      </c>
      <c r="CS141" s="2">
        <f t="shared" si="108"/>
        <v>89.3</v>
      </c>
      <c r="CT141" s="1">
        <f t="shared" si="109"/>
        <v>-3.2</v>
      </c>
      <c r="CU141" s="1">
        <f t="shared" si="110"/>
        <v>-4</v>
      </c>
      <c r="CV141" s="1" t="s">
        <v>218</v>
      </c>
      <c r="CW141" s="1">
        <f t="shared" si="111"/>
        <v>0.1</v>
      </c>
      <c r="CX141" s="1">
        <f t="shared" si="112"/>
        <v>-0.2</v>
      </c>
      <c r="CY141" s="1">
        <f t="shared" si="113"/>
        <v>-0.2</v>
      </c>
      <c r="CZ141" s="1">
        <f t="shared" si="114"/>
        <v>0.1</v>
      </c>
      <c r="DA141" s="2">
        <f t="shared" si="115"/>
        <v>30</v>
      </c>
      <c r="DB141" s="20">
        <f t="shared" si="116"/>
        <v>688</v>
      </c>
      <c r="DC141" s="1">
        <f>ROUND(PPTest!K141,1)</f>
        <v>0</v>
      </c>
      <c r="DD141" s="27">
        <f t="shared" si="90"/>
        <v>1.73</v>
      </c>
      <c r="DE141" s="3">
        <f t="shared" si="117"/>
        <v>6.05</v>
      </c>
      <c r="DF141" s="24">
        <f t="shared" si="118"/>
        <v>0.38200000000000001</v>
      </c>
      <c r="DG141" s="24">
        <f t="shared" si="119"/>
        <v>0.89100000000000001</v>
      </c>
      <c r="DH141" s="17">
        <f t="shared" si="120"/>
        <v>13.42</v>
      </c>
      <c r="DQ141" s="1">
        <v>12</v>
      </c>
      <c r="DR141" s="1">
        <v>23</v>
      </c>
      <c r="DS141" s="1">
        <v>0.9</v>
      </c>
    </row>
    <row r="142" spans="1:123" x14ac:dyDescent="0.2">
      <c r="A142" s="15">
        <f t="shared" si="121"/>
        <v>36661</v>
      </c>
      <c r="B142" s="1">
        <v>136</v>
      </c>
      <c r="C142" s="1">
        <v>19.28</v>
      </c>
      <c r="D142" s="1">
        <v>33.520000000000003</v>
      </c>
      <c r="E142" s="1">
        <v>6.3490000000000002</v>
      </c>
      <c r="F142" s="1">
        <v>77.7</v>
      </c>
      <c r="G142" s="1">
        <v>5.8150000000000004</v>
      </c>
      <c r="I142" s="1">
        <v>0.255</v>
      </c>
      <c r="J142" s="1">
        <v>6.1790000000000003</v>
      </c>
      <c r="K142" s="1">
        <v>7.69</v>
      </c>
      <c r="L142" s="1">
        <v>4.0000000000000001E-3</v>
      </c>
      <c r="M142" s="1">
        <v>9.6000000000000002E-2</v>
      </c>
      <c r="N142" s="1">
        <v>0.42299999999999999</v>
      </c>
      <c r="O142" s="1">
        <v>0</v>
      </c>
      <c r="P142" s="2">
        <v>1.6156666666666666</v>
      </c>
      <c r="R142" s="1">
        <v>14.4</v>
      </c>
      <c r="S142" s="1">
        <v>1553</v>
      </c>
      <c r="T142" s="1">
        <v>102.4</v>
      </c>
      <c r="U142" s="1">
        <v>447</v>
      </c>
      <c r="V142" s="1">
        <v>15.65</v>
      </c>
      <c r="X142" s="1">
        <v>0.45300000000000001</v>
      </c>
      <c r="Y142" s="1">
        <v>14.69</v>
      </c>
      <c r="Z142" s="1">
        <v>17.5</v>
      </c>
      <c r="AA142" s="1">
        <v>0.215</v>
      </c>
      <c r="AB142" s="1">
        <v>0.315</v>
      </c>
      <c r="AC142" s="1">
        <v>0.64800000000000002</v>
      </c>
      <c r="AD142" s="2">
        <v>4.0746666666666664</v>
      </c>
      <c r="AE142" s="1">
        <v>1628</v>
      </c>
      <c r="AF142" s="1">
        <v>-0.76200000000000001</v>
      </c>
      <c r="AG142" s="1">
        <v>32</v>
      </c>
      <c r="AH142" s="1">
        <v>40.869999999999997</v>
      </c>
      <c r="AI142" s="1">
        <v>1429</v>
      </c>
      <c r="AJ142" s="1">
        <v>-1.5660000000000001</v>
      </c>
      <c r="AL142" s="1">
        <v>7.2999999999999995E-2</v>
      </c>
      <c r="AM142" s="1">
        <v>-0.73</v>
      </c>
      <c r="AN142" s="1">
        <v>-1.173</v>
      </c>
      <c r="AO142" s="1">
        <v>-0.17299999999999999</v>
      </c>
      <c r="AP142" s="1">
        <v>-0.06</v>
      </c>
      <c r="AQ142" s="1">
        <v>0.251</v>
      </c>
      <c r="AR142" s="1">
        <v>3.6999999999999998E-2</v>
      </c>
      <c r="AS142" s="1">
        <v>0.30499999999999999</v>
      </c>
      <c r="AT142" s="1">
        <v>0.32200000000000001</v>
      </c>
      <c r="AU142" s="1">
        <v>3.2000000000000001E-2</v>
      </c>
      <c r="AV142" s="1">
        <v>8.6999999999999994E-2</v>
      </c>
      <c r="AW142" s="1">
        <v>0.12</v>
      </c>
      <c r="AX142" s="1">
        <v>0.06</v>
      </c>
      <c r="AY142" s="1">
        <v>3.6999999999999998E-2</v>
      </c>
      <c r="AZ142" s="1">
        <v>5.4530000000000003</v>
      </c>
      <c r="BA142" s="1">
        <v>2857</v>
      </c>
      <c r="BB142" s="1">
        <v>13.38</v>
      </c>
      <c r="BC142" s="1">
        <v>2786</v>
      </c>
      <c r="BF142" s="1">
        <f t="shared" si="82"/>
        <v>636</v>
      </c>
      <c r="BM142" s="17">
        <v>30.8</v>
      </c>
      <c r="BN142" s="17">
        <f t="shared" si="91"/>
        <v>62.216000000000001</v>
      </c>
      <c r="BO142" s="18">
        <f t="shared" si="83"/>
        <v>18.89</v>
      </c>
      <c r="BP142" s="18">
        <f t="shared" si="84"/>
        <v>36.869999999999997</v>
      </c>
      <c r="BR142" s="1">
        <f t="shared" si="85"/>
        <v>87.1</v>
      </c>
      <c r="BS142" s="1">
        <f t="shared" si="86"/>
        <v>62.4</v>
      </c>
      <c r="BT142" s="1">
        <f t="shared" si="87"/>
        <v>30</v>
      </c>
      <c r="BU142" s="60">
        <f t="shared" si="88"/>
        <v>0.49199999999999999</v>
      </c>
      <c r="BV142" s="60">
        <f t="shared" si="89"/>
        <v>1.1479999999999999</v>
      </c>
      <c r="BX142" s="51">
        <f t="shared" si="92"/>
        <v>0</v>
      </c>
      <c r="BY142" s="46">
        <v>0</v>
      </c>
      <c r="BZ142" s="1">
        <v>0</v>
      </c>
      <c r="CB142" s="17">
        <f t="shared" si="93"/>
        <v>18.89</v>
      </c>
      <c r="CC142" s="17">
        <f t="shared" si="94"/>
        <v>36.869999999999997</v>
      </c>
      <c r="CD142" s="3">
        <f t="shared" si="95"/>
        <v>6.3</v>
      </c>
      <c r="CE142" s="3">
        <f t="shared" si="96"/>
        <v>5.8</v>
      </c>
      <c r="CF142" s="1" t="s">
        <v>218</v>
      </c>
      <c r="CG142" s="3">
        <f t="shared" si="97"/>
        <v>0.3</v>
      </c>
      <c r="CH142" s="3">
        <f t="shared" si="98"/>
        <v>0</v>
      </c>
      <c r="CI142" s="3">
        <f t="shared" si="99"/>
        <v>0.1</v>
      </c>
      <c r="CJ142" s="3">
        <f t="shared" si="100"/>
        <v>0.4</v>
      </c>
      <c r="CK142" s="27">
        <f t="shared" si="101"/>
        <v>62.4</v>
      </c>
      <c r="CL142" s="1">
        <f t="shared" si="102"/>
        <v>14.4</v>
      </c>
      <c r="CM142" s="1">
        <f t="shared" si="103"/>
        <v>15.7</v>
      </c>
      <c r="CN142" s="1" t="s">
        <v>218</v>
      </c>
      <c r="CO142" s="1">
        <f t="shared" si="104"/>
        <v>0.5</v>
      </c>
      <c r="CP142" s="1">
        <f t="shared" si="105"/>
        <v>0.2</v>
      </c>
      <c r="CQ142" s="1">
        <f t="shared" si="106"/>
        <v>0.3</v>
      </c>
      <c r="CR142" s="1">
        <f t="shared" si="107"/>
        <v>0.6</v>
      </c>
      <c r="CS142" s="2">
        <f t="shared" si="108"/>
        <v>87.1</v>
      </c>
      <c r="CT142" s="1">
        <f t="shared" si="109"/>
        <v>-0.8</v>
      </c>
      <c r="CU142" s="1">
        <f t="shared" si="110"/>
        <v>-1.6</v>
      </c>
      <c r="CV142" s="1" t="s">
        <v>218</v>
      </c>
      <c r="CW142" s="1">
        <f t="shared" si="111"/>
        <v>0.1</v>
      </c>
      <c r="CX142" s="1">
        <f t="shared" si="112"/>
        <v>-0.2</v>
      </c>
      <c r="CY142" s="1">
        <f t="shared" si="113"/>
        <v>-0.1</v>
      </c>
      <c r="CZ142" s="1">
        <f t="shared" si="114"/>
        <v>0.3</v>
      </c>
      <c r="DA142" s="2">
        <f t="shared" si="115"/>
        <v>30</v>
      </c>
      <c r="DB142" s="20">
        <f t="shared" si="116"/>
        <v>636</v>
      </c>
      <c r="DC142" s="1">
        <f>ROUND(PPTest!K142,1)</f>
        <v>0</v>
      </c>
      <c r="DD142" s="27">
        <f t="shared" si="90"/>
        <v>1.62</v>
      </c>
      <c r="DE142" s="3">
        <f t="shared" si="117"/>
        <v>4.07</v>
      </c>
      <c r="DF142" s="24">
        <f t="shared" si="118"/>
        <v>0.49199999999999999</v>
      </c>
      <c r="DG142" s="24">
        <f t="shared" si="119"/>
        <v>1.1479999999999999</v>
      </c>
      <c r="DH142" s="17">
        <f t="shared" si="120"/>
        <v>13.38</v>
      </c>
      <c r="DQ142" s="1">
        <v>15.6</v>
      </c>
      <c r="DR142" s="1">
        <v>27.1</v>
      </c>
      <c r="DS142" s="1">
        <v>4.0999999999999996</v>
      </c>
    </row>
    <row r="143" spans="1:123" x14ac:dyDescent="0.2">
      <c r="A143" s="15">
        <f t="shared" si="121"/>
        <v>36662</v>
      </c>
      <c r="B143" s="1">
        <v>137</v>
      </c>
      <c r="C143" s="1">
        <v>19.57</v>
      </c>
      <c r="D143" s="1">
        <v>33.659999999999997</v>
      </c>
      <c r="E143" s="1">
        <v>7.38</v>
      </c>
      <c r="F143" s="1">
        <v>76</v>
      </c>
      <c r="G143" s="1">
        <v>6.7759999999999998</v>
      </c>
      <c r="I143" s="1">
        <v>0.20899999999999999</v>
      </c>
      <c r="J143" s="1">
        <v>7.17</v>
      </c>
      <c r="K143" s="1">
        <v>8.7899999999999991</v>
      </c>
      <c r="L143" s="1">
        <v>8.9999999999999993E-3</v>
      </c>
      <c r="M143" s="1">
        <v>7.4999999999999997E-2</v>
      </c>
      <c r="N143" s="1">
        <v>0.42099999999999999</v>
      </c>
      <c r="O143" s="1">
        <v>0</v>
      </c>
      <c r="P143" s="2">
        <v>1.5396666666666667</v>
      </c>
      <c r="R143" s="1">
        <v>15.86</v>
      </c>
      <c r="S143" s="1">
        <v>1717</v>
      </c>
      <c r="T143" s="1">
        <v>105.6</v>
      </c>
      <c r="U143" s="1">
        <v>459</v>
      </c>
      <c r="V143" s="1">
        <v>16.96</v>
      </c>
      <c r="X143" s="1">
        <v>0.42199999999999999</v>
      </c>
      <c r="Y143" s="1">
        <v>14.75</v>
      </c>
      <c r="Z143" s="1">
        <v>18.93</v>
      </c>
      <c r="AA143" s="1">
        <v>0.215</v>
      </c>
      <c r="AB143" s="1">
        <v>0.307</v>
      </c>
      <c r="AC143" s="1">
        <v>0.67500000000000004</v>
      </c>
      <c r="AD143" s="2">
        <v>3.6213333333333337</v>
      </c>
      <c r="AE143" s="1">
        <v>1550</v>
      </c>
      <c r="AF143" s="1">
        <v>-0.74299999999999999</v>
      </c>
      <c r="AG143" s="1">
        <v>447</v>
      </c>
      <c r="AH143" s="1">
        <v>38.76</v>
      </c>
      <c r="AI143" s="1">
        <v>1729</v>
      </c>
      <c r="AJ143" s="1">
        <v>-1.522</v>
      </c>
      <c r="AL143" s="1">
        <v>-1.6E-2</v>
      </c>
      <c r="AM143" s="1">
        <v>-0.88200000000000001</v>
      </c>
      <c r="AN143" s="1">
        <v>-1.018</v>
      </c>
      <c r="AO143" s="1">
        <v>-0.21199999999999999</v>
      </c>
      <c r="AP143" s="1">
        <v>-0.20499999999999999</v>
      </c>
      <c r="AQ143" s="1">
        <v>0.14799999999999999</v>
      </c>
      <c r="AR143" s="1">
        <v>5.7000000000000002E-2</v>
      </c>
      <c r="AS143" s="1">
        <v>0.371</v>
      </c>
      <c r="AT143" s="1">
        <v>0.38600000000000001</v>
      </c>
      <c r="AU143" s="1">
        <v>3.5000000000000003E-2</v>
      </c>
      <c r="AV143" s="1">
        <v>5.3999999999999999E-2</v>
      </c>
      <c r="AW143" s="1">
        <v>0.06</v>
      </c>
      <c r="AX143" s="1">
        <v>1.0999999999999999E-2</v>
      </c>
      <c r="AY143" s="1">
        <v>2.5999999999999999E-2</v>
      </c>
      <c r="AZ143" s="1">
        <v>6.2720000000000002</v>
      </c>
      <c r="BA143" s="1">
        <v>2896</v>
      </c>
      <c r="BB143" s="1">
        <v>13.37</v>
      </c>
      <c r="BC143" s="1">
        <v>2786</v>
      </c>
      <c r="BF143" s="1">
        <f t="shared" si="82"/>
        <v>597</v>
      </c>
      <c r="BM143" s="17">
        <v>30.94</v>
      </c>
      <c r="BN143" s="17">
        <f t="shared" si="91"/>
        <v>62.498800000000003</v>
      </c>
      <c r="BO143" s="18">
        <f t="shared" si="83"/>
        <v>19.18</v>
      </c>
      <c r="BP143" s="18">
        <f t="shared" si="84"/>
        <v>37.03</v>
      </c>
      <c r="BR143" s="1">
        <f t="shared" si="85"/>
        <v>92.2</v>
      </c>
      <c r="BS143" s="1">
        <f t="shared" si="86"/>
        <v>60.9</v>
      </c>
      <c r="BT143" s="1">
        <f t="shared" si="87"/>
        <v>28.1</v>
      </c>
      <c r="BU143" s="60">
        <f t="shared" si="88"/>
        <v>0.50600000000000001</v>
      </c>
      <c r="BV143" s="60">
        <f t="shared" si="89"/>
        <v>1.2949999999999999</v>
      </c>
      <c r="BX143" s="51">
        <f t="shared" si="92"/>
        <v>0</v>
      </c>
      <c r="BY143" s="46">
        <v>0</v>
      </c>
      <c r="BZ143" s="1">
        <v>0</v>
      </c>
      <c r="CB143" s="17">
        <f t="shared" si="93"/>
        <v>19.18</v>
      </c>
      <c r="CC143" s="17">
        <f t="shared" si="94"/>
        <v>37.03</v>
      </c>
      <c r="CD143" s="3">
        <f t="shared" si="95"/>
        <v>7.4</v>
      </c>
      <c r="CE143" s="3">
        <f t="shared" si="96"/>
        <v>6.8</v>
      </c>
      <c r="CF143" s="1" t="s">
        <v>218</v>
      </c>
      <c r="CG143" s="3">
        <f t="shared" si="97"/>
        <v>0.2</v>
      </c>
      <c r="CH143" s="3">
        <f t="shared" si="98"/>
        <v>0</v>
      </c>
      <c r="CI143" s="3">
        <f t="shared" si="99"/>
        <v>0.1</v>
      </c>
      <c r="CJ143" s="3">
        <f t="shared" si="100"/>
        <v>0.4</v>
      </c>
      <c r="CK143" s="27">
        <f t="shared" si="101"/>
        <v>60.9</v>
      </c>
      <c r="CL143" s="1">
        <f t="shared" si="102"/>
        <v>15.9</v>
      </c>
      <c r="CM143" s="1">
        <f t="shared" si="103"/>
        <v>17</v>
      </c>
      <c r="CN143" s="1" t="s">
        <v>218</v>
      </c>
      <c r="CO143" s="1">
        <f t="shared" si="104"/>
        <v>0.4</v>
      </c>
      <c r="CP143" s="1">
        <f t="shared" si="105"/>
        <v>0.2</v>
      </c>
      <c r="CQ143" s="1">
        <f t="shared" si="106"/>
        <v>0.3</v>
      </c>
      <c r="CR143" s="1">
        <f t="shared" si="107"/>
        <v>0.7</v>
      </c>
      <c r="CS143" s="2">
        <f t="shared" si="108"/>
        <v>92.2</v>
      </c>
      <c r="CT143" s="1">
        <f t="shared" si="109"/>
        <v>-0.7</v>
      </c>
      <c r="CU143" s="1">
        <f t="shared" si="110"/>
        <v>-1.5</v>
      </c>
      <c r="CV143" s="1" t="s">
        <v>218</v>
      </c>
      <c r="CW143" s="1">
        <f t="shared" si="111"/>
        <v>0</v>
      </c>
      <c r="CX143" s="1">
        <f t="shared" si="112"/>
        <v>-0.2</v>
      </c>
      <c r="CY143" s="1">
        <f t="shared" si="113"/>
        <v>-0.2</v>
      </c>
      <c r="CZ143" s="1">
        <f t="shared" si="114"/>
        <v>0.1</v>
      </c>
      <c r="DA143" s="2">
        <f t="shared" si="115"/>
        <v>28.1</v>
      </c>
      <c r="DB143" s="20">
        <f t="shared" si="116"/>
        <v>597</v>
      </c>
      <c r="DC143" s="1">
        <f>ROUND(PPTest!K143,1)</f>
        <v>0</v>
      </c>
      <c r="DD143" s="27">
        <f t="shared" si="90"/>
        <v>1.54</v>
      </c>
      <c r="DE143" s="3">
        <f t="shared" si="117"/>
        <v>3.62</v>
      </c>
      <c r="DF143" s="24">
        <f t="shared" si="118"/>
        <v>0.50600000000000001</v>
      </c>
      <c r="DG143" s="24">
        <f t="shared" si="119"/>
        <v>1.2949999999999999</v>
      </c>
      <c r="DH143" s="17">
        <f t="shared" si="120"/>
        <v>13.37</v>
      </c>
      <c r="DQ143" s="1">
        <v>17.5</v>
      </c>
      <c r="DR143" s="1">
        <v>27.9</v>
      </c>
      <c r="DS143" s="1">
        <v>7</v>
      </c>
    </row>
    <row r="144" spans="1:123" x14ac:dyDescent="0.2">
      <c r="A144" s="15">
        <f t="shared" si="121"/>
        <v>36663</v>
      </c>
      <c r="B144" s="1">
        <v>138</v>
      </c>
      <c r="C144" s="1">
        <v>23.36</v>
      </c>
      <c r="D144" s="1">
        <v>39.69</v>
      </c>
      <c r="E144" s="1">
        <v>4.9939999999999998</v>
      </c>
      <c r="F144" s="1">
        <v>88.6</v>
      </c>
      <c r="G144" s="1">
        <v>4.6420000000000003</v>
      </c>
      <c r="I144" s="1">
        <v>0.16300000000000001</v>
      </c>
      <c r="J144" s="1">
        <v>5.72</v>
      </c>
      <c r="K144" s="1">
        <v>6.7990000000000004</v>
      </c>
      <c r="L144" s="1">
        <v>-1.9E-2</v>
      </c>
      <c r="M144" s="1">
        <v>4.8000000000000001E-2</v>
      </c>
      <c r="N144" s="1">
        <v>0.38700000000000001</v>
      </c>
      <c r="O144" s="1">
        <v>0</v>
      </c>
      <c r="P144" s="2">
        <v>1.861</v>
      </c>
      <c r="R144" s="1">
        <v>12.23</v>
      </c>
      <c r="S144" s="1">
        <v>1350</v>
      </c>
      <c r="T144" s="1">
        <v>107.2</v>
      </c>
      <c r="U144" s="1">
        <v>2343</v>
      </c>
      <c r="V144" s="1">
        <v>14.45</v>
      </c>
      <c r="X144" s="1">
        <v>0.39</v>
      </c>
      <c r="Y144" s="1">
        <v>14.74</v>
      </c>
      <c r="Z144" s="1">
        <v>16.8</v>
      </c>
      <c r="AA144" s="1">
        <v>0.187</v>
      </c>
      <c r="AB144" s="1">
        <v>0.27400000000000002</v>
      </c>
      <c r="AC144" s="1">
        <v>0.63100000000000001</v>
      </c>
      <c r="AD144" s="2">
        <v>5.2213333333333338</v>
      </c>
      <c r="AE144" s="1">
        <v>1437</v>
      </c>
      <c r="AF144" s="1">
        <v>-1.077</v>
      </c>
      <c r="AG144" s="1">
        <v>2342</v>
      </c>
      <c r="AH144" s="1">
        <v>51.62</v>
      </c>
      <c r="AI144" s="1">
        <v>1358</v>
      </c>
      <c r="AJ144" s="1">
        <v>-1.8580000000000001</v>
      </c>
      <c r="AL144" s="1">
        <v>-6.8000000000000005E-2</v>
      </c>
      <c r="AM144" s="1">
        <v>-0.92900000000000005</v>
      </c>
      <c r="AN144" s="1">
        <v>-0.998</v>
      </c>
      <c r="AO144" s="1">
        <v>-0.21</v>
      </c>
      <c r="AP144" s="1">
        <v>-0.223</v>
      </c>
      <c r="AQ144" s="1">
        <v>0.122</v>
      </c>
      <c r="AR144" s="1">
        <v>3.2000000000000001E-2</v>
      </c>
      <c r="AS144" s="1">
        <v>0.253</v>
      </c>
      <c r="AT144" s="1">
        <v>0.26400000000000001</v>
      </c>
      <c r="AU144" s="1">
        <v>8.9999999999999993E-3</v>
      </c>
      <c r="AV144" s="1">
        <v>6.2E-2</v>
      </c>
      <c r="AW144" s="1">
        <v>0.23699999999999999</v>
      </c>
      <c r="AX144" s="1">
        <v>0.11799999999999999</v>
      </c>
      <c r="AY144" s="1">
        <v>2.5000000000000001E-2</v>
      </c>
      <c r="AZ144" s="1">
        <v>4.8369999999999997</v>
      </c>
      <c r="BA144" s="1">
        <v>2947</v>
      </c>
      <c r="BB144" s="1">
        <v>13.35</v>
      </c>
      <c r="BC144" s="1">
        <v>2786</v>
      </c>
      <c r="BF144" s="1">
        <f t="shared" si="82"/>
        <v>546</v>
      </c>
      <c r="BM144" s="17">
        <v>31.08</v>
      </c>
      <c r="BN144" s="17">
        <f t="shared" si="91"/>
        <v>62.781599999999997</v>
      </c>
      <c r="BO144" s="18">
        <f t="shared" si="83"/>
        <v>22.89</v>
      </c>
      <c r="BP144" s="18">
        <f t="shared" si="84"/>
        <v>43.66</v>
      </c>
      <c r="BR144" s="1">
        <f t="shared" si="85"/>
        <v>94.7</v>
      </c>
      <c r="BS144" s="1">
        <f t="shared" si="86"/>
        <v>72</v>
      </c>
      <c r="BT144" s="1">
        <f t="shared" si="87"/>
        <v>39.4</v>
      </c>
      <c r="BU144" s="60">
        <f t="shared" si="88"/>
        <v>0.56100000000000005</v>
      </c>
      <c r="BV144" s="60">
        <f t="shared" si="89"/>
        <v>0.86299999999999999</v>
      </c>
      <c r="BX144" s="51">
        <f t="shared" si="92"/>
        <v>0</v>
      </c>
      <c r="BY144" s="47">
        <v>0</v>
      </c>
      <c r="BZ144" s="1">
        <v>0</v>
      </c>
      <c r="CB144" s="17">
        <f t="shared" si="93"/>
        <v>22.89</v>
      </c>
      <c r="CC144" s="17">
        <f t="shared" si="94"/>
        <v>43.66</v>
      </c>
      <c r="CD144" s="3">
        <f t="shared" si="95"/>
        <v>5</v>
      </c>
      <c r="CE144" s="3">
        <f t="shared" si="96"/>
        <v>4.5999999999999996</v>
      </c>
      <c r="CF144" s="1" t="s">
        <v>218</v>
      </c>
      <c r="CG144" s="3">
        <f t="shared" si="97"/>
        <v>0.2</v>
      </c>
      <c r="CH144" s="3">
        <f t="shared" si="98"/>
        <v>0</v>
      </c>
      <c r="CI144" s="3">
        <f t="shared" si="99"/>
        <v>0</v>
      </c>
      <c r="CJ144" s="3">
        <f t="shared" si="100"/>
        <v>0.4</v>
      </c>
      <c r="CK144" s="27">
        <f t="shared" si="101"/>
        <v>72</v>
      </c>
      <c r="CL144" s="1">
        <f t="shared" si="102"/>
        <v>12.2</v>
      </c>
      <c r="CM144" s="1">
        <f t="shared" si="103"/>
        <v>14.5</v>
      </c>
      <c r="CN144" s="1" t="s">
        <v>218</v>
      </c>
      <c r="CO144" s="1">
        <f t="shared" si="104"/>
        <v>0.4</v>
      </c>
      <c r="CP144" s="1">
        <f t="shared" si="105"/>
        <v>0.2</v>
      </c>
      <c r="CQ144" s="1">
        <f t="shared" si="106"/>
        <v>0.3</v>
      </c>
      <c r="CR144" s="1">
        <f t="shared" si="107"/>
        <v>0.6</v>
      </c>
      <c r="CS144" s="2">
        <f t="shared" si="108"/>
        <v>94.7</v>
      </c>
      <c r="CT144" s="1">
        <f t="shared" si="109"/>
        <v>-1.1000000000000001</v>
      </c>
      <c r="CU144" s="1">
        <f t="shared" si="110"/>
        <v>-1.9</v>
      </c>
      <c r="CV144" s="1" t="s">
        <v>218</v>
      </c>
      <c r="CW144" s="1">
        <f t="shared" si="111"/>
        <v>-0.1</v>
      </c>
      <c r="CX144" s="1">
        <f t="shared" si="112"/>
        <v>-0.2</v>
      </c>
      <c r="CY144" s="1">
        <f t="shared" si="113"/>
        <v>-0.2</v>
      </c>
      <c r="CZ144" s="1">
        <f t="shared" si="114"/>
        <v>0.1</v>
      </c>
      <c r="DA144" s="2">
        <f t="shared" si="115"/>
        <v>39.4</v>
      </c>
      <c r="DB144" s="20">
        <f t="shared" si="116"/>
        <v>546</v>
      </c>
      <c r="DC144" s="1">
        <f>ROUND(PPTest!K144,1)</f>
        <v>0</v>
      </c>
      <c r="DD144" s="27">
        <f t="shared" si="90"/>
        <v>1.86</v>
      </c>
      <c r="DE144" s="3">
        <f t="shared" si="117"/>
        <v>5.22</v>
      </c>
      <c r="DF144" s="24">
        <f t="shared" si="118"/>
        <v>0.56100000000000005</v>
      </c>
      <c r="DG144" s="24">
        <f t="shared" si="119"/>
        <v>0.86299999999999999</v>
      </c>
      <c r="DH144" s="17">
        <f t="shared" si="120"/>
        <v>13.35</v>
      </c>
      <c r="DQ144" s="1">
        <v>15.4</v>
      </c>
      <c r="DR144" s="1">
        <v>25</v>
      </c>
      <c r="DS144" s="1">
        <v>5.8</v>
      </c>
    </row>
    <row r="145" spans="1:123" x14ac:dyDescent="0.2">
      <c r="A145" s="15">
        <f t="shared" si="121"/>
        <v>36664</v>
      </c>
      <c r="B145" s="1">
        <v>139</v>
      </c>
      <c r="C145" s="1">
        <v>22.05</v>
      </c>
      <c r="D145" s="1">
        <v>37.65</v>
      </c>
      <c r="E145" s="1">
        <v>4.4429999999999996</v>
      </c>
      <c r="F145" s="1">
        <v>86.4</v>
      </c>
      <c r="G145" s="1">
        <v>4.0880000000000001</v>
      </c>
      <c r="I145" s="1">
        <v>0.14699999999999999</v>
      </c>
      <c r="J145" s="1">
        <v>4.758</v>
      </c>
      <c r="K145" s="1">
        <v>6.0839999999999996</v>
      </c>
      <c r="L145" s="1">
        <v>-2.8000000000000001E-2</v>
      </c>
      <c r="M145" s="1">
        <v>2.9000000000000001E-2</v>
      </c>
      <c r="N145" s="1">
        <v>0.36499999999999999</v>
      </c>
      <c r="O145" s="1">
        <v>0</v>
      </c>
      <c r="P145" s="2">
        <v>1.6106666666666667</v>
      </c>
      <c r="R145" s="1">
        <v>12.13</v>
      </c>
      <c r="S145" s="1">
        <v>1814</v>
      </c>
      <c r="T145" s="1">
        <v>108.2</v>
      </c>
      <c r="U145" s="1">
        <v>409</v>
      </c>
      <c r="V145" s="1">
        <v>13.55</v>
      </c>
      <c r="X145" s="1">
        <v>0.36699999999999999</v>
      </c>
      <c r="Y145" s="1">
        <v>13.86</v>
      </c>
      <c r="Z145" s="1">
        <v>16.66</v>
      </c>
      <c r="AA145" s="1">
        <v>0.19</v>
      </c>
      <c r="AB145" s="1">
        <v>0.254</v>
      </c>
      <c r="AC145" s="1">
        <v>0.58899999999999997</v>
      </c>
      <c r="AD145" s="2">
        <v>4.7680000000000007</v>
      </c>
      <c r="AE145" s="1">
        <v>1558</v>
      </c>
      <c r="AF145" s="1">
        <v>-1.6559999999999999</v>
      </c>
      <c r="AG145" s="1">
        <v>113</v>
      </c>
      <c r="AH145" s="1">
        <v>43.98</v>
      </c>
      <c r="AI145" s="1">
        <v>1730</v>
      </c>
      <c r="AJ145" s="1">
        <v>-2.363</v>
      </c>
      <c r="AL145" s="1">
        <v>-3.9E-2</v>
      </c>
      <c r="AM145" s="1">
        <v>-0.52400000000000002</v>
      </c>
      <c r="AN145" s="1">
        <v>-0.56999999999999995</v>
      </c>
      <c r="AO145" s="1">
        <v>-0.20799999999999999</v>
      </c>
      <c r="AP145" s="1">
        <v>-0.14599999999999999</v>
      </c>
      <c r="AQ145" s="1">
        <v>0.186</v>
      </c>
      <c r="AR145" s="1">
        <v>4.1000000000000002E-2</v>
      </c>
      <c r="AS145" s="1">
        <v>0.27600000000000002</v>
      </c>
      <c r="AT145" s="1">
        <v>0.20599999999999999</v>
      </c>
      <c r="AU145" s="1">
        <v>2.8000000000000001E-2</v>
      </c>
      <c r="AV145" s="1">
        <v>0.105</v>
      </c>
      <c r="AW145" s="1">
        <v>0.193</v>
      </c>
      <c r="AX145" s="1">
        <v>0.1</v>
      </c>
      <c r="AY145" s="1">
        <v>5.0999999999999997E-2</v>
      </c>
      <c r="AZ145" s="1">
        <v>4.5640000000000001</v>
      </c>
      <c r="BA145" s="1">
        <v>2998</v>
      </c>
      <c r="BB145" s="1">
        <v>13.32</v>
      </c>
      <c r="BC145" s="1">
        <v>2786</v>
      </c>
      <c r="BF145" s="1">
        <f t="shared" si="82"/>
        <v>495</v>
      </c>
      <c r="BM145" s="17">
        <v>31.21</v>
      </c>
      <c r="BN145" s="17">
        <f t="shared" si="91"/>
        <v>63.044200000000004</v>
      </c>
      <c r="BO145" s="18">
        <f t="shared" si="83"/>
        <v>21.61</v>
      </c>
      <c r="BP145" s="18">
        <f t="shared" si="84"/>
        <v>41.42</v>
      </c>
      <c r="BR145" s="1">
        <f t="shared" si="85"/>
        <v>96.3</v>
      </c>
      <c r="BS145" s="1">
        <f t="shared" si="86"/>
        <v>70</v>
      </c>
      <c r="BT145" s="1">
        <f t="shared" si="87"/>
        <v>32.700000000000003</v>
      </c>
      <c r="BU145" s="60">
        <f t="shared" si="88"/>
        <v>0.46200000000000002</v>
      </c>
      <c r="BV145" s="60">
        <f t="shared" si="89"/>
        <v>0.95099999999999996</v>
      </c>
      <c r="BX145" s="51">
        <f t="shared" si="92"/>
        <v>0</v>
      </c>
      <c r="BY145" s="47">
        <v>0</v>
      </c>
      <c r="BZ145" s="1">
        <v>0</v>
      </c>
      <c r="CB145" s="17">
        <f t="shared" si="93"/>
        <v>21.61</v>
      </c>
      <c r="CC145" s="17">
        <f t="shared" si="94"/>
        <v>41.42</v>
      </c>
      <c r="CD145" s="3">
        <f t="shared" si="95"/>
        <v>4.4000000000000004</v>
      </c>
      <c r="CE145" s="3">
        <f t="shared" si="96"/>
        <v>4.0999999999999996</v>
      </c>
      <c r="CF145" s="1" t="s">
        <v>218</v>
      </c>
      <c r="CG145" s="3">
        <f t="shared" si="97"/>
        <v>0.1</v>
      </c>
      <c r="CH145" s="3">
        <f t="shared" si="98"/>
        <v>0</v>
      </c>
      <c r="CI145" s="3">
        <f t="shared" si="99"/>
        <v>0</v>
      </c>
      <c r="CJ145" s="3">
        <f t="shared" si="100"/>
        <v>0.4</v>
      </c>
      <c r="CK145" s="27">
        <f t="shared" si="101"/>
        <v>70</v>
      </c>
      <c r="CL145" s="1">
        <f t="shared" si="102"/>
        <v>12.1</v>
      </c>
      <c r="CM145" s="1">
        <f t="shared" si="103"/>
        <v>13.6</v>
      </c>
      <c r="CN145" s="1" t="s">
        <v>218</v>
      </c>
      <c r="CO145" s="1">
        <f t="shared" si="104"/>
        <v>0.4</v>
      </c>
      <c r="CP145" s="1">
        <f t="shared" si="105"/>
        <v>0.2</v>
      </c>
      <c r="CQ145" s="1">
        <f t="shared" si="106"/>
        <v>0.3</v>
      </c>
      <c r="CR145" s="1">
        <f t="shared" si="107"/>
        <v>0.6</v>
      </c>
      <c r="CS145" s="2">
        <f t="shared" si="108"/>
        <v>96.3</v>
      </c>
      <c r="CT145" s="1">
        <f t="shared" si="109"/>
        <v>-1.7</v>
      </c>
      <c r="CU145" s="1">
        <f t="shared" si="110"/>
        <v>-2.4</v>
      </c>
      <c r="CV145" s="1" t="s">
        <v>218</v>
      </c>
      <c r="CW145" s="1">
        <f t="shared" si="111"/>
        <v>0</v>
      </c>
      <c r="CX145" s="1">
        <f t="shared" si="112"/>
        <v>-0.2</v>
      </c>
      <c r="CY145" s="1">
        <f t="shared" si="113"/>
        <v>-0.1</v>
      </c>
      <c r="CZ145" s="1">
        <f t="shared" si="114"/>
        <v>0.2</v>
      </c>
      <c r="DA145" s="2">
        <f t="shared" si="115"/>
        <v>32.700000000000003</v>
      </c>
      <c r="DB145" s="20">
        <f t="shared" si="116"/>
        <v>495</v>
      </c>
      <c r="DC145" s="1">
        <f>ROUND(PPTest!K145,1)</f>
        <v>0</v>
      </c>
      <c r="DD145" s="27">
        <f t="shared" si="90"/>
        <v>1.61</v>
      </c>
      <c r="DE145" s="3">
        <f t="shared" si="117"/>
        <v>4.7699999999999996</v>
      </c>
      <c r="DF145" s="24">
        <f t="shared" si="118"/>
        <v>0.46200000000000002</v>
      </c>
      <c r="DG145" s="24">
        <f t="shared" si="119"/>
        <v>0.95099999999999996</v>
      </c>
      <c r="DH145" s="17">
        <f t="shared" si="120"/>
        <v>13.32</v>
      </c>
      <c r="DQ145" s="1">
        <v>15.8</v>
      </c>
      <c r="DR145" s="1">
        <v>24.5</v>
      </c>
      <c r="DS145" s="1">
        <v>7.1</v>
      </c>
    </row>
    <row r="146" spans="1:123" x14ac:dyDescent="0.2">
      <c r="A146" s="15">
        <f t="shared" si="121"/>
        <v>36665</v>
      </c>
      <c r="B146" s="1">
        <v>140</v>
      </c>
      <c r="C146" s="1">
        <v>16.12</v>
      </c>
      <c r="D146" s="1">
        <v>28.41</v>
      </c>
      <c r="E146" s="1">
        <v>5.5670000000000002</v>
      </c>
      <c r="F146" s="1">
        <v>94.7</v>
      </c>
      <c r="G146" s="1">
        <v>5.0579999999999998</v>
      </c>
      <c r="I146" s="1">
        <v>0.14099999999999999</v>
      </c>
      <c r="J146" s="1">
        <v>5.34</v>
      </c>
      <c r="K146" s="1">
        <v>6.3079999999999998</v>
      </c>
      <c r="L146" s="1">
        <v>-1.9E-2</v>
      </c>
      <c r="M146" s="1">
        <v>0.04</v>
      </c>
      <c r="N146" s="1">
        <v>0.36599999999999999</v>
      </c>
      <c r="O146" s="1">
        <v>0</v>
      </c>
      <c r="P146" s="2">
        <v>1.6036666666666666</v>
      </c>
      <c r="R146" s="1">
        <v>10.25</v>
      </c>
      <c r="S146" s="1">
        <v>1402</v>
      </c>
      <c r="T146" s="1">
        <v>107.9</v>
      </c>
      <c r="U146" s="1">
        <v>600</v>
      </c>
      <c r="V146" s="1">
        <v>12.49</v>
      </c>
      <c r="X146" s="1">
        <v>0.36399999999999999</v>
      </c>
      <c r="Y146" s="1">
        <v>12.08</v>
      </c>
      <c r="Z146" s="1">
        <v>14.15</v>
      </c>
      <c r="AA146" s="1">
        <v>0.154</v>
      </c>
      <c r="AB146" s="1">
        <v>0.224</v>
      </c>
      <c r="AC146" s="1">
        <v>0.56799999999999995</v>
      </c>
      <c r="AD146" s="2">
        <v>4.9280000000000008</v>
      </c>
      <c r="AE146" s="1">
        <v>1457</v>
      </c>
      <c r="AF146" s="1">
        <v>0.39800000000000002</v>
      </c>
      <c r="AG146" s="1">
        <v>18</v>
      </c>
      <c r="AH146" s="1">
        <v>72.900000000000006</v>
      </c>
      <c r="AI146" s="1">
        <v>1402</v>
      </c>
      <c r="AJ146" s="1">
        <v>-0.248</v>
      </c>
      <c r="AL146" s="1">
        <v>-1.9E-2</v>
      </c>
      <c r="AM146" s="1">
        <v>-0.45400000000000001</v>
      </c>
      <c r="AN146" s="1">
        <v>-0.47699999999999998</v>
      </c>
      <c r="AO146" s="1">
        <v>-0.18099999999999999</v>
      </c>
      <c r="AP146" s="1">
        <v>-0.123</v>
      </c>
      <c r="AQ146" s="1">
        <v>0.20699999999999999</v>
      </c>
      <c r="AR146" s="1">
        <v>4.7E-2</v>
      </c>
      <c r="AS146" s="1">
        <v>0.14199999999999999</v>
      </c>
      <c r="AT146" s="1">
        <v>9.8000000000000004E-2</v>
      </c>
      <c r="AU146" s="1">
        <v>5.8999999999999997E-2</v>
      </c>
      <c r="AV146" s="1">
        <v>0.17799999999999999</v>
      </c>
      <c r="AW146" s="1">
        <v>0.32300000000000001</v>
      </c>
      <c r="AX146" s="1">
        <v>0.10199999999999999</v>
      </c>
      <c r="AY146" s="1">
        <v>0.05</v>
      </c>
      <c r="AZ146" s="1">
        <v>5.0549999999999997</v>
      </c>
      <c r="BA146" s="1">
        <v>3052</v>
      </c>
      <c r="BB146" s="1">
        <v>13.29</v>
      </c>
      <c r="BC146" s="1">
        <v>2786</v>
      </c>
      <c r="BF146" s="1">
        <f t="shared" si="82"/>
        <v>441</v>
      </c>
      <c r="BM146" s="17">
        <v>31.34</v>
      </c>
      <c r="BN146" s="17">
        <f t="shared" si="91"/>
        <v>63.306800000000003</v>
      </c>
      <c r="BO146" s="18">
        <f t="shared" si="83"/>
        <v>15.8</v>
      </c>
      <c r="BP146" s="18">
        <f t="shared" si="84"/>
        <v>31.25</v>
      </c>
      <c r="BR146" s="1">
        <f t="shared" si="85"/>
        <v>95.9</v>
      </c>
      <c r="BS146" s="1">
        <f t="shared" si="86"/>
        <v>77.3</v>
      </c>
      <c r="BT146" s="1">
        <f t="shared" si="87"/>
        <v>58.2</v>
      </c>
      <c r="BU146" s="60">
        <f t="shared" si="88"/>
        <v>0.72599999999999998</v>
      </c>
      <c r="BV146" s="60">
        <f t="shared" si="89"/>
        <v>0.52100000000000002</v>
      </c>
      <c r="BX146" s="51">
        <f t="shared" si="92"/>
        <v>6.3</v>
      </c>
      <c r="BY146" s="47">
        <v>3.4709999999999996</v>
      </c>
      <c r="BZ146" s="1">
        <v>4.5</v>
      </c>
      <c r="CB146" s="17">
        <f t="shared" si="93"/>
        <v>15.8</v>
      </c>
      <c r="CC146" s="17">
        <f t="shared" si="94"/>
        <v>31.25</v>
      </c>
      <c r="CD146" s="3">
        <f t="shared" si="95"/>
        <v>5.6</v>
      </c>
      <c r="CE146" s="3">
        <f t="shared" si="96"/>
        <v>5.0999999999999996</v>
      </c>
      <c r="CF146" s="1" t="s">
        <v>218</v>
      </c>
      <c r="CG146" s="3">
        <f t="shared" si="97"/>
        <v>0.1</v>
      </c>
      <c r="CH146" s="3">
        <f t="shared" si="98"/>
        <v>0</v>
      </c>
      <c r="CI146" s="3">
        <f t="shared" si="99"/>
        <v>0</v>
      </c>
      <c r="CJ146" s="3">
        <f t="shared" si="100"/>
        <v>0.4</v>
      </c>
      <c r="CK146" s="27">
        <f t="shared" si="101"/>
        <v>77.3</v>
      </c>
      <c r="CL146" s="1">
        <f t="shared" si="102"/>
        <v>10.3</v>
      </c>
      <c r="CM146" s="1">
        <f t="shared" si="103"/>
        <v>12.5</v>
      </c>
      <c r="CN146" s="1" t="s">
        <v>218</v>
      </c>
      <c r="CO146" s="1">
        <f t="shared" si="104"/>
        <v>0.4</v>
      </c>
      <c r="CP146" s="1">
        <f t="shared" si="105"/>
        <v>0.2</v>
      </c>
      <c r="CQ146" s="1">
        <f t="shared" si="106"/>
        <v>0.2</v>
      </c>
      <c r="CR146" s="1">
        <f t="shared" si="107"/>
        <v>0.6</v>
      </c>
      <c r="CS146" s="2">
        <f t="shared" si="108"/>
        <v>95.9</v>
      </c>
      <c r="CT146" s="1">
        <f t="shared" si="109"/>
        <v>0.4</v>
      </c>
      <c r="CU146" s="1">
        <f t="shared" si="110"/>
        <v>-0.2</v>
      </c>
      <c r="CV146" s="1" t="s">
        <v>218</v>
      </c>
      <c r="CW146" s="1">
        <f t="shared" si="111"/>
        <v>0</v>
      </c>
      <c r="CX146" s="1">
        <f t="shared" si="112"/>
        <v>-0.2</v>
      </c>
      <c r="CY146" s="1">
        <f t="shared" si="113"/>
        <v>-0.1</v>
      </c>
      <c r="CZ146" s="1">
        <f t="shared" si="114"/>
        <v>0.2</v>
      </c>
      <c r="DA146" s="2">
        <f t="shared" si="115"/>
        <v>58.2</v>
      </c>
      <c r="DB146" s="20">
        <f t="shared" si="116"/>
        <v>441</v>
      </c>
      <c r="DC146" s="1">
        <f>ROUND(PPTest!K146,1)</f>
        <v>6.6</v>
      </c>
      <c r="DD146" s="27">
        <f t="shared" si="90"/>
        <v>1.6</v>
      </c>
      <c r="DE146" s="3">
        <f t="shared" si="117"/>
        <v>4.93</v>
      </c>
      <c r="DF146" s="24">
        <f t="shared" si="118"/>
        <v>0.72599999999999998</v>
      </c>
      <c r="DG146" s="24">
        <f t="shared" si="119"/>
        <v>0.52100000000000002</v>
      </c>
      <c r="DH146" s="17">
        <f t="shared" si="120"/>
        <v>13.29</v>
      </c>
      <c r="DQ146" s="1">
        <v>14.1</v>
      </c>
      <c r="DR146" s="1">
        <v>20.7</v>
      </c>
      <c r="DS146" s="1">
        <v>7.4</v>
      </c>
    </row>
    <row r="147" spans="1:123" x14ac:dyDescent="0.2">
      <c r="A147" s="15">
        <f t="shared" si="121"/>
        <v>36666</v>
      </c>
      <c r="B147" s="1">
        <v>141</v>
      </c>
      <c r="C147" s="1">
        <v>13.32</v>
      </c>
      <c r="D147" s="1">
        <v>23.67</v>
      </c>
      <c r="E147" s="1">
        <v>5.0119999999999996</v>
      </c>
      <c r="F147" s="1">
        <v>93.7</v>
      </c>
      <c r="G147" s="1">
        <v>4.5430000000000001</v>
      </c>
      <c r="I147" s="1">
        <v>0.109</v>
      </c>
      <c r="J147" s="1">
        <v>4.7930000000000001</v>
      </c>
      <c r="K147" s="1">
        <v>5.5609999999999999</v>
      </c>
      <c r="L147" s="1">
        <v>-3.5999999999999997E-2</v>
      </c>
      <c r="M147" s="1">
        <v>1.9E-2</v>
      </c>
      <c r="N147" s="1">
        <v>0.34</v>
      </c>
      <c r="O147" s="1">
        <v>0</v>
      </c>
      <c r="P147" s="2">
        <v>1.7073333333333334</v>
      </c>
      <c r="R147" s="1">
        <v>9.6199999999999992</v>
      </c>
      <c r="S147" s="1">
        <v>1256</v>
      </c>
      <c r="T147" s="1">
        <v>108.3</v>
      </c>
      <c r="U147" s="1">
        <v>2035</v>
      </c>
      <c r="V147" s="1">
        <v>10.43</v>
      </c>
      <c r="X147" s="1">
        <v>0.27800000000000002</v>
      </c>
      <c r="Y147" s="1">
        <v>10.51</v>
      </c>
      <c r="Z147" s="1">
        <v>12.66</v>
      </c>
      <c r="AA147" s="1">
        <v>0.129</v>
      </c>
      <c r="AB147" s="1">
        <v>0.191</v>
      </c>
      <c r="AC147" s="1">
        <v>0.51300000000000001</v>
      </c>
      <c r="AD147" s="2">
        <v>5.2480000000000002</v>
      </c>
      <c r="AE147" s="1">
        <v>2359</v>
      </c>
      <c r="AF147" s="1">
        <v>-1.0389999999999999</v>
      </c>
      <c r="AG147" s="1">
        <v>337</v>
      </c>
      <c r="AH147" s="1">
        <v>65.260000000000005</v>
      </c>
      <c r="AI147" s="1">
        <v>1236</v>
      </c>
      <c r="AJ147" s="1">
        <v>-1.7030000000000001</v>
      </c>
      <c r="AL147" s="1">
        <v>-4.3999999999999997E-2</v>
      </c>
      <c r="AM147" s="1">
        <v>-0.86799999999999999</v>
      </c>
      <c r="AN147" s="1">
        <v>-1.2769999999999999</v>
      </c>
      <c r="AO147" s="1">
        <v>-0.19900000000000001</v>
      </c>
      <c r="AP147" s="1">
        <v>-0.16200000000000001</v>
      </c>
      <c r="AQ147" s="1">
        <v>0.16</v>
      </c>
      <c r="AR147" s="1">
        <v>1.6E-2</v>
      </c>
      <c r="AS147" s="1">
        <v>0.10199999999999999</v>
      </c>
      <c r="AT147" s="1">
        <v>0.183</v>
      </c>
      <c r="AU147" s="1">
        <v>3.2000000000000001E-2</v>
      </c>
      <c r="AV147" s="1">
        <v>0.18</v>
      </c>
      <c r="AW147" s="1">
        <v>0.34699999999999998</v>
      </c>
      <c r="AX147" s="1">
        <v>0.10199999999999999</v>
      </c>
      <c r="AY147" s="1">
        <v>3.7999999999999999E-2</v>
      </c>
      <c r="AZ147" s="1">
        <v>4.3339999999999996</v>
      </c>
      <c r="BA147" s="1">
        <v>3106</v>
      </c>
      <c r="BB147" s="1">
        <v>13.3</v>
      </c>
      <c r="BC147" s="1">
        <v>2786</v>
      </c>
      <c r="BF147" s="1">
        <f t="shared" si="82"/>
        <v>387</v>
      </c>
      <c r="BM147" s="17">
        <v>31.47</v>
      </c>
      <c r="BN147" s="17">
        <f t="shared" si="91"/>
        <v>63.569400000000002</v>
      </c>
      <c r="BO147" s="18">
        <f t="shared" si="83"/>
        <v>13.05</v>
      </c>
      <c r="BP147" s="18">
        <f t="shared" si="84"/>
        <v>26.04</v>
      </c>
      <c r="BR147" s="1">
        <f t="shared" si="85"/>
        <v>96.5</v>
      </c>
      <c r="BS147" s="1">
        <f t="shared" si="86"/>
        <v>76.5</v>
      </c>
      <c r="BT147" s="1">
        <f t="shared" si="87"/>
        <v>51.4</v>
      </c>
      <c r="BU147" s="60">
        <f t="shared" si="88"/>
        <v>0.61499999999999999</v>
      </c>
      <c r="BV147" s="60">
        <f t="shared" si="89"/>
        <v>0.58099999999999996</v>
      </c>
      <c r="BX147" s="51">
        <f t="shared" si="92"/>
        <v>0</v>
      </c>
      <c r="BY147" s="47">
        <v>2.1360000000000001</v>
      </c>
      <c r="BZ147" s="1">
        <v>0</v>
      </c>
      <c r="CB147" s="17">
        <f t="shared" si="93"/>
        <v>13.05</v>
      </c>
      <c r="CC147" s="17">
        <f t="shared" si="94"/>
        <v>26.04</v>
      </c>
      <c r="CD147" s="3">
        <f t="shared" si="95"/>
        <v>5</v>
      </c>
      <c r="CE147" s="3">
        <f t="shared" si="96"/>
        <v>4.5</v>
      </c>
      <c r="CF147" s="1" t="s">
        <v>218</v>
      </c>
      <c r="CG147" s="3">
        <f t="shared" si="97"/>
        <v>0.1</v>
      </c>
      <c r="CH147" s="3">
        <f t="shared" si="98"/>
        <v>0</v>
      </c>
      <c r="CI147" s="3">
        <f t="shared" si="99"/>
        <v>0</v>
      </c>
      <c r="CJ147" s="3">
        <f t="shared" si="100"/>
        <v>0.3</v>
      </c>
      <c r="CK147" s="27">
        <f t="shared" si="101"/>
        <v>76.5</v>
      </c>
      <c r="CL147" s="1">
        <f t="shared" si="102"/>
        <v>9.6</v>
      </c>
      <c r="CM147" s="1">
        <f t="shared" si="103"/>
        <v>10.4</v>
      </c>
      <c r="CN147" s="1" t="s">
        <v>218</v>
      </c>
      <c r="CO147" s="1">
        <f t="shared" si="104"/>
        <v>0.3</v>
      </c>
      <c r="CP147" s="1">
        <f t="shared" si="105"/>
        <v>0.1</v>
      </c>
      <c r="CQ147" s="1">
        <f t="shared" si="106"/>
        <v>0.2</v>
      </c>
      <c r="CR147" s="1">
        <f t="shared" si="107"/>
        <v>0.5</v>
      </c>
      <c r="CS147" s="2">
        <f t="shared" si="108"/>
        <v>96.5</v>
      </c>
      <c r="CT147" s="1">
        <f t="shared" si="109"/>
        <v>-1</v>
      </c>
      <c r="CU147" s="1">
        <f t="shared" si="110"/>
        <v>-1.7</v>
      </c>
      <c r="CV147" s="1" t="s">
        <v>218</v>
      </c>
      <c r="CW147" s="1">
        <f t="shared" si="111"/>
        <v>0</v>
      </c>
      <c r="CX147" s="1">
        <f t="shared" si="112"/>
        <v>-0.2</v>
      </c>
      <c r="CY147" s="1">
        <f t="shared" si="113"/>
        <v>-0.2</v>
      </c>
      <c r="CZ147" s="1">
        <f t="shared" si="114"/>
        <v>0.2</v>
      </c>
      <c r="DA147" s="2">
        <f t="shared" si="115"/>
        <v>51.4</v>
      </c>
      <c r="DB147" s="20">
        <f t="shared" si="116"/>
        <v>387</v>
      </c>
      <c r="DC147" s="1">
        <f>ROUND(PPTest!K147,1)</f>
        <v>0</v>
      </c>
      <c r="DD147" s="27">
        <f t="shared" si="90"/>
        <v>1.71</v>
      </c>
      <c r="DE147" s="3">
        <f t="shared" si="117"/>
        <v>5.25</v>
      </c>
      <c r="DF147" s="24">
        <f t="shared" si="118"/>
        <v>0.61499999999999999</v>
      </c>
      <c r="DG147" s="24">
        <f t="shared" si="119"/>
        <v>0.58099999999999996</v>
      </c>
      <c r="DH147" s="17">
        <f t="shared" si="120"/>
        <v>13.3</v>
      </c>
      <c r="DQ147" s="1">
        <v>13.2</v>
      </c>
      <c r="DR147" s="1">
        <v>18.399999999999999</v>
      </c>
      <c r="DS147" s="1">
        <v>8</v>
      </c>
    </row>
    <row r="148" spans="1:123" x14ac:dyDescent="0.2">
      <c r="A148" s="15">
        <f t="shared" si="121"/>
        <v>36667</v>
      </c>
      <c r="B148" s="1">
        <v>142</v>
      </c>
      <c r="C148" s="1">
        <v>7.81</v>
      </c>
      <c r="D148" s="1">
        <v>14.13</v>
      </c>
      <c r="E148" s="1">
        <v>7.48</v>
      </c>
      <c r="F148" s="1">
        <v>93</v>
      </c>
      <c r="G148" s="1">
        <v>6.8090000000000002</v>
      </c>
      <c r="I148" s="1">
        <v>0.123</v>
      </c>
      <c r="J148" s="1">
        <v>6.3360000000000003</v>
      </c>
      <c r="K148" s="1">
        <v>6.8070000000000004</v>
      </c>
      <c r="L148" s="1">
        <v>5.0000000000000001E-3</v>
      </c>
      <c r="M148" s="1">
        <v>6.7000000000000004E-2</v>
      </c>
      <c r="N148" s="1">
        <v>0.378</v>
      </c>
      <c r="O148" s="1">
        <v>0</v>
      </c>
      <c r="P148" s="2">
        <v>3.0246666666666666</v>
      </c>
      <c r="R148" s="1">
        <v>11.05</v>
      </c>
      <c r="S148" s="1">
        <v>1438</v>
      </c>
      <c r="T148" s="1">
        <v>108</v>
      </c>
      <c r="U148" s="1">
        <v>348</v>
      </c>
      <c r="V148" s="1">
        <v>11.53</v>
      </c>
      <c r="X148" s="1">
        <v>0.29699999999999999</v>
      </c>
      <c r="Y148" s="1">
        <v>10.76</v>
      </c>
      <c r="Z148" s="1">
        <v>12.22</v>
      </c>
      <c r="AA148" s="1">
        <v>0.11700000000000001</v>
      </c>
      <c r="AB148" s="1">
        <v>0.192</v>
      </c>
      <c r="AC148" s="1">
        <v>0.501</v>
      </c>
      <c r="AD148" s="2">
        <v>8.1280000000000001</v>
      </c>
      <c r="AE148" s="1">
        <v>1955</v>
      </c>
      <c r="AF148" s="1">
        <v>3.536</v>
      </c>
      <c r="AG148" s="1">
        <v>2359</v>
      </c>
      <c r="AH148" s="1">
        <v>73.7</v>
      </c>
      <c r="AI148" s="1">
        <v>1630</v>
      </c>
      <c r="AJ148" s="1">
        <v>1.1100000000000001</v>
      </c>
      <c r="AL148" s="1">
        <v>4.2000000000000003E-2</v>
      </c>
      <c r="AM148" s="1">
        <v>3.0569999999999999</v>
      </c>
      <c r="AN148" s="1">
        <v>3.3090000000000002</v>
      </c>
      <c r="AO148" s="1">
        <v>-7.4999999999999997E-2</v>
      </c>
      <c r="AP148" s="1">
        <v>-2.1999999999999999E-2</v>
      </c>
      <c r="AQ148" s="1">
        <v>0.28799999999999998</v>
      </c>
      <c r="AR148" s="1">
        <v>1.7000000000000001E-2</v>
      </c>
      <c r="AS148" s="1">
        <v>1.4E-2</v>
      </c>
      <c r="AT148" s="1">
        <v>1.7000000000000001E-2</v>
      </c>
      <c r="AU148" s="1">
        <v>3.5999999999999997E-2</v>
      </c>
      <c r="AV148" s="1">
        <v>0.34100000000000003</v>
      </c>
      <c r="AW148" s="1">
        <v>0.50600000000000001</v>
      </c>
      <c r="AX148" s="1">
        <v>5.8000000000000003E-2</v>
      </c>
      <c r="AY148" s="1">
        <v>1.2E-2</v>
      </c>
      <c r="AZ148" s="1">
        <v>5.9859999999999998</v>
      </c>
      <c r="BA148" s="1">
        <v>3155</v>
      </c>
      <c r="BB148" s="1">
        <v>13.28</v>
      </c>
      <c r="BC148" s="1">
        <v>2786</v>
      </c>
      <c r="BF148" s="1">
        <f t="shared" si="82"/>
        <v>338</v>
      </c>
      <c r="BM148" s="17">
        <v>31.59</v>
      </c>
      <c r="BN148" s="17">
        <f t="shared" si="91"/>
        <v>63.811799999999998</v>
      </c>
      <c r="BO148" s="18">
        <f t="shared" si="83"/>
        <v>7.65</v>
      </c>
      <c r="BP148" s="18">
        <f t="shared" si="84"/>
        <v>15.54</v>
      </c>
      <c r="BR148" s="1">
        <f t="shared" si="85"/>
        <v>96</v>
      </c>
      <c r="BS148" s="1">
        <f t="shared" si="86"/>
        <v>75.8</v>
      </c>
      <c r="BT148" s="1">
        <f t="shared" si="87"/>
        <v>58.9</v>
      </c>
      <c r="BU148" s="60">
        <f t="shared" si="88"/>
        <v>0.77500000000000002</v>
      </c>
      <c r="BV148" s="60">
        <f t="shared" si="89"/>
        <v>0.54100000000000004</v>
      </c>
      <c r="BX148" s="51">
        <f t="shared" si="92"/>
        <v>17.639999999999997</v>
      </c>
      <c r="BY148" s="47">
        <v>0.53400000000000003</v>
      </c>
      <c r="BZ148" s="1">
        <v>12.599999999999998</v>
      </c>
      <c r="CB148" s="17">
        <f t="shared" si="93"/>
        <v>7.65</v>
      </c>
      <c r="CC148" s="17">
        <f t="shared" si="94"/>
        <v>15.54</v>
      </c>
      <c r="CD148" s="3">
        <f t="shared" si="95"/>
        <v>7.5</v>
      </c>
      <c r="CE148" s="3">
        <f t="shared" si="96"/>
        <v>6.8</v>
      </c>
      <c r="CF148" s="1" t="s">
        <v>218</v>
      </c>
      <c r="CG148" s="3">
        <f t="shared" si="97"/>
        <v>0.1</v>
      </c>
      <c r="CH148" s="3">
        <f t="shared" si="98"/>
        <v>0</v>
      </c>
      <c r="CI148" s="3">
        <f t="shared" si="99"/>
        <v>0.1</v>
      </c>
      <c r="CJ148" s="3">
        <f t="shared" si="100"/>
        <v>0.4</v>
      </c>
      <c r="CK148" s="27">
        <f t="shared" si="101"/>
        <v>75.8</v>
      </c>
      <c r="CL148" s="1">
        <f t="shared" si="102"/>
        <v>11.1</v>
      </c>
      <c r="CM148" s="1">
        <f t="shared" si="103"/>
        <v>11.5</v>
      </c>
      <c r="CN148" s="1" t="s">
        <v>218</v>
      </c>
      <c r="CO148" s="1">
        <f t="shared" si="104"/>
        <v>0.3</v>
      </c>
      <c r="CP148" s="1">
        <f t="shared" si="105"/>
        <v>0.1</v>
      </c>
      <c r="CQ148" s="1">
        <f t="shared" si="106"/>
        <v>0.2</v>
      </c>
      <c r="CR148" s="1">
        <f t="shared" si="107"/>
        <v>0.5</v>
      </c>
      <c r="CS148" s="2">
        <f t="shared" si="108"/>
        <v>96</v>
      </c>
      <c r="CT148" s="1">
        <f t="shared" si="109"/>
        <v>3.5</v>
      </c>
      <c r="CU148" s="1">
        <f t="shared" si="110"/>
        <v>1.1000000000000001</v>
      </c>
      <c r="CV148" s="1" t="s">
        <v>218</v>
      </c>
      <c r="CW148" s="1">
        <f t="shared" si="111"/>
        <v>0</v>
      </c>
      <c r="CX148" s="1">
        <f t="shared" si="112"/>
        <v>-0.1</v>
      </c>
      <c r="CY148" s="1">
        <f t="shared" si="113"/>
        <v>0</v>
      </c>
      <c r="CZ148" s="1">
        <f t="shared" si="114"/>
        <v>0.3</v>
      </c>
      <c r="DA148" s="2">
        <f t="shared" si="115"/>
        <v>58.9</v>
      </c>
      <c r="DB148" s="20">
        <f t="shared" si="116"/>
        <v>338</v>
      </c>
      <c r="DC148" s="1">
        <f>ROUND(PPTest!K148,1)</f>
        <v>18.5</v>
      </c>
      <c r="DD148" s="27">
        <f t="shared" si="90"/>
        <v>3.02</v>
      </c>
      <c r="DE148" s="3">
        <f t="shared" si="117"/>
        <v>8.1300000000000008</v>
      </c>
      <c r="DF148" s="24">
        <f t="shared" si="118"/>
        <v>0.77500000000000002</v>
      </c>
      <c r="DG148" s="24">
        <f t="shared" si="119"/>
        <v>0.54100000000000004</v>
      </c>
      <c r="DH148" s="17">
        <f t="shared" si="120"/>
        <v>13.28</v>
      </c>
      <c r="DQ148" s="1">
        <v>12.6</v>
      </c>
      <c r="DR148" s="1">
        <v>15.3</v>
      </c>
      <c r="DS148" s="1">
        <v>9.8000000000000007</v>
      </c>
    </row>
    <row r="149" spans="1:123" x14ac:dyDescent="0.2">
      <c r="A149" s="15">
        <f t="shared" si="121"/>
        <v>36668</v>
      </c>
      <c r="B149" s="1">
        <v>143</v>
      </c>
      <c r="C149" s="1">
        <v>17.7</v>
      </c>
      <c r="D149" s="1">
        <v>30.14</v>
      </c>
      <c r="E149" s="1">
        <v>4.7789999999999999</v>
      </c>
      <c r="F149" s="1">
        <v>82.3</v>
      </c>
      <c r="G149" s="1">
        <v>4.41</v>
      </c>
      <c r="I149" s="1">
        <v>0.13400000000000001</v>
      </c>
      <c r="J149" s="1">
        <v>4.9429999999999996</v>
      </c>
      <c r="K149" s="1">
        <v>5.8550000000000004</v>
      </c>
      <c r="L149" s="1">
        <v>5.0999999999999997E-2</v>
      </c>
      <c r="M149" s="1">
        <v>0.11700000000000001</v>
      </c>
      <c r="N149" s="1">
        <v>0.33800000000000002</v>
      </c>
      <c r="O149" s="1">
        <v>0</v>
      </c>
      <c r="P149" s="2">
        <v>1.9126666666666667</v>
      </c>
      <c r="R149" s="1">
        <v>8.74</v>
      </c>
      <c r="S149" s="1">
        <v>1707</v>
      </c>
      <c r="T149" s="1">
        <v>106.3</v>
      </c>
      <c r="U149" s="1">
        <v>444</v>
      </c>
      <c r="V149" s="1">
        <v>9.34</v>
      </c>
      <c r="X149" s="1">
        <v>0.35399999999999998</v>
      </c>
      <c r="Y149" s="1">
        <v>9.2799999999999994</v>
      </c>
      <c r="Z149" s="1">
        <v>11.17</v>
      </c>
      <c r="AA149" s="1">
        <v>0.30199999999999999</v>
      </c>
      <c r="AB149" s="1">
        <v>0.29799999999999999</v>
      </c>
      <c r="AC149" s="1">
        <v>0.52400000000000002</v>
      </c>
      <c r="AD149" s="2">
        <v>5.9946666666666673</v>
      </c>
      <c r="AE149" s="1">
        <v>1636</v>
      </c>
      <c r="AF149" s="1">
        <v>-0.67800000000000005</v>
      </c>
      <c r="AG149" s="1">
        <v>414</v>
      </c>
      <c r="AH149" s="1">
        <v>55.92</v>
      </c>
      <c r="AI149" s="1">
        <v>1702</v>
      </c>
      <c r="AJ149" s="1">
        <v>-1.464</v>
      </c>
      <c r="AL149" s="1">
        <v>-5.1999999999999998E-2</v>
      </c>
      <c r="AM149" s="1">
        <v>-0.92200000000000004</v>
      </c>
      <c r="AN149" s="1">
        <v>-0.95199999999999996</v>
      </c>
      <c r="AO149" s="1">
        <v>-0.17399999999999999</v>
      </c>
      <c r="AP149" s="1">
        <v>-0.10299999999999999</v>
      </c>
      <c r="AQ149" s="1">
        <v>0.13200000000000001</v>
      </c>
      <c r="AR149" s="1">
        <v>4.3999999999999997E-2</v>
      </c>
      <c r="AS149" s="1">
        <v>0.129</v>
      </c>
      <c r="AT149" s="1">
        <v>8.4000000000000005E-2</v>
      </c>
      <c r="AU149" s="1">
        <v>4.1000000000000002E-2</v>
      </c>
      <c r="AV149" s="1">
        <v>0.13900000000000001</v>
      </c>
      <c r="AW149" s="1">
        <v>0.32100000000000001</v>
      </c>
      <c r="AX149" s="1">
        <v>0.183</v>
      </c>
      <c r="AY149" s="1">
        <v>5.8000000000000003E-2</v>
      </c>
      <c r="AZ149" s="1">
        <v>4.46</v>
      </c>
      <c r="BA149" s="1">
        <v>3200</v>
      </c>
      <c r="BB149" s="1">
        <v>13.29</v>
      </c>
      <c r="BC149" s="1">
        <v>2786</v>
      </c>
      <c r="BF149" s="1">
        <f t="shared" si="82"/>
        <v>293</v>
      </c>
      <c r="BM149" s="17">
        <v>31.71</v>
      </c>
      <c r="BN149" s="17">
        <f t="shared" si="91"/>
        <v>64.054200000000009</v>
      </c>
      <c r="BO149" s="18">
        <f t="shared" si="83"/>
        <v>17.350000000000001</v>
      </c>
      <c r="BP149" s="18">
        <f t="shared" si="84"/>
        <v>33.15</v>
      </c>
      <c r="BR149" s="1">
        <f t="shared" si="85"/>
        <v>93.3</v>
      </c>
      <c r="BS149" s="1">
        <f t="shared" si="86"/>
        <v>66.400000000000006</v>
      </c>
      <c r="BT149" s="1">
        <f t="shared" si="87"/>
        <v>43.2</v>
      </c>
      <c r="BU149" s="60">
        <f t="shared" si="88"/>
        <v>0.48699999999999999</v>
      </c>
      <c r="BV149" s="60">
        <f t="shared" si="89"/>
        <v>0.64</v>
      </c>
      <c r="BX149" s="51">
        <f t="shared" si="92"/>
        <v>0</v>
      </c>
      <c r="BY149" s="47">
        <v>0</v>
      </c>
      <c r="BZ149" s="1">
        <v>0</v>
      </c>
      <c r="CB149" s="17">
        <f t="shared" si="93"/>
        <v>17.350000000000001</v>
      </c>
      <c r="CC149" s="17">
        <f t="shared" si="94"/>
        <v>33.15</v>
      </c>
      <c r="CD149" s="3">
        <f t="shared" si="95"/>
        <v>4.8</v>
      </c>
      <c r="CE149" s="3">
        <f t="shared" si="96"/>
        <v>4.4000000000000004</v>
      </c>
      <c r="CF149" s="1" t="s">
        <v>218</v>
      </c>
      <c r="CG149" s="3">
        <f t="shared" si="97"/>
        <v>0.1</v>
      </c>
      <c r="CH149" s="3">
        <f t="shared" si="98"/>
        <v>0.1</v>
      </c>
      <c r="CI149" s="3">
        <f t="shared" si="99"/>
        <v>0.1</v>
      </c>
      <c r="CJ149" s="3">
        <f t="shared" si="100"/>
        <v>0.3</v>
      </c>
      <c r="CK149" s="27">
        <f t="shared" si="101"/>
        <v>66.400000000000006</v>
      </c>
      <c r="CL149" s="1">
        <f t="shared" si="102"/>
        <v>8.6999999999999993</v>
      </c>
      <c r="CM149" s="1">
        <f t="shared" si="103"/>
        <v>9.3000000000000007</v>
      </c>
      <c r="CN149" s="1" t="s">
        <v>218</v>
      </c>
      <c r="CO149" s="1">
        <f t="shared" si="104"/>
        <v>0.4</v>
      </c>
      <c r="CP149" s="1">
        <f t="shared" si="105"/>
        <v>0.3</v>
      </c>
      <c r="CQ149" s="1">
        <f t="shared" si="106"/>
        <v>0.3</v>
      </c>
      <c r="CR149" s="1">
        <f t="shared" si="107"/>
        <v>0.5</v>
      </c>
      <c r="CS149" s="2">
        <f t="shared" si="108"/>
        <v>93.3</v>
      </c>
      <c r="CT149" s="1">
        <f t="shared" si="109"/>
        <v>-0.7</v>
      </c>
      <c r="CU149" s="1">
        <f t="shared" si="110"/>
        <v>-1.5</v>
      </c>
      <c r="CV149" s="1" t="s">
        <v>218</v>
      </c>
      <c r="CW149" s="1">
        <f t="shared" si="111"/>
        <v>-0.1</v>
      </c>
      <c r="CX149" s="1">
        <f t="shared" si="112"/>
        <v>-0.2</v>
      </c>
      <c r="CY149" s="1">
        <f t="shared" si="113"/>
        <v>-0.1</v>
      </c>
      <c r="CZ149" s="1">
        <f t="shared" si="114"/>
        <v>0.1</v>
      </c>
      <c r="DA149" s="2">
        <f t="shared" si="115"/>
        <v>43.2</v>
      </c>
      <c r="DB149" s="20">
        <f t="shared" si="116"/>
        <v>293</v>
      </c>
      <c r="DC149" s="1">
        <f>ROUND(PPTest!K149,1)</f>
        <v>0</v>
      </c>
      <c r="DD149" s="27">
        <f t="shared" si="90"/>
        <v>1.91</v>
      </c>
      <c r="DE149" s="3">
        <f t="shared" si="117"/>
        <v>5.99</v>
      </c>
      <c r="DF149" s="24">
        <f t="shared" si="118"/>
        <v>0.48699999999999999</v>
      </c>
      <c r="DG149" s="24">
        <f t="shared" si="119"/>
        <v>0.64</v>
      </c>
      <c r="DH149" s="17">
        <f t="shared" si="120"/>
        <v>13.29</v>
      </c>
      <c r="DQ149" s="1">
        <v>13.4</v>
      </c>
      <c r="DR149" s="1">
        <v>18.899999999999999</v>
      </c>
      <c r="DS149" s="1">
        <v>7.9</v>
      </c>
    </row>
    <row r="150" spans="1:123" x14ac:dyDescent="0.2">
      <c r="A150" s="15">
        <f t="shared" si="121"/>
        <v>36669</v>
      </c>
      <c r="B150" s="1">
        <v>144</v>
      </c>
      <c r="C150" s="1">
        <v>30.09</v>
      </c>
      <c r="D150" s="1">
        <v>50.36</v>
      </c>
      <c r="E150" s="1">
        <v>2.948</v>
      </c>
      <c r="F150" s="1">
        <v>65.349999999999994</v>
      </c>
      <c r="G150" s="1">
        <v>2.8090000000000002</v>
      </c>
      <c r="I150" s="1">
        <v>0.16200000000000001</v>
      </c>
      <c r="J150" s="1">
        <v>4.2110000000000003</v>
      </c>
      <c r="K150" s="1">
        <v>5.4390000000000001</v>
      </c>
      <c r="L150" s="1">
        <v>0.496</v>
      </c>
      <c r="M150" s="1">
        <v>0.39300000000000002</v>
      </c>
      <c r="N150" s="1">
        <v>0.34699999999999998</v>
      </c>
      <c r="O150" s="1">
        <v>0</v>
      </c>
      <c r="P150" s="2">
        <v>2.5653333333333332</v>
      </c>
      <c r="R150" s="1">
        <v>8.51</v>
      </c>
      <c r="S150" s="1">
        <v>1737</v>
      </c>
      <c r="T150" s="1">
        <v>93</v>
      </c>
      <c r="U150" s="1">
        <v>2240</v>
      </c>
      <c r="V150" s="1">
        <v>9.19</v>
      </c>
      <c r="X150" s="1">
        <v>0.44700000000000001</v>
      </c>
      <c r="Y150" s="1">
        <v>10.15</v>
      </c>
      <c r="Z150" s="1">
        <v>13.88</v>
      </c>
      <c r="AA150" s="1">
        <v>1.397</v>
      </c>
      <c r="AB150" s="1">
        <v>0.78600000000000003</v>
      </c>
      <c r="AC150" s="1">
        <v>0.57399999999999995</v>
      </c>
      <c r="AD150" s="2">
        <v>7.4613333333333332</v>
      </c>
      <c r="AE150" s="1">
        <v>1205</v>
      </c>
      <c r="AF150" s="1">
        <v>-2.4900000000000002</v>
      </c>
      <c r="AG150" s="1">
        <v>2241</v>
      </c>
      <c r="AH150" s="1">
        <v>33.369999999999997</v>
      </c>
      <c r="AI150" s="1">
        <v>1506</v>
      </c>
      <c r="AJ150" s="1">
        <v>-3.4569999999999999</v>
      </c>
      <c r="AL150" s="1">
        <v>-6.0000000000000001E-3</v>
      </c>
      <c r="AM150" s="1">
        <v>-1</v>
      </c>
      <c r="AN150" s="1">
        <v>-1.159</v>
      </c>
      <c r="AO150" s="1">
        <v>-7.2999999999999995E-2</v>
      </c>
      <c r="AP150" s="1">
        <v>0.108</v>
      </c>
      <c r="AQ150" s="1">
        <v>0.16600000000000001</v>
      </c>
      <c r="AR150" s="1">
        <v>1.7000000000000001E-2</v>
      </c>
      <c r="AS150" s="1">
        <v>0.15</v>
      </c>
      <c r="AT150" s="1">
        <v>0.06</v>
      </c>
      <c r="AU150" s="1">
        <v>7.0000000000000001E-3</v>
      </c>
      <c r="AV150" s="1">
        <v>0.14000000000000001</v>
      </c>
      <c r="AW150" s="1">
        <v>0.438</v>
      </c>
      <c r="AX150" s="1">
        <v>0.14899999999999999</v>
      </c>
      <c r="AY150" s="1">
        <v>3.9E-2</v>
      </c>
      <c r="AZ150" s="1">
        <v>3.5880000000000001</v>
      </c>
      <c r="BA150" s="1">
        <v>3264</v>
      </c>
      <c r="BB150" s="1">
        <v>13.28</v>
      </c>
      <c r="BC150" s="1">
        <v>2786</v>
      </c>
      <c r="BF150" s="1">
        <f t="shared" si="82"/>
        <v>229</v>
      </c>
      <c r="BM150" s="17">
        <v>31.82</v>
      </c>
      <c r="BN150" s="17">
        <f t="shared" si="91"/>
        <v>64.276399999999995</v>
      </c>
      <c r="BO150" s="18">
        <f t="shared" si="83"/>
        <v>29.49</v>
      </c>
      <c r="BP150" s="18">
        <f t="shared" si="84"/>
        <v>55.4</v>
      </c>
      <c r="BR150" s="1">
        <f t="shared" si="85"/>
        <v>75.8</v>
      </c>
      <c r="BS150" s="1">
        <f t="shared" si="86"/>
        <v>51.5</v>
      </c>
      <c r="BT150" s="1">
        <f t="shared" si="87"/>
        <v>23.4</v>
      </c>
      <c r="BU150" s="60">
        <f t="shared" si="88"/>
        <v>0.26</v>
      </c>
      <c r="BV150" s="60">
        <f t="shared" si="89"/>
        <v>0.85099999999999998</v>
      </c>
      <c r="BX150" s="51">
        <f t="shared" si="92"/>
        <v>0</v>
      </c>
      <c r="BY150" s="47">
        <v>0</v>
      </c>
      <c r="BZ150" s="1">
        <v>0</v>
      </c>
      <c r="CB150" s="17">
        <f t="shared" si="93"/>
        <v>29.49</v>
      </c>
      <c r="CC150" s="17">
        <f t="shared" si="94"/>
        <v>55.4</v>
      </c>
      <c r="CD150" s="3">
        <f t="shared" si="95"/>
        <v>2.9</v>
      </c>
      <c r="CE150" s="3">
        <f t="shared" si="96"/>
        <v>2.8</v>
      </c>
      <c r="CF150" s="1" t="s">
        <v>218</v>
      </c>
      <c r="CG150" s="3">
        <f t="shared" si="97"/>
        <v>0.2</v>
      </c>
      <c r="CH150" s="3">
        <f t="shared" si="98"/>
        <v>0.5</v>
      </c>
      <c r="CI150" s="3">
        <f t="shared" si="99"/>
        <v>0.4</v>
      </c>
      <c r="CJ150" s="3">
        <f t="shared" si="100"/>
        <v>0.3</v>
      </c>
      <c r="CK150" s="27">
        <f t="shared" si="101"/>
        <v>51.5</v>
      </c>
      <c r="CL150" s="1">
        <f t="shared" si="102"/>
        <v>8.5</v>
      </c>
      <c r="CM150" s="1">
        <f t="shared" si="103"/>
        <v>9.1999999999999993</v>
      </c>
      <c r="CN150" s="1" t="s">
        <v>218</v>
      </c>
      <c r="CO150" s="1">
        <f t="shared" si="104"/>
        <v>0.4</v>
      </c>
      <c r="CP150" s="1">
        <f t="shared" si="105"/>
        <v>1.4</v>
      </c>
      <c r="CQ150" s="1">
        <f t="shared" si="106"/>
        <v>0.8</v>
      </c>
      <c r="CR150" s="1">
        <f t="shared" si="107"/>
        <v>0.6</v>
      </c>
      <c r="CS150" s="2">
        <f t="shared" si="108"/>
        <v>75.8</v>
      </c>
      <c r="CT150" s="1">
        <f t="shared" si="109"/>
        <v>-2.5</v>
      </c>
      <c r="CU150" s="1">
        <f t="shared" si="110"/>
        <v>-3.5</v>
      </c>
      <c r="CV150" s="1" t="s">
        <v>218</v>
      </c>
      <c r="CW150" s="1">
        <f t="shared" si="111"/>
        <v>0</v>
      </c>
      <c r="CX150" s="1">
        <f t="shared" si="112"/>
        <v>-0.1</v>
      </c>
      <c r="CY150" s="1">
        <f t="shared" si="113"/>
        <v>0.1</v>
      </c>
      <c r="CZ150" s="1">
        <f t="shared" si="114"/>
        <v>0.2</v>
      </c>
      <c r="DA150" s="2">
        <f t="shared" si="115"/>
        <v>23.4</v>
      </c>
      <c r="DB150" s="20">
        <f t="shared" si="116"/>
        <v>229</v>
      </c>
      <c r="DC150" s="1">
        <f>ROUND(PPTest!K150,1)</f>
        <v>0</v>
      </c>
      <c r="DD150" s="27">
        <f t="shared" si="90"/>
        <v>2.57</v>
      </c>
      <c r="DE150" s="3">
        <f t="shared" si="117"/>
        <v>7.46</v>
      </c>
      <c r="DF150" s="24">
        <f t="shared" si="118"/>
        <v>0.26</v>
      </c>
      <c r="DG150" s="24">
        <f t="shared" si="119"/>
        <v>0.85099999999999998</v>
      </c>
      <c r="DH150" s="17">
        <f t="shared" si="120"/>
        <v>13.28</v>
      </c>
      <c r="DQ150" s="1">
        <v>12.4</v>
      </c>
      <c r="DR150" s="1">
        <v>21.7</v>
      </c>
      <c r="DS150" s="1">
        <v>3</v>
      </c>
    </row>
    <row r="151" spans="1:123" x14ac:dyDescent="0.2">
      <c r="A151" s="15">
        <f t="shared" si="121"/>
        <v>36670</v>
      </c>
      <c r="B151" s="1">
        <v>145</v>
      </c>
      <c r="C151" s="1">
        <v>27.54</v>
      </c>
      <c r="D151" s="1">
        <v>46.1</v>
      </c>
      <c r="E151" s="1">
        <v>2.8450000000000002</v>
      </c>
      <c r="F151" s="1">
        <v>69.63</v>
      </c>
      <c r="G151" s="1">
        <v>2.621</v>
      </c>
      <c r="I151" s="1">
        <v>0.159</v>
      </c>
      <c r="J151" s="1">
        <v>3.7570000000000001</v>
      </c>
      <c r="K151" s="1">
        <v>4.9219999999999997</v>
      </c>
      <c r="L151" s="1">
        <v>0.95499999999999996</v>
      </c>
      <c r="M151" s="1">
        <v>0.76</v>
      </c>
      <c r="N151" s="1">
        <v>0.39100000000000001</v>
      </c>
      <c r="O151" s="1">
        <v>0</v>
      </c>
      <c r="P151" s="2">
        <v>2.1153333333333331</v>
      </c>
      <c r="R151" s="1">
        <v>9.5</v>
      </c>
      <c r="S151" s="1">
        <v>1608</v>
      </c>
      <c r="T151" s="1">
        <v>98.8</v>
      </c>
      <c r="U151" s="1">
        <v>353</v>
      </c>
      <c r="V151" s="1">
        <v>11.46</v>
      </c>
      <c r="X151" s="1">
        <v>0.47199999999999998</v>
      </c>
      <c r="Y151" s="1">
        <v>12.12</v>
      </c>
      <c r="Z151" s="1">
        <v>14.2</v>
      </c>
      <c r="AA151" s="1">
        <v>2.8180000000000001</v>
      </c>
      <c r="AB151" s="1">
        <v>1.0089999999999999</v>
      </c>
      <c r="AC151" s="1">
        <v>0.65400000000000003</v>
      </c>
      <c r="AD151" s="2">
        <v>6.1280000000000001</v>
      </c>
      <c r="AE151" s="1">
        <v>849</v>
      </c>
      <c r="AF151" s="1">
        <v>-4.0720000000000001</v>
      </c>
      <c r="AG151" s="1">
        <v>403</v>
      </c>
      <c r="AH151" s="1">
        <v>34.65</v>
      </c>
      <c r="AI151" s="1">
        <v>1425</v>
      </c>
      <c r="AJ151" s="1">
        <v>-5.26</v>
      </c>
      <c r="AL151" s="1">
        <v>-0.14199999999999999</v>
      </c>
      <c r="AM151" s="1">
        <v>-1.123</v>
      </c>
      <c r="AN151" s="1">
        <v>-0.80500000000000005</v>
      </c>
      <c r="AO151" s="1">
        <v>-6.9000000000000006E-2</v>
      </c>
      <c r="AP151" s="1">
        <v>0.39800000000000002</v>
      </c>
      <c r="AQ151" s="1">
        <v>1.2E-2</v>
      </c>
      <c r="AR151" s="1">
        <v>4.3999999999999997E-2</v>
      </c>
      <c r="AS151" s="1">
        <v>0.32300000000000001</v>
      </c>
      <c r="AT151" s="1">
        <v>0.161</v>
      </c>
      <c r="AU151" s="1">
        <v>1.2999999999999999E-2</v>
      </c>
      <c r="AV151" s="1">
        <v>7.4999999999999997E-2</v>
      </c>
      <c r="AW151" s="1">
        <v>0.20200000000000001</v>
      </c>
      <c r="AX151" s="1">
        <v>0.127</v>
      </c>
      <c r="AY151" s="1">
        <v>5.6000000000000001E-2</v>
      </c>
      <c r="AZ151" s="1">
        <v>3.052</v>
      </c>
      <c r="BA151" s="1">
        <v>3316</v>
      </c>
      <c r="BB151" s="1">
        <v>13.27</v>
      </c>
      <c r="BC151" s="1">
        <v>2786</v>
      </c>
      <c r="BF151" s="1">
        <f t="shared" si="82"/>
        <v>177</v>
      </c>
      <c r="BM151" s="17">
        <v>31.94</v>
      </c>
      <c r="BN151" s="17">
        <f t="shared" si="91"/>
        <v>64.518799999999999</v>
      </c>
      <c r="BO151" s="18">
        <f t="shared" si="83"/>
        <v>26.99</v>
      </c>
      <c r="BP151" s="18">
        <f t="shared" si="84"/>
        <v>50.71</v>
      </c>
      <c r="BR151" s="1">
        <f t="shared" si="85"/>
        <v>80.900000000000006</v>
      </c>
      <c r="BS151" s="1">
        <f t="shared" si="86"/>
        <v>55.3</v>
      </c>
      <c r="BT151" s="1">
        <f t="shared" si="87"/>
        <v>24.5</v>
      </c>
      <c r="BU151" s="60">
        <f t="shared" si="88"/>
        <v>0.29099999999999998</v>
      </c>
      <c r="BV151" s="60">
        <f t="shared" si="89"/>
        <v>0.89700000000000002</v>
      </c>
      <c r="BX151" s="1">
        <v>0</v>
      </c>
      <c r="BY151" s="1">
        <v>0</v>
      </c>
      <c r="BZ151" s="1">
        <v>0</v>
      </c>
      <c r="CB151" s="17">
        <f t="shared" si="93"/>
        <v>26.99</v>
      </c>
      <c r="CC151" s="17">
        <f t="shared" si="94"/>
        <v>50.71</v>
      </c>
      <c r="CD151" s="3">
        <f t="shared" si="95"/>
        <v>2.8</v>
      </c>
      <c r="CE151" s="3">
        <f t="shared" si="96"/>
        <v>2.6</v>
      </c>
      <c r="CF151" s="1" t="s">
        <v>218</v>
      </c>
      <c r="CG151" s="3">
        <f t="shared" si="97"/>
        <v>0.2</v>
      </c>
      <c r="CH151" s="3">
        <f t="shared" si="98"/>
        <v>1</v>
      </c>
      <c r="CI151" s="3">
        <f t="shared" si="99"/>
        <v>0.8</v>
      </c>
      <c r="CJ151" s="3">
        <f t="shared" si="100"/>
        <v>0.4</v>
      </c>
      <c r="CK151" s="27">
        <f t="shared" si="101"/>
        <v>55.3</v>
      </c>
      <c r="CL151" s="1">
        <f t="shared" si="102"/>
        <v>9.5</v>
      </c>
      <c r="CM151" s="1">
        <f t="shared" si="103"/>
        <v>11.5</v>
      </c>
      <c r="CN151" s="1" t="s">
        <v>218</v>
      </c>
      <c r="CO151" s="1">
        <f t="shared" si="104"/>
        <v>0.5</v>
      </c>
      <c r="CP151" s="1">
        <f t="shared" si="105"/>
        <v>2.8</v>
      </c>
      <c r="CQ151" s="1">
        <f t="shared" si="106"/>
        <v>1</v>
      </c>
      <c r="CR151" s="1">
        <f t="shared" si="107"/>
        <v>0.7</v>
      </c>
      <c r="CS151" s="2">
        <f t="shared" si="108"/>
        <v>80.900000000000006</v>
      </c>
      <c r="CT151" s="1">
        <f t="shared" si="109"/>
        <v>-4.0999999999999996</v>
      </c>
      <c r="CU151" s="1">
        <f t="shared" si="110"/>
        <v>-5.3</v>
      </c>
      <c r="CV151" s="1" t="s">
        <v>218</v>
      </c>
      <c r="CW151" s="1">
        <f t="shared" si="111"/>
        <v>-0.1</v>
      </c>
      <c r="CX151" s="1">
        <f t="shared" si="112"/>
        <v>-0.1</v>
      </c>
      <c r="CY151" s="1">
        <f t="shared" si="113"/>
        <v>0.4</v>
      </c>
      <c r="CZ151" s="1">
        <f t="shared" si="114"/>
        <v>0</v>
      </c>
      <c r="DA151" s="2">
        <f t="shared" si="115"/>
        <v>24.5</v>
      </c>
      <c r="DB151" s="20">
        <f t="shared" si="116"/>
        <v>177</v>
      </c>
      <c r="DC151" s="1">
        <f>ROUND(PPTest!K151,1)</f>
        <v>0</v>
      </c>
      <c r="DD151" s="27">
        <f t="shared" si="90"/>
        <v>2.12</v>
      </c>
      <c r="DE151" s="3">
        <f t="shared" si="117"/>
        <v>6.13</v>
      </c>
      <c r="DF151" s="24">
        <f t="shared" si="118"/>
        <v>0.29099999999999998</v>
      </c>
      <c r="DG151" s="24">
        <f t="shared" si="119"/>
        <v>0.89700000000000002</v>
      </c>
      <c r="DH151" s="17">
        <f t="shared" si="120"/>
        <v>13.27</v>
      </c>
      <c r="DQ151" s="1">
        <v>10.7</v>
      </c>
      <c r="DR151" s="1">
        <v>22</v>
      </c>
      <c r="DS151" s="1">
        <v>-0.7</v>
      </c>
    </row>
    <row r="152" spans="1:123" x14ac:dyDescent="0.2">
      <c r="A152" s="15">
        <f t="shared" si="121"/>
        <v>36671</v>
      </c>
      <c r="B152" s="1">
        <v>146</v>
      </c>
      <c r="C152" s="1">
        <v>27.14</v>
      </c>
      <c r="D152" s="1">
        <v>45.91</v>
      </c>
      <c r="E152" s="1">
        <v>3.8809999999999998</v>
      </c>
      <c r="F152" s="1">
        <v>64.8</v>
      </c>
      <c r="G152" s="1">
        <v>3.6680000000000001</v>
      </c>
      <c r="I152" s="1">
        <v>0.17399999999999999</v>
      </c>
      <c r="J152" s="1">
        <v>4.7969999999999997</v>
      </c>
      <c r="K152" s="1">
        <v>6.0110000000000001</v>
      </c>
      <c r="L152" s="1">
        <v>1.6359999999999999</v>
      </c>
      <c r="M152" s="1">
        <v>1.1060000000000001</v>
      </c>
      <c r="N152" s="1">
        <v>0.46500000000000002</v>
      </c>
      <c r="O152" s="1">
        <v>0</v>
      </c>
      <c r="P152" s="2">
        <v>2.0523333333333333</v>
      </c>
      <c r="R152" s="1">
        <v>11.27</v>
      </c>
      <c r="S152" s="1">
        <v>1527</v>
      </c>
      <c r="T152" s="1">
        <v>100.5</v>
      </c>
      <c r="U152" s="1">
        <v>359</v>
      </c>
      <c r="V152" s="1">
        <v>13.08</v>
      </c>
      <c r="X152" s="1">
        <v>0.52700000000000002</v>
      </c>
      <c r="Y152" s="1">
        <v>12.69</v>
      </c>
      <c r="Z152" s="1">
        <v>14.71</v>
      </c>
      <c r="AA152" s="1">
        <v>4.1639999999999997</v>
      </c>
      <c r="AB152" s="1">
        <v>1.6120000000000001</v>
      </c>
      <c r="AC152" s="1">
        <v>0.746</v>
      </c>
      <c r="AD152" s="2">
        <v>5.8346666666666671</v>
      </c>
      <c r="AE152" s="1">
        <v>1735</v>
      </c>
      <c r="AF152" s="1">
        <v>-3</v>
      </c>
      <c r="AG152" s="1">
        <v>400</v>
      </c>
      <c r="AH152" s="1">
        <v>26.18</v>
      </c>
      <c r="AI152" s="1">
        <v>1659</v>
      </c>
      <c r="AJ152" s="1">
        <v>-3.8210000000000002</v>
      </c>
      <c r="AL152" s="1">
        <v>-0.17299999999999999</v>
      </c>
      <c r="AM152" s="1">
        <v>-0.82899999999999996</v>
      </c>
      <c r="AN152" s="1">
        <v>-1.1499999999999999</v>
      </c>
      <c r="AO152" s="1">
        <v>0.128</v>
      </c>
      <c r="AP152" s="1">
        <v>0.65100000000000002</v>
      </c>
      <c r="AQ152" s="1">
        <v>0.108</v>
      </c>
      <c r="AR152" s="1">
        <v>2.4E-2</v>
      </c>
      <c r="AS152" s="1">
        <v>0.23799999999999999</v>
      </c>
      <c r="AT152" s="1">
        <v>0.16400000000000001</v>
      </c>
      <c r="AU152" s="1">
        <v>2.7E-2</v>
      </c>
      <c r="AV152" s="1">
        <v>0.111</v>
      </c>
      <c r="AW152" s="1">
        <v>0.27300000000000002</v>
      </c>
      <c r="AX152" s="1">
        <v>0.13</v>
      </c>
      <c r="AY152" s="1">
        <v>3.3000000000000002E-2</v>
      </c>
      <c r="AZ152" s="1">
        <v>4.0380000000000003</v>
      </c>
      <c r="BA152" s="1">
        <v>3327</v>
      </c>
      <c r="BB152" s="1">
        <v>13.25</v>
      </c>
      <c r="BC152" s="1">
        <v>2786</v>
      </c>
      <c r="BF152" s="1">
        <f t="shared" si="82"/>
        <v>166</v>
      </c>
      <c r="BM152" s="17">
        <v>32.04</v>
      </c>
      <c r="BN152" s="17">
        <f t="shared" si="91"/>
        <v>64.720799999999997</v>
      </c>
      <c r="BO152" s="18">
        <f t="shared" si="83"/>
        <v>26.6</v>
      </c>
      <c r="BP152" s="18">
        <f t="shared" si="84"/>
        <v>50.5</v>
      </c>
      <c r="BR152" s="1">
        <f t="shared" si="85"/>
        <v>84.1</v>
      </c>
      <c r="BS152" s="1">
        <f t="shared" si="86"/>
        <v>51</v>
      </c>
      <c r="BT152" s="1">
        <f t="shared" si="87"/>
        <v>17</v>
      </c>
      <c r="BU152" s="60">
        <f t="shared" si="88"/>
        <v>0.22700000000000001</v>
      </c>
      <c r="BV152" s="60">
        <f t="shared" si="89"/>
        <v>1.1080000000000001</v>
      </c>
      <c r="BX152" s="1">
        <v>0</v>
      </c>
      <c r="BY152" s="1">
        <v>0</v>
      </c>
      <c r="BZ152" s="1">
        <v>0</v>
      </c>
      <c r="CB152" s="17">
        <f t="shared" si="93"/>
        <v>26.6</v>
      </c>
      <c r="CC152" s="17">
        <f t="shared" si="94"/>
        <v>50.5</v>
      </c>
      <c r="CD152" s="3">
        <f t="shared" si="95"/>
        <v>3.9</v>
      </c>
      <c r="CE152" s="3">
        <f t="shared" si="96"/>
        <v>3.7</v>
      </c>
      <c r="CF152" s="1" t="s">
        <v>218</v>
      </c>
      <c r="CG152" s="3">
        <f t="shared" si="97"/>
        <v>0.2</v>
      </c>
      <c r="CH152" s="3">
        <f t="shared" si="98"/>
        <v>1.6</v>
      </c>
      <c r="CI152" s="3">
        <f t="shared" si="99"/>
        <v>1.1000000000000001</v>
      </c>
      <c r="CJ152" s="3">
        <f t="shared" si="100"/>
        <v>0.5</v>
      </c>
      <c r="CK152" s="27">
        <f t="shared" si="101"/>
        <v>51</v>
      </c>
      <c r="CL152" s="1">
        <f t="shared" si="102"/>
        <v>11.3</v>
      </c>
      <c r="CM152" s="1">
        <f t="shared" si="103"/>
        <v>13.1</v>
      </c>
      <c r="CN152" s="1" t="s">
        <v>218</v>
      </c>
      <c r="CO152" s="1">
        <f t="shared" si="104"/>
        <v>0.5</v>
      </c>
      <c r="CP152" s="1">
        <f t="shared" si="105"/>
        <v>4.2</v>
      </c>
      <c r="CQ152" s="1">
        <f t="shared" si="106"/>
        <v>1.6</v>
      </c>
      <c r="CR152" s="1">
        <f t="shared" si="107"/>
        <v>0.7</v>
      </c>
      <c r="CS152" s="2">
        <f t="shared" si="108"/>
        <v>84.1</v>
      </c>
      <c r="CT152" s="1">
        <f t="shared" si="109"/>
        <v>-3</v>
      </c>
      <c r="CU152" s="1">
        <f t="shared" si="110"/>
        <v>-3.8</v>
      </c>
      <c r="CV152" s="1" t="s">
        <v>218</v>
      </c>
      <c r="CW152" s="1">
        <f t="shared" si="111"/>
        <v>-0.2</v>
      </c>
      <c r="CX152" s="1">
        <f t="shared" si="112"/>
        <v>0.1</v>
      </c>
      <c r="CY152" s="1">
        <f t="shared" si="113"/>
        <v>0.7</v>
      </c>
      <c r="CZ152" s="1">
        <f t="shared" si="114"/>
        <v>0.1</v>
      </c>
      <c r="DA152" s="2">
        <f t="shared" si="115"/>
        <v>17</v>
      </c>
      <c r="DB152" s="20">
        <f t="shared" si="116"/>
        <v>166</v>
      </c>
      <c r="DC152" s="1">
        <f>ROUND(PPTest!K152,1)</f>
        <v>0</v>
      </c>
      <c r="DD152" s="27">
        <f t="shared" si="90"/>
        <v>2.0499999999999998</v>
      </c>
      <c r="DE152" s="3">
        <f t="shared" si="117"/>
        <v>5.83</v>
      </c>
      <c r="DF152" s="24">
        <f t="shared" si="118"/>
        <v>0.22700000000000001</v>
      </c>
      <c r="DG152" s="24">
        <f t="shared" si="119"/>
        <v>1.1080000000000001</v>
      </c>
      <c r="DH152" s="17">
        <f t="shared" si="120"/>
        <v>13.25</v>
      </c>
      <c r="DQ152" s="1">
        <v>14.2</v>
      </c>
      <c r="DR152" s="1">
        <v>24</v>
      </c>
      <c r="DS152" s="1">
        <v>4.4000000000000004</v>
      </c>
    </row>
    <row r="153" spans="1:123" x14ac:dyDescent="0.2">
      <c r="A153" s="15">
        <f t="shared" si="121"/>
        <v>36672</v>
      </c>
      <c r="B153" s="1">
        <v>147</v>
      </c>
      <c r="C153" s="1">
        <v>11.08</v>
      </c>
      <c r="D153" s="1">
        <v>19.8</v>
      </c>
      <c r="E153" s="1">
        <v>3.04</v>
      </c>
      <c r="F153" s="1">
        <v>84.6</v>
      </c>
      <c r="G153" s="1">
        <v>2.6269999999999998</v>
      </c>
      <c r="I153" s="1">
        <v>7.5999999999999998E-2</v>
      </c>
      <c r="J153" s="1">
        <v>2.6160000000000001</v>
      </c>
      <c r="K153" s="1">
        <v>3.157</v>
      </c>
      <c r="L153" s="1">
        <v>1.3029999999999999</v>
      </c>
      <c r="M153" s="1">
        <v>1.3120000000000001</v>
      </c>
      <c r="N153" s="1">
        <v>0.498</v>
      </c>
      <c r="O153" s="1">
        <v>0</v>
      </c>
      <c r="P153" s="2">
        <v>1.6423333333333334</v>
      </c>
      <c r="R153" s="1">
        <v>8.2100000000000009</v>
      </c>
      <c r="S153" s="1">
        <v>1446</v>
      </c>
      <c r="T153" s="1">
        <v>108.2</v>
      </c>
      <c r="U153" s="1">
        <v>2323</v>
      </c>
      <c r="V153" s="1">
        <v>9.16</v>
      </c>
      <c r="X153" s="1">
        <v>0.25</v>
      </c>
      <c r="Y153" s="1">
        <v>8.36</v>
      </c>
      <c r="Z153" s="1">
        <v>9.69</v>
      </c>
      <c r="AA153" s="1">
        <v>2.4249999999999998</v>
      </c>
      <c r="AB153" s="1">
        <v>1.615</v>
      </c>
      <c r="AC153" s="1">
        <v>0.69899999999999995</v>
      </c>
      <c r="AD153" s="2">
        <v>6.1013333333333337</v>
      </c>
      <c r="AE153" s="1">
        <v>1518</v>
      </c>
      <c r="AF153" s="1">
        <v>-2.7069999999999999</v>
      </c>
      <c r="AG153" s="1">
        <v>227</v>
      </c>
      <c r="AH153" s="1">
        <v>47.05</v>
      </c>
      <c r="AI153" s="1">
        <v>637</v>
      </c>
      <c r="AJ153" s="1">
        <v>-3.7240000000000002</v>
      </c>
      <c r="AL153" s="1">
        <v>-8.3000000000000004E-2</v>
      </c>
      <c r="AM153" s="1">
        <v>-0.56399999999999995</v>
      </c>
      <c r="AN153" s="1">
        <v>-0.57999999999999996</v>
      </c>
      <c r="AO153" s="1">
        <v>0.442</v>
      </c>
      <c r="AP153" s="1">
        <v>1.155</v>
      </c>
      <c r="AQ153" s="1">
        <v>0.29299999999999998</v>
      </c>
      <c r="AR153" s="1">
        <v>5.8999999999999997E-2</v>
      </c>
      <c r="AS153" s="1">
        <v>0.221</v>
      </c>
      <c r="AT153" s="1">
        <v>0.16</v>
      </c>
      <c r="AU153" s="1">
        <v>8.8999999999999996E-2</v>
      </c>
      <c r="AV153" s="1">
        <v>0.13400000000000001</v>
      </c>
      <c r="AW153" s="1">
        <v>0.188</v>
      </c>
      <c r="AX153" s="1">
        <v>9.7000000000000003E-2</v>
      </c>
      <c r="AY153" s="1">
        <v>5.1999999999999998E-2</v>
      </c>
      <c r="AZ153" s="1">
        <v>2.4079999999999999</v>
      </c>
      <c r="BA153" s="1">
        <v>3347</v>
      </c>
      <c r="BB153" s="1">
        <v>13.24</v>
      </c>
      <c r="BC153" s="1">
        <v>2786</v>
      </c>
      <c r="BF153" s="1">
        <f t="shared" si="82"/>
        <v>146</v>
      </c>
      <c r="BM153" s="17">
        <v>32.14</v>
      </c>
      <c r="BN153" s="17">
        <f t="shared" si="91"/>
        <v>64.922799999999995</v>
      </c>
      <c r="BO153" s="18">
        <f t="shared" si="83"/>
        <v>10.86</v>
      </c>
      <c r="BP153" s="18">
        <f t="shared" si="84"/>
        <v>21.78</v>
      </c>
      <c r="BR153" s="1">
        <f t="shared" si="85"/>
        <v>96.3</v>
      </c>
      <c r="BS153" s="1">
        <f t="shared" si="86"/>
        <v>68.400000000000006</v>
      </c>
      <c r="BT153" s="1">
        <f t="shared" si="87"/>
        <v>35.4</v>
      </c>
      <c r="BU153" s="60">
        <f t="shared" si="88"/>
        <v>0.38500000000000001</v>
      </c>
      <c r="BV153" s="60">
        <f t="shared" si="89"/>
        <v>0.70299999999999996</v>
      </c>
      <c r="BX153" s="1">
        <v>0</v>
      </c>
      <c r="BY153" s="1">
        <v>0</v>
      </c>
      <c r="BZ153" s="1">
        <v>0</v>
      </c>
      <c r="CB153" s="17">
        <f t="shared" si="93"/>
        <v>10.86</v>
      </c>
      <c r="CC153" s="17">
        <f t="shared" si="94"/>
        <v>21.78</v>
      </c>
      <c r="CD153" s="3">
        <f t="shared" si="95"/>
        <v>3</v>
      </c>
      <c r="CE153" s="3">
        <f t="shared" si="96"/>
        <v>2.6</v>
      </c>
      <c r="CF153" s="1" t="s">
        <v>218</v>
      </c>
      <c r="CG153" s="3">
        <f t="shared" si="97"/>
        <v>0.1</v>
      </c>
      <c r="CH153" s="3">
        <f t="shared" si="98"/>
        <v>1.3</v>
      </c>
      <c r="CI153" s="3">
        <f t="shared" si="99"/>
        <v>1.3</v>
      </c>
      <c r="CJ153" s="3">
        <f t="shared" si="100"/>
        <v>0.5</v>
      </c>
      <c r="CK153" s="27">
        <f t="shared" si="101"/>
        <v>68.400000000000006</v>
      </c>
      <c r="CL153" s="1">
        <f t="shared" si="102"/>
        <v>8.1999999999999993</v>
      </c>
      <c r="CM153" s="1">
        <f t="shared" si="103"/>
        <v>9.1999999999999993</v>
      </c>
      <c r="CN153" s="1" t="s">
        <v>218</v>
      </c>
      <c r="CO153" s="1">
        <f t="shared" si="104"/>
        <v>0.3</v>
      </c>
      <c r="CP153" s="1">
        <f t="shared" si="105"/>
        <v>2.4</v>
      </c>
      <c r="CQ153" s="1">
        <f t="shared" si="106"/>
        <v>1.6</v>
      </c>
      <c r="CR153" s="1">
        <f t="shared" si="107"/>
        <v>0.7</v>
      </c>
      <c r="CS153" s="2">
        <f t="shared" si="108"/>
        <v>96.3</v>
      </c>
      <c r="CT153" s="1">
        <f t="shared" si="109"/>
        <v>-2.7</v>
      </c>
      <c r="CU153" s="1">
        <f t="shared" si="110"/>
        <v>-3.7</v>
      </c>
      <c r="CV153" s="1" t="s">
        <v>218</v>
      </c>
      <c r="CW153" s="1">
        <f t="shared" si="111"/>
        <v>-0.1</v>
      </c>
      <c r="CX153" s="1">
        <f t="shared" si="112"/>
        <v>0.4</v>
      </c>
      <c r="CY153" s="1">
        <f t="shared" si="113"/>
        <v>1.2</v>
      </c>
      <c r="CZ153" s="1">
        <f t="shared" si="114"/>
        <v>0.3</v>
      </c>
      <c r="DA153" s="2">
        <f t="shared" si="115"/>
        <v>35.4</v>
      </c>
      <c r="DB153" s="20">
        <f t="shared" si="116"/>
        <v>146</v>
      </c>
      <c r="DC153" s="1">
        <f>ROUND(PPTest!K153,1)</f>
        <v>0</v>
      </c>
      <c r="DD153" s="27">
        <f t="shared" si="90"/>
        <v>1.64</v>
      </c>
      <c r="DE153" s="3">
        <f t="shared" si="117"/>
        <v>6.1</v>
      </c>
      <c r="DF153" s="24">
        <f t="shared" si="118"/>
        <v>0.38500000000000001</v>
      </c>
      <c r="DG153" s="24">
        <f t="shared" si="119"/>
        <v>0.70299999999999996</v>
      </c>
      <c r="DH153" s="17">
        <f t="shared" si="120"/>
        <v>13.24</v>
      </c>
      <c r="DQ153" s="1">
        <v>10</v>
      </c>
      <c r="DR153" s="1">
        <v>17.8</v>
      </c>
      <c r="DS153" s="1">
        <v>2.1</v>
      </c>
    </row>
    <row r="154" spans="1:123" x14ac:dyDescent="0.2">
      <c r="A154" s="15">
        <f t="shared" si="121"/>
        <v>36673</v>
      </c>
      <c r="B154" s="1">
        <v>148</v>
      </c>
      <c r="D154" s="1">
        <v>19.02</v>
      </c>
      <c r="E154" s="1">
        <v>3.8959999999999999</v>
      </c>
      <c r="F154" s="1">
        <v>98.5</v>
      </c>
      <c r="G154" s="1">
        <v>3.3359999999999999</v>
      </c>
      <c r="I154" s="1">
        <v>0.112</v>
      </c>
      <c r="J154" s="1">
        <v>3.0760000000000001</v>
      </c>
      <c r="K154" s="1">
        <v>3.4929999999999999</v>
      </c>
      <c r="L154" s="1">
        <v>1.982</v>
      </c>
      <c r="M154" s="1">
        <v>1.292</v>
      </c>
      <c r="N154" s="1">
        <v>0.57299999999999995</v>
      </c>
      <c r="O154" s="1">
        <v>0</v>
      </c>
      <c r="P154" s="2">
        <v>1.7723333333333333</v>
      </c>
      <c r="R154" s="1">
        <v>8.59</v>
      </c>
      <c r="S154" s="1">
        <v>1214</v>
      </c>
      <c r="T154" s="1">
        <v>108.3</v>
      </c>
      <c r="U154" s="1">
        <v>1620</v>
      </c>
      <c r="V154" s="1">
        <v>11.27</v>
      </c>
      <c r="X154" s="1">
        <v>0.35499999999999998</v>
      </c>
      <c r="Y154" s="1">
        <v>8.0399999999999991</v>
      </c>
      <c r="Z154" s="1">
        <v>9.84</v>
      </c>
      <c r="AA154" s="1">
        <v>4.0620000000000003</v>
      </c>
      <c r="AB154" s="1">
        <v>1.577</v>
      </c>
      <c r="AC154" s="1">
        <v>0.75600000000000001</v>
      </c>
      <c r="AD154" s="2">
        <v>8.1280000000000001</v>
      </c>
      <c r="AE154" s="1">
        <v>1333</v>
      </c>
      <c r="AF154" s="1">
        <v>1.7999999999999999E-2</v>
      </c>
      <c r="AG154" s="1">
        <v>356</v>
      </c>
      <c r="AH154" s="1">
        <v>78</v>
      </c>
      <c r="AI154" s="1">
        <v>1215</v>
      </c>
      <c r="AJ154" s="1">
        <v>-1.089</v>
      </c>
      <c r="AL154" s="1">
        <v>-0.1</v>
      </c>
      <c r="AM154" s="1">
        <v>-0.57599999999999996</v>
      </c>
      <c r="AN154" s="1">
        <v>-0.67600000000000005</v>
      </c>
      <c r="AO154" s="1">
        <v>0.67800000000000005</v>
      </c>
      <c r="AP154" s="1">
        <v>1.05</v>
      </c>
      <c r="AQ154" s="1">
        <v>0.38400000000000001</v>
      </c>
      <c r="AR154" s="1">
        <v>7.1999999999999995E-2</v>
      </c>
      <c r="AS154" s="1">
        <v>0.13</v>
      </c>
      <c r="AT154" s="1">
        <v>8.7999999999999995E-2</v>
      </c>
      <c r="AU154" s="1">
        <v>0.08</v>
      </c>
      <c r="AV154" s="1">
        <v>0.186</v>
      </c>
      <c r="AW154" s="1">
        <v>0.26100000000000001</v>
      </c>
      <c r="AX154" s="1">
        <v>0.122</v>
      </c>
      <c r="AY154" s="1">
        <v>6.0999999999999999E-2</v>
      </c>
      <c r="AZ154" s="1">
        <v>3.1539999999999999</v>
      </c>
      <c r="BA154" s="1">
        <v>3376</v>
      </c>
      <c r="BB154" s="1">
        <v>13.29</v>
      </c>
      <c r="BC154" s="1">
        <v>2786</v>
      </c>
      <c r="BF154" s="1">
        <f t="shared" si="82"/>
        <v>117</v>
      </c>
      <c r="BM154" s="17">
        <v>32.24</v>
      </c>
      <c r="BN154" s="17">
        <f t="shared" si="91"/>
        <v>65.124800000000008</v>
      </c>
      <c r="BO154" s="65">
        <f>ROUND(BP154/2.02,2)</f>
        <v>10.36</v>
      </c>
      <c r="BP154" s="18">
        <f>ROUND(D154*BP$2,2)</f>
        <v>20.92</v>
      </c>
      <c r="BR154" s="1">
        <f t="shared" si="85"/>
        <v>96.5</v>
      </c>
      <c r="BS154" s="1">
        <f t="shared" si="86"/>
        <v>80.7</v>
      </c>
      <c r="BT154" s="1">
        <f t="shared" si="87"/>
        <v>62.6</v>
      </c>
      <c r="BU154" s="60">
        <f t="shared" si="88"/>
        <v>0.69899999999999995</v>
      </c>
      <c r="BV154" s="60">
        <f t="shared" si="89"/>
        <v>0.41799999999999998</v>
      </c>
      <c r="BX154" s="1">
        <v>6.8</v>
      </c>
      <c r="BY154" s="1">
        <v>6.8</v>
      </c>
      <c r="BZ154" s="1">
        <v>13.299999999999999</v>
      </c>
      <c r="CB154" s="17">
        <f t="shared" si="93"/>
        <v>10.36</v>
      </c>
      <c r="CC154" s="17">
        <f t="shared" si="94"/>
        <v>20.92</v>
      </c>
      <c r="CD154" s="3">
        <f t="shared" si="95"/>
        <v>3.9</v>
      </c>
      <c r="CE154" s="3">
        <f t="shared" si="96"/>
        <v>3.3</v>
      </c>
      <c r="CF154" s="1" t="s">
        <v>218</v>
      </c>
      <c r="CG154" s="3">
        <f t="shared" si="97"/>
        <v>0.1</v>
      </c>
      <c r="CH154" s="3">
        <f t="shared" si="98"/>
        <v>2</v>
      </c>
      <c r="CI154" s="3">
        <f t="shared" si="99"/>
        <v>1.3</v>
      </c>
      <c r="CJ154" s="3">
        <f t="shared" si="100"/>
        <v>0.6</v>
      </c>
      <c r="CK154" s="27">
        <f t="shared" si="101"/>
        <v>80.7</v>
      </c>
      <c r="CL154" s="1">
        <f t="shared" si="102"/>
        <v>8.6</v>
      </c>
      <c r="CM154" s="1">
        <f t="shared" si="103"/>
        <v>11.3</v>
      </c>
      <c r="CN154" s="1" t="s">
        <v>218</v>
      </c>
      <c r="CO154" s="1">
        <f t="shared" si="104"/>
        <v>0.4</v>
      </c>
      <c r="CP154" s="1">
        <f t="shared" si="105"/>
        <v>4.0999999999999996</v>
      </c>
      <c r="CQ154" s="1">
        <f t="shared" si="106"/>
        <v>1.6</v>
      </c>
      <c r="CR154" s="1">
        <f t="shared" si="107"/>
        <v>0.8</v>
      </c>
      <c r="CS154" s="2">
        <f t="shared" si="108"/>
        <v>96.5</v>
      </c>
      <c r="CT154" s="1">
        <f t="shared" si="109"/>
        <v>0</v>
      </c>
      <c r="CU154" s="1">
        <f t="shared" si="110"/>
        <v>-1.1000000000000001</v>
      </c>
      <c r="CV154" s="1" t="s">
        <v>218</v>
      </c>
      <c r="CW154" s="1">
        <f t="shared" si="111"/>
        <v>-0.1</v>
      </c>
      <c r="CX154" s="1">
        <f t="shared" si="112"/>
        <v>0.7</v>
      </c>
      <c r="CY154" s="1">
        <f t="shared" si="113"/>
        <v>1.1000000000000001</v>
      </c>
      <c r="CZ154" s="1">
        <f t="shared" si="114"/>
        <v>0.4</v>
      </c>
      <c r="DA154" s="2">
        <f t="shared" si="115"/>
        <v>62.6</v>
      </c>
      <c r="DB154" s="20">
        <f t="shared" si="116"/>
        <v>117</v>
      </c>
      <c r="DC154" s="1">
        <f>ROUND(PPTest!K154,1)</f>
        <v>7.1</v>
      </c>
      <c r="DD154" s="27">
        <f t="shared" si="90"/>
        <v>1.77</v>
      </c>
      <c r="DE154" s="3">
        <f t="shared" si="117"/>
        <v>8.1300000000000008</v>
      </c>
      <c r="DF154" s="24">
        <f t="shared" si="118"/>
        <v>0.69899999999999995</v>
      </c>
      <c r="DG154" s="24">
        <f t="shared" si="119"/>
        <v>0.41799999999999998</v>
      </c>
      <c r="DH154" s="17">
        <f t="shared" si="120"/>
        <v>13.29</v>
      </c>
      <c r="DQ154" s="1">
        <v>10.7</v>
      </c>
      <c r="DR154" s="1">
        <v>15.1</v>
      </c>
      <c r="DS154" s="1">
        <v>6.3</v>
      </c>
    </row>
    <row r="155" spans="1:123" x14ac:dyDescent="0.2">
      <c r="A155" s="15">
        <f t="shared" si="121"/>
        <v>36674</v>
      </c>
      <c r="B155" s="1">
        <v>149</v>
      </c>
      <c r="C155" s="1">
        <v>19.46</v>
      </c>
      <c r="D155" s="1">
        <v>33.64</v>
      </c>
      <c r="E155" s="1">
        <v>3.6480000000000001</v>
      </c>
      <c r="F155" s="1">
        <v>90.4</v>
      </c>
      <c r="G155" s="1">
        <v>3.4209999999999998</v>
      </c>
      <c r="H155" s="1">
        <v>3.4220000000000002</v>
      </c>
      <c r="I155" s="1">
        <v>0.12</v>
      </c>
      <c r="J155" s="1">
        <v>4.2489999999999997</v>
      </c>
      <c r="K155" s="1">
        <v>5.5229999999999997</v>
      </c>
      <c r="L155" s="1">
        <v>3.1</v>
      </c>
      <c r="M155" s="1">
        <v>1.5109999999999999</v>
      </c>
      <c r="N155" s="1">
        <v>0.66500000000000004</v>
      </c>
      <c r="O155" s="1">
        <v>0</v>
      </c>
      <c r="P155" s="2">
        <v>1.7123333333333335</v>
      </c>
      <c r="R155" s="1">
        <v>8.1</v>
      </c>
      <c r="S155" s="1">
        <v>1323</v>
      </c>
      <c r="T155" s="1">
        <v>108.6</v>
      </c>
      <c r="U155" s="1">
        <v>2214</v>
      </c>
      <c r="V155" s="1">
        <v>10.88</v>
      </c>
      <c r="W155" s="1">
        <v>13.17</v>
      </c>
      <c r="X155" s="1">
        <v>0.31900000000000001</v>
      </c>
      <c r="Y155" s="1">
        <v>9.64</v>
      </c>
      <c r="Z155" s="1">
        <v>11.7</v>
      </c>
      <c r="AA155" s="1">
        <v>6.5570000000000004</v>
      </c>
      <c r="AB155" s="1">
        <v>2.02</v>
      </c>
      <c r="AC155" s="1">
        <v>0.88600000000000001</v>
      </c>
      <c r="AD155" s="2">
        <v>6.1813333333333329</v>
      </c>
      <c r="AE155" s="1">
        <v>1421</v>
      </c>
      <c r="AF155" s="1">
        <v>-0.185</v>
      </c>
      <c r="AG155" s="1">
        <v>448</v>
      </c>
      <c r="AH155" s="1">
        <v>59.51</v>
      </c>
      <c r="AI155" s="1">
        <v>1649</v>
      </c>
      <c r="AJ155" s="1">
        <v>-1.3520000000000001</v>
      </c>
      <c r="AK155" s="1">
        <v>-1.7290000000000001</v>
      </c>
      <c r="AL155" s="1">
        <v>-7.1999999999999995E-2</v>
      </c>
      <c r="AM155" s="1">
        <v>-0.42899999999999999</v>
      </c>
      <c r="AN155" s="1">
        <v>-0.17799999999999999</v>
      </c>
      <c r="AO155" s="1">
        <v>0.64200000000000002</v>
      </c>
      <c r="AP155" s="1">
        <v>1.1910000000000001</v>
      </c>
      <c r="AQ155" s="1">
        <v>0.4</v>
      </c>
      <c r="AR155" s="1">
        <v>3.1E-2</v>
      </c>
      <c r="AS155" s="1">
        <v>0.1</v>
      </c>
      <c r="AT155" s="1">
        <v>0.05</v>
      </c>
      <c r="AU155" s="1">
        <v>5.0999999999999997E-2</v>
      </c>
      <c r="AV155" s="1">
        <v>0.159</v>
      </c>
      <c r="AW155" s="1">
        <v>0.40799999999999997</v>
      </c>
      <c r="AX155" s="1">
        <v>0.16200000000000001</v>
      </c>
      <c r="AY155" s="1">
        <v>3.7999999999999999E-2</v>
      </c>
      <c r="AZ155" s="1">
        <v>4.1269999999999998</v>
      </c>
      <c r="BA155" s="1">
        <v>3410</v>
      </c>
      <c r="BB155" s="1">
        <v>13.33</v>
      </c>
      <c r="BC155" s="1">
        <v>2786</v>
      </c>
      <c r="BF155" s="1">
        <f t="shared" si="82"/>
        <v>83</v>
      </c>
      <c r="BM155" s="17">
        <v>32.340000000000003</v>
      </c>
      <c r="BN155" s="17">
        <f t="shared" si="91"/>
        <v>65.326800000000006</v>
      </c>
      <c r="BO155" s="18">
        <f>ROUND(C155*BO$2,2)</f>
        <v>19.07</v>
      </c>
      <c r="BP155" s="18">
        <f>ROUND(D155*BP$2,2)</f>
        <v>37</v>
      </c>
      <c r="BR155" s="1">
        <f t="shared" si="85"/>
        <v>97</v>
      </c>
      <c r="BS155" s="1">
        <f t="shared" si="86"/>
        <v>73.599999999999994</v>
      </c>
      <c r="BT155" s="1">
        <f t="shared" si="87"/>
        <v>46.4</v>
      </c>
      <c r="BU155" s="60">
        <f t="shared" si="88"/>
        <v>0.501</v>
      </c>
      <c r="BV155" s="60">
        <f t="shared" si="89"/>
        <v>0.57899999999999996</v>
      </c>
      <c r="BX155" s="1">
        <v>8.5</v>
      </c>
      <c r="BY155" s="1">
        <v>8.5</v>
      </c>
      <c r="BZ155" s="1">
        <v>0</v>
      </c>
      <c r="CB155" s="17">
        <f t="shared" si="93"/>
        <v>19.07</v>
      </c>
      <c r="CC155" s="17">
        <f t="shared" si="94"/>
        <v>37</v>
      </c>
      <c r="CD155" s="3">
        <f t="shared" si="95"/>
        <v>3.6</v>
      </c>
      <c r="CE155" s="3">
        <f t="shared" si="96"/>
        <v>3.4</v>
      </c>
      <c r="CF155" s="3">
        <f t="shared" ref="CF155:CF158" si="122">ROUND(H155,1)</f>
        <v>3.4</v>
      </c>
      <c r="CG155" s="3">
        <f t="shared" si="97"/>
        <v>0.1</v>
      </c>
      <c r="CH155" s="3">
        <f t="shared" si="98"/>
        <v>3.1</v>
      </c>
      <c r="CI155" s="3">
        <f t="shared" si="99"/>
        <v>1.5</v>
      </c>
      <c r="CJ155" s="3">
        <f t="shared" si="100"/>
        <v>0.7</v>
      </c>
      <c r="CK155" s="27">
        <f t="shared" si="101"/>
        <v>73.599999999999994</v>
      </c>
      <c r="CL155" s="1">
        <f t="shared" si="102"/>
        <v>8.1</v>
      </c>
      <c r="CM155" s="1">
        <f t="shared" si="103"/>
        <v>10.9</v>
      </c>
      <c r="CN155" s="1">
        <f t="shared" ref="CN155:CN158" si="123">ROUND(W155,1)</f>
        <v>13.2</v>
      </c>
      <c r="CO155" s="1">
        <f t="shared" si="104"/>
        <v>0.3</v>
      </c>
      <c r="CP155" s="1">
        <f t="shared" si="105"/>
        <v>6.6</v>
      </c>
      <c r="CQ155" s="1">
        <f t="shared" si="106"/>
        <v>2</v>
      </c>
      <c r="CR155" s="1">
        <f t="shared" si="107"/>
        <v>0.9</v>
      </c>
      <c r="CS155" s="2">
        <f t="shared" si="108"/>
        <v>97</v>
      </c>
      <c r="CT155" s="1">
        <f t="shared" si="109"/>
        <v>-0.2</v>
      </c>
      <c r="CU155" s="1">
        <f t="shared" si="110"/>
        <v>-1.4</v>
      </c>
      <c r="CV155" s="1">
        <f t="shared" ref="CV155:CV158" si="124">ROUND(AK155,1)</f>
        <v>-1.7</v>
      </c>
      <c r="CW155" s="1">
        <f t="shared" si="111"/>
        <v>-0.1</v>
      </c>
      <c r="CX155" s="1">
        <f t="shared" si="112"/>
        <v>0.6</v>
      </c>
      <c r="CY155" s="1">
        <f t="shared" si="113"/>
        <v>1.2</v>
      </c>
      <c r="CZ155" s="1">
        <f t="shared" si="114"/>
        <v>0.4</v>
      </c>
      <c r="DA155" s="2">
        <f t="shared" si="115"/>
        <v>46.4</v>
      </c>
      <c r="DB155" s="20">
        <f t="shared" si="116"/>
        <v>83</v>
      </c>
      <c r="DC155" s="1">
        <f>ROUND(PPTest!K155,1)</f>
        <v>8.9</v>
      </c>
      <c r="DD155" s="27">
        <f t="shared" si="90"/>
        <v>1.71</v>
      </c>
      <c r="DE155" s="3">
        <f t="shared" si="117"/>
        <v>6.18</v>
      </c>
      <c r="DF155" s="24">
        <f t="shared" si="118"/>
        <v>0.501</v>
      </c>
      <c r="DG155" s="24">
        <f t="shared" si="119"/>
        <v>0.57899999999999996</v>
      </c>
      <c r="DH155" s="17">
        <f t="shared" si="120"/>
        <v>13.33</v>
      </c>
      <c r="DQ155" s="1">
        <v>14.7</v>
      </c>
      <c r="DR155" s="1">
        <v>22.1</v>
      </c>
      <c r="DS155" s="1">
        <v>7.3</v>
      </c>
    </row>
    <row r="156" spans="1:123" x14ac:dyDescent="0.2">
      <c r="A156" s="15">
        <f t="shared" si="121"/>
        <v>36675</v>
      </c>
      <c r="B156" s="1">
        <v>150</v>
      </c>
      <c r="C156" s="1">
        <v>13.9</v>
      </c>
      <c r="D156" s="1">
        <v>24.09</v>
      </c>
      <c r="E156" s="1">
        <v>2.7559999999999998</v>
      </c>
      <c r="F156" s="1">
        <v>101.7</v>
      </c>
      <c r="G156" s="1">
        <v>2.355</v>
      </c>
      <c r="H156" s="1">
        <v>2.5169999999999999</v>
      </c>
      <c r="I156" s="1">
        <v>0.121</v>
      </c>
      <c r="J156" s="1">
        <v>3.121</v>
      </c>
      <c r="K156" s="1">
        <v>4.258</v>
      </c>
      <c r="L156" s="1">
        <v>3.9660000000000002</v>
      </c>
      <c r="M156" s="1">
        <v>2.0859999999999999</v>
      </c>
      <c r="N156" s="1">
        <v>0.73599999999999999</v>
      </c>
      <c r="O156" s="1">
        <v>0</v>
      </c>
      <c r="P156" s="2">
        <v>1.2546666666666666</v>
      </c>
      <c r="R156" s="1">
        <v>8.35</v>
      </c>
      <c r="S156" s="1">
        <v>1644</v>
      </c>
      <c r="T156" s="1">
        <v>109.5</v>
      </c>
      <c r="U156" s="1">
        <v>321</v>
      </c>
      <c r="V156" s="1">
        <v>9.26</v>
      </c>
      <c r="W156" s="1">
        <v>11.85</v>
      </c>
      <c r="X156" s="1">
        <v>0.28899999999999998</v>
      </c>
      <c r="Y156" s="1">
        <v>7.17</v>
      </c>
      <c r="Z156" s="1">
        <v>12.75</v>
      </c>
      <c r="AA156" s="1">
        <v>6.2309999999999999</v>
      </c>
      <c r="AB156" s="1">
        <v>2.3929999999999998</v>
      </c>
      <c r="AC156" s="1">
        <v>0.93</v>
      </c>
      <c r="AD156" s="2">
        <v>3.7546666666666666</v>
      </c>
      <c r="AE156" s="1">
        <v>1104</v>
      </c>
      <c r="AF156" s="1">
        <v>-1.952</v>
      </c>
      <c r="AG156" s="1">
        <v>2338</v>
      </c>
      <c r="AH156" s="1">
        <v>73.599999999999994</v>
      </c>
      <c r="AI156" s="1">
        <v>1644</v>
      </c>
      <c r="AJ156" s="1">
        <v>-2.569</v>
      </c>
      <c r="AK156" s="1">
        <v>-2.8</v>
      </c>
      <c r="AL156" s="1">
        <v>-5.8000000000000003E-2</v>
      </c>
      <c r="AM156" s="1">
        <v>-0.94299999999999995</v>
      </c>
      <c r="AN156" s="1">
        <v>-0.66100000000000003</v>
      </c>
      <c r="AO156" s="1">
        <v>1.9610000000000001</v>
      </c>
      <c r="AP156" s="1">
        <v>1.9</v>
      </c>
      <c r="AQ156" s="1">
        <v>0.60099999999999998</v>
      </c>
      <c r="AR156" s="1">
        <v>3.3000000000000002E-2</v>
      </c>
      <c r="AS156" s="1">
        <v>0.18099999999999999</v>
      </c>
      <c r="AT156" s="1">
        <v>0.151</v>
      </c>
      <c r="AU156" s="1">
        <v>7.3999999999999996E-2</v>
      </c>
      <c r="AV156" s="1">
        <v>0.13600000000000001</v>
      </c>
      <c r="AW156" s="1">
        <v>0.30599999999999999</v>
      </c>
      <c r="AX156" s="1">
        <v>8.3000000000000004E-2</v>
      </c>
      <c r="AY156" s="1">
        <v>3.6999999999999998E-2</v>
      </c>
      <c r="AZ156" s="1">
        <v>3.3969999999999998</v>
      </c>
      <c r="BA156" s="1">
        <v>3447</v>
      </c>
      <c r="BB156" s="1">
        <v>13.28</v>
      </c>
      <c r="BC156" s="1">
        <v>2786</v>
      </c>
      <c r="BF156" s="1">
        <f t="shared" si="82"/>
        <v>46</v>
      </c>
      <c r="BM156" s="17">
        <v>32.42</v>
      </c>
      <c r="BN156" s="17">
        <f t="shared" si="91"/>
        <v>65.488399999999999</v>
      </c>
      <c r="BO156" s="18">
        <f>ROUND(C156*BO$2,2)</f>
        <v>13.62</v>
      </c>
      <c r="BP156" s="18">
        <f>ROUND(D156*BP$2,2)</f>
        <v>26.5</v>
      </c>
      <c r="BR156" s="1">
        <f t="shared" si="85"/>
        <v>98.4</v>
      </c>
      <c r="BS156" s="1">
        <f t="shared" si="86"/>
        <v>86</v>
      </c>
      <c r="BT156" s="1">
        <f t="shared" si="87"/>
        <v>58.8</v>
      </c>
      <c r="BU156" s="60">
        <f t="shared" si="88"/>
        <v>0.64600000000000002</v>
      </c>
      <c r="BV156" s="60">
        <f t="shared" si="89"/>
        <v>0.45300000000000001</v>
      </c>
      <c r="BX156" s="1">
        <v>2.1</v>
      </c>
      <c r="BY156" s="1">
        <v>2.1</v>
      </c>
      <c r="BZ156" s="1">
        <v>0.59999999999999987</v>
      </c>
      <c r="CB156" s="17">
        <f t="shared" si="93"/>
        <v>13.62</v>
      </c>
      <c r="CC156" s="17">
        <f t="shared" si="94"/>
        <v>26.5</v>
      </c>
      <c r="CD156" s="3">
        <f t="shared" si="95"/>
        <v>2.8</v>
      </c>
      <c r="CE156" s="3">
        <f t="shared" si="96"/>
        <v>2.4</v>
      </c>
      <c r="CF156" s="3">
        <f t="shared" si="122"/>
        <v>2.5</v>
      </c>
      <c r="CG156" s="3">
        <f t="shared" si="97"/>
        <v>0.1</v>
      </c>
      <c r="CH156" s="3">
        <f t="shared" si="98"/>
        <v>4</v>
      </c>
      <c r="CI156" s="3">
        <f t="shared" si="99"/>
        <v>2.1</v>
      </c>
      <c r="CJ156" s="3">
        <f t="shared" si="100"/>
        <v>0.7</v>
      </c>
      <c r="CK156" s="27">
        <f t="shared" si="101"/>
        <v>86</v>
      </c>
      <c r="CL156" s="1">
        <f t="shared" si="102"/>
        <v>8.4</v>
      </c>
      <c r="CM156" s="1">
        <f t="shared" si="103"/>
        <v>9.3000000000000007</v>
      </c>
      <c r="CN156" s="1">
        <f t="shared" si="123"/>
        <v>11.9</v>
      </c>
      <c r="CO156" s="1">
        <f t="shared" si="104"/>
        <v>0.3</v>
      </c>
      <c r="CP156" s="1">
        <f t="shared" si="105"/>
        <v>6.2</v>
      </c>
      <c r="CQ156" s="1">
        <f t="shared" si="106"/>
        <v>2.4</v>
      </c>
      <c r="CR156" s="1">
        <f t="shared" si="107"/>
        <v>0.9</v>
      </c>
      <c r="CS156" s="2">
        <f t="shared" si="108"/>
        <v>98.4</v>
      </c>
      <c r="CT156" s="1">
        <f t="shared" si="109"/>
        <v>-2</v>
      </c>
      <c r="CU156" s="1">
        <f t="shared" si="110"/>
        <v>-2.6</v>
      </c>
      <c r="CV156" s="1">
        <f t="shared" si="124"/>
        <v>-2.8</v>
      </c>
      <c r="CW156" s="1">
        <f t="shared" si="111"/>
        <v>-0.1</v>
      </c>
      <c r="CX156" s="1">
        <f t="shared" si="112"/>
        <v>2</v>
      </c>
      <c r="CY156" s="1">
        <f t="shared" si="113"/>
        <v>1.9</v>
      </c>
      <c r="CZ156" s="1">
        <f t="shared" si="114"/>
        <v>0.6</v>
      </c>
      <c r="DA156" s="2">
        <f t="shared" si="115"/>
        <v>58.8</v>
      </c>
      <c r="DB156" s="20">
        <f t="shared" si="116"/>
        <v>46</v>
      </c>
      <c r="DC156" s="1">
        <f>ROUND(PPTest!K156,1)</f>
        <v>2.2000000000000002</v>
      </c>
      <c r="DD156" s="27">
        <f t="shared" si="90"/>
        <v>1.25</v>
      </c>
      <c r="DE156" s="3">
        <f t="shared" si="117"/>
        <v>3.75</v>
      </c>
      <c r="DF156" s="24">
        <f t="shared" si="118"/>
        <v>0.64600000000000002</v>
      </c>
      <c r="DG156" s="24">
        <f t="shared" si="119"/>
        <v>0.45300000000000001</v>
      </c>
      <c r="DH156" s="17">
        <f t="shared" si="120"/>
        <v>13.28</v>
      </c>
      <c r="DQ156" s="1">
        <v>13.8</v>
      </c>
      <c r="DR156" s="1">
        <v>21.8</v>
      </c>
      <c r="DS156" s="1">
        <v>5.7</v>
      </c>
    </row>
    <row r="157" spans="1:123" x14ac:dyDescent="0.2">
      <c r="A157" s="15">
        <f t="shared" si="121"/>
        <v>36676</v>
      </c>
      <c r="B157" s="1">
        <v>151</v>
      </c>
      <c r="C157" s="1">
        <v>17.98</v>
      </c>
      <c r="D157" s="1">
        <v>31.19</v>
      </c>
      <c r="E157" s="1">
        <v>4.524</v>
      </c>
      <c r="F157" s="1">
        <v>80.599999999999994</v>
      </c>
      <c r="G157" s="1">
        <v>4.2</v>
      </c>
      <c r="H157" s="1">
        <v>4.282</v>
      </c>
      <c r="I157" s="1">
        <v>0.39900000000000002</v>
      </c>
      <c r="J157" s="1">
        <v>4.6289999999999996</v>
      </c>
      <c r="K157" s="1">
        <v>5.4409999999999998</v>
      </c>
      <c r="L157" s="1">
        <v>3.8119999999999998</v>
      </c>
      <c r="M157" s="1">
        <v>2.198</v>
      </c>
      <c r="N157" s="1">
        <v>0.88800000000000001</v>
      </c>
      <c r="O157" s="1">
        <v>0</v>
      </c>
      <c r="P157" s="2">
        <v>2.1716666666666669</v>
      </c>
      <c r="R157" s="1">
        <v>12.17</v>
      </c>
      <c r="S157" s="1">
        <v>1553</v>
      </c>
      <c r="T157" s="1">
        <v>109.1</v>
      </c>
      <c r="U157" s="1">
        <v>401</v>
      </c>
      <c r="V157" s="1">
        <v>15.99</v>
      </c>
      <c r="W157" s="1">
        <v>18.190000000000001</v>
      </c>
      <c r="X157" s="1">
        <v>1.4670000000000001</v>
      </c>
      <c r="Y157" s="1">
        <v>12.46</v>
      </c>
      <c r="Z157" s="1">
        <v>13.77</v>
      </c>
      <c r="AA157" s="1">
        <v>8.2100000000000009</v>
      </c>
      <c r="AB157" s="1">
        <v>2.556</v>
      </c>
      <c r="AC157" s="1">
        <v>1.147</v>
      </c>
      <c r="AD157" s="2">
        <v>5.6213333333333342</v>
      </c>
      <c r="AE157" s="1">
        <v>1818</v>
      </c>
      <c r="AF157" s="1">
        <v>-3.2229999999999999</v>
      </c>
      <c r="AG157" s="1">
        <v>347</v>
      </c>
      <c r="AH157" s="1">
        <v>41.75</v>
      </c>
      <c r="AI157" s="1">
        <v>1551</v>
      </c>
      <c r="AJ157" s="1">
        <v>-3.7559999999999998</v>
      </c>
      <c r="AK157" s="1">
        <v>-3.9980000000000002</v>
      </c>
      <c r="AL157" s="1">
        <v>-0.11899999999999999</v>
      </c>
      <c r="AM157" s="1">
        <v>-0.748</v>
      </c>
      <c r="AN157" s="1">
        <v>-1.0660000000000001</v>
      </c>
      <c r="AO157" s="1">
        <v>1.0580000000000001</v>
      </c>
      <c r="AP157" s="1">
        <v>1.87</v>
      </c>
      <c r="AQ157" s="1">
        <v>0.52100000000000002</v>
      </c>
      <c r="AR157" s="1">
        <v>0.16500000000000001</v>
      </c>
      <c r="AS157" s="1">
        <v>0.57299999999999995</v>
      </c>
      <c r="AT157" s="1">
        <v>0.23200000000000001</v>
      </c>
      <c r="AU157" s="1">
        <v>2E-3</v>
      </c>
      <c r="AV157" s="1">
        <v>0</v>
      </c>
      <c r="AW157" s="1">
        <v>0</v>
      </c>
      <c r="AX157" s="1">
        <v>0</v>
      </c>
      <c r="AY157" s="1">
        <v>2.8000000000000001E-2</v>
      </c>
      <c r="AZ157" s="1">
        <v>4.21</v>
      </c>
      <c r="BA157" s="1">
        <v>3486</v>
      </c>
      <c r="BB157" s="1">
        <v>13.32</v>
      </c>
      <c r="BC157" s="1">
        <v>2786</v>
      </c>
      <c r="BF157" s="1">
        <f t="shared" si="82"/>
        <v>7</v>
      </c>
      <c r="BM157" s="17">
        <v>32.51</v>
      </c>
      <c r="BN157" s="17">
        <f t="shared" si="91"/>
        <v>65.670199999999994</v>
      </c>
      <c r="BO157" s="18">
        <f>ROUND(C157*BO$2,2)</f>
        <v>17.62</v>
      </c>
      <c r="BP157" s="18">
        <f>ROUND(D157*BP$2,2)</f>
        <v>34.31</v>
      </c>
      <c r="BR157" s="1">
        <f t="shared" si="85"/>
        <v>97.8</v>
      </c>
      <c r="BS157" s="1">
        <f t="shared" si="86"/>
        <v>64.900000000000006</v>
      </c>
      <c r="BT157" s="1">
        <f t="shared" si="87"/>
        <v>30.7</v>
      </c>
      <c r="BU157" s="60">
        <f t="shared" si="88"/>
        <v>0.435</v>
      </c>
      <c r="BV157" s="60">
        <f t="shared" si="89"/>
        <v>0.98199999999999998</v>
      </c>
      <c r="BX157" s="1">
        <v>2.7</v>
      </c>
      <c r="BY157" s="1">
        <v>2.7</v>
      </c>
      <c r="BZ157" s="1">
        <v>0</v>
      </c>
      <c r="CB157" s="17">
        <f t="shared" si="93"/>
        <v>17.62</v>
      </c>
      <c r="CC157" s="17">
        <f t="shared" si="94"/>
        <v>34.31</v>
      </c>
      <c r="CD157" s="3">
        <f t="shared" si="95"/>
        <v>4.5</v>
      </c>
      <c r="CE157" s="3">
        <f t="shared" si="96"/>
        <v>4.2</v>
      </c>
      <c r="CF157" s="3">
        <f t="shared" si="122"/>
        <v>4.3</v>
      </c>
      <c r="CG157" s="3">
        <f t="shared" si="97"/>
        <v>0.4</v>
      </c>
      <c r="CH157" s="3">
        <f t="shared" si="98"/>
        <v>3.8</v>
      </c>
      <c r="CI157" s="3">
        <f t="shared" si="99"/>
        <v>2.2000000000000002</v>
      </c>
      <c r="CJ157" s="3">
        <f t="shared" si="100"/>
        <v>0.9</v>
      </c>
      <c r="CK157" s="27">
        <f t="shared" si="101"/>
        <v>64.900000000000006</v>
      </c>
      <c r="CL157" s="1">
        <f t="shared" si="102"/>
        <v>12.2</v>
      </c>
      <c r="CM157" s="1">
        <f t="shared" si="103"/>
        <v>16</v>
      </c>
      <c r="CN157" s="1">
        <f t="shared" si="123"/>
        <v>18.2</v>
      </c>
      <c r="CO157" s="1">
        <f t="shared" si="104"/>
        <v>1.5</v>
      </c>
      <c r="CP157" s="1">
        <f t="shared" si="105"/>
        <v>8.1999999999999993</v>
      </c>
      <c r="CQ157" s="1">
        <f t="shared" si="106"/>
        <v>2.6</v>
      </c>
      <c r="CR157" s="1">
        <f t="shared" si="107"/>
        <v>1.1000000000000001</v>
      </c>
      <c r="CS157" s="2">
        <f t="shared" si="108"/>
        <v>97.8</v>
      </c>
      <c r="CT157" s="1">
        <f t="shared" si="109"/>
        <v>-3.2</v>
      </c>
      <c r="CU157" s="1">
        <f t="shared" si="110"/>
        <v>-3.8</v>
      </c>
      <c r="CV157" s="1">
        <f t="shared" si="124"/>
        <v>-4</v>
      </c>
      <c r="CW157" s="1">
        <f t="shared" si="111"/>
        <v>-0.1</v>
      </c>
      <c r="CX157" s="1">
        <f t="shared" si="112"/>
        <v>1.1000000000000001</v>
      </c>
      <c r="CY157" s="1">
        <f t="shared" si="113"/>
        <v>1.9</v>
      </c>
      <c r="CZ157" s="1">
        <f t="shared" si="114"/>
        <v>0.5</v>
      </c>
      <c r="DA157" s="2">
        <f t="shared" si="115"/>
        <v>30.7</v>
      </c>
      <c r="DB157" s="20">
        <f t="shared" si="116"/>
        <v>7</v>
      </c>
      <c r="DC157" s="1">
        <f>ROUND(PPTest!K157,1)</f>
        <v>2.8</v>
      </c>
      <c r="DD157" s="27">
        <f t="shared" si="90"/>
        <v>2.17</v>
      </c>
      <c r="DE157" s="3">
        <f t="shared" si="117"/>
        <v>5.62</v>
      </c>
      <c r="DF157" s="24">
        <f t="shared" si="118"/>
        <v>0.435</v>
      </c>
      <c r="DG157" s="24">
        <f t="shared" si="119"/>
        <v>0.98199999999999998</v>
      </c>
      <c r="DH157" s="17">
        <f t="shared" si="120"/>
        <v>13.32</v>
      </c>
      <c r="DQ157" s="1">
        <v>12.9</v>
      </c>
      <c r="DR157" s="1">
        <v>23.9</v>
      </c>
      <c r="DS157" s="1">
        <v>1.9</v>
      </c>
    </row>
    <row r="158" spans="1:123" x14ac:dyDescent="0.2">
      <c r="A158" s="15">
        <f t="shared" si="121"/>
        <v>36677</v>
      </c>
      <c r="B158" s="1">
        <v>152</v>
      </c>
      <c r="C158" s="1">
        <v>14.62</v>
      </c>
      <c r="D158" s="1">
        <v>25.39</v>
      </c>
      <c r="E158" s="1">
        <v>4.383</v>
      </c>
      <c r="F158" s="1">
        <v>76.599999999999994</v>
      </c>
      <c r="G158" s="1">
        <v>4.0170000000000003</v>
      </c>
      <c r="H158" s="1">
        <v>4.0279999999999996</v>
      </c>
      <c r="I158" s="1">
        <v>0.69399999999999995</v>
      </c>
      <c r="J158" s="1">
        <v>4.7329999999999997</v>
      </c>
      <c r="K158" s="1">
        <v>5.4740000000000002</v>
      </c>
      <c r="L158" s="1">
        <v>3.4870000000000001</v>
      </c>
      <c r="M158" s="1">
        <v>2.3479999999999999</v>
      </c>
      <c r="N158" s="1">
        <v>1.016</v>
      </c>
      <c r="O158" s="1">
        <v>0</v>
      </c>
      <c r="P158" s="2">
        <v>1.8</v>
      </c>
      <c r="R158" s="1">
        <v>10.7</v>
      </c>
      <c r="S158" s="1">
        <v>1309</v>
      </c>
      <c r="T158" s="1">
        <v>104.7</v>
      </c>
      <c r="U158" s="1">
        <v>257</v>
      </c>
      <c r="V158" s="1">
        <v>12.52</v>
      </c>
      <c r="W158" s="1">
        <v>14.05</v>
      </c>
      <c r="X158" s="1">
        <v>2.637</v>
      </c>
      <c r="Y158" s="1">
        <v>11.75</v>
      </c>
      <c r="Z158" s="1">
        <v>13.02</v>
      </c>
      <c r="AA158" s="1">
        <v>6.4130000000000003</v>
      </c>
      <c r="AB158" s="1">
        <v>2.5369999999999999</v>
      </c>
      <c r="AC158" s="1">
        <v>1.254</v>
      </c>
      <c r="AD158" s="2">
        <v>5.0080000000000009</v>
      </c>
      <c r="AE158" s="1">
        <v>800</v>
      </c>
      <c r="AF158" s="1">
        <v>-2.2589999999999999</v>
      </c>
      <c r="AG158" s="1">
        <v>350</v>
      </c>
      <c r="AH158" s="1">
        <v>40.67</v>
      </c>
      <c r="AI158" s="1">
        <v>1423</v>
      </c>
      <c r="AJ158" s="1">
        <v>-3.0049999999999999</v>
      </c>
      <c r="AK158" s="1">
        <v>-3.2440000000000002</v>
      </c>
      <c r="AL158" s="1">
        <v>-0.53300000000000003</v>
      </c>
      <c r="AM158" s="1">
        <v>-0.84</v>
      </c>
      <c r="AN158" s="1">
        <v>-0.77</v>
      </c>
      <c r="AO158" s="1">
        <v>1.302</v>
      </c>
      <c r="AP158" s="1">
        <v>2.0979999999999999</v>
      </c>
      <c r="AQ158" s="1">
        <v>0.64400000000000002</v>
      </c>
      <c r="AR158" s="1">
        <v>9.2999999999999999E-2</v>
      </c>
      <c r="AS158" s="1">
        <v>0.41899999999999998</v>
      </c>
      <c r="AT158" s="1">
        <v>0.219</v>
      </c>
      <c r="AU158" s="1">
        <v>1.7999999999999999E-2</v>
      </c>
      <c r="AV158" s="1">
        <v>5.7000000000000002E-2</v>
      </c>
      <c r="AW158" s="1">
        <v>0.125</v>
      </c>
      <c r="AX158" s="1">
        <v>0.04</v>
      </c>
      <c r="AY158" s="1">
        <v>0.03</v>
      </c>
      <c r="AZ158" s="1">
        <v>4.0369999999999999</v>
      </c>
      <c r="BA158" s="1">
        <v>3493</v>
      </c>
      <c r="BB158" s="1">
        <v>13.26</v>
      </c>
      <c r="BC158" s="1">
        <v>2786</v>
      </c>
      <c r="BF158" s="1">
        <f t="shared" si="82"/>
        <v>0</v>
      </c>
      <c r="BM158" s="17">
        <v>32.590000000000003</v>
      </c>
      <c r="BN158" s="17">
        <f t="shared" si="91"/>
        <v>65.831800000000001</v>
      </c>
      <c r="BO158" s="18">
        <f>ROUND(C158*BO$2,2)</f>
        <v>14.33</v>
      </c>
      <c r="BP158" s="18">
        <f>ROUND(D158*BP$2,2)</f>
        <v>27.93</v>
      </c>
      <c r="BR158" s="1">
        <f t="shared" si="85"/>
        <v>90.8</v>
      </c>
      <c r="BS158" s="1">
        <f t="shared" si="86"/>
        <v>61.4</v>
      </c>
      <c r="BT158" s="1">
        <f t="shared" si="87"/>
        <v>29.8</v>
      </c>
      <c r="BU158" s="60">
        <f t="shared" si="88"/>
        <v>0.38300000000000001</v>
      </c>
      <c r="BV158" s="60">
        <f t="shared" si="89"/>
        <v>0.90200000000000002</v>
      </c>
      <c r="BX158" s="1">
        <v>0</v>
      </c>
      <c r="BY158" s="1">
        <v>0</v>
      </c>
      <c r="BZ158" s="1">
        <v>0</v>
      </c>
      <c r="CB158" s="17">
        <f t="shared" si="93"/>
        <v>14.33</v>
      </c>
      <c r="CC158" s="17">
        <f t="shared" si="94"/>
        <v>27.93</v>
      </c>
      <c r="CD158" s="3">
        <f t="shared" si="95"/>
        <v>4.4000000000000004</v>
      </c>
      <c r="CE158" s="3">
        <f t="shared" si="96"/>
        <v>4</v>
      </c>
      <c r="CF158" s="3">
        <f t="shared" si="122"/>
        <v>4</v>
      </c>
      <c r="CG158" s="3">
        <f t="shared" si="97"/>
        <v>0.7</v>
      </c>
      <c r="CH158" s="3">
        <f t="shared" si="98"/>
        <v>3.5</v>
      </c>
      <c r="CI158" s="3">
        <f t="shared" si="99"/>
        <v>2.2999999999999998</v>
      </c>
      <c r="CJ158" s="3">
        <f t="shared" si="100"/>
        <v>1</v>
      </c>
      <c r="CK158" s="27">
        <f t="shared" si="101"/>
        <v>61.4</v>
      </c>
      <c r="CL158" s="1">
        <f t="shared" si="102"/>
        <v>10.7</v>
      </c>
      <c r="CM158" s="1">
        <f t="shared" si="103"/>
        <v>12.5</v>
      </c>
      <c r="CN158" s="1">
        <f t="shared" si="123"/>
        <v>14.1</v>
      </c>
      <c r="CO158" s="1">
        <f t="shared" si="104"/>
        <v>2.6</v>
      </c>
      <c r="CP158" s="1">
        <f t="shared" si="105"/>
        <v>6.4</v>
      </c>
      <c r="CQ158" s="1">
        <f t="shared" si="106"/>
        <v>2.5</v>
      </c>
      <c r="CR158" s="1">
        <f t="shared" si="107"/>
        <v>1.3</v>
      </c>
      <c r="CS158" s="2">
        <f t="shared" si="108"/>
        <v>90.8</v>
      </c>
      <c r="CT158" s="1">
        <f t="shared" si="109"/>
        <v>-2.2999999999999998</v>
      </c>
      <c r="CU158" s="1">
        <f t="shared" si="110"/>
        <v>-3</v>
      </c>
      <c r="CV158" s="1">
        <f t="shared" si="124"/>
        <v>-3.2</v>
      </c>
      <c r="CW158" s="1">
        <f t="shared" si="111"/>
        <v>-0.5</v>
      </c>
      <c r="CX158" s="1">
        <f t="shared" si="112"/>
        <v>1.3</v>
      </c>
      <c r="CY158" s="1">
        <f t="shared" si="113"/>
        <v>2.1</v>
      </c>
      <c r="CZ158" s="1">
        <f t="shared" si="114"/>
        <v>0.6</v>
      </c>
      <c r="DA158" s="2">
        <f t="shared" si="115"/>
        <v>29.8</v>
      </c>
      <c r="DB158" s="20">
        <f t="shared" si="116"/>
        <v>0</v>
      </c>
      <c r="DC158" s="1">
        <f>ROUND(PPTest!K158,1)</f>
        <v>0</v>
      </c>
      <c r="DD158" s="27">
        <f t="shared" si="90"/>
        <v>1.8</v>
      </c>
      <c r="DE158" s="3">
        <f t="shared" si="117"/>
        <v>5.01</v>
      </c>
      <c r="DF158" s="24">
        <f t="shared" si="118"/>
        <v>0.38300000000000001</v>
      </c>
      <c r="DG158" s="24">
        <f t="shared" si="119"/>
        <v>0.90200000000000002</v>
      </c>
      <c r="DH158" s="17">
        <f t="shared" si="120"/>
        <v>13.26</v>
      </c>
      <c r="DQ158" s="1">
        <v>13.5</v>
      </c>
      <c r="DR158" s="1">
        <v>24.8</v>
      </c>
      <c r="DS158" s="1">
        <v>2.1</v>
      </c>
    </row>
    <row r="159" spans="1:123" x14ac:dyDescent="0.2">
      <c r="A159" s="15">
        <f t="shared" si="121"/>
        <v>36678</v>
      </c>
      <c r="B159" s="1">
        <v>153</v>
      </c>
      <c r="E159" s="50">
        <f t="shared" ref="E159:E164" si="125">ROUND(0.77*DQ159-6.2,1)</f>
        <v>3.5</v>
      </c>
      <c r="R159" s="50">
        <f t="shared" ref="R159:R164" si="126">ROUND(DR159*0.69-5.3,1)</f>
        <v>10.6</v>
      </c>
      <c r="AF159" s="50">
        <f t="shared" ref="AF159:AF164" si="127">ROUND(2*E159-R159,1)</f>
        <v>-3.6</v>
      </c>
      <c r="BB159" s="1">
        <v>13.26</v>
      </c>
      <c r="BC159" s="1">
        <v>2786</v>
      </c>
      <c r="BM159" s="17">
        <v>32.659999999999997</v>
      </c>
      <c r="BN159" s="17">
        <f t="shared" si="91"/>
        <v>65.973199999999991</v>
      </c>
      <c r="BO159" s="18"/>
      <c r="BP159" s="18"/>
      <c r="BU159" s="62">
        <f t="shared" ref="BU159:BU164" si="128">ROUND((0.6105*(EXP((17.273*AF159)/(AF159+237.3)))),3)</f>
        <v>0.46800000000000003</v>
      </c>
      <c r="BV159" s="62">
        <f t="shared" ref="BV159:BV164" si="129">ROUND((0.6105*(EXP((17.273*R159)/(R159+237.3))))-BU159,3)</f>
        <v>0.81</v>
      </c>
      <c r="BX159" s="1">
        <v>0</v>
      </c>
      <c r="BZ159" s="1">
        <v>0</v>
      </c>
      <c r="CB159" s="17" t="s">
        <v>218</v>
      </c>
      <c r="CC159" s="17" t="s">
        <v>218</v>
      </c>
      <c r="CD159" s="3">
        <f t="shared" si="95"/>
        <v>3.5</v>
      </c>
      <c r="CE159" s="17" t="s">
        <v>218</v>
      </c>
      <c r="CF159" s="17" t="s">
        <v>218</v>
      </c>
      <c r="CG159" s="17" t="s">
        <v>218</v>
      </c>
      <c r="CH159" s="17" t="s">
        <v>218</v>
      </c>
      <c r="CI159" s="17" t="s">
        <v>218</v>
      </c>
      <c r="CJ159" s="17" t="s">
        <v>218</v>
      </c>
      <c r="CK159" s="17" t="s">
        <v>218</v>
      </c>
      <c r="CL159" s="1">
        <f t="shared" si="102"/>
        <v>10.6</v>
      </c>
      <c r="CM159" s="17" t="s">
        <v>218</v>
      </c>
      <c r="CN159" s="17" t="s">
        <v>218</v>
      </c>
      <c r="CO159" s="17" t="s">
        <v>218</v>
      </c>
      <c r="CP159" s="17" t="s">
        <v>218</v>
      </c>
      <c r="CQ159" s="17" t="s">
        <v>218</v>
      </c>
      <c r="CR159" s="17" t="s">
        <v>218</v>
      </c>
      <c r="CS159" s="17" t="s">
        <v>218</v>
      </c>
      <c r="CT159" s="1">
        <f t="shared" si="109"/>
        <v>-3.6</v>
      </c>
      <c r="CU159" s="17" t="s">
        <v>218</v>
      </c>
      <c r="CV159" s="17" t="s">
        <v>218</v>
      </c>
      <c r="CW159" s="17" t="s">
        <v>218</v>
      </c>
      <c r="CX159" s="17" t="s">
        <v>218</v>
      </c>
      <c r="CY159" s="17" t="s">
        <v>218</v>
      </c>
      <c r="CZ159" s="17" t="s">
        <v>218</v>
      </c>
      <c r="DA159" s="2" t="s">
        <v>218</v>
      </c>
      <c r="DB159" s="20">
        <f t="shared" si="116"/>
        <v>0</v>
      </c>
      <c r="DC159" s="1">
        <f>ROUND(PPTest!K159,1)</f>
        <v>0</v>
      </c>
      <c r="DD159" s="17" t="s">
        <v>218</v>
      </c>
      <c r="DE159" s="17" t="s">
        <v>218</v>
      </c>
      <c r="DF159" s="24">
        <f t="shared" si="118"/>
        <v>0.46800000000000003</v>
      </c>
      <c r="DG159" s="24">
        <f t="shared" si="119"/>
        <v>0.81</v>
      </c>
      <c r="DH159" s="17">
        <f t="shared" si="120"/>
        <v>13.26</v>
      </c>
      <c r="DQ159" s="1">
        <v>12.6</v>
      </c>
      <c r="DR159" s="1">
        <v>23.1</v>
      </c>
      <c r="DS159" s="1">
        <v>2</v>
      </c>
    </row>
    <row r="160" spans="1:123" x14ac:dyDescent="0.2">
      <c r="A160" s="15">
        <f t="shared" si="121"/>
        <v>36679</v>
      </c>
      <c r="B160" s="1">
        <v>154</v>
      </c>
      <c r="E160" s="50">
        <f t="shared" si="125"/>
        <v>4</v>
      </c>
      <c r="R160" s="50">
        <f t="shared" si="126"/>
        <v>10.4</v>
      </c>
      <c r="AF160" s="50">
        <f t="shared" si="127"/>
        <v>-2.4</v>
      </c>
      <c r="BM160" s="17">
        <v>32.74</v>
      </c>
      <c r="BN160" s="17">
        <f t="shared" si="91"/>
        <v>66.134799999999998</v>
      </c>
      <c r="BO160" s="18"/>
      <c r="BP160" s="18"/>
      <c r="BU160" s="62">
        <f t="shared" si="128"/>
        <v>0.51200000000000001</v>
      </c>
      <c r="BV160" s="62">
        <f t="shared" si="129"/>
        <v>0.749</v>
      </c>
      <c r="BX160" s="27">
        <v>1.5</v>
      </c>
      <c r="BZ160" s="1">
        <v>0</v>
      </c>
      <c r="CB160" s="17" t="s">
        <v>218</v>
      </c>
      <c r="CC160" s="17" t="s">
        <v>218</v>
      </c>
      <c r="CD160" s="3">
        <f t="shared" si="95"/>
        <v>4</v>
      </c>
      <c r="CE160" s="17" t="s">
        <v>218</v>
      </c>
      <c r="CF160" s="17" t="s">
        <v>218</v>
      </c>
      <c r="CG160" s="17" t="s">
        <v>218</v>
      </c>
      <c r="CH160" s="17" t="s">
        <v>218</v>
      </c>
      <c r="CI160" s="17" t="s">
        <v>218</v>
      </c>
      <c r="CJ160" s="17" t="s">
        <v>218</v>
      </c>
      <c r="CK160" s="17" t="s">
        <v>218</v>
      </c>
      <c r="CL160" s="1">
        <f t="shared" si="102"/>
        <v>10.4</v>
      </c>
      <c r="CM160" s="17" t="s">
        <v>218</v>
      </c>
      <c r="CN160" s="17" t="s">
        <v>218</v>
      </c>
      <c r="CO160" s="17" t="s">
        <v>218</v>
      </c>
      <c r="CP160" s="17" t="s">
        <v>218</v>
      </c>
      <c r="CQ160" s="17" t="s">
        <v>218</v>
      </c>
      <c r="CR160" s="17" t="s">
        <v>218</v>
      </c>
      <c r="CS160" s="17" t="s">
        <v>218</v>
      </c>
      <c r="CT160" s="1">
        <f t="shared" si="109"/>
        <v>-2.4</v>
      </c>
      <c r="CU160" s="17" t="s">
        <v>218</v>
      </c>
      <c r="CV160" s="17" t="s">
        <v>218</v>
      </c>
      <c r="CW160" s="17" t="s">
        <v>218</v>
      </c>
      <c r="CX160" s="17" t="s">
        <v>218</v>
      </c>
      <c r="CY160" s="17" t="s">
        <v>218</v>
      </c>
      <c r="CZ160" s="17" t="s">
        <v>218</v>
      </c>
      <c r="DA160" s="2" t="s">
        <v>218</v>
      </c>
      <c r="DB160" s="20">
        <f t="shared" si="116"/>
        <v>0</v>
      </c>
      <c r="DC160" s="1">
        <f>ROUND(PPTest!K160,1)</f>
        <v>1.6</v>
      </c>
      <c r="DD160" s="17" t="s">
        <v>218</v>
      </c>
      <c r="DE160" s="17" t="s">
        <v>218</v>
      </c>
      <c r="DF160" s="24">
        <f t="shared" si="118"/>
        <v>0.51200000000000001</v>
      </c>
      <c r="DG160" s="24">
        <f t="shared" si="119"/>
        <v>0.749</v>
      </c>
      <c r="DH160" s="17" t="s">
        <v>218</v>
      </c>
      <c r="DQ160" s="1">
        <v>13.2</v>
      </c>
      <c r="DR160" s="1">
        <v>22.8</v>
      </c>
      <c r="DS160" s="1">
        <v>3.6</v>
      </c>
    </row>
    <row r="161" spans="1:123" x14ac:dyDescent="0.2">
      <c r="A161" s="15">
        <f t="shared" si="121"/>
        <v>36680</v>
      </c>
      <c r="B161" s="1">
        <v>155</v>
      </c>
      <c r="E161" s="50">
        <f t="shared" si="125"/>
        <v>6.5</v>
      </c>
      <c r="R161" s="50">
        <f t="shared" si="126"/>
        <v>15.1</v>
      </c>
      <c r="AF161" s="50">
        <f t="shared" si="127"/>
        <v>-2.1</v>
      </c>
      <c r="BM161" s="17">
        <v>32.799999999999997</v>
      </c>
      <c r="BN161" s="17">
        <f t="shared" si="91"/>
        <v>66.256</v>
      </c>
      <c r="BO161" s="18"/>
      <c r="BP161" s="18"/>
      <c r="BU161" s="62">
        <f t="shared" si="128"/>
        <v>0.52300000000000002</v>
      </c>
      <c r="BV161" s="62">
        <f t="shared" si="129"/>
        <v>1.1930000000000001</v>
      </c>
      <c r="BX161" s="27">
        <v>0</v>
      </c>
      <c r="BZ161" s="1">
        <v>0</v>
      </c>
      <c r="CB161" s="17" t="s">
        <v>218</v>
      </c>
      <c r="CC161" s="17" t="s">
        <v>218</v>
      </c>
      <c r="CD161" s="3">
        <f t="shared" si="95"/>
        <v>6.5</v>
      </c>
      <c r="CE161" s="17" t="s">
        <v>218</v>
      </c>
      <c r="CF161" s="17" t="s">
        <v>218</v>
      </c>
      <c r="CG161" s="17" t="s">
        <v>218</v>
      </c>
      <c r="CH161" s="17" t="s">
        <v>218</v>
      </c>
      <c r="CI161" s="17" t="s">
        <v>218</v>
      </c>
      <c r="CJ161" s="17" t="s">
        <v>218</v>
      </c>
      <c r="CK161" s="17" t="s">
        <v>218</v>
      </c>
      <c r="CL161" s="1">
        <f t="shared" si="102"/>
        <v>15.1</v>
      </c>
      <c r="CM161" s="17" t="s">
        <v>218</v>
      </c>
      <c r="CN161" s="17" t="s">
        <v>218</v>
      </c>
      <c r="CO161" s="17" t="s">
        <v>218</v>
      </c>
      <c r="CP161" s="17" t="s">
        <v>218</v>
      </c>
      <c r="CQ161" s="17" t="s">
        <v>218</v>
      </c>
      <c r="CR161" s="17" t="s">
        <v>218</v>
      </c>
      <c r="CS161" s="17" t="s">
        <v>218</v>
      </c>
      <c r="CT161" s="1">
        <f t="shared" si="109"/>
        <v>-2.1</v>
      </c>
      <c r="CU161" s="17" t="s">
        <v>218</v>
      </c>
      <c r="CV161" s="17" t="s">
        <v>218</v>
      </c>
      <c r="CW161" s="17" t="s">
        <v>218</v>
      </c>
      <c r="CX161" s="17" t="s">
        <v>218</v>
      </c>
      <c r="CY161" s="17" t="s">
        <v>218</v>
      </c>
      <c r="CZ161" s="17" t="s">
        <v>218</v>
      </c>
      <c r="DA161" s="2" t="s">
        <v>218</v>
      </c>
      <c r="DB161" s="20">
        <f t="shared" si="116"/>
        <v>0</v>
      </c>
      <c r="DC161" s="1">
        <f>ROUND(PPTest!K161,1)</f>
        <v>0</v>
      </c>
      <c r="DD161" s="17" t="s">
        <v>218</v>
      </c>
      <c r="DE161" s="17" t="s">
        <v>218</v>
      </c>
      <c r="DF161" s="24">
        <f t="shared" si="118"/>
        <v>0.52300000000000002</v>
      </c>
      <c r="DG161" s="24">
        <f t="shared" si="119"/>
        <v>1.1930000000000001</v>
      </c>
      <c r="DH161" s="17" t="s">
        <v>218</v>
      </c>
      <c r="DQ161" s="1">
        <v>16.5</v>
      </c>
      <c r="DR161" s="1">
        <v>29.6</v>
      </c>
      <c r="DS161" s="1">
        <v>3.3</v>
      </c>
    </row>
    <row r="162" spans="1:123" x14ac:dyDescent="0.2">
      <c r="A162" s="15">
        <f t="shared" si="121"/>
        <v>36681</v>
      </c>
      <c r="B162" s="1">
        <v>156</v>
      </c>
      <c r="E162" s="50">
        <f t="shared" si="125"/>
        <v>7.5</v>
      </c>
      <c r="R162" s="50">
        <f t="shared" si="126"/>
        <v>16.8</v>
      </c>
      <c r="AF162" s="50">
        <f t="shared" si="127"/>
        <v>-1.8</v>
      </c>
      <c r="BM162" s="17">
        <v>32.86</v>
      </c>
      <c r="BN162" s="17">
        <f t="shared" si="91"/>
        <v>66.377200000000002</v>
      </c>
      <c r="BO162" s="18"/>
      <c r="BP162" s="18"/>
      <c r="BU162" s="62">
        <f t="shared" si="128"/>
        <v>0.53500000000000003</v>
      </c>
      <c r="BV162" s="62">
        <f t="shared" si="129"/>
        <v>1.3779999999999999</v>
      </c>
      <c r="BX162" s="1">
        <v>0</v>
      </c>
      <c r="BZ162" s="1">
        <v>0</v>
      </c>
      <c r="CB162" s="17" t="s">
        <v>218</v>
      </c>
      <c r="CC162" s="17" t="s">
        <v>218</v>
      </c>
      <c r="CD162" s="3">
        <f t="shared" si="95"/>
        <v>7.5</v>
      </c>
      <c r="CE162" s="17" t="s">
        <v>218</v>
      </c>
      <c r="CF162" s="17" t="s">
        <v>218</v>
      </c>
      <c r="CG162" s="17" t="s">
        <v>218</v>
      </c>
      <c r="CH162" s="17" t="s">
        <v>218</v>
      </c>
      <c r="CI162" s="17" t="s">
        <v>218</v>
      </c>
      <c r="CJ162" s="17" t="s">
        <v>218</v>
      </c>
      <c r="CK162" s="17" t="s">
        <v>218</v>
      </c>
      <c r="CL162" s="1">
        <f t="shared" si="102"/>
        <v>16.8</v>
      </c>
      <c r="CM162" s="17" t="s">
        <v>218</v>
      </c>
      <c r="CN162" s="17" t="s">
        <v>218</v>
      </c>
      <c r="CO162" s="17" t="s">
        <v>218</v>
      </c>
      <c r="CP162" s="17" t="s">
        <v>218</v>
      </c>
      <c r="CQ162" s="17" t="s">
        <v>218</v>
      </c>
      <c r="CR162" s="17" t="s">
        <v>218</v>
      </c>
      <c r="CS162" s="17" t="s">
        <v>218</v>
      </c>
      <c r="CT162" s="1">
        <f t="shared" si="109"/>
        <v>-1.8</v>
      </c>
      <c r="CU162" s="17" t="s">
        <v>218</v>
      </c>
      <c r="CV162" s="17" t="s">
        <v>218</v>
      </c>
      <c r="CW162" s="17" t="s">
        <v>218</v>
      </c>
      <c r="CX162" s="17" t="s">
        <v>218</v>
      </c>
      <c r="CY162" s="17" t="s">
        <v>218</v>
      </c>
      <c r="CZ162" s="17" t="s">
        <v>218</v>
      </c>
      <c r="DA162" s="2" t="s">
        <v>218</v>
      </c>
      <c r="DB162" s="20">
        <f t="shared" si="116"/>
        <v>0</v>
      </c>
      <c r="DC162" s="1">
        <f>ROUND(PPTest!K162,1)</f>
        <v>0</v>
      </c>
      <c r="DD162" s="17" t="s">
        <v>218</v>
      </c>
      <c r="DE162" s="17" t="s">
        <v>218</v>
      </c>
      <c r="DF162" s="24">
        <f t="shared" si="118"/>
        <v>0.53500000000000003</v>
      </c>
      <c r="DG162" s="24">
        <f t="shared" si="119"/>
        <v>1.3779999999999999</v>
      </c>
      <c r="DH162" s="17" t="s">
        <v>218</v>
      </c>
      <c r="DQ162" s="1">
        <v>17.8</v>
      </c>
      <c r="DR162" s="1">
        <v>32</v>
      </c>
      <c r="DS162" s="1">
        <v>3.5</v>
      </c>
    </row>
    <row r="163" spans="1:123" x14ac:dyDescent="0.2">
      <c r="A163" s="15">
        <f t="shared" si="121"/>
        <v>36682</v>
      </c>
      <c r="B163" s="1">
        <v>157</v>
      </c>
      <c r="E163" s="50">
        <f t="shared" si="125"/>
        <v>8</v>
      </c>
      <c r="R163" s="50">
        <f t="shared" si="126"/>
        <v>14.2</v>
      </c>
      <c r="AF163" s="50">
        <f t="shared" si="127"/>
        <v>1.8</v>
      </c>
      <c r="BM163" s="17">
        <v>32.92</v>
      </c>
      <c r="BN163" s="17">
        <f t="shared" si="91"/>
        <v>66.498400000000004</v>
      </c>
      <c r="BO163" s="18"/>
      <c r="BP163" s="18"/>
      <c r="BU163" s="62">
        <f t="shared" si="128"/>
        <v>0.69499999999999995</v>
      </c>
      <c r="BV163" s="62">
        <f t="shared" si="129"/>
        <v>0.92400000000000004</v>
      </c>
      <c r="BX163" s="1">
        <v>11.7</v>
      </c>
      <c r="BZ163" s="1">
        <v>5.2000000000000011</v>
      </c>
      <c r="CB163" s="17" t="s">
        <v>218</v>
      </c>
      <c r="CC163" s="17" t="s">
        <v>218</v>
      </c>
      <c r="CD163" s="3">
        <f t="shared" si="95"/>
        <v>8</v>
      </c>
      <c r="CE163" s="17" t="s">
        <v>218</v>
      </c>
      <c r="CF163" s="17" t="s">
        <v>218</v>
      </c>
      <c r="CG163" s="17" t="s">
        <v>218</v>
      </c>
      <c r="CH163" s="17" t="s">
        <v>218</v>
      </c>
      <c r="CI163" s="17" t="s">
        <v>218</v>
      </c>
      <c r="CJ163" s="17" t="s">
        <v>218</v>
      </c>
      <c r="CK163" s="17" t="s">
        <v>218</v>
      </c>
      <c r="CL163" s="1">
        <f t="shared" si="102"/>
        <v>14.2</v>
      </c>
      <c r="CM163" s="17" t="s">
        <v>218</v>
      </c>
      <c r="CN163" s="17" t="s">
        <v>218</v>
      </c>
      <c r="CO163" s="17" t="s">
        <v>218</v>
      </c>
      <c r="CP163" s="17" t="s">
        <v>218</v>
      </c>
      <c r="CQ163" s="17" t="s">
        <v>218</v>
      </c>
      <c r="CR163" s="17" t="s">
        <v>218</v>
      </c>
      <c r="CS163" s="17" t="s">
        <v>218</v>
      </c>
      <c r="CT163" s="1">
        <f t="shared" si="109"/>
        <v>1.8</v>
      </c>
      <c r="CU163" s="17" t="s">
        <v>218</v>
      </c>
      <c r="CV163" s="17" t="s">
        <v>218</v>
      </c>
      <c r="CW163" s="17" t="s">
        <v>218</v>
      </c>
      <c r="CX163" s="17" t="s">
        <v>218</v>
      </c>
      <c r="CY163" s="17" t="s">
        <v>218</v>
      </c>
      <c r="CZ163" s="17" t="s">
        <v>218</v>
      </c>
      <c r="DA163" s="2" t="s">
        <v>218</v>
      </c>
      <c r="DB163" s="20">
        <f t="shared" si="116"/>
        <v>0</v>
      </c>
      <c r="DC163" s="1">
        <f>ROUND(PPTest!K163,1)</f>
        <v>12.3</v>
      </c>
      <c r="DD163" s="17" t="s">
        <v>218</v>
      </c>
      <c r="DE163" s="17" t="s">
        <v>218</v>
      </c>
      <c r="DF163" s="24">
        <f t="shared" si="118"/>
        <v>0.69499999999999995</v>
      </c>
      <c r="DG163" s="24">
        <f t="shared" si="119"/>
        <v>0.92400000000000004</v>
      </c>
      <c r="DH163" s="17" t="s">
        <v>218</v>
      </c>
      <c r="DQ163" s="1">
        <v>18.399999999999999</v>
      </c>
      <c r="DR163" s="1">
        <v>28.2</v>
      </c>
      <c r="DS163" s="1">
        <v>8.5</v>
      </c>
    </row>
    <row r="164" spans="1:123" x14ac:dyDescent="0.2">
      <c r="A164" s="15">
        <f t="shared" si="121"/>
        <v>36683</v>
      </c>
      <c r="B164" s="1">
        <v>158</v>
      </c>
      <c r="E164" s="50">
        <f t="shared" si="125"/>
        <v>7.1</v>
      </c>
      <c r="R164" s="50">
        <f t="shared" si="126"/>
        <v>12</v>
      </c>
      <c r="AF164" s="50">
        <f t="shared" si="127"/>
        <v>2.2000000000000002</v>
      </c>
      <c r="BM164" s="17">
        <v>32.97</v>
      </c>
      <c r="BN164" s="17">
        <f t="shared" si="91"/>
        <v>66.599400000000003</v>
      </c>
      <c r="BO164" s="18"/>
      <c r="BP164" s="18"/>
      <c r="BU164" s="62">
        <f t="shared" si="128"/>
        <v>0.71499999999999997</v>
      </c>
      <c r="BV164" s="62">
        <f t="shared" si="129"/>
        <v>0.68700000000000006</v>
      </c>
      <c r="BX164" s="1">
        <v>0</v>
      </c>
      <c r="BZ164" s="1">
        <v>0</v>
      </c>
      <c r="CB164" s="17" t="s">
        <v>218</v>
      </c>
      <c r="CC164" s="17" t="s">
        <v>218</v>
      </c>
      <c r="CD164" s="3">
        <f t="shared" si="95"/>
        <v>7.1</v>
      </c>
      <c r="CE164" s="17" t="s">
        <v>218</v>
      </c>
      <c r="CF164" s="17" t="s">
        <v>218</v>
      </c>
      <c r="CG164" s="17" t="s">
        <v>218</v>
      </c>
      <c r="CH164" s="17" t="s">
        <v>218</v>
      </c>
      <c r="CI164" s="17" t="s">
        <v>218</v>
      </c>
      <c r="CJ164" s="17" t="s">
        <v>218</v>
      </c>
      <c r="CK164" s="17" t="s">
        <v>218</v>
      </c>
      <c r="CL164" s="1">
        <f t="shared" si="102"/>
        <v>12</v>
      </c>
      <c r="CM164" s="17" t="s">
        <v>218</v>
      </c>
      <c r="CN164" s="17" t="s">
        <v>218</v>
      </c>
      <c r="CO164" s="17" t="s">
        <v>218</v>
      </c>
      <c r="CP164" s="17" t="s">
        <v>218</v>
      </c>
      <c r="CQ164" s="17" t="s">
        <v>218</v>
      </c>
      <c r="CR164" s="17" t="s">
        <v>218</v>
      </c>
      <c r="CS164" s="17" t="s">
        <v>218</v>
      </c>
      <c r="CT164" s="1">
        <f t="shared" si="109"/>
        <v>2.2000000000000002</v>
      </c>
      <c r="CU164" s="17" t="s">
        <v>218</v>
      </c>
      <c r="CV164" s="17" t="s">
        <v>218</v>
      </c>
      <c r="CW164" s="17" t="s">
        <v>218</v>
      </c>
      <c r="CX164" s="17" t="s">
        <v>218</v>
      </c>
      <c r="CY164" s="17" t="s">
        <v>218</v>
      </c>
      <c r="CZ164" s="17" t="s">
        <v>218</v>
      </c>
      <c r="DA164" s="2" t="s">
        <v>218</v>
      </c>
      <c r="DB164" s="20">
        <f t="shared" si="116"/>
        <v>0</v>
      </c>
      <c r="DC164" s="1">
        <f>ROUND(PPTest!K164,1)</f>
        <v>0</v>
      </c>
      <c r="DD164" s="17" t="s">
        <v>218</v>
      </c>
      <c r="DE164" s="17" t="s">
        <v>218</v>
      </c>
      <c r="DF164" s="24">
        <f t="shared" si="118"/>
        <v>0.71499999999999997</v>
      </c>
      <c r="DG164" s="24">
        <f t="shared" si="119"/>
        <v>0.68700000000000006</v>
      </c>
      <c r="DH164" s="17" t="s">
        <v>218</v>
      </c>
      <c r="DQ164" s="1">
        <v>17.3</v>
      </c>
      <c r="DR164" s="1">
        <v>25.1</v>
      </c>
      <c r="DS164" s="1">
        <v>9.4</v>
      </c>
    </row>
    <row r="165" spans="1:123" x14ac:dyDescent="0.2">
      <c r="A165" s="15">
        <f t="shared" si="121"/>
        <v>36684</v>
      </c>
      <c r="B165" s="1">
        <v>159</v>
      </c>
      <c r="E165" s="55">
        <f>ROUND(DK165*0.82-1.1,1)</f>
        <v>8.1</v>
      </c>
      <c r="P165" s="18"/>
      <c r="R165" s="55">
        <f>ROUND(DL165*0.92-0.52,1)</f>
        <v>12.9</v>
      </c>
      <c r="AD165" s="18"/>
      <c r="AF165" s="55">
        <f>ROUND(DM165*0.61-1.82,1)</f>
        <v>3</v>
      </c>
      <c r="BM165" s="17">
        <v>33.01</v>
      </c>
      <c r="BN165" s="17">
        <f t="shared" si="91"/>
        <v>66.680199999999999</v>
      </c>
      <c r="BO165" s="18"/>
      <c r="BP165" s="18"/>
      <c r="BT165" s="55">
        <f>ROUND(DO165*0.85-2.6,0)</f>
        <v>47</v>
      </c>
      <c r="BU165" s="60">
        <f t="shared" ref="BU165:BU228" si="130">ROUND(0.6105*(EXP((17.273*R165)/(R165+237.3)))*BT165/100, 3)</f>
        <v>0.69899999999999995</v>
      </c>
      <c r="BV165" s="60">
        <f t="shared" si="89"/>
        <v>0.78800000000000003</v>
      </c>
      <c r="BX165" s="1">
        <v>0</v>
      </c>
      <c r="BZ165" s="1">
        <v>0</v>
      </c>
      <c r="CB165" s="17" t="s">
        <v>218</v>
      </c>
      <c r="CC165" s="17" t="s">
        <v>218</v>
      </c>
      <c r="CD165" s="3">
        <f t="shared" si="95"/>
        <v>8.1</v>
      </c>
      <c r="CE165" s="17" t="s">
        <v>218</v>
      </c>
      <c r="CF165" s="17" t="s">
        <v>218</v>
      </c>
      <c r="CG165" s="17" t="s">
        <v>218</v>
      </c>
      <c r="CH165" s="17" t="s">
        <v>218</v>
      </c>
      <c r="CI165" s="17" t="s">
        <v>218</v>
      </c>
      <c r="CJ165" s="17" t="s">
        <v>218</v>
      </c>
      <c r="CK165" s="17" t="s">
        <v>218</v>
      </c>
      <c r="CL165" s="1">
        <f t="shared" si="102"/>
        <v>12.9</v>
      </c>
      <c r="CM165" s="17" t="s">
        <v>218</v>
      </c>
      <c r="CN165" s="17" t="s">
        <v>218</v>
      </c>
      <c r="CO165" s="17" t="s">
        <v>218</v>
      </c>
      <c r="CP165" s="17" t="s">
        <v>218</v>
      </c>
      <c r="CQ165" s="17" t="s">
        <v>218</v>
      </c>
      <c r="CR165" s="17" t="s">
        <v>218</v>
      </c>
      <c r="CS165" s="17" t="s">
        <v>218</v>
      </c>
      <c r="CT165" s="1">
        <f t="shared" si="109"/>
        <v>3</v>
      </c>
      <c r="CU165" s="17" t="s">
        <v>218</v>
      </c>
      <c r="CV165" s="17" t="s">
        <v>218</v>
      </c>
      <c r="CW165" s="17" t="s">
        <v>218</v>
      </c>
      <c r="CX165" s="17" t="s">
        <v>218</v>
      </c>
      <c r="CY165" s="17" t="s">
        <v>218</v>
      </c>
      <c r="CZ165" s="17" t="s">
        <v>218</v>
      </c>
      <c r="DA165" s="2">
        <f t="shared" si="115"/>
        <v>47</v>
      </c>
      <c r="DB165" s="20">
        <f t="shared" si="116"/>
        <v>0</v>
      </c>
      <c r="DC165" s="1">
        <f>ROUND(PPTest!K165,1)</f>
        <v>0</v>
      </c>
      <c r="DD165" s="17" t="s">
        <v>218</v>
      </c>
      <c r="DE165" s="17" t="s">
        <v>218</v>
      </c>
      <c r="DF165" s="24">
        <f t="shared" si="118"/>
        <v>0.69899999999999995</v>
      </c>
      <c r="DG165" s="24">
        <f t="shared" si="119"/>
        <v>0.78800000000000003</v>
      </c>
      <c r="DH165" s="17" t="s">
        <v>218</v>
      </c>
      <c r="DK165" s="1">
        <v>11.2</v>
      </c>
      <c r="DL165" s="1">
        <v>14.600000381469727</v>
      </c>
      <c r="DM165" s="1">
        <v>7.9000000953674316</v>
      </c>
      <c r="DN165" s="1">
        <v>75.666666666666671</v>
      </c>
      <c r="DO165" s="1">
        <v>58</v>
      </c>
      <c r="DQ165" s="1">
        <v>16.2</v>
      </c>
      <c r="DR165" s="1">
        <v>23.6</v>
      </c>
      <c r="DS165" s="1">
        <v>8.6999999999999993</v>
      </c>
    </row>
    <row r="166" spans="1:123" x14ac:dyDescent="0.2">
      <c r="A166" s="15">
        <f t="shared" si="121"/>
        <v>36685</v>
      </c>
      <c r="B166" s="1">
        <v>160</v>
      </c>
      <c r="E166" s="55">
        <f t="shared" ref="E166:E229" si="131">ROUND(DK166*0.82-1.1,1)</f>
        <v>6.3</v>
      </c>
      <c r="P166" s="18"/>
      <c r="R166" s="55">
        <f t="shared" ref="R166:R229" si="132">ROUND(DL166*0.92-0.52,1)</f>
        <v>9.9</v>
      </c>
      <c r="AD166" s="18"/>
      <c r="AF166" s="55">
        <f t="shared" ref="AF166:AF229" si="133">ROUND(DM166*0.61-1.82,1)</f>
        <v>2.5</v>
      </c>
      <c r="BM166" s="17">
        <v>33.06</v>
      </c>
      <c r="BN166" s="17">
        <f t="shared" si="91"/>
        <v>66.781199999999998</v>
      </c>
      <c r="BO166" s="18"/>
      <c r="BP166" s="18"/>
      <c r="BT166" s="55">
        <f t="shared" ref="BT166:BT229" si="134">ROUND(DO166*0.85-2.6,0)</f>
        <v>76</v>
      </c>
      <c r="BU166" s="60">
        <f t="shared" si="130"/>
        <v>0.92700000000000005</v>
      </c>
      <c r="BV166" s="60">
        <f t="shared" si="89"/>
        <v>0.29299999999999998</v>
      </c>
      <c r="BX166" s="1">
        <v>7.4</v>
      </c>
      <c r="BZ166" s="1">
        <v>0</v>
      </c>
      <c r="CB166" s="17" t="s">
        <v>218</v>
      </c>
      <c r="CC166" s="17" t="s">
        <v>218</v>
      </c>
      <c r="CD166" s="3">
        <f t="shared" si="95"/>
        <v>6.3</v>
      </c>
      <c r="CE166" s="17" t="s">
        <v>218</v>
      </c>
      <c r="CF166" s="17" t="s">
        <v>218</v>
      </c>
      <c r="CG166" s="17" t="s">
        <v>218</v>
      </c>
      <c r="CH166" s="17" t="s">
        <v>218</v>
      </c>
      <c r="CI166" s="17" t="s">
        <v>218</v>
      </c>
      <c r="CJ166" s="17" t="s">
        <v>218</v>
      </c>
      <c r="CK166" s="17" t="s">
        <v>218</v>
      </c>
      <c r="CL166" s="1">
        <f t="shared" si="102"/>
        <v>9.9</v>
      </c>
      <c r="CM166" s="17" t="s">
        <v>218</v>
      </c>
      <c r="CN166" s="17" t="s">
        <v>218</v>
      </c>
      <c r="CO166" s="17" t="s">
        <v>218</v>
      </c>
      <c r="CP166" s="17" t="s">
        <v>218</v>
      </c>
      <c r="CQ166" s="17" t="s">
        <v>218</v>
      </c>
      <c r="CR166" s="17" t="s">
        <v>218</v>
      </c>
      <c r="CS166" s="17" t="s">
        <v>218</v>
      </c>
      <c r="CT166" s="1">
        <f t="shared" si="109"/>
        <v>2.5</v>
      </c>
      <c r="CU166" s="17" t="s">
        <v>218</v>
      </c>
      <c r="CV166" s="17" t="s">
        <v>218</v>
      </c>
      <c r="CW166" s="17" t="s">
        <v>218</v>
      </c>
      <c r="CX166" s="17" t="s">
        <v>218</v>
      </c>
      <c r="CY166" s="17" t="s">
        <v>218</v>
      </c>
      <c r="CZ166" s="17" t="s">
        <v>218</v>
      </c>
      <c r="DA166" s="2">
        <f t="shared" si="115"/>
        <v>76</v>
      </c>
      <c r="DB166" s="20">
        <f t="shared" si="116"/>
        <v>0</v>
      </c>
      <c r="DC166" s="1">
        <f>ROUND(PPTest!K166,1)</f>
        <v>7.8</v>
      </c>
      <c r="DD166" s="17" t="s">
        <v>218</v>
      </c>
      <c r="DE166" s="17" t="s">
        <v>218</v>
      </c>
      <c r="DF166" s="24">
        <f t="shared" si="118"/>
        <v>0.92700000000000005</v>
      </c>
      <c r="DG166" s="24">
        <f t="shared" si="119"/>
        <v>0.29299999999999998</v>
      </c>
      <c r="DH166" s="17" t="s">
        <v>218</v>
      </c>
      <c r="DK166" s="1">
        <v>9</v>
      </c>
      <c r="DL166" s="1">
        <v>11.300000190734863</v>
      </c>
      <c r="DM166" s="1">
        <v>7</v>
      </c>
      <c r="DN166" s="1">
        <v>97.625</v>
      </c>
      <c r="DO166" s="1">
        <v>92</v>
      </c>
      <c r="DQ166" s="1">
        <v>16.2</v>
      </c>
      <c r="DR166" s="1">
        <v>21.1</v>
      </c>
      <c r="DS166" s="1">
        <v>11.3</v>
      </c>
    </row>
    <row r="167" spans="1:123" x14ac:dyDescent="0.2">
      <c r="A167" s="15">
        <f t="shared" si="121"/>
        <v>36686</v>
      </c>
      <c r="B167" s="1">
        <v>161</v>
      </c>
      <c r="E167" s="55">
        <f t="shared" si="131"/>
        <v>5.5</v>
      </c>
      <c r="P167" s="18"/>
      <c r="R167" s="55">
        <f t="shared" si="132"/>
        <v>11.3</v>
      </c>
      <c r="AD167" s="18"/>
      <c r="AF167" s="55">
        <f t="shared" si="133"/>
        <v>1.4</v>
      </c>
      <c r="BM167" s="17">
        <v>33.1</v>
      </c>
      <c r="BN167" s="17">
        <f t="shared" si="91"/>
        <v>66.862000000000009</v>
      </c>
      <c r="BO167" s="18"/>
      <c r="BP167" s="18"/>
      <c r="BT167" s="55">
        <f t="shared" si="134"/>
        <v>50</v>
      </c>
      <c r="BU167" s="60">
        <f t="shared" si="130"/>
        <v>0.66900000000000004</v>
      </c>
      <c r="BV167" s="60">
        <f t="shared" si="89"/>
        <v>0.66900000000000004</v>
      </c>
      <c r="BX167" s="1">
        <v>13.7</v>
      </c>
      <c r="BZ167" s="1">
        <v>10.199999999999999</v>
      </c>
      <c r="CB167" s="17" t="s">
        <v>218</v>
      </c>
      <c r="CC167" s="17" t="s">
        <v>218</v>
      </c>
      <c r="CD167" s="3">
        <f t="shared" si="95"/>
        <v>5.5</v>
      </c>
      <c r="CE167" s="17" t="s">
        <v>218</v>
      </c>
      <c r="CF167" s="17" t="s">
        <v>218</v>
      </c>
      <c r="CG167" s="17" t="s">
        <v>218</v>
      </c>
      <c r="CH167" s="17" t="s">
        <v>218</v>
      </c>
      <c r="CI167" s="17" t="s">
        <v>218</v>
      </c>
      <c r="CJ167" s="17" t="s">
        <v>218</v>
      </c>
      <c r="CK167" s="17" t="s">
        <v>218</v>
      </c>
      <c r="CL167" s="1">
        <f t="shared" si="102"/>
        <v>11.3</v>
      </c>
      <c r="CM167" s="17" t="s">
        <v>218</v>
      </c>
      <c r="CN167" s="17" t="s">
        <v>218</v>
      </c>
      <c r="CO167" s="17" t="s">
        <v>218</v>
      </c>
      <c r="CP167" s="17" t="s">
        <v>218</v>
      </c>
      <c r="CQ167" s="17" t="s">
        <v>218</v>
      </c>
      <c r="CR167" s="17" t="s">
        <v>218</v>
      </c>
      <c r="CS167" s="17" t="s">
        <v>218</v>
      </c>
      <c r="CT167" s="1">
        <f t="shared" si="109"/>
        <v>1.4</v>
      </c>
      <c r="CU167" s="17" t="s">
        <v>218</v>
      </c>
      <c r="CV167" s="17" t="s">
        <v>218</v>
      </c>
      <c r="CW167" s="17" t="s">
        <v>218</v>
      </c>
      <c r="CX167" s="17" t="s">
        <v>218</v>
      </c>
      <c r="CY167" s="17" t="s">
        <v>218</v>
      </c>
      <c r="CZ167" s="17" t="s">
        <v>218</v>
      </c>
      <c r="DA167" s="2">
        <f t="shared" si="115"/>
        <v>50</v>
      </c>
      <c r="DB167" s="20">
        <f t="shared" si="116"/>
        <v>0</v>
      </c>
      <c r="DC167" s="1">
        <f>ROUND(PPTest!K167,1)</f>
        <v>14.4</v>
      </c>
      <c r="DD167" s="17" t="s">
        <v>218</v>
      </c>
      <c r="DE167" s="17" t="s">
        <v>218</v>
      </c>
      <c r="DF167" s="24">
        <f t="shared" si="118"/>
        <v>0.66900000000000004</v>
      </c>
      <c r="DG167" s="24">
        <f t="shared" si="119"/>
        <v>0.66900000000000004</v>
      </c>
      <c r="DH167" s="17" t="s">
        <v>218</v>
      </c>
      <c r="DK167" s="1">
        <v>8.1</v>
      </c>
      <c r="DL167" s="1">
        <v>12.800000190734863</v>
      </c>
      <c r="DM167" s="1">
        <v>5.3000001907348633</v>
      </c>
      <c r="DN167" s="1">
        <v>90.333333333333329</v>
      </c>
      <c r="DO167" s="1">
        <v>62</v>
      </c>
      <c r="DQ167" s="1">
        <v>15.7</v>
      </c>
      <c r="DR167" s="1">
        <v>20.7</v>
      </c>
      <c r="DS167" s="1">
        <v>10.6</v>
      </c>
    </row>
    <row r="168" spans="1:123" x14ac:dyDescent="0.2">
      <c r="A168" s="15">
        <f t="shared" si="121"/>
        <v>36687</v>
      </c>
      <c r="B168" s="1">
        <v>162</v>
      </c>
      <c r="E168" s="55">
        <f t="shared" si="131"/>
        <v>3.1</v>
      </c>
      <c r="P168" s="18"/>
      <c r="R168" s="55">
        <f t="shared" si="132"/>
        <v>7.4</v>
      </c>
      <c r="AD168" s="18"/>
      <c r="AF168" s="55">
        <f t="shared" si="133"/>
        <v>-1.5</v>
      </c>
      <c r="BM168" s="17">
        <v>33.130000000000003</v>
      </c>
      <c r="BN168" s="17">
        <f t="shared" si="91"/>
        <v>66.922600000000003</v>
      </c>
      <c r="BO168" s="18"/>
      <c r="BP168" s="18"/>
      <c r="BT168" s="55">
        <f t="shared" si="134"/>
        <v>64</v>
      </c>
      <c r="BU168" s="60">
        <f t="shared" si="130"/>
        <v>0.65900000000000003</v>
      </c>
      <c r="BV168" s="60">
        <f t="shared" si="89"/>
        <v>0.371</v>
      </c>
      <c r="BX168" s="1">
        <v>6.5</v>
      </c>
      <c r="BZ168" s="1">
        <v>5.9</v>
      </c>
      <c r="CB168" s="17" t="s">
        <v>218</v>
      </c>
      <c r="CC168" s="17" t="s">
        <v>218</v>
      </c>
      <c r="CD168" s="3">
        <f t="shared" si="95"/>
        <v>3.1</v>
      </c>
      <c r="CE168" s="17" t="s">
        <v>218</v>
      </c>
      <c r="CF168" s="17" t="s">
        <v>218</v>
      </c>
      <c r="CG168" s="17" t="s">
        <v>218</v>
      </c>
      <c r="CH168" s="17" t="s">
        <v>218</v>
      </c>
      <c r="CI168" s="17" t="s">
        <v>218</v>
      </c>
      <c r="CJ168" s="17" t="s">
        <v>218</v>
      </c>
      <c r="CK168" s="17" t="s">
        <v>218</v>
      </c>
      <c r="CL168" s="1">
        <f t="shared" si="102"/>
        <v>7.4</v>
      </c>
      <c r="CM168" s="17" t="s">
        <v>218</v>
      </c>
      <c r="CN168" s="17" t="s">
        <v>218</v>
      </c>
      <c r="CO168" s="17" t="s">
        <v>218</v>
      </c>
      <c r="CP168" s="17" t="s">
        <v>218</v>
      </c>
      <c r="CQ168" s="17" t="s">
        <v>218</v>
      </c>
      <c r="CR168" s="17" t="s">
        <v>218</v>
      </c>
      <c r="CS168" s="17" t="s">
        <v>218</v>
      </c>
      <c r="CT168" s="1">
        <f t="shared" si="109"/>
        <v>-1.5</v>
      </c>
      <c r="CU168" s="17" t="s">
        <v>218</v>
      </c>
      <c r="CV168" s="17" t="s">
        <v>218</v>
      </c>
      <c r="CW168" s="17" t="s">
        <v>218</v>
      </c>
      <c r="CX168" s="17" t="s">
        <v>218</v>
      </c>
      <c r="CY168" s="17" t="s">
        <v>218</v>
      </c>
      <c r="CZ168" s="17" t="s">
        <v>218</v>
      </c>
      <c r="DA168" s="2">
        <f t="shared" si="115"/>
        <v>64</v>
      </c>
      <c r="DB168" s="20">
        <f t="shared" si="116"/>
        <v>0</v>
      </c>
      <c r="DC168" s="1">
        <f>ROUND(PPTest!K168,1)</f>
        <v>6.8</v>
      </c>
      <c r="DD168" s="17" t="s">
        <v>218</v>
      </c>
      <c r="DE168" s="17" t="s">
        <v>218</v>
      </c>
      <c r="DF168" s="24">
        <f t="shared" si="118"/>
        <v>0.65900000000000003</v>
      </c>
      <c r="DG168" s="24">
        <f t="shared" si="119"/>
        <v>0.371</v>
      </c>
      <c r="DH168" s="17" t="s">
        <v>218</v>
      </c>
      <c r="DK168" s="1">
        <v>5.0999999999999996</v>
      </c>
      <c r="DL168" s="1">
        <v>8.6000003814697266</v>
      </c>
      <c r="DM168" s="1">
        <v>0.5</v>
      </c>
      <c r="DN168" s="1">
        <v>95.375</v>
      </c>
      <c r="DO168" s="1">
        <v>78</v>
      </c>
      <c r="DQ168" s="1">
        <v>13.2</v>
      </c>
      <c r="DR168" s="1">
        <v>18.3</v>
      </c>
      <c r="DS168" s="1">
        <v>8</v>
      </c>
    </row>
    <row r="169" spans="1:123" x14ac:dyDescent="0.2">
      <c r="A169" s="15">
        <f t="shared" si="121"/>
        <v>36688</v>
      </c>
      <c r="B169" s="1">
        <v>163</v>
      </c>
      <c r="E169" s="55">
        <f t="shared" si="131"/>
        <v>3.4</v>
      </c>
      <c r="P169" s="18"/>
      <c r="R169" s="55">
        <f t="shared" si="132"/>
        <v>9.8000000000000007</v>
      </c>
      <c r="AD169" s="18"/>
      <c r="AF169" s="55">
        <f t="shared" si="133"/>
        <v>-2.2000000000000002</v>
      </c>
      <c r="BM169" s="17">
        <v>33.159999999999997</v>
      </c>
      <c r="BN169" s="17">
        <f t="shared" si="91"/>
        <v>66.983199999999997</v>
      </c>
      <c r="BO169" s="18"/>
      <c r="BP169" s="18"/>
      <c r="BT169" s="55">
        <f t="shared" si="134"/>
        <v>37</v>
      </c>
      <c r="BU169" s="60">
        <f t="shared" si="130"/>
        <v>0.44800000000000001</v>
      </c>
      <c r="BV169" s="60">
        <f t="shared" si="89"/>
        <v>0.76300000000000001</v>
      </c>
      <c r="BX169" s="1">
        <v>0</v>
      </c>
      <c r="BZ169" s="1">
        <v>0</v>
      </c>
      <c r="CB169" s="17" t="s">
        <v>218</v>
      </c>
      <c r="CC169" s="17" t="s">
        <v>218</v>
      </c>
      <c r="CD169" s="3">
        <f t="shared" si="95"/>
        <v>3.4</v>
      </c>
      <c r="CE169" s="17" t="s">
        <v>218</v>
      </c>
      <c r="CF169" s="17" t="s">
        <v>218</v>
      </c>
      <c r="CG169" s="17" t="s">
        <v>218</v>
      </c>
      <c r="CH169" s="17" t="s">
        <v>218</v>
      </c>
      <c r="CI169" s="17" t="s">
        <v>218</v>
      </c>
      <c r="CJ169" s="17" t="s">
        <v>218</v>
      </c>
      <c r="CK169" s="17" t="s">
        <v>218</v>
      </c>
      <c r="CL169" s="1">
        <f t="shared" si="102"/>
        <v>9.8000000000000007</v>
      </c>
      <c r="CM169" s="17" t="s">
        <v>218</v>
      </c>
      <c r="CN169" s="17" t="s">
        <v>218</v>
      </c>
      <c r="CO169" s="17" t="s">
        <v>218</v>
      </c>
      <c r="CP169" s="17" t="s">
        <v>218</v>
      </c>
      <c r="CQ169" s="17" t="s">
        <v>218</v>
      </c>
      <c r="CR169" s="17" t="s">
        <v>218</v>
      </c>
      <c r="CS169" s="17" t="s">
        <v>218</v>
      </c>
      <c r="CT169" s="1">
        <f t="shared" si="109"/>
        <v>-2.2000000000000002</v>
      </c>
      <c r="CU169" s="17" t="s">
        <v>218</v>
      </c>
      <c r="CV169" s="17" t="s">
        <v>218</v>
      </c>
      <c r="CW169" s="17" t="s">
        <v>218</v>
      </c>
      <c r="CX169" s="17" t="s">
        <v>218</v>
      </c>
      <c r="CY169" s="17" t="s">
        <v>218</v>
      </c>
      <c r="CZ169" s="17" t="s">
        <v>218</v>
      </c>
      <c r="DA169" s="2">
        <f t="shared" si="115"/>
        <v>37</v>
      </c>
      <c r="DB169" s="20">
        <f t="shared" si="116"/>
        <v>0</v>
      </c>
      <c r="DC169" s="1">
        <f>ROUND(PPTest!K169,1)</f>
        <v>0</v>
      </c>
      <c r="DD169" s="17" t="s">
        <v>218</v>
      </c>
      <c r="DE169" s="17" t="s">
        <v>218</v>
      </c>
      <c r="DF169" s="24">
        <f t="shared" si="118"/>
        <v>0.44800000000000001</v>
      </c>
      <c r="DG169" s="24">
        <f t="shared" si="119"/>
        <v>0.76300000000000001</v>
      </c>
      <c r="DH169" s="17" t="s">
        <v>218</v>
      </c>
      <c r="DK169" s="1">
        <v>5.5</v>
      </c>
      <c r="DL169" s="1">
        <v>11.199999809265137</v>
      </c>
      <c r="DM169" s="1">
        <v>-0.69999998807907104</v>
      </c>
      <c r="DN169" s="1">
        <v>77.333333333333329</v>
      </c>
      <c r="DO169" s="1">
        <v>47</v>
      </c>
      <c r="DQ169" s="1">
        <v>13.6</v>
      </c>
      <c r="DR169" s="1">
        <v>20.3</v>
      </c>
      <c r="DS169" s="1">
        <v>6.9</v>
      </c>
    </row>
    <row r="170" spans="1:123" x14ac:dyDescent="0.2">
      <c r="A170" s="15">
        <f t="shared" si="121"/>
        <v>36689</v>
      </c>
      <c r="B170" s="1">
        <v>164</v>
      </c>
      <c r="E170" s="55">
        <f t="shared" si="131"/>
        <v>3.7</v>
      </c>
      <c r="P170" s="18"/>
      <c r="R170" s="55">
        <f t="shared" si="132"/>
        <v>6.3</v>
      </c>
      <c r="AD170" s="18"/>
      <c r="AF170" s="55">
        <f t="shared" si="133"/>
        <v>0.4</v>
      </c>
      <c r="BM170" s="17">
        <v>33.19</v>
      </c>
      <c r="BN170" s="17">
        <f t="shared" si="91"/>
        <v>67.04379999999999</v>
      </c>
      <c r="BO170" s="18"/>
      <c r="BP170" s="18"/>
      <c r="BT170" s="55">
        <f t="shared" si="134"/>
        <v>66</v>
      </c>
      <c r="BU170" s="60">
        <f t="shared" si="130"/>
        <v>0.63</v>
      </c>
      <c r="BV170" s="60">
        <f t="shared" si="89"/>
        <v>0.32500000000000001</v>
      </c>
      <c r="BX170" s="1">
        <v>16.8</v>
      </c>
      <c r="BZ170" s="1">
        <v>11.100000000000001</v>
      </c>
      <c r="CB170" s="17" t="s">
        <v>218</v>
      </c>
      <c r="CC170" s="17" t="s">
        <v>218</v>
      </c>
      <c r="CD170" s="3">
        <f t="shared" si="95"/>
        <v>3.7</v>
      </c>
      <c r="CE170" s="17" t="s">
        <v>218</v>
      </c>
      <c r="CF170" s="17" t="s">
        <v>218</v>
      </c>
      <c r="CG170" s="17" t="s">
        <v>218</v>
      </c>
      <c r="CH170" s="17" t="s">
        <v>218</v>
      </c>
      <c r="CI170" s="17" t="s">
        <v>218</v>
      </c>
      <c r="CJ170" s="17" t="s">
        <v>218</v>
      </c>
      <c r="CK170" s="17" t="s">
        <v>218</v>
      </c>
      <c r="CL170" s="1">
        <f t="shared" si="102"/>
        <v>6.3</v>
      </c>
      <c r="CM170" s="17" t="s">
        <v>218</v>
      </c>
      <c r="CN170" s="17" t="s">
        <v>218</v>
      </c>
      <c r="CO170" s="17" t="s">
        <v>218</v>
      </c>
      <c r="CP170" s="17" t="s">
        <v>218</v>
      </c>
      <c r="CQ170" s="17" t="s">
        <v>218</v>
      </c>
      <c r="CR170" s="17" t="s">
        <v>218</v>
      </c>
      <c r="CS170" s="17" t="s">
        <v>218</v>
      </c>
      <c r="CT170" s="1">
        <f t="shared" si="109"/>
        <v>0.4</v>
      </c>
      <c r="CU170" s="17" t="s">
        <v>218</v>
      </c>
      <c r="CV170" s="17" t="s">
        <v>218</v>
      </c>
      <c r="CW170" s="17" t="s">
        <v>218</v>
      </c>
      <c r="CX170" s="17" t="s">
        <v>218</v>
      </c>
      <c r="CY170" s="17" t="s">
        <v>218</v>
      </c>
      <c r="CZ170" s="17" t="s">
        <v>218</v>
      </c>
      <c r="DA170" s="2">
        <f t="shared" si="115"/>
        <v>66</v>
      </c>
      <c r="DB170" s="20">
        <f t="shared" si="116"/>
        <v>0</v>
      </c>
      <c r="DC170" s="1">
        <f>ROUND(PPTest!K170,1)</f>
        <v>17.600000000000001</v>
      </c>
      <c r="DD170" s="17" t="s">
        <v>218</v>
      </c>
      <c r="DE170" s="17" t="s">
        <v>218</v>
      </c>
      <c r="DF170" s="24">
        <f t="shared" si="118"/>
        <v>0.63</v>
      </c>
      <c r="DG170" s="24">
        <f t="shared" si="119"/>
        <v>0.32500000000000001</v>
      </c>
      <c r="DH170" s="17" t="s">
        <v>218</v>
      </c>
      <c r="DK170" s="1">
        <v>5.8</v>
      </c>
      <c r="DL170" s="1">
        <v>7.4000000953674316</v>
      </c>
      <c r="DM170" s="1">
        <v>3.7000000476837158</v>
      </c>
      <c r="DN170" s="1">
        <v>98.416666666666671</v>
      </c>
      <c r="DO170" s="1">
        <v>81</v>
      </c>
      <c r="DQ170" s="1">
        <v>12.6</v>
      </c>
      <c r="DR170" s="1">
        <v>16.3</v>
      </c>
      <c r="DS170" s="1">
        <v>8.8000000000000007</v>
      </c>
    </row>
    <row r="171" spans="1:123" x14ac:dyDescent="0.2">
      <c r="A171" s="15">
        <f t="shared" si="121"/>
        <v>36690</v>
      </c>
      <c r="B171" s="1">
        <v>165</v>
      </c>
      <c r="E171" s="55">
        <f t="shared" si="131"/>
        <v>6</v>
      </c>
      <c r="P171" s="18"/>
      <c r="R171" s="55">
        <f t="shared" si="132"/>
        <v>14.5</v>
      </c>
      <c r="AD171" s="18"/>
      <c r="AF171" s="55">
        <f t="shared" si="133"/>
        <v>1.7</v>
      </c>
      <c r="BM171" s="17">
        <v>33.21</v>
      </c>
      <c r="BN171" s="17">
        <f t="shared" si="91"/>
        <v>67.084199999999996</v>
      </c>
      <c r="BO171" s="18"/>
      <c r="BP171" s="18"/>
      <c r="BT171" s="55">
        <f t="shared" si="134"/>
        <v>61</v>
      </c>
      <c r="BU171" s="60">
        <f t="shared" si="130"/>
        <v>1.0069999999999999</v>
      </c>
      <c r="BV171" s="60">
        <f t="shared" si="89"/>
        <v>0.64400000000000002</v>
      </c>
      <c r="BX171" s="1">
        <v>0</v>
      </c>
      <c r="BZ171" s="1">
        <v>0</v>
      </c>
      <c r="CB171" s="17" t="s">
        <v>218</v>
      </c>
      <c r="CC171" s="17" t="s">
        <v>218</v>
      </c>
      <c r="CD171" s="3">
        <f t="shared" si="95"/>
        <v>6</v>
      </c>
      <c r="CE171" s="17" t="s">
        <v>218</v>
      </c>
      <c r="CF171" s="17" t="s">
        <v>218</v>
      </c>
      <c r="CG171" s="17" t="s">
        <v>218</v>
      </c>
      <c r="CH171" s="17" t="s">
        <v>218</v>
      </c>
      <c r="CI171" s="17" t="s">
        <v>218</v>
      </c>
      <c r="CJ171" s="17" t="s">
        <v>218</v>
      </c>
      <c r="CK171" s="17" t="s">
        <v>218</v>
      </c>
      <c r="CL171" s="1">
        <f t="shared" si="102"/>
        <v>14.5</v>
      </c>
      <c r="CM171" s="17" t="s">
        <v>218</v>
      </c>
      <c r="CN171" s="17" t="s">
        <v>218</v>
      </c>
      <c r="CO171" s="17" t="s">
        <v>218</v>
      </c>
      <c r="CP171" s="17" t="s">
        <v>218</v>
      </c>
      <c r="CQ171" s="17" t="s">
        <v>218</v>
      </c>
      <c r="CR171" s="17" t="s">
        <v>218</v>
      </c>
      <c r="CS171" s="17" t="s">
        <v>218</v>
      </c>
      <c r="CT171" s="1">
        <f t="shared" si="109"/>
        <v>1.7</v>
      </c>
      <c r="CU171" s="17" t="s">
        <v>218</v>
      </c>
      <c r="CV171" s="17" t="s">
        <v>218</v>
      </c>
      <c r="CW171" s="17" t="s">
        <v>218</v>
      </c>
      <c r="CX171" s="17" t="s">
        <v>218</v>
      </c>
      <c r="CY171" s="17" t="s">
        <v>218</v>
      </c>
      <c r="CZ171" s="17" t="s">
        <v>218</v>
      </c>
      <c r="DA171" s="2">
        <f t="shared" si="115"/>
        <v>61</v>
      </c>
      <c r="DB171" s="20">
        <f t="shared" si="116"/>
        <v>0</v>
      </c>
      <c r="DC171" s="1">
        <f>ROUND(PPTest!K171,1)</f>
        <v>0</v>
      </c>
      <c r="DD171" s="17" t="s">
        <v>218</v>
      </c>
      <c r="DE171" s="17" t="s">
        <v>218</v>
      </c>
      <c r="DF171" s="24">
        <f t="shared" si="118"/>
        <v>1.0069999999999999</v>
      </c>
      <c r="DG171" s="24">
        <f t="shared" si="119"/>
        <v>0.64400000000000002</v>
      </c>
      <c r="DH171" s="17" t="s">
        <v>218</v>
      </c>
      <c r="DK171" s="1">
        <v>8.6</v>
      </c>
      <c r="DL171" s="1">
        <v>16.299999237060547</v>
      </c>
      <c r="DM171" s="1">
        <v>5.6999998092651367</v>
      </c>
      <c r="DN171" s="1">
        <v>89.083333333333329</v>
      </c>
      <c r="DO171" s="1">
        <v>75</v>
      </c>
      <c r="DQ171" s="1">
        <v>13.4</v>
      </c>
      <c r="DR171" s="1">
        <v>16.899999999999999</v>
      </c>
      <c r="DS171" s="1">
        <v>9.9</v>
      </c>
    </row>
    <row r="172" spans="1:123" x14ac:dyDescent="0.2">
      <c r="A172" s="15">
        <f t="shared" si="121"/>
        <v>36691</v>
      </c>
      <c r="B172" s="1">
        <v>166</v>
      </c>
      <c r="E172" s="55">
        <f t="shared" si="131"/>
        <v>5.6</v>
      </c>
      <c r="P172" s="18"/>
      <c r="R172" s="55">
        <f t="shared" si="132"/>
        <v>10</v>
      </c>
      <c r="AD172" s="18"/>
      <c r="AF172" s="55">
        <f t="shared" si="133"/>
        <v>2.1</v>
      </c>
      <c r="BM172" s="17">
        <v>33.229999999999997</v>
      </c>
      <c r="BN172" s="17">
        <f t="shared" si="91"/>
        <v>67.124600000000001</v>
      </c>
      <c r="BO172" s="18"/>
      <c r="BP172" s="18"/>
      <c r="BT172" s="55">
        <f t="shared" si="134"/>
        <v>72</v>
      </c>
      <c r="BU172" s="60">
        <f t="shared" si="130"/>
        <v>0.88400000000000001</v>
      </c>
      <c r="BV172" s="60">
        <f t="shared" si="89"/>
        <v>0.34399999999999997</v>
      </c>
      <c r="BX172" s="1">
        <v>6.2</v>
      </c>
      <c r="BZ172" s="1">
        <v>13.5</v>
      </c>
      <c r="CB172" s="17" t="s">
        <v>218</v>
      </c>
      <c r="CC172" s="17" t="s">
        <v>218</v>
      </c>
      <c r="CD172" s="3">
        <f t="shared" si="95"/>
        <v>5.6</v>
      </c>
      <c r="CE172" s="17" t="s">
        <v>218</v>
      </c>
      <c r="CF172" s="17" t="s">
        <v>218</v>
      </c>
      <c r="CG172" s="17" t="s">
        <v>218</v>
      </c>
      <c r="CH172" s="17" t="s">
        <v>218</v>
      </c>
      <c r="CI172" s="17" t="s">
        <v>218</v>
      </c>
      <c r="CJ172" s="17" t="s">
        <v>218</v>
      </c>
      <c r="CK172" s="17" t="s">
        <v>218</v>
      </c>
      <c r="CL172" s="1">
        <f t="shared" si="102"/>
        <v>10</v>
      </c>
      <c r="CM172" s="17" t="s">
        <v>218</v>
      </c>
      <c r="CN172" s="17" t="s">
        <v>218</v>
      </c>
      <c r="CO172" s="17" t="s">
        <v>218</v>
      </c>
      <c r="CP172" s="17" t="s">
        <v>218</v>
      </c>
      <c r="CQ172" s="17" t="s">
        <v>218</v>
      </c>
      <c r="CR172" s="17" t="s">
        <v>218</v>
      </c>
      <c r="CS172" s="17" t="s">
        <v>218</v>
      </c>
      <c r="CT172" s="1">
        <f t="shared" si="109"/>
        <v>2.1</v>
      </c>
      <c r="CU172" s="17" t="s">
        <v>218</v>
      </c>
      <c r="CV172" s="17" t="s">
        <v>218</v>
      </c>
      <c r="CW172" s="17" t="s">
        <v>218</v>
      </c>
      <c r="CX172" s="17" t="s">
        <v>218</v>
      </c>
      <c r="CY172" s="17" t="s">
        <v>218</v>
      </c>
      <c r="CZ172" s="17" t="s">
        <v>218</v>
      </c>
      <c r="DA172" s="2">
        <f t="shared" si="115"/>
        <v>72</v>
      </c>
      <c r="DB172" s="20">
        <f t="shared" si="116"/>
        <v>0</v>
      </c>
      <c r="DC172" s="1">
        <f>ROUND(PPTest!K172,1)</f>
        <v>6.5</v>
      </c>
      <c r="DD172" s="17" t="s">
        <v>218</v>
      </c>
      <c r="DE172" s="17" t="s">
        <v>218</v>
      </c>
      <c r="DF172" s="24">
        <f t="shared" si="118"/>
        <v>0.88400000000000001</v>
      </c>
      <c r="DG172" s="24">
        <f t="shared" si="119"/>
        <v>0.34399999999999997</v>
      </c>
      <c r="DH172" s="17" t="s">
        <v>218</v>
      </c>
      <c r="DK172" s="1">
        <v>8.1999999999999993</v>
      </c>
      <c r="DL172" s="1">
        <v>11.399999618530273</v>
      </c>
      <c r="DM172" s="1">
        <v>6.4000000953674316</v>
      </c>
      <c r="DN172" s="1">
        <v>98.083333333333329</v>
      </c>
      <c r="DO172" s="1">
        <v>88</v>
      </c>
      <c r="DQ172" s="1">
        <v>13.9</v>
      </c>
      <c r="DR172" s="1">
        <v>17.7</v>
      </c>
      <c r="DS172" s="1">
        <v>10.1</v>
      </c>
    </row>
    <row r="173" spans="1:123" x14ac:dyDescent="0.2">
      <c r="A173" s="15">
        <f t="shared" si="121"/>
        <v>36692</v>
      </c>
      <c r="B173" s="1">
        <v>167</v>
      </c>
      <c r="E173" s="55">
        <f t="shared" si="131"/>
        <v>5.0999999999999996</v>
      </c>
      <c r="P173" s="18"/>
      <c r="R173" s="55">
        <f t="shared" si="132"/>
        <v>9.5</v>
      </c>
      <c r="AD173" s="18"/>
      <c r="AF173" s="55">
        <f t="shared" si="133"/>
        <v>1.2</v>
      </c>
      <c r="BM173" s="17">
        <v>33.24</v>
      </c>
      <c r="BN173" s="17">
        <f t="shared" si="91"/>
        <v>67.144800000000004</v>
      </c>
      <c r="BO173" s="18"/>
      <c r="BP173" s="18"/>
      <c r="BT173" s="55">
        <f t="shared" si="134"/>
        <v>48</v>
      </c>
      <c r="BU173" s="60">
        <f t="shared" si="130"/>
        <v>0.56999999999999995</v>
      </c>
      <c r="BV173" s="60">
        <f t="shared" si="89"/>
        <v>0.61799999999999999</v>
      </c>
      <c r="BX173" s="1">
        <v>0</v>
      </c>
      <c r="BZ173" s="1">
        <v>0</v>
      </c>
      <c r="CB173" s="17" t="s">
        <v>218</v>
      </c>
      <c r="CC173" s="17" t="s">
        <v>218</v>
      </c>
      <c r="CD173" s="3">
        <f t="shared" si="95"/>
        <v>5.0999999999999996</v>
      </c>
      <c r="CE173" s="17" t="s">
        <v>218</v>
      </c>
      <c r="CF173" s="17" t="s">
        <v>218</v>
      </c>
      <c r="CG173" s="17" t="s">
        <v>218</v>
      </c>
      <c r="CH173" s="17" t="s">
        <v>218</v>
      </c>
      <c r="CI173" s="17" t="s">
        <v>218</v>
      </c>
      <c r="CJ173" s="17" t="s">
        <v>218</v>
      </c>
      <c r="CK173" s="17" t="s">
        <v>218</v>
      </c>
      <c r="CL173" s="1">
        <f t="shared" si="102"/>
        <v>9.5</v>
      </c>
      <c r="CM173" s="17" t="s">
        <v>218</v>
      </c>
      <c r="CN173" s="17" t="s">
        <v>218</v>
      </c>
      <c r="CO173" s="17" t="s">
        <v>218</v>
      </c>
      <c r="CP173" s="17" t="s">
        <v>218</v>
      </c>
      <c r="CQ173" s="17" t="s">
        <v>218</v>
      </c>
      <c r="CR173" s="17" t="s">
        <v>218</v>
      </c>
      <c r="CS173" s="17" t="s">
        <v>218</v>
      </c>
      <c r="CT173" s="1">
        <f t="shared" si="109"/>
        <v>1.2</v>
      </c>
      <c r="CU173" s="17" t="s">
        <v>218</v>
      </c>
      <c r="CV173" s="17" t="s">
        <v>218</v>
      </c>
      <c r="CW173" s="17" t="s">
        <v>218</v>
      </c>
      <c r="CX173" s="17" t="s">
        <v>218</v>
      </c>
      <c r="CY173" s="17" t="s">
        <v>218</v>
      </c>
      <c r="CZ173" s="17" t="s">
        <v>218</v>
      </c>
      <c r="DA173" s="2">
        <f t="shared" si="115"/>
        <v>48</v>
      </c>
      <c r="DB173" s="20">
        <f t="shared" si="116"/>
        <v>0</v>
      </c>
      <c r="DC173" s="1">
        <f>ROUND(PPTest!K173,1)</f>
        <v>0</v>
      </c>
      <c r="DD173" s="17" t="s">
        <v>218</v>
      </c>
      <c r="DE173" s="17" t="s">
        <v>218</v>
      </c>
      <c r="DF173" s="24">
        <f t="shared" si="118"/>
        <v>0.56999999999999995</v>
      </c>
      <c r="DG173" s="24">
        <f t="shared" si="119"/>
        <v>0.61799999999999999</v>
      </c>
      <c r="DH173" s="17" t="s">
        <v>218</v>
      </c>
      <c r="DK173" s="1">
        <v>7.6</v>
      </c>
      <c r="DL173" s="1">
        <v>10.899999618530273</v>
      </c>
      <c r="DM173" s="1">
        <v>5</v>
      </c>
      <c r="DN173" s="1">
        <v>74.208333333333329</v>
      </c>
      <c r="DO173" s="1">
        <v>59</v>
      </c>
      <c r="DQ173" s="1">
        <v>14.4</v>
      </c>
      <c r="DR173" s="1">
        <v>21.6</v>
      </c>
      <c r="DS173" s="1">
        <v>7.2</v>
      </c>
    </row>
    <row r="174" spans="1:123" x14ac:dyDescent="0.2">
      <c r="A174" s="15">
        <f t="shared" si="121"/>
        <v>36693</v>
      </c>
      <c r="B174" s="1">
        <v>168</v>
      </c>
      <c r="E174" s="55">
        <f t="shared" si="131"/>
        <v>8</v>
      </c>
      <c r="P174" s="18"/>
      <c r="R174" s="55">
        <f t="shared" si="132"/>
        <v>15.1</v>
      </c>
      <c r="AD174" s="18"/>
      <c r="AF174" s="55">
        <f t="shared" si="133"/>
        <v>1</v>
      </c>
      <c r="BM174" s="17">
        <v>33.24</v>
      </c>
      <c r="BN174" s="17">
        <f t="shared" si="91"/>
        <v>67.144800000000004</v>
      </c>
      <c r="BO174" s="18"/>
      <c r="BP174" s="18"/>
      <c r="BT174" s="55">
        <f t="shared" si="134"/>
        <v>31</v>
      </c>
      <c r="BU174" s="60">
        <f t="shared" si="130"/>
        <v>0.53200000000000003</v>
      </c>
      <c r="BV174" s="60">
        <f t="shared" si="89"/>
        <v>1.1839999999999999</v>
      </c>
      <c r="BX174" s="1">
        <v>0</v>
      </c>
      <c r="BZ174" s="1">
        <v>0</v>
      </c>
      <c r="CB174" s="17" t="s">
        <v>218</v>
      </c>
      <c r="CC174" s="17" t="s">
        <v>218</v>
      </c>
      <c r="CD174" s="3">
        <f t="shared" si="95"/>
        <v>8</v>
      </c>
      <c r="CE174" s="17" t="s">
        <v>218</v>
      </c>
      <c r="CF174" s="17" t="s">
        <v>218</v>
      </c>
      <c r="CG174" s="17" t="s">
        <v>218</v>
      </c>
      <c r="CH174" s="17" t="s">
        <v>218</v>
      </c>
      <c r="CI174" s="17" t="s">
        <v>218</v>
      </c>
      <c r="CJ174" s="17" t="s">
        <v>218</v>
      </c>
      <c r="CK174" s="17" t="s">
        <v>218</v>
      </c>
      <c r="CL174" s="1">
        <f t="shared" si="102"/>
        <v>15.1</v>
      </c>
      <c r="CM174" s="17" t="s">
        <v>218</v>
      </c>
      <c r="CN174" s="17" t="s">
        <v>218</v>
      </c>
      <c r="CO174" s="17" t="s">
        <v>218</v>
      </c>
      <c r="CP174" s="17" t="s">
        <v>218</v>
      </c>
      <c r="CQ174" s="17" t="s">
        <v>218</v>
      </c>
      <c r="CR174" s="17" t="s">
        <v>218</v>
      </c>
      <c r="CS174" s="17" t="s">
        <v>218</v>
      </c>
      <c r="CT174" s="1">
        <f t="shared" si="109"/>
        <v>1</v>
      </c>
      <c r="CU174" s="17" t="s">
        <v>218</v>
      </c>
      <c r="CV174" s="17" t="s">
        <v>218</v>
      </c>
      <c r="CW174" s="17" t="s">
        <v>218</v>
      </c>
      <c r="CX174" s="17" t="s">
        <v>218</v>
      </c>
      <c r="CY174" s="17" t="s">
        <v>218</v>
      </c>
      <c r="CZ174" s="17" t="s">
        <v>218</v>
      </c>
      <c r="DA174" s="2">
        <f t="shared" si="115"/>
        <v>31</v>
      </c>
      <c r="DB174" s="20">
        <f t="shared" si="116"/>
        <v>0</v>
      </c>
      <c r="DC174" s="1">
        <f>ROUND(PPTest!K174,1)</f>
        <v>0</v>
      </c>
      <c r="DD174" s="17" t="s">
        <v>218</v>
      </c>
      <c r="DE174" s="17" t="s">
        <v>218</v>
      </c>
      <c r="DF174" s="24">
        <f t="shared" si="118"/>
        <v>0.53200000000000003</v>
      </c>
      <c r="DG174" s="24">
        <f t="shared" si="119"/>
        <v>1.1839999999999999</v>
      </c>
      <c r="DH174" s="17" t="s">
        <v>218</v>
      </c>
      <c r="DK174" s="1">
        <v>11.1</v>
      </c>
      <c r="DL174" s="1">
        <v>17</v>
      </c>
      <c r="DM174" s="1">
        <v>4.5999999046325684</v>
      </c>
      <c r="DN174" s="1">
        <v>61.666666666666664</v>
      </c>
      <c r="DO174" s="1">
        <v>40</v>
      </c>
      <c r="DQ174" s="1">
        <v>15</v>
      </c>
      <c r="DR174" s="1">
        <v>27</v>
      </c>
      <c r="DS174" s="1">
        <v>2.9</v>
      </c>
    </row>
    <row r="175" spans="1:123" x14ac:dyDescent="0.2">
      <c r="A175" s="15">
        <f t="shared" si="121"/>
        <v>36694</v>
      </c>
      <c r="B175" s="1">
        <v>169</v>
      </c>
      <c r="E175" s="55">
        <f t="shared" si="131"/>
        <v>10.1</v>
      </c>
      <c r="P175" s="18"/>
      <c r="R175" s="55">
        <f t="shared" si="132"/>
        <v>15.8</v>
      </c>
      <c r="AD175" s="18"/>
      <c r="AF175" s="55">
        <f t="shared" si="133"/>
        <v>3.2</v>
      </c>
      <c r="BM175" s="17">
        <v>33.25</v>
      </c>
      <c r="BN175" s="17">
        <f t="shared" si="91"/>
        <v>67.165000000000006</v>
      </c>
      <c r="BO175" s="18"/>
      <c r="BP175" s="18"/>
      <c r="BT175" s="55">
        <f t="shared" si="134"/>
        <v>35</v>
      </c>
      <c r="BU175" s="60">
        <f t="shared" si="130"/>
        <v>0.628</v>
      </c>
      <c r="BV175" s="60">
        <f t="shared" si="89"/>
        <v>1.1659999999999999</v>
      </c>
      <c r="BX175" s="1">
        <v>0</v>
      </c>
      <c r="BZ175" s="1">
        <v>0</v>
      </c>
      <c r="CB175" s="17" t="s">
        <v>218</v>
      </c>
      <c r="CC175" s="17" t="s">
        <v>218</v>
      </c>
      <c r="CD175" s="3">
        <f t="shared" si="95"/>
        <v>10.1</v>
      </c>
      <c r="CE175" s="17" t="s">
        <v>218</v>
      </c>
      <c r="CF175" s="17" t="s">
        <v>218</v>
      </c>
      <c r="CG175" s="17" t="s">
        <v>218</v>
      </c>
      <c r="CH175" s="17" t="s">
        <v>218</v>
      </c>
      <c r="CI175" s="17" t="s">
        <v>218</v>
      </c>
      <c r="CJ175" s="17" t="s">
        <v>218</v>
      </c>
      <c r="CK175" s="17" t="s">
        <v>218</v>
      </c>
      <c r="CL175" s="1">
        <f t="shared" si="102"/>
        <v>15.8</v>
      </c>
      <c r="CM175" s="17" t="s">
        <v>218</v>
      </c>
      <c r="CN175" s="17" t="s">
        <v>218</v>
      </c>
      <c r="CO175" s="17" t="s">
        <v>218</v>
      </c>
      <c r="CP175" s="17" t="s">
        <v>218</v>
      </c>
      <c r="CQ175" s="17" t="s">
        <v>218</v>
      </c>
      <c r="CR175" s="17" t="s">
        <v>218</v>
      </c>
      <c r="CS175" s="17" t="s">
        <v>218</v>
      </c>
      <c r="CT175" s="1">
        <f t="shared" si="109"/>
        <v>3.2</v>
      </c>
      <c r="CU175" s="17" t="s">
        <v>218</v>
      </c>
      <c r="CV175" s="17" t="s">
        <v>218</v>
      </c>
      <c r="CW175" s="17" t="s">
        <v>218</v>
      </c>
      <c r="CX175" s="17" t="s">
        <v>218</v>
      </c>
      <c r="CY175" s="17" t="s">
        <v>218</v>
      </c>
      <c r="CZ175" s="17" t="s">
        <v>218</v>
      </c>
      <c r="DA175" s="2">
        <f t="shared" si="115"/>
        <v>35</v>
      </c>
      <c r="DB175" s="20">
        <f t="shared" si="116"/>
        <v>0</v>
      </c>
      <c r="DC175" s="1">
        <f>ROUND(PPTest!K175,1)</f>
        <v>0</v>
      </c>
      <c r="DD175" s="17" t="s">
        <v>218</v>
      </c>
      <c r="DE175" s="17" t="s">
        <v>218</v>
      </c>
      <c r="DF175" s="24">
        <f t="shared" si="118"/>
        <v>0.628</v>
      </c>
      <c r="DG175" s="24">
        <f t="shared" si="119"/>
        <v>1.1659999999999999</v>
      </c>
      <c r="DH175" s="17" t="s">
        <v>218</v>
      </c>
      <c r="DK175" s="1">
        <v>13.6</v>
      </c>
      <c r="DL175" s="1">
        <v>17.700000762939453</v>
      </c>
      <c r="DM175" s="1">
        <v>8.3000001907348633</v>
      </c>
      <c r="DN175" s="1">
        <v>54.541666666666664</v>
      </c>
      <c r="DO175" s="1">
        <v>44</v>
      </c>
      <c r="DQ175" s="1">
        <v>15.3</v>
      </c>
      <c r="DR175" s="1">
        <v>24.7</v>
      </c>
      <c r="DS175" s="1">
        <v>5.8</v>
      </c>
    </row>
    <row r="176" spans="1:123" x14ac:dyDescent="0.2">
      <c r="A176" s="15">
        <f t="shared" si="121"/>
        <v>36695</v>
      </c>
      <c r="B176" s="1">
        <v>170</v>
      </c>
      <c r="E176" s="55">
        <f t="shared" si="131"/>
        <v>6.8</v>
      </c>
      <c r="P176" s="18"/>
      <c r="R176" s="55">
        <f t="shared" si="132"/>
        <v>11.3</v>
      </c>
      <c r="AD176" s="18"/>
      <c r="AF176" s="55">
        <f t="shared" si="133"/>
        <v>1.8</v>
      </c>
      <c r="BM176" s="17">
        <v>33.25</v>
      </c>
      <c r="BN176" s="17">
        <f t="shared" si="91"/>
        <v>67.165000000000006</v>
      </c>
      <c r="BO176" s="18"/>
      <c r="BP176" s="18"/>
      <c r="BT176" s="55">
        <f t="shared" si="134"/>
        <v>48</v>
      </c>
      <c r="BU176" s="60">
        <f t="shared" si="130"/>
        <v>0.64300000000000002</v>
      </c>
      <c r="BV176" s="60">
        <f t="shared" si="89"/>
        <v>0.69699999999999995</v>
      </c>
      <c r="BX176" s="1">
        <v>7.7</v>
      </c>
      <c r="BZ176" s="1">
        <v>3</v>
      </c>
      <c r="CB176" s="17" t="s">
        <v>218</v>
      </c>
      <c r="CC176" s="17" t="s">
        <v>218</v>
      </c>
      <c r="CD176" s="3">
        <f t="shared" si="95"/>
        <v>6.8</v>
      </c>
      <c r="CE176" s="17" t="s">
        <v>218</v>
      </c>
      <c r="CF176" s="17" t="s">
        <v>218</v>
      </c>
      <c r="CG176" s="17" t="s">
        <v>218</v>
      </c>
      <c r="CH176" s="17" t="s">
        <v>218</v>
      </c>
      <c r="CI176" s="17" t="s">
        <v>218</v>
      </c>
      <c r="CJ176" s="17" t="s">
        <v>218</v>
      </c>
      <c r="CK176" s="17" t="s">
        <v>218</v>
      </c>
      <c r="CL176" s="1">
        <f t="shared" si="102"/>
        <v>11.3</v>
      </c>
      <c r="CM176" s="17" t="s">
        <v>218</v>
      </c>
      <c r="CN176" s="17" t="s">
        <v>218</v>
      </c>
      <c r="CO176" s="17" t="s">
        <v>218</v>
      </c>
      <c r="CP176" s="17" t="s">
        <v>218</v>
      </c>
      <c r="CQ176" s="17" t="s">
        <v>218</v>
      </c>
      <c r="CR176" s="17" t="s">
        <v>218</v>
      </c>
      <c r="CS176" s="17" t="s">
        <v>218</v>
      </c>
      <c r="CT176" s="1">
        <f t="shared" si="109"/>
        <v>1.8</v>
      </c>
      <c r="CU176" s="17" t="s">
        <v>218</v>
      </c>
      <c r="CV176" s="17" t="s">
        <v>218</v>
      </c>
      <c r="CW176" s="17" t="s">
        <v>218</v>
      </c>
      <c r="CX176" s="17" t="s">
        <v>218</v>
      </c>
      <c r="CY176" s="17" t="s">
        <v>218</v>
      </c>
      <c r="CZ176" s="17" t="s">
        <v>218</v>
      </c>
      <c r="DA176" s="2">
        <f t="shared" si="115"/>
        <v>48</v>
      </c>
      <c r="DB176" s="20">
        <f t="shared" si="116"/>
        <v>0</v>
      </c>
      <c r="DC176" s="1">
        <f>ROUND(PPTest!K176,1)</f>
        <v>8.1</v>
      </c>
      <c r="DD176" s="17" t="s">
        <v>218</v>
      </c>
      <c r="DE176" s="17" t="s">
        <v>218</v>
      </c>
      <c r="DF176" s="24">
        <f t="shared" si="118"/>
        <v>0.64300000000000002</v>
      </c>
      <c r="DG176" s="24">
        <f t="shared" si="119"/>
        <v>0.69699999999999995</v>
      </c>
      <c r="DH176" s="17" t="s">
        <v>218</v>
      </c>
      <c r="DK176" s="1">
        <v>9.6</v>
      </c>
      <c r="DL176" s="1">
        <v>12.899999618530273</v>
      </c>
      <c r="DM176" s="1">
        <v>6</v>
      </c>
      <c r="DN176" s="1">
        <v>88.666666666666671</v>
      </c>
      <c r="DO176" s="1">
        <v>59</v>
      </c>
      <c r="DQ176" s="1">
        <v>16.5</v>
      </c>
      <c r="DR176" s="1">
        <v>23.9</v>
      </c>
      <c r="DS176" s="1">
        <v>9.1</v>
      </c>
    </row>
    <row r="177" spans="1:123" x14ac:dyDescent="0.2">
      <c r="A177" s="15">
        <f t="shared" si="121"/>
        <v>36696</v>
      </c>
      <c r="B177" s="1">
        <v>171</v>
      </c>
      <c r="E177" s="55">
        <f t="shared" si="131"/>
        <v>7.4</v>
      </c>
      <c r="P177" s="18"/>
      <c r="R177" s="55">
        <f t="shared" si="132"/>
        <v>13.4</v>
      </c>
      <c r="AD177" s="18"/>
      <c r="AF177" s="55">
        <f t="shared" si="133"/>
        <v>-0.2</v>
      </c>
      <c r="BM177" s="17">
        <v>33.24</v>
      </c>
      <c r="BN177" s="17">
        <f t="shared" si="91"/>
        <v>67.144800000000004</v>
      </c>
      <c r="BO177" s="18"/>
      <c r="BP177" s="18"/>
      <c r="BT177" s="55">
        <f t="shared" si="134"/>
        <v>31</v>
      </c>
      <c r="BU177" s="60">
        <f t="shared" si="130"/>
        <v>0.47599999999999998</v>
      </c>
      <c r="BV177" s="60">
        <f t="shared" si="89"/>
        <v>1.0589999999999999</v>
      </c>
      <c r="BX177" s="1">
        <v>0</v>
      </c>
      <c r="BZ177" s="1">
        <v>0</v>
      </c>
      <c r="CB177" s="17" t="s">
        <v>218</v>
      </c>
      <c r="CC177" s="17" t="s">
        <v>218</v>
      </c>
      <c r="CD177" s="3">
        <f t="shared" si="95"/>
        <v>7.4</v>
      </c>
      <c r="CE177" s="17" t="s">
        <v>218</v>
      </c>
      <c r="CF177" s="17" t="s">
        <v>218</v>
      </c>
      <c r="CG177" s="17" t="s">
        <v>218</v>
      </c>
      <c r="CH177" s="17" t="s">
        <v>218</v>
      </c>
      <c r="CI177" s="17" t="s">
        <v>218</v>
      </c>
      <c r="CJ177" s="17" t="s">
        <v>218</v>
      </c>
      <c r="CK177" s="17" t="s">
        <v>218</v>
      </c>
      <c r="CL177" s="1">
        <f t="shared" si="102"/>
        <v>13.4</v>
      </c>
      <c r="CM177" s="17" t="s">
        <v>218</v>
      </c>
      <c r="CN177" s="17" t="s">
        <v>218</v>
      </c>
      <c r="CO177" s="17" t="s">
        <v>218</v>
      </c>
      <c r="CP177" s="17" t="s">
        <v>218</v>
      </c>
      <c r="CQ177" s="17" t="s">
        <v>218</v>
      </c>
      <c r="CR177" s="17" t="s">
        <v>218</v>
      </c>
      <c r="CS177" s="17" t="s">
        <v>218</v>
      </c>
      <c r="CT177" s="1">
        <f t="shared" si="109"/>
        <v>-0.2</v>
      </c>
      <c r="CU177" s="17" t="s">
        <v>218</v>
      </c>
      <c r="CV177" s="17" t="s">
        <v>218</v>
      </c>
      <c r="CW177" s="17" t="s">
        <v>218</v>
      </c>
      <c r="CX177" s="17" t="s">
        <v>218</v>
      </c>
      <c r="CY177" s="17" t="s">
        <v>218</v>
      </c>
      <c r="CZ177" s="17" t="s">
        <v>218</v>
      </c>
      <c r="DA177" s="2">
        <f t="shared" si="115"/>
        <v>31</v>
      </c>
      <c r="DB177" s="20">
        <f t="shared" si="116"/>
        <v>0</v>
      </c>
      <c r="DC177" s="1">
        <f>ROUND(PPTest!K177,1)</f>
        <v>0</v>
      </c>
      <c r="DD177" s="17" t="s">
        <v>218</v>
      </c>
      <c r="DE177" s="17" t="s">
        <v>218</v>
      </c>
      <c r="DF177" s="24">
        <f t="shared" si="118"/>
        <v>0.47599999999999998</v>
      </c>
      <c r="DG177" s="24">
        <f t="shared" si="119"/>
        <v>1.0589999999999999</v>
      </c>
      <c r="DH177" s="17" t="s">
        <v>218</v>
      </c>
      <c r="DK177" s="1">
        <v>10.4</v>
      </c>
      <c r="DL177" s="1">
        <v>15.100000381469727</v>
      </c>
      <c r="DM177" s="1">
        <v>2.7000000476837158</v>
      </c>
      <c r="DN177" s="1">
        <v>67.666666666666671</v>
      </c>
      <c r="DO177" s="1">
        <v>39</v>
      </c>
      <c r="DQ177" s="1">
        <v>18.399999999999999</v>
      </c>
      <c r="DR177" s="1">
        <v>26.7</v>
      </c>
      <c r="DS177" s="1">
        <v>10.1</v>
      </c>
    </row>
    <row r="178" spans="1:123" x14ac:dyDescent="0.2">
      <c r="A178" s="15">
        <f t="shared" si="121"/>
        <v>36697</v>
      </c>
      <c r="B178" s="1">
        <v>172</v>
      </c>
      <c r="E178" s="55">
        <f t="shared" si="131"/>
        <v>8.4</v>
      </c>
      <c r="P178" s="18"/>
      <c r="R178" s="55">
        <f t="shared" si="132"/>
        <v>13.7</v>
      </c>
      <c r="AD178" s="18"/>
      <c r="AF178" s="55">
        <f t="shared" si="133"/>
        <v>3.2</v>
      </c>
      <c r="BM178" s="17">
        <v>33.24</v>
      </c>
      <c r="BN178" s="17">
        <f t="shared" si="91"/>
        <v>67.144800000000004</v>
      </c>
      <c r="BO178" s="18"/>
      <c r="BP178" s="18"/>
      <c r="BT178" s="55">
        <f t="shared" si="134"/>
        <v>48</v>
      </c>
      <c r="BU178" s="60">
        <f t="shared" si="130"/>
        <v>0.752</v>
      </c>
      <c r="BV178" s="60">
        <f t="shared" si="89"/>
        <v>0.81499999999999995</v>
      </c>
      <c r="BX178" s="1">
        <v>0.3</v>
      </c>
      <c r="BZ178" s="1">
        <v>0</v>
      </c>
      <c r="CB178" s="17" t="s">
        <v>218</v>
      </c>
      <c r="CC178" s="17" t="s">
        <v>218</v>
      </c>
      <c r="CD178" s="3">
        <f t="shared" si="95"/>
        <v>8.4</v>
      </c>
      <c r="CE178" s="17" t="s">
        <v>218</v>
      </c>
      <c r="CF178" s="17" t="s">
        <v>218</v>
      </c>
      <c r="CG178" s="17" t="s">
        <v>218</v>
      </c>
      <c r="CH178" s="17" t="s">
        <v>218</v>
      </c>
      <c r="CI178" s="17" t="s">
        <v>218</v>
      </c>
      <c r="CJ178" s="17" t="s">
        <v>218</v>
      </c>
      <c r="CK178" s="17" t="s">
        <v>218</v>
      </c>
      <c r="CL178" s="1">
        <f t="shared" si="102"/>
        <v>13.7</v>
      </c>
      <c r="CM178" s="17" t="s">
        <v>218</v>
      </c>
      <c r="CN178" s="17" t="s">
        <v>218</v>
      </c>
      <c r="CO178" s="17" t="s">
        <v>218</v>
      </c>
      <c r="CP178" s="17" t="s">
        <v>218</v>
      </c>
      <c r="CQ178" s="17" t="s">
        <v>218</v>
      </c>
      <c r="CR178" s="17" t="s">
        <v>218</v>
      </c>
      <c r="CS178" s="17" t="s">
        <v>218</v>
      </c>
      <c r="CT178" s="1">
        <f t="shared" si="109"/>
        <v>3.2</v>
      </c>
      <c r="CU178" s="17" t="s">
        <v>218</v>
      </c>
      <c r="CV178" s="17" t="s">
        <v>218</v>
      </c>
      <c r="CW178" s="17" t="s">
        <v>218</v>
      </c>
      <c r="CX178" s="17" t="s">
        <v>218</v>
      </c>
      <c r="CY178" s="17" t="s">
        <v>218</v>
      </c>
      <c r="CZ178" s="17" t="s">
        <v>218</v>
      </c>
      <c r="DA178" s="2">
        <f t="shared" si="115"/>
        <v>48</v>
      </c>
      <c r="DB178" s="20">
        <f t="shared" si="116"/>
        <v>0</v>
      </c>
      <c r="DC178" s="1">
        <f>ROUND(PPTest!K178,1)</f>
        <v>0.3</v>
      </c>
      <c r="DD178" s="17" t="s">
        <v>218</v>
      </c>
      <c r="DE178" s="17" t="s">
        <v>218</v>
      </c>
      <c r="DF178" s="24">
        <f t="shared" si="118"/>
        <v>0.752</v>
      </c>
      <c r="DG178" s="24">
        <f t="shared" si="119"/>
        <v>0.81499999999999995</v>
      </c>
      <c r="DH178" s="17" t="s">
        <v>218</v>
      </c>
      <c r="DK178" s="1">
        <v>11.6</v>
      </c>
      <c r="DL178" s="1">
        <v>15.5</v>
      </c>
      <c r="DM178" s="1">
        <v>8.1999998092651367</v>
      </c>
      <c r="DN178" s="1">
        <v>71.625</v>
      </c>
      <c r="DO178" s="1">
        <v>59</v>
      </c>
      <c r="DQ178" s="1">
        <v>17</v>
      </c>
      <c r="DR178" s="1">
        <v>24.4</v>
      </c>
      <c r="DS178" s="1">
        <v>9.6</v>
      </c>
    </row>
    <row r="179" spans="1:123" x14ac:dyDescent="0.2">
      <c r="A179" s="15">
        <f t="shared" si="121"/>
        <v>36698</v>
      </c>
      <c r="B179" s="1">
        <v>173</v>
      </c>
      <c r="E179" s="55">
        <f t="shared" si="131"/>
        <v>7.8</v>
      </c>
      <c r="P179" s="18"/>
      <c r="R179" s="55">
        <f t="shared" si="132"/>
        <v>13.4</v>
      </c>
      <c r="AD179" s="18"/>
      <c r="AF179" s="55">
        <f t="shared" si="133"/>
        <v>3.1</v>
      </c>
      <c r="BM179" s="17">
        <v>33.22</v>
      </c>
      <c r="BN179" s="17">
        <f t="shared" si="91"/>
        <v>67.104399999999998</v>
      </c>
      <c r="BO179" s="18"/>
      <c r="BP179" s="18"/>
      <c r="BT179" s="55">
        <f t="shared" si="134"/>
        <v>52</v>
      </c>
      <c r="BU179" s="60">
        <f t="shared" si="130"/>
        <v>0.79900000000000004</v>
      </c>
      <c r="BV179" s="60">
        <f t="shared" si="89"/>
        <v>0.73799999999999999</v>
      </c>
      <c r="BX179" s="1">
        <v>3.1</v>
      </c>
      <c r="BZ179" s="1">
        <v>1.7000000000000002</v>
      </c>
      <c r="CB179" s="17" t="s">
        <v>218</v>
      </c>
      <c r="CC179" s="17" t="s">
        <v>218</v>
      </c>
      <c r="CD179" s="3">
        <f t="shared" si="95"/>
        <v>7.8</v>
      </c>
      <c r="CE179" s="17" t="s">
        <v>218</v>
      </c>
      <c r="CF179" s="17" t="s">
        <v>218</v>
      </c>
      <c r="CG179" s="17" t="s">
        <v>218</v>
      </c>
      <c r="CH179" s="17" t="s">
        <v>218</v>
      </c>
      <c r="CI179" s="17" t="s">
        <v>218</v>
      </c>
      <c r="CJ179" s="17" t="s">
        <v>218</v>
      </c>
      <c r="CK179" s="17" t="s">
        <v>218</v>
      </c>
      <c r="CL179" s="1">
        <f t="shared" si="102"/>
        <v>13.4</v>
      </c>
      <c r="CM179" s="17" t="s">
        <v>218</v>
      </c>
      <c r="CN179" s="17" t="s">
        <v>218</v>
      </c>
      <c r="CO179" s="17" t="s">
        <v>218</v>
      </c>
      <c r="CP179" s="17" t="s">
        <v>218</v>
      </c>
      <c r="CQ179" s="17" t="s">
        <v>218</v>
      </c>
      <c r="CR179" s="17" t="s">
        <v>218</v>
      </c>
      <c r="CS179" s="17" t="s">
        <v>218</v>
      </c>
      <c r="CT179" s="1">
        <f t="shared" si="109"/>
        <v>3.1</v>
      </c>
      <c r="CU179" s="17" t="s">
        <v>218</v>
      </c>
      <c r="CV179" s="17" t="s">
        <v>218</v>
      </c>
      <c r="CW179" s="17" t="s">
        <v>218</v>
      </c>
      <c r="CX179" s="17" t="s">
        <v>218</v>
      </c>
      <c r="CY179" s="17" t="s">
        <v>218</v>
      </c>
      <c r="CZ179" s="17" t="s">
        <v>218</v>
      </c>
      <c r="DA179" s="2">
        <f t="shared" si="115"/>
        <v>52</v>
      </c>
      <c r="DB179" s="20">
        <f t="shared" si="116"/>
        <v>0</v>
      </c>
      <c r="DC179" s="1">
        <f>ROUND(PPTest!K179,1)</f>
        <v>3.3</v>
      </c>
      <c r="DD179" s="17" t="s">
        <v>218</v>
      </c>
      <c r="DE179" s="17" t="s">
        <v>218</v>
      </c>
      <c r="DF179" s="24">
        <f t="shared" si="118"/>
        <v>0.79900000000000004</v>
      </c>
      <c r="DG179" s="24">
        <f t="shared" si="119"/>
        <v>0.73799999999999999</v>
      </c>
      <c r="DH179" s="17" t="s">
        <v>218</v>
      </c>
      <c r="DK179" s="1">
        <v>10.8</v>
      </c>
      <c r="DL179" s="1">
        <v>15.100000381469727</v>
      </c>
      <c r="DM179" s="1">
        <v>8</v>
      </c>
      <c r="DN179" s="1">
        <v>86.458333333333329</v>
      </c>
      <c r="DO179" s="1">
        <v>64</v>
      </c>
      <c r="DQ179" s="1">
        <v>18.899999999999999</v>
      </c>
      <c r="DR179" s="1">
        <v>25.4</v>
      </c>
      <c r="DS179" s="1">
        <v>12.4</v>
      </c>
    </row>
    <row r="180" spans="1:123" x14ac:dyDescent="0.2">
      <c r="A180" s="15">
        <f t="shared" si="121"/>
        <v>36699</v>
      </c>
      <c r="B180" s="1">
        <v>174</v>
      </c>
      <c r="E180" s="55">
        <f t="shared" si="131"/>
        <v>7.9</v>
      </c>
      <c r="P180" s="18"/>
      <c r="R180" s="55">
        <f t="shared" si="132"/>
        <v>13.5</v>
      </c>
      <c r="AD180" s="18"/>
      <c r="AF180" s="55">
        <f t="shared" si="133"/>
        <v>2.7</v>
      </c>
      <c r="BM180" s="17">
        <v>33.200000000000003</v>
      </c>
      <c r="BN180" s="17">
        <f t="shared" si="91"/>
        <v>67.064000000000007</v>
      </c>
      <c r="BO180" s="18"/>
      <c r="BP180" s="18"/>
      <c r="BT180" s="55">
        <f t="shared" si="134"/>
        <v>37</v>
      </c>
      <c r="BU180" s="60">
        <f t="shared" si="130"/>
        <v>0.57199999999999995</v>
      </c>
      <c r="BV180" s="60">
        <f t="shared" si="89"/>
        <v>0.97399999999999998</v>
      </c>
      <c r="BX180" s="1">
        <v>0</v>
      </c>
      <c r="BZ180" s="1">
        <v>0</v>
      </c>
      <c r="CB180" s="17" t="s">
        <v>218</v>
      </c>
      <c r="CC180" s="17" t="s">
        <v>218</v>
      </c>
      <c r="CD180" s="3">
        <f t="shared" si="95"/>
        <v>7.9</v>
      </c>
      <c r="CE180" s="17" t="s">
        <v>218</v>
      </c>
      <c r="CF180" s="17" t="s">
        <v>218</v>
      </c>
      <c r="CG180" s="17" t="s">
        <v>218</v>
      </c>
      <c r="CH180" s="17" t="s">
        <v>218</v>
      </c>
      <c r="CI180" s="17" t="s">
        <v>218</v>
      </c>
      <c r="CJ180" s="17" t="s">
        <v>218</v>
      </c>
      <c r="CK180" s="17" t="s">
        <v>218</v>
      </c>
      <c r="CL180" s="1">
        <f t="shared" si="102"/>
        <v>13.5</v>
      </c>
      <c r="CM180" s="17" t="s">
        <v>218</v>
      </c>
      <c r="CN180" s="17" t="s">
        <v>218</v>
      </c>
      <c r="CO180" s="17" t="s">
        <v>218</v>
      </c>
      <c r="CP180" s="17" t="s">
        <v>218</v>
      </c>
      <c r="CQ180" s="17" t="s">
        <v>218</v>
      </c>
      <c r="CR180" s="17" t="s">
        <v>218</v>
      </c>
      <c r="CS180" s="17" t="s">
        <v>218</v>
      </c>
      <c r="CT180" s="1">
        <f t="shared" si="109"/>
        <v>2.7</v>
      </c>
      <c r="CU180" s="17" t="s">
        <v>218</v>
      </c>
      <c r="CV180" s="17" t="s">
        <v>218</v>
      </c>
      <c r="CW180" s="17" t="s">
        <v>218</v>
      </c>
      <c r="CX180" s="17" t="s">
        <v>218</v>
      </c>
      <c r="CY180" s="17" t="s">
        <v>218</v>
      </c>
      <c r="CZ180" s="17" t="s">
        <v>218</v>
      </c>
      <c r="DA180" s="2">
        <f t="shared" si="115"/>
        <v>37</v>
      </c>
      <c r="DB180" s="20">
        <f t="shared" si="116"/>
        <v>0</v>
      </c>
      <c r="DC180" s="1">
        <f>ROUND(PPTest!K180,1)</f>
        <v>0</v>
      </c>
      <c r="DD180" s="17" t="s">
        <v>218</v>
      </c>
      <c r="DE180" s="17" t="s">
        <v>218</v>
      </c>
      <c r="DF180" s="24">
        <f t="shared" si="118"/>
        <v>0.57199999999999995</v>
      </c>
      <c r="DG180" s="24">
        <f t="shared" si="119"/>
        <v>0.97399999999999998</v>
      </c>
      <c r="DH180" s="17" t="s">
        <v>218</v>
      </c>
      <c r="DK180" s="1">
        <v>11</v>
      </c>
      <c r="DL180" s="1">
        <v>15.199999809265137</v>
      </c>
      <c r="DM180" s="1">
        <v>7.4000000953674316</v>
      </c>
      <c r="DN180" s="1">
        <v>72.541666666666671</v>
      </c>
      <c r="DO180" s="1">
        <v>46</v>
      </c>
      <c r="DQ180" s="1">
        <v>16.8</v>
      </c>
      <c r="DR180" s="1">
        <v>24.9</v>
      </c>
      <c r="DS180" s="1">
        <v>8.6999999999999993</v>
      </c>
    </row>
    <row r="181" spans="1:123" x14ac:dyDescent="0.2">
      <c r="A181" s="15">
        <f t="shared" si="121"/>
        <v>36700</v>
      </c>
      <c r="B181" s="1">
        <v>175</v>
      </c>
      <c r="E181" s="55">
        <f t="shared" si="131"/>
        <v>9.1999999999999993</v>
      </c>
      <c r="P181" s="18"/>
      <c r="R181" s="55">
        <f t="shared" si="132"/>
        <v>16.3</v>
      </c>
      <c r="AD181" s="18"/>
      <c r="AF181" s="55">
        <f t="shared" si="133"/>
        <v>3.1</v>
      </c>
      <c r="BM181" s="17">
        <v>33.18</v>
      </c>
      <c r="BN181" s="17">
        <f t="shared" si="91"/>
        <v>67.023600000000002</v>
      </c>
      <c r="BO181" s="18"/>
      <c r="BP181" s="18"/>
      <c r="BT181" s="55">
        <f t="shared" si="134"/>
        <v>31</v>
      </c>
      <c r="BU181" s="60">
        <f t="shared" si="130"/>
        <v>0.57399999999999995</v>
      </c>
      <c r="BV181" s="60">
        <f t="shared" si="89"/>
        <v>1.278</v>
      </c>
      <c r="BX181" s="1">
        <v>0</v>
      </c>
      <c r="BZ181" s="1">
        <v>0</v>
      </c>
      <c r="CB181" s="17" t="s">
        <v>218</v>
      </c>
      <c r="CC181" s="17" t="s">
        <v>218</v>
      </c>
      <c r="CD181" s="3">
        <f t="shared" si="95"/>
        <v>9.1999999999999993</v>
      </c>
      <c r="CE181" s="17" t="s">
        <v>218</v>
      </c>
      <c r="CF181" s="17" t="s">
        <v>218</v>
      </c>
      <c r="CG181" s="17" t="s">
        <v>218</v>
      </c>
      <c r="CH181" s="17" t="s">
        <v>218</v>
      </c>
      <c r="CI181" s="17" t="s">
        <v>218</v>
      </c>
      <c r="CJ181" s="17" t="s">
        <v>218</v>
      </c>
      <c r="CK181" s="17" t="s">
        <v>218</v>
      </c>
      <c r="CL181" s="1">
        <f t="shared" si="102"/>
        <v>16.3</v>
      </c>
      <c r="CM181" s="17" t="s">
        <v>218</v>
      </c>
      <c r="CN181" s="17" t="s">
        <v>218</v>
      </c>
      <c r="CO181" s="17" t="s">
        <v>218</v>
      </c>
      <c r="CP181" s="17" t="s">
        <v>218</v>
      </c>
      <c r="CQ181" s="17" t="s">
        <v>218</v>
      </c>
      <c r="CR181" s="17" t="s">
        <v>218</v>
      </c>
      <c r="CS181" s="17" t="s">
        <v>218</v>
      </c>
      <c r="CT181" s="1">
        <f t="shared" si="109"/>
        <v>3.1</v>
      </c>
      <c r="CU181" s="17" t="s">
        <v>218</v>
      </c>
      <c r="CV181" s="17" t="s">
        <v>218</v>
      </c>
      <c r="CW181" s="17" t="s">
        <v>218</v>
      </c>
      <c r="CX181" s="17" t="s">
        <v>218</v>
      </c>
      <c r="CY181" s="17" t="s">
        <v>218</v>
      </c>
      <c r="CZ181" s="17" t="s">
        <v>218</v>
      </c>
      <c r="DA181" s="2">
        <f t="shared" si="115"/>
        <v>31</v>
      </c>
      <c r="DB181" s="20">
        <f t="shared" si="116"/>
        <v>0</v>
      </c>
      <c r="DC181" s="1">
        <f>ROUND(PPTest!K181,1)</f>
        <v>0</v>
      </c>
      <c r="DD181" s="17" t="s">
        <v>218</v>
      </c>
      <c r="DE181" s="17" t="s">
        <v>218</v>
      </c>
      <c r="DF181" s="24">
        <f t="shared" si="118"/>
        <v>0.57399999999999995</v>
      </c>
      <c r="DG181" s="24">
        <f t="shared" si="119"/>
        <v>1.278</v>
      </c>
      <c r="DH181" s="17" t="s">
        <v>218</v>
      </c>
      <c r="DK181" s="1">
        <v>12.5</v>
      </c>
      <c r="DL181" s="1">
        <v>18.299999237060547</v>
      </c>
      <c r="DM181" s="1">
        <v>8.1000003814697266</v>
      </c>
      <c r="DN181" s="1">
        <v>57.125</v>
      </c>
      <c r="DO181" s="1">
        <v>39</v>
      </c>
      <c r="DQ181" s="1">
        <v>17.8</v>
      </c>
      <c r="DR181" s="1">
        <v>27.7</v>
      </c>
      <c r="DS181" s="1">
        <v>7.8</v>
      </c>
    </row>
    <row r="182" spans="1:123" x14ac:dyDescent="0.2">
      <c r="A182" s="15">
        <f t="shared" si="121"/>
        <v>36701</v>
      </c>
      <c r="B182" s="1">
        <v>176</v>
      </c>
      <c r="E182" s="55">
        <f t="shared" si="131"/>
        <v>6.8</v>
      </c>
      <c r="P182" s="18"/>
      <c r="R182" s="55">
        <f t="shared" si="132"/>
        <v>12.7</v>
      </c>
      <c r="AD182" s="18"/>
      <c r="AF182" s="55">
        <f t="shared" si="133"/>
        <v>2</v>
      </c>
      <c r="BM182" s="17">
        <v>33.15</v>
      </c>
      <c r="BN182" s="17">
        <f t="shared" si="91"/>
        <v>66.962999999999994</v>
      </c>
      <c r="BO182" s="18"/>
      <c r="BP182" s="18"/>
      <c r="BT182" s="55">
        <f t="shared" si="134"/>
        <v>49</v>
      </c>
      <c r="BU182" s="60">
        <f t="shared" si="130"/>
        <v>0.71899999999999997</v>
      </c>
      <c r="BV182" s="60">
        <f t="shared" si="89"/>
        <v>0.748</v>
      </c>
      <c r="BX182" s="1">
        <v>7.5</v>
      </c>
      <c r="BZ182" s="1">
        <v>1.2999999999999998</v>
      </c>
      <c r="CB182" s="17" t="s">
        <v>218</v>
      </c>
      <c r="CC182" s="17" t="s">
        <v>218</v>
      </c>
      <c r="CD182" s="3">
        <f t="shared" si="95"/>
        <v>6.8</v>
      </c>
      <c r="CE182" s="17" t="s">
        <v>218</v>
      </c>
      <c r="CF182" s="17" t="s">
        <v>218</v>
      </c>
      <c r="CG182" s="17" t="s">
        <v>218</v>
      </c>
      <c r="CH182" s="17" t="s">
        <v>218</v>
      </c>
      <c r="CI182" s="17" t="s">
        <v>218</v>
      </c>
      <c r="CJ182" s="17" t="s">
        <v>218</v>
      </c>
      <c r="CK182" s="17" t="s">
        <v>218</v>
      </c>
      <c r="CL182" s="1">
        <f t="shared" si="102"/>
        <v>12.7</v>
      </c>
      <c r="CM182" s="17" t="s">
        <v>218</v>
      </c>
      <c r="CN182" s="17" t="s">
        <v>218</v>
      </c>
      <c r="CO182" s="17" t="s">
        <v>218</v>
      </c>
      <c r="CP182" s="17" t="s">
        <v>218</v>
      </c>
      <c r="CQ182" s="17" t="s">
        <v>218</v>
      </c>
      <c r="CR182" s="17" t="s">
        <v>218</v>
      </c>
      <c r="CS182" s="17" t="s">
        <v>218</v>
      </c>
      <c r="CT182" s="1">
        <f t="shared" si="109"/>
        <v>2</v>
      </c>
      <c r="CU182" s="17" t="s">
        <v>218</v>
      </c>
      <c r="CV182" s="17" t="s">
        <v>218</v>
      </c>
      <c r="CW182" s="17" t="s">
        <v>218</v>
      </c>
      <c r="CX182" s="17" t="s">
        <v>218</v>
      </c>
      <c r="CY182" s="17" t="s">
        <v>218</v>
      </c>
      <c r="CZ182" s="17" t="s">
        <v>218</v>
      </c>
      <c r="DA182" s="2">
        <f t="shared" si="115"/>
        <v>49</v>
      </c>
      <c r="DB182" s="20">
        <f t="shared" si="116"/>
        <v>0</v>
      </c>
      <c r="DC182" s="1">
        <f>ROUND(PPTest!K182,1)</f>
        <v>7.9</v>
      </c>
      <c r="DD182" s="17" t="s">
        <v>218</v>
      </c>
      <c r="DE182" s="17" t="s">
        <v>218</v>
      </c>
      <c r="DF182" s="24">
        <f t="shared" si="118"/>
        <v>0.71899999999999997</v>
      </c>
      <c r="DG182" s="24">
        <f t="shared" si="119"/>
        <v>0.748</v>
      </c>
      <c r="DH182" s="17" t="s">
        <v>218</v>
      </c>
      <c r="DK182" s="1">
        <v>9.6</v>
      </c>
      <c r="DL182" s="1">
        <v>14.399999618530273</v>
      </c>
      <c r="DM182" s="1">
        <v>6.1999998092651367</v>
      </c>
      <c r="DN182" s="1">
        <v>83.5</v>
      </c>
      <c r="DO182" s="1">
        <v>61</v>
      </c>
      <c r="DQ182" s="1">
        <v>17.100000000000001</v>
      </c>
      <c r="DR182" s="1">
        <v>25.2</v>
      </c>
      <c r="DS182" s="1">
        <v>8.9</v>
      </c>
    </row>
    <row r="183" spans="1:123" x14ac:dyDescent="0.2">
      <c r="A183" s="15">
        <f t="shared" si="121"/>
        <v>36702</v>
      </c>
      <c r="B183" s="1">
        <v>177</v>
      </c>
      <c r="E183" s="55">
        <f t="shared" si="131"/>
        <v>10.6</v>
      </c>
      <c r="P183" s="18"/>
      <c r="R183" s="55">
        <f t="shared" si="132"/>
        <v>17.8</v>
      </c>
      <c r="AD183" s="18"/>
      <c r="AF183" s="55">
        <f t="shared" si="133"/>
        <v>2.5</v>
      </c>
      <c r="BM183" s="17">
        <v>33.119999999999997</v>
      </c>
      <c r="BN183" s="17">
        <f t="shared" si="91"/>
        <v>66.9024</v>
      </c>
      <c r="BO183" s="18"/>
      <c r="BP183" s="18"/>
      <c r="BT183" s="55">
        <f t="shared" si="134"/>
        <v>29</v>
      </c>
      <c r="BU183" s="60">
        <f t="shared" si="130"/>
        <v>0.59099999999999997</v>
      </c>
      <c r="BV183" s="60">
        <f t="shared" si="89"/>
        <v>1.4470000000000001</v>
      </c>
      <c r="BX183" s="1">
        <v>0</v>
      </c>
      <c r="BZ183" s="1">
        <v>0</v>
      </c>
      <c r="CB183" s="17" t="s">
        <v>218</v>
      </c>
      <c r="CC183" s="17" t="s">
        <v>218</v>
      </c>
      <c r="CD183" s="3">
        <f t="shared" si="95"/>
        <v>10.6</v>
      </c>
      <c r="CE183" s="17" t="s">
        <v>218</v>
      </c>
      <c r="CF183" s="17" t="s">
        <v>218</v>
      </c>
      <c r="CG183" s="17" t="s">
        <v>218</v>
      </c>
      <c r="CH183" s="17" t="s">
        <v>218</v>
      </c>
      <c r="CI183" s="17" t="s">
        <v>218</v>
      </c>
      <c r="CJ183" s="17" t="s">
        <v>218</v>
      </c>
      <c r="CK183" s="17" t="s">
        <v>218</v>
      </c>
      <c r="CL183" s="1">
        <f t="shared" si="102"/>
        <v>17.8</v>
      </c>
      <c r="CM183" s="17" t="s">
        <v>218</v>
      </c>
      <c r="CN183" s="17" t="s">
        <v>218</v>
      </c>
      <c r="CO183" s="17" t="s">
        <v>218</v>
      </c>
      <c r="CP183" s="17" t="s">
        <v>218</v>
      </c>
      <c r="CQ183" s="17" t="s">
        <v>218</v>
      </c>
      <c r="CR183" s="17" t="s">
        <v>218</v>
      </c>
      <c r="CS183" s="17" t="s">
        <v>218</v>
      </c>
      <c r="CT183" s="1">
        <f t="shared" si="109"/>
        <v>2.5</v>
      </c>
      <c r="CU183" s="17" t="s">
        <v>218</v>
      </c>
      <c r="CV183" s="17" t="s">
        <v>218</v>
      </c>
      <c r="CW183" s="17" t="s">
        <v>218</v>
      </c>
      <c r="CX183" s="17" t="s">
        <v>218</v>
      </c>
      <c r="CY183" s="17" t="s">
        <v>218</v>
      </c>
      <c r="CZ183" s="17" t="s">
        <v>218</v>
      </c>
      <c r="DA183" s="2">
        <f t="shared" si="115"/>
        <v>29</v>
      </c>
      <c r="DB183" s="20">
        <f t="shared" si="116"/>
        <v>0</v>
      </c>
      <c r="DC183" s="1">
        <f>ROUND(PPTest!K183,1)</f>
        <v>0</v>
      </c>
      <c r="DD183" s="17" t="s">
        <v>218</v>
      </c>
      <c r="DE183" s="17" t="s">
        <v>218</v>
      </c>
      <c r="DF183" s="24">
        <f t="shared" si="118"/>
        <v>0.59099999999999997</v>
      </c>
      <c r="DG183" s="24">
        <f t="shared" si="119"/>
        <v>1.4470000000000001</v>
      </c>
      <c r="DH183" s="17" t="s">
        <v>218</v>
      </c>
      <c r="DK183" s="1">
        <v>14.3</v>
      </c>
      <c r="DL183" s="1">
        <v>19.899999618530273</v>
      </c>
      <c r="DM183" s="1">
        <v>7.0999999046325684</v>
      </c>
      <c r="DN183" s="1">
        <v>59.666666666666664</v>
      </c>
      <c r="DO183" s="1">
        <v>37</v>
      </c>
      <c r="DQ183" s="1">
        <v>18.100000000000001</v>
      </c>
      <c r="DR183" s="1">
        <v>30.9</v>
      </c>
      <c r="DS183" s="1">
        <v>5.2</v>
      </c>
    </row>
    <row r="184" spans="1:123" x14ac:dyDescent="0.2">
      <c r="A184" s="15">
        <f t="shared" si="121"/>
        <v>36703</v>
      </c>
      <c r="B184" s="1">
        <v>178</v>
      </c>
      <c r="E184" s="55">
        <f t="shared" si="131"/>
        <v>12.8</v>
      </c>
      <c r="P184" s="18"/>
      <c r="R184" s="55">
        <f t="shared" si="132"/>
        <v>20</v>
      </c>
      <c r="AD184" s="18"/>
      <c r="AF184" s="55">
        <f t="shared" si="133"/>
        <v>5.3</v>
      </c>
      <c r="BM184" s="17">
        <v>33.08</v>
      </c>
      <c r="BN184" s="17">
        <f t="shared" si="91"/>
        <v>66.821600000000004</v>
      </c>
      <c r="BO184" s="18"/>
      <c r="BP184" s="18"/>
      <c r="BT184" s="55">
        <f t="shared" si="134"/>
        <v>21</v>
      </c>
      <c r="BU184" s="60">
        <f t="shared" si="130"/>
        <v>0.49099999999999999</v>
      </c>
      <c r="BV184" s="60">
        <f t="shared" si="89"/>
        <v>1.847</v>
      </c>
      <c r="BX184" s="1">
        <v>0</v>
      </c>
      <c r="BZ184" s="1">
        <v>0</v>
      </c>
      <c r="CB184" s="17" t="s">
        <v>218</v>
      </c>
      <c r="CC184" s="17" t="s">
        <v>218</v>
      </c>
      <c r="CD184" s="3">
        <f t="shared" si="95"/>
        <v>12.8</v>
      </c>
      <c r="CE184" s="17" t="s">
        <v>218</v>
      </c>
      <c r="CF184" s="17" t="s">
        <v>218</v>
      </c>
      <c r="CG184" s="17" t="s">
        <v>218</v>
      </c>
      <c r="CH184" s="17" t="s">
        <v>218</v>
      </c>
      <c r="CI184" s="17" t="s">
        <v>218</v>
      </c>
      <c r="CJ184" s="17" t="s">
        <v>218</v>
      </c>
      <c r="CK184" s="17" t="s">
        <v>218</v>
      </c>
      <c r="CL184" s="1">
        <f t="shared" si="102"/>
        <v>20</v>
      </c>
      <c r="CM184" s="17" t="s">
        <v>218</v>
      </c>
      <c r="CN184" s="17" t="s">
        <v>218</v>
      </c>
      <c r="CO184" s="17" t="s">
        <v>218</v>
      </c>
      <c r="CP184" s="17" t="s">
        <v>218</v>
      </c>
      <c r="CQ184" s="17" t="s">
        <v>218</v>
      </c>
      <c r="CR184" s="17" t="s">
        <v>218</v>
      </c>
      <c r="CS184" s="17" t="s">
        <v>218</v>
      </c>
      <c r="CT184" s="1">
        <f t="shared" si="109"/>
        <v>5.3</v>
      </c>
      <c r="CU184" s="17" t="s">
        <v>218</v>
      </c>
      <c r="CV184" s="17" t="s">
        <v>218</v>
      </c>
      <c r="CW184" s="17" t="s">
        <v>218</v>
      </c>
      <c r="CX184" s="17" t="s">
        <v>218</v>
      </c>
      <c r="CY184" s="17" t="s">
        <v>218</v>
      </c>
      <c r="CZ184" s="17" t="s">
        <v>218</v>
      </c>
      <c r="DA184" s="2">
        <f t="shared" si="115"/>
        <v>21</v>
      </c>
      <c r="DB184" s="20">
        <f t="shared" si="116"/>
        <v>0</v>
      </c>
      <c r="DC184" s="1">
        <f>ROUND(PPTest!K184,1)</f>
        <v>0</v>
      </c>
      <c r="DD184" s="17" t="s">
        <v>218</v>
      </c>
      <c r="DE184" s="17" t="s">
        <v>218</v>
      </c>
      <c r="DF184" s="24">
        <f t="shared" si="118"/>
        <v>0.49099999999999999</v>
      </c>
      <c r="DG184" s="24">
        <f t="shared" si="119"/>
        <v>1.847</v>
      </c>
      <c r="DH184" s="17" t="s">
        <v>218</v>
      </c>
      <c r="DK184" s="1">
        <v>16.899999999999999</v>
      </c>
      <c r="DL184" s="1">
        <v>22.299999237060547</v>
      </c>
      <c r="DM184" s="1">
        <v>11.699999809265137</v>
      </c>
      <c r="DN184" s="1">
        <v>44.833333333333336</v>
      </c>
      <c r="DO184" s="1">
        <v>28</v>
      </c>
      <c r="DQ184" s="1">
        <v>20.399999999999999</v>
      </c>
      <c r="DR184" s="1">
        <v>33.4</v>
      </c>
      <c r="DS184" s="1">
        <v>7.4</v>
      </c>
    </row>
    <row r="185" spans="1:123" x14ac:dyDescent="0.2">
      <c r="A185" s="15">
        <f t="shared" si="121"/>
        <v>36704</v>
      </c>
      <c r="B185" s="1">
        <v>179</v>
      </c>
      <c r="E185" s="55">
        <f t="shared" si="131"/>
        <v>14.2</v>
      </c>
      <c r="P185" s="18"/>
      <c r="R185" s="55">
        <f t="shared" si="132"/>
        <v>22</v>
      </c>
      <c r="AD185" s="18"/>
      <c r="AF185" s="55">
        <f t="shared" si="133"/>
        <v>6.2</v>
      </c>
      <c r="BM185" s="17">
        <v>33.04</v>
      </c>
      <c r="BN185" s="17">
        <f t="shared" si="91"/>
        <v>66.740799999999993</v>
      </c>
      <c r="BO185" s="18"/>
      <c r="BP185" s="18"/>
      <c r="BT185" s="55">
        <f t="shared" si="134"/>
        <v>19</v>
      </c>
      <c r="BU185" s="60">
        <f t="shared" si="130"/>
        <v>0.502</v>
      </c>
      <c r="BV185" s="60">
        <f t="shared" si="89"/>
        <v>2.14</v>
      </c>
      <c r="BX185" s="1">
        <v>0</v>
      </c>
      <c r="BZ185" s="1">
        <v>0</v>
      </c>
      <c r="CB185" s="17" t="s">
        <v>218</v>
      </c>
      <c r="CC185" s="17" t="s">
        <v>218</v>
      </c>
      <c r="CD185" s="3">
        <f t="shared" si="95"/>
        <v>14.2</v>
      </c>
      <c r="CE185" s="17" t="s">
        <v>218</v>
      </c>
      <c r="CF185" s="17" t="s">
        <v>218</v>
      </c>
      <c r="CG185" s="17" t="s">
        <v>218</v>
      </c>
      <c r="CH185" s="17" t="s">
        <v>218</v>
      </c>
      <c r="CI185" s="17" t="s">
        <v>218</v>
      </c>
      <c r="CJ185" s="17" t="s">
        <v>218</v>
      </c>
      <c r="CK185" s="17" t="s">
        <v>218</v>
      </c>
      <c r="CL185" s="1">
        <f t="shared" si="102"/>
        <v>22</v>
      </c>
      <c r="CM185" s="17" t="s">
        <v>218</v>
      </c>
      <c r="CN185" s="17" t="s">
        <v>218</v>
      </c>
      <c r="CO185" s="17" t="s">
        <v>218</v>
      </c>
      <c r="CP185" s="17" t="s">
        <v>218</v>
      </c>
      <c r="CQ185" s="17" t="s">
        <v>218</v>
      </c>
      <c r="CR185" s="17" t="s">
        <v>218</v>
      </c>
      <c r="CS185" s="17" t="s">
        <v>218</v>
      </c>
      <c r="CT185" s="1">
        <f t="shared" si="109"/>
        <v>6.2</v>
      </c>
      <c r="CU185" s="17" t="s">
        <v>218</v>
      </c>
      <c r="CV185" s="17" t="s">
        <v>218</v>
      </c>
      <c r="CW185" s="17" t="s">
        <v>218</v>
      </c>
      <c r="CX185" s="17" t="s">
        <v>218</v>
      </c>
      <c r="CY185" s="17" t="s">
        <v>218</v>
      </c>
      <c r="CZ185" s="17" t="s">
        <v>218</v>
      </c>
      <c r="DA185" s="2">
        <f t="shared" si="115"/>
        <v>19</v>
      </c>
      <c r="DB185" s="20">
        <f t="shared" si="116"/>
        <v>0</v>
      </c>
      <c r="DC185" s="1">
        <f>ROUND(PPTest!K185,1)</f>
        <v>0</v>
      </c>
      <c r="DD185" s="17" t="s">
        <v>218</v>
      </c>
      <c r="DE185" s="17" t="s">
        <v>218</v>
      </c>
      <c r="DF185" s="24">
        <f t="shared" si="118"/>
        <v>0.502</v>
      </c>
      <c r="DG185" s="24">
        <f t="shared" si="119"/>
        <v>2.14</v>
      </c>
      <c r="DH185" s="17" t="s">
        <v>218</v>
      </c>
      <c r="DK185" s="1">
        <v>18.600000000000001</v>
      </c>
      <c r="DL185" s="1">
        <v>24.5</v>
      </c>
      <c r="DM185" s="1">
        <v>13.100000381469727</v>
      </c>
      <c r="DN185" s="1">
        <v>36.208333333333336</v>
      </c>
      <c r="DO185" s="1">
        <v>25</v>
      </c>
      <c r="DQ185" s="1">
        <v>20.6</v>
      </c>
      <c r="DR185" s="1">
        <v>34.700000000000003</v>
      </c>
      <c r="DS185" s="1">
        <v>6.5</v>
      </c>
    </row>
    <row r="186" spans="1:123" x14ac:dyDescent="0.2">
      <c r="A186" s="15">
        <f t="shared" si="121"/>
        <v>36705</v>
      </c>
      <c r="B186" s="1">
        <v>180</v>
      </c>
      <c r="E186" s="55">
        <f t="shared" si="131"/>
        <v>13</v>
      </c>
      <c r="P186" s="18"/>
      <c r="R186" s="55">
        <f t="shared" si="132"/>
        <v>21.7</v>
      </c>
      <c r="AD186" s="18"/>
      <c r="AF186" s="55">
        <f t="shared" si="133"/>
        <v>5.9</v>
      </c>
      <c r="BM186" s="17">
        <v>33</v>
      </c>
      <c r="BN186" s="17">
        <f t="shared" si="91"/>
        <v>66.66</v>
      </c>
      <c r="BO186" s="18"/>
      <c r="BP186" s="18"/>
      <c r="BT186" s="55">
        <f t="shared" si="134"/>
        <v>23</v>
      </c>
      <c r="BU186" s="60">
        <f t="shared" si="130"/>
        <v>0.59699999999999998</v>
      </c>
      <c r="BV186" s="60">
        <f t="shared" si="89"/>
        <v>1.9990000000000001</v>
      </c>
      <c r="BX186" s="1">
        <v>1.6</v>
      </c>
      <c r="BZ186" s="1">
        <v>0</v>
      </c>
      <c r="CB186" s="17" t="s">
        <v>218</v>
      </c>
      <c r="CC186" s="17" t="s">
        <v>218</v>
      </c>
      <c r="CD186" s="3">
        <f t="shared" si="95"/>
        <v>13</v>
      </c>
      <c r="CE186" s="17" t="s">
        <v>218</v>
      </c>
      <c r="CF186" s="17" t="s">
        <v>218</v>
      </c>
      <c r="CG186" s="17" t="s">
        <v>218</v>
      </c>
      <c r="CH186" s="17" t="s">
        <v>218</v>
      </c>
      <c r="CI186" s="17" t="s">
        <v>218</v>
      </c>
      <c r="CJ186" s="17" t="s">
        <v>218</v>
      </c>
      <c r="CK186" s="17" t="s">
        <v>218</v>
      </c>
      <c r="CL186" s="1">
        <f t="shared" si="102"/>
        <v>21.7</v>
      </c>
      <c r="CM186" s="17" t="s">
        <v>218</v>
      </c>
      <c r="CN186" s="17" t="s">
        <v>218</v>
      </c>
      <c r="CO186" s="17" t="s">
        <v>218</v>
      </c>
      <c r="CP186" s="17" t="s">
        <v>218</v>
      </c>
      <c r="CQ186" s="17" t="s">
        <v>218</v>
      </c>
      <c r="CR186" s="17" t="s">
        <v>218</v>
      </c>
      <c r="CS186" s="17" t="s">
        <v>218</v>
      </c>
      <c r="CT186" s="1">
        <f t="shared" si="109"/>
        <v>5.9</v>
      </c>
      <c r="CU186" s="17" t="s">
        <v>218</v>
      </c>
      <c r="CV186" s="17" t="s">
        <v>218</v>
      </c>
      <c r="CW186" s="17" t="s">
        <v>218</v>
      </c>
      <c r="CX186" s="17" t="s">
        <v>218</v>
      </c>
      <c r="CY186" s="17" t="s">
        <v>218</v>
      </c>
      <c r="CZ186" s="17" t="s">
        <v>218</v>
      </c>
      <c r="DA186" s="2">
        <f t="shared" si="115"/>
        <v>23</v>
      </c>
      <c r="DB186" s="20">
        <f t="shared" si="116"/>
        <v>0</v>
      </c>
      <c r="DC186" s="1">
        <f>ROUND(PPTest!K186,1)</f>
        <v>1.7</v>
      </c>
      <c r="DD186" s="17" t="s">
        <v>218</v>
      </c>
      <c r="DE186" s="17" t="s">
        <v>218</v>
      </c>
      <c r="DF186" s="24">
        <f t="shared" si="118"/>
        <v>0.59699999999999998</v>
      </c>
      <c r="DG186" s="24">
        <f t="shared" si="119"/>
        <v>1.9990000000000001</v>
      </c>
      <c r="DH186" s="17" t="s">
        <v>218</v>
      </c>
      <c r="DK186" s="1">
        <v>17.2</v>
      </c>
      <c r="DL186" s="1">
        <v>24.100000381469727</v>
      </c>
      <c r="DM186" s="1">
        <v>12.600000381469727</v>
      </c>
      <c r="DN186" s="1">
        <v>51.333333333333336</v>
      </c>
      <c r="DO186" s="1">
        <v>30</v>
      </c>
      <c r="DQ186" s="1">
        <v>22.5</v>
      </c>
      <c r="DR186" s="1">
        <v>35.299999999999997</v>
      </c>
      <c r="DS186" s="1">
        <v>9.6999999999999993</v>
      </c>
    </row>
    <row r="187" spans="1:123" x14ac:dyDescent="0.2">
      <c r="A187" s="15">
        <f t="shared" si="121"/>
        <v>36706</v>
      </c>
      <c r="B187" s="1">
        <v>181</v>
      </c>
      <c r="E187" s="55">
        <f t="shared" si="131"/>
        <v>12.3</v>
      </c>
      <c r="P187" s="18"/>
      <c r="R187" s="55">
        <f t="shared" si="132"/>
        <v>19</v>
      </c>
      <c r="AD187" s="18"/>
      <c r="AF187" s="55">
        <f t="shared" si="133"/>
        <v>4.5</v>
      </c>
      <c r="BM187" s="17">
        <v>32.950000000000003</v>
      </c>
      <c r="BN187" s="17">
        <f t="shared" si="91"/>
        <v>66.559000000000012</v>
      </c>
      <c r="BO187" s="18"/>
      <c r="BP187" s="18"/>
      <c r="BT187" s="55">
        <f t="shared" si="134"/>
        <v>26</v>
      </c>
      <c r="BU187" s="60">
        <f t="shared" si="130"/>
        <v>0.57099999999999995</v>
      </c>
      <c r="BV187" s="60">
        <f t="shared" si="89"/>
        <v>1.625</v>
      </c>
      <c r="BX187" s="1">
        <v>1.1000000000000001</v>
      </c>
      <c r="BZ187" s="1">
        <v>0</v>
      </c>
      <c r="CB187" s="17" t="s">
        <v>218</v>
      </c>
      <c r="CC187" s="17" t="s">
        <v>218</v>
      </c>
      <c r="CD187" s="3">
        <f t="shared" si="95"/>
        <v>12.3</v>
      </c>
      <c r="CE187" s="17" t="s">
        <v>218</v>
      </c>
      <c r="CF187" s="17" t="s">
        <v>218</v>
      </c>
      <c r="CG187" s="17" t="s">
        <v>218</v>
      </c>
      <c r="CH187" s="17" t="s">
        <v>218</v>
      </c>
      <c r="CI187" s="17" t="s">
        <v>218</v>
      </c>
      <c r="CJ187" s="17" t="s">
        <v>218</v>
      </c>
      <c r="CK187" s="17" t="s">
        <v>218</v>
      </c>
      <c r="CL187" s="1">
        <f t="shared" si="102"/>
        <v>19</v>
      </c>
      <c r="CM187" s="17" t="s">
        <v>218</v>
      </c>
      <c r="CN187" s="17" t="s">
        <v>218</v>
      </c>
      <c r="CO187" s="17" t="s">
        <v>218</v>
      </c>
      <c r="CP187" s="17" t="s">
        <v>218</v>
      </c>
      <c r="CQ187" s="17" t="s">
        <v>218</v>
      </c>
      <c r="CR187" s="17" t="s">
        <v>218</v>
      </c>
      <c r="CS187" s="17" t="s">
        <v>218</v>
      </c>
      <c r="CT187" s="1">
        <f t="shared" si="109"/>
        <v>4.5</v>
      </c>
      <c r="CU187" s="17" t="s">
        <v>218</v>
      </c>
      <c r="CV187" s="17" t="s">
        <v>218</v>
      </c>
      <c r="CW187" s="17" t="s">
        <v>218</v>
      </c>
      <c r="CX187" s="17" t="s">
        <v>218</v>
      </c>
      <c r="CY187" s="17" t="s">
        <v>218</v>
      </c>
      <c r="CZ187" s="17" t="s">
        <v>218</v>
      </c>
      <c r="DA187" s="2">
        <f t="shared" si="115"/>
        <v>26</v>
      </c>
      <c r="DB187" s="20">
        <f t="shared" si="116"/>
        <v>0</v>
      </c>
      <c r="DC187" s="1">
        <f>ROUND(PPTest!K187,1)</f>
        <v>1.2</v>
      </c>
      <c r="DD187" s="17" t="s">
        <v>218</v>
      </c>
      <c r="DE187" s="17" t="s">
        <v>218</v>
      </c>
      <c r="DF187" s="24">
        <f t="shared" si="118"/>
        <v>0.57099999999999995</v>
      </c>
      <c r="DG187" s="24">
        <f t="shared" si="119"/>
        <v>1.625</v>
      </c>
      <c r="DH187" s="17" t="s">
        <v>218</v>
      </c>
      <c r="DK187" s="1">
        <v>16.399999999999999</v>
      </c>
      <c r="DL187" s="1">
        <v>21.200000762939453</v>
      </c>
      <c r="DM187" s="1">
        <v>10.300000190734863</v>
      </c>
      <c r="DN187" s="1">
        <v>53.541666666666664</v>
      </c>
      <c r="DO187" s="1">
        <v>34</v>
      </c>
      <c r="DQ187" s="1">
        <v>20.9</v>
      </c>
      <c r="DR187" s="1">
        <v>31.6</v>
      </c>
      <c r="DS187" s="1">
        <v>10.199999999999999</v>
      </c>
    </row>
    <row r="188" spans="1:123" x14ac:dyDescent="0.2">
      <c r="A188" s="15">
        <f t="shared" si="121"/>
        <v>36707</v>
      </c>
      <c r="B188" s="1">
        <v>182</v>
      </c>
      <c r="E188" s="55">
        <f t="shared" si="131"/>
        <v>10.7</v>
      </c>
      <c r="P188" s="18"/>
      <c r="R188" s="55">
        <f t="shared" si="132"/>
        <v>17.8</v>
      </c>
      <c r="AD188" s="18"/>
      <c r="AF188" s="55">
        <f t="shared" si="133"/>
        <v>3.7</v>
      </c>
      <c r="BM188" s="17">
        <v>32.89</v>
      </c>
      <c r="BN188" s="17">
        <f t="shared" si="91"/>
        <v>66.437799999999996</v>
      </c>
      <c r="BO188" s="18"/>
      <c r="BP188" s="18"/>
      <c r="BT188" s="55">
        <f t="shared" si="134"/>
        <v>34</v>
      </c>
      <c r="BU188" s="60">
        <f t="shared" si="130"/>
        <v>0.69299999999999995</v>
      </c>
      <c r="BV188" s="60">
        <f t="shared" si="89"/>
        <v>1.345</v>
      </c>
      <c r="BX188" s="1">
        <v>0.3</v>
      </c>
      <c r="BZ188" s="1">
        <v>0</v>
      </c>
      <c r="CB188" s="17" t="s">
        <v>218</v>
      </c>
      <c r="CC188" s="17" t="s">
        <v>218</v>
      </c>
      <c r="CD188" s="3">
        <f t="shared" si="95"/>
        <v>10.7</v>
      </c>
      <c r="CE188" s="17" t="s">
        <v>218</v>
      </c>
      <c r="CF188" s="17" t="s">
        <v>218</v>
      </c>
      <c r="CG188" s="17" t="s">
        <v>218</v>
      </c>
      <c r="CH188" s="17" t="s">
        <v>218</v>
      </c>
      <c r="CI188" s="17" t="s">
        <v>218</v>
      </c>
      <c r="CJ188" s="17" t="s">
        <v>218</v>
      </c>
      <c r="CK188" s="17" t="s">
        <v>218</v>
      </c>
      <c r="CL188" s="1">
        <f t="shared" si="102"/>
        <v>17.8</v>
      </c>
      <c r="CM188" s="17" t="s">
        <v>218</v>
      </c>
      <c r="CN188" s="17" t="s">
        <v>218</v>
      </c>
      <c r="CO188" s="17" t="s">
        <v>218</v>
      </c>
      <c r="CP188" s="17" t="s">
        <v>218</v>
      </c>
      <c r="CQ188" s="17" t="s">
        <v>218</v>
      </c>
      <c r="CR188" s="17" t="s">
        <v>218</v>
      </c>
      <c r="CS188" s="17" t="s">
        <v>218</v>
      </c>
      <c r="CT188" s="1">
        <f t="shared" si="109"/>
        <v>3.7</v>
      </c>
      <c r="CU188" s="17" t="s">
        <v>218</v>
      </c>
      <c r="CV188" s="17" t="s">
        <v>218</v>
      </c>
      <c r="CW188" s="17" t="s">
        <v>218</v>
      </c>
      <c r="CX188" s="17" t="s">
        <v>218</v>
      </c>
      <c r="CY188" s="17" t="s">
        <v>218</v>
      </c>
      <c r="CZ188" s="17" t="s">
        <v>218</v>
      </c>
      <c r="DA188" s="2">
        <f t="shared" si="115"/>
        <v>34</v>
      </c>
      <c r="DB188" s="20">
        <f t="shared" si="116"/>
        <v>0</v>
      </c>
      <c r="DC188" s="1">
        <f>ROUND(PPTest!K188,1)</f>
        <v>0.3</v>
      </c>
      <c r="DD188" s="17" t="s">
        <v>218</v>
      </c>
      <c r="DE188" s="17" t="s">
        <v>218</v>
      </c>
      <c r="DF188" s="24">
        <f t="shared" si="118"/>
        <v>0.69299999999999995</v>
      </c>
      <c r="DG188" s="24">
        <f t="shared" si="119"/>
        <v>1.345</v>
      </c>
      <c r="DH188" s="17" t="s">
        <v>218</v>
      </c>
      <c r="DK188" s="1">
        <v>14.4</v>
      </c>
      <c r="DL188" s="1">
        <v>19.899999618530273</v>
      </c>
      <c r="DM188" s="1">
        <v>9.1000003814697266</v>
      </c>
      <c r="DN188" s="1">
        <v>64.583333333333329</v>
      </c>
      <c r="DO188" s="1">
        <v>43</v>
      </c>
      <c r="DQ188" s="1">
        <v>21.7</v>
      </c>
      <c r="DR188" s="1">
        <v>31</v>
      </c>
      <c r="DS188" s="1">
        <v>12.4</v>
      </c>
    </row>
    <row r="189" spans="1:123" x14ac:dyDescent="0.2">
      <c r="A189" s="15">
        <f t="shared" si="121"/>
        <v>36708</v>
      </c>
      <c r="B189" s="1">
        <v>183</v>
      </c>
      <c r="E189" s="55">
        <f t="shared" si="131"/>
        <v>8.1999999999999993</v>
      </c>
      <c r="P189" s="18"/>
      <c r="R189" s="55">
        <f t="shared" si="132"/>
        <v>14.6</v>
      </c>
      <c r="AD189" s="18"/>
      <c r="AF189" s="55">
        <f t="shared" si="133"/>
        <v>1.6</v>
      </c>
      <c r="BM189" s="17">
        <v>32.840000000000003</v>
      </c>
      <c r="BN189" s="17">
        <f t="shared" si="91"/>
        <v>66.336800000000011</v>
      </c>
      <c r="BO189" s="18"/>
      <c r="BP189" s="18"/>
      <c r="BT189" s="55">
        <f t="shared" si="134"/>
        <v>41</v>
      </c>
      <c r="BU189" s="60">
        <f t="shared" si="130"/>
        <v>0.68100000000000005</v>
      </c>
      <c r="BV189" s="60">
        <f t="shared" si="89"/>
        <v>0.98</v>
      </c>
      <c r="BX189" s="1">
        <v>7.4</v>
      </c>
      <c r="BZ189" s="1">
        <v>0</v>
      </c>
      <c r="CB189" s="17" t="s">
        <v>218</v>
      </c>
      <c r="CC189" s="17" t="s">
        <v>218</v>
      </c>
      <c r="CD189" s="3">
        <f t="shared" si="95"/>
        <v>8.1999999999999993</v>
      </c>
      <c r="CE189" s="17" t="s">
        <v>218</v>
      </c>
      <c r="CF189" s="17" t="s">
        <v>218</v>
      </c>
      <c r="CG189" s="17" t="s">
        <v>218</v>
      </c>
      <c r="CH189" s="17" t="s">
        <v>218</v>
      </c>
      <c r="CI189" s="17" t="s">
        <v>218</v>
      </c>
      <c r="CJ189" s="17" t="s">
        <v>218</v>
      </c>
      <c r="CK189" s="17" t="s">
        <v>218</v>
      </c>
      <c r="CL189" s="1">
        <f t="shared" si="102"/>
        <v>14.6</v>
      </c>
      <c r="CM189" s="17" t="s">
        <v>218</v>
      </c>
      <c r="CN189" s="17" t="s">
        <v>218</v>
      </c>
      <c r="CO189" s="17" t="s">
        <v>218</v>
      </c>
      <c r="CP189" s="17" t="s">
        <v>218</v>
      </c>
      <c r="CQ189" s="17" t="s">
        <v>218</v>
      </c>
      <c r="CR189" s="17" t="s">
        <v>218</v>
      </c>
      <c r="CS189" s="17" t="s">
        <v>218</v>
      </c>
      <c r="CT189" s="1">
        <f t="shared" si="109"/>
        <v>1.6</v>
      </c>
      <c r="CU189" s="17" t="s">
        <v>218</v>
      </c>
      <c r="CV189" s="17" t="s">
        <v>218</v>
      </c>
      <c r="CW189" s="17" t="s">
        <v>218</v>
      </c>
      <c r="CX189" s="17" t="s">
        <v>218</v>
      </c>
      <c r="CY189" s="17" t="s">
        <v>218</v>
      </c>
      <c r="CZ189" s="17" t="s">
        <v>218</v>
      </c>
      <c r="DA189" s="2">
        <f t="shared" si="115"/>
        <v>41</v>
      </c>
      <c r="DB189" s="20">
        <f t="shared" si="116"/>
        <v>0</v>
      </c>
      <c r="DC189" s="1">
        <f>ROUND(PPTest!K189,1)</f>
        <v>7.8</v>
      </c>
      <c r="DD189" s="17" t="s">
        <v>218</v>
      </c>
      <c r="DE189" s="17" t="s">
        <v>218</v>
      </c>
      <c r="DF189" s="24">
        <f t="shared" si="118"/>
        <v>0.68100000000000005</v>
      </c>
      <c r="DG189" s="24">
        <f t="shared" si="119"/>
        <v>0.98</v>
      </c>
      <c r="DH189" s="17" t="s">
        <v>218</v>
      </c>
      <c r="DK189" s="1">
        <v>11.3</v>
      </c>
      <c r="DL189" s="1">
        <v>16.399999618530273</v>
      </c>
      <c r="DM189" s="1">
        <v>5.5999999046325684</v>
      </c>
      <c r="DN189" s="1">
        <v>70.583333333333329</v>
      </c>
      <c r="DO189" s="1">
        <v>51</v>
      </c>
      <c r="DQ189" s="1">
        <v>18.5</v>
      </c>
      <c r="DR189" s="1">
        <v>29.8</v>
      </c>
      <c r="DS189" s="1">
        <v>7.2</v>
      </c>
    </row>
    <row r="190" spans="1:123" x14ac:dyDescent="0.2">
      <c r="A190" s="15">
        <f t="shared" si="121"/>
        <v>36709</v>
      </c>
      <c r="B190" s="1">
        <v>184</v>
      </c>
      <c r="E190" s="55">
        <f t="shared" si="131"/>
        <v>5.0999999999999996</v>
      </c>
      <c r="P190" s="18"/>
      <c r="R190" s="55">
        <f t="shared" si="132"/>
        <v>9.8000000000000007</v>
      </c>
      <c r="AD190" s="18"/>
      <c r="AF190" s="55">
        <f t="shared" si="133"/>
        <v>0.9</v>
      </c>
      <c r="BM190" s="17">
        <v>32.79</v>
      </c>
      <c r="BN190" s="17">
        <f t="shared" si="91"/>
        <v>66.235799999999998</v>
      </c>
      <c r="BO190" s="18"/>
      <c r="BP190" s="18"/>
      <c r="BT190" s="55">
        <f t="shared" si="134"/>
        <v>52</v>
      </c>
      <c r="BU190" s="60">
        <f t="shared" si="130"/>
        <v>0.63</v>
      </c>
      <c r="BV190" s="60">
        <f t="shared" si="89"/>
        <v>0.58199999999999996</v>
      </c>
      <c r="BX190" s="1">
        <v>0.8</v>
      </c>
      <c r="BZ190" s="1">
        <v>1.1999999999999997</v>
      </c>
      <c r="CB190" s="17" t="s">
        <v>218</v>
      </c>
      <c r="CC190" s="17" t="s">
        <v>218</v>
      </c>
      <c r="CD190" s="3">
        <f t="shared" si="95"/>
        <v>5.0999999999999996</v>
      </c>
      <c r="CE190" s="17" t="s">
        <v>218</v>
      </c>
      <c r="CF190" s="17" t="s">
        <v>218</v>
      </c>
      <c r="CG190" s="17" t="s">
        <v>218</v>
      </c>
      <c r="CH190" s="17" t="s">
        <v>218</v>
      </c>
      <c r="CI190" s="17" t="s">
        <v>218</v>
      </c>
      <c r="CJ190" s="17" t="s">
        <v>218</v>
      </c>
      <c r="CK190" s="17" t="s">
        <v>218</v>
      </c>
      <c r="CL190" s="1">
        <f t="shared" si="102"/>
        <v>9.8000000000000007</v>
      </c>
      <c r="CM190" s="17" t="s">
        <v>218</v>
      </c>
      <c r="CN190" s="17" t="s">
        <v>218</v>
      </c>
      <c r="CO190" s="17" t="s">
        <v>218</v>
      </c>
      <c r="CP190" s="17" t="s">
        <v>218</v>
      </c>
      <c r="CQ190" s="17" t="s">
        <v>218</v>
      </c>
      <c r="CR190" s="17" t="s">
        <v>218</v>
      </c>
      <c r="CS190" s="17" t="s">
        <v>218</v>
      </c>
      <c r="CT190" s="1">
        <f t="shared" si="109"/>
        <v>0.9</v>
      </c>
      <c r="CU190" s="17" t="s">
        <v>218</v>
      </c>
      <c r="CV190" s="17" t="s">
        <v>218</v>
      </c>
      <c r="CW190" s="17" t="s">
        <v>218</v>
      </c>
      <c r="CX190" s="17" t="s">
        <v>218</v>
      </c>
      <c r="CY190" s="17" t="s">
        <v>218</v>
      </c>
      <c r="CZ190" s="17" t="s">
        <v>218</v>
      </c>
      <c r="DA190" s="2">
        <f t="shared" si="115"/>
        <v>52</v>
      </c>
      <c r="DB190" s="20">
        <f t="shared" si="116"/>
        <v>0</v>
      </c>
      <c r="DC190" s="1">
        <f>ROUND(PPTest!K190,1)</f>
        <v>0.8</v>
      </c>
      <c r="DD190" s="17" t="s">
        <v>218</v>
      </c>
      <c r="DE190" s="17" t="s">
        <v>218</v>
      </c>
      <c r="DF190" s="24">
        <f t="shared" si="118"/>
        <v>0.63</v>
      </c>
      <c r="DG190" s="24">
        <f t="shared" si="119"/>
        <v>0.58199999999999996</v>
      </c>
      <c r="DH190" s="17" t="s">
        <v>218</v>
      </c>
      <c r="DK190" s="1">
        <v>7.5</v>
      </c>
      <c r="DL190" s="1">
        <v>11.199999809265137</v>
      </c>
      <c r="DM190" s="1">
        <v>4.4000000953674316</v>
      </c>
      <c r="DN190" s="1">
        <v>83</v>
      </c>
      <c r="DO190" s="1">
        <v>64</v>
      </c>
      <c r="DQ190" s="1">
        <v>15.6</v>
      </c>
      <c r="DR190" s="1">
        <v>23</v>
      </c>
      <c r="DS190" s="1">
        <v>8.1</v>
      </c>
    </row>
    <row r="191" spans="1:123" x14ac:dyDescent="0.2">
      <c r="A191" s="15">
        <f t="shared" si="121"/>
        <v>36710</v>
      </c>
      <c r="B191" s="1">
        <v>185</v>
      </c>
      <c r="E191" s="55">
        <f t="shared" si="131"/>
        <v>6.7</v>
      </c>
      <c r="P191" s="18"/>
      <c r="R191" s="55">
        <f t="shared" si="132"/>
        <v>13.8</v>
      </c>
      <c r="AD191" s="18"/>
      <c r="AF191" s="55">
        <f t="shared" si="133"/>
        <v>1.2</v>
      </c>
      <c r="BM191" s="17">
        <v>32.729999999999997</v>
      </c>
      <c r="BN191" s="17">
        <f t="shared" si="91"/>
        <v>66.114599999999996</v>
      </c>
      <c r="BO191" s="18"/>
      <c r="BP191" s="18"/>
      <c r="BT191" s="55">
        <f t="shared" si="134"/>
        <v>40</v>
      </c>
      <c r="BU191" s="60">
        <f t="shared" si="130"/>
        <v>0.63100000000000001</v>
      </c>
      <c r="BV191" s="60">
        <f t="shared" si="89"/>
        <v>0.94699999999999995</v>
      </c>
      <c r="BX191" s="1">
        <v>0</v>
      </c>
      <c r="BZ191" s="1">
        <v>0</v>
      </c>
      <c r="CB191" s="17" t="s">
        <v>218</v>
      </c>
      <c r="CC191" s="17" t="s">
        <v>218</v>
      </c>
      <c r="CD191" s="3">
        <f t="shared" si="95"/>
        <v>6.7</v>
      </c>
      <c r="CE191" s="17" t="s">
        <v>218</v>
      </c>
      <c r="CF191" s="17" t="s">
        <v>218</v>
      </c>
      <c r="CG191" s="17" t="s">
        <v>218</v>
      </c>
      <c r="CH191" s="17" t="s">
        <v>218</v>
      </c>
      <c r="CI191" s="17" t="s">
        <v>218</v>
      </c>
      <c r="CJ191" s="17" t="s">
        <v>218</v>
      </c>
      <c r="CK191" s="17" t="s">
        <v>218</v>
      </c>
      <c r="CL191" s="1">
        <f t="shared" si="102"/>
        <v>13.8</v>
      </c>
      <c r="CM191" s="17" t="s">
        <v>218</v>
      </c>
      <c r="CN191" s="17" t="s">
        <v>218</v>
      </c>
      <c r="CO191" s="17" t="s">
        <v>218</v>
      </c>
      <c r="CP191" s="17" t="s">
        <v>218</v>
      </c>
      <c r="CQ191" s="17" t="s">
        <v>218</v>
      </c>
      <c r="CR191" s="17" t="s">
        <v>218</v>
      </c>
      <c r="CS191" s="17" t="s">
        <v>218</v>
      </c>
      <c r="CT191" s="1">
        <f t="shared" si="109"/>
        <v>1.2</v>
      </c>
      <c r="CU191" s="17" t="s">
        <v>218</v>
      </c>
      <c r="CV191" s="17" t="s">
        <v>218</v>
      </c>
      <c r="CW191" s="17" t="s">
        <v>218</v>
      </c>
      <c r="CX191" s="17" t="s">
        <v>218</v>
      </c>
      <c r="CY191" s="17" t="s">
        <v>218</v>
      </c>
      <c r="CZ191" s="17" t="s">
        <v>218</v>
      </c>
      <c r="DA191" s="2">
        <f t="shared" si="115"/>
        <v>40</v>
      </c>
      <c r="DB191" s="20">
        <f t="shared" si="116"/>
        <v>0</v>
      </c>
      <c r="DC191" s="1">
        <f>ROUND(PPTest!K191,1)</f>
        <v>0</v>
      </c>
      <c r="DD191" s="17" t="s">
        <v>218</v>
      </c>
      <c r="DE191" s="17" t="s">
        <v>218</v>
      </c>
      <c r="DF191" s="24">
        <f t="shared" si="118"/>
        <v>0.63100000000000001</v>
      </c>
      <c r="DG191" s="24">
        <f t="shared" si="119"/>
        <v>0.94699999999999995</v>
      </c>
      <c r="DH191" s="17" t="s">
        <v>218</v>
      </c>
      <c r="DK191" s="1">
        <v>9.5</v>
      </c>
      <c r="DL191" s="1">
        <v>15.600000381469727</v>
      </c>
      <c r="DM191" s="1">
        <v>4.9000000953674316</v>
      </c>
      <c r="DN191" s="1">
        <v>76.708333333333329</v>
      </c>
      <c r="DO191" s="1">
        <v>50</v>
      </c>
      <c r="DQ191" s="1">
        <v>15.1</v>
      </c>
      <c r="DR191" s="1">
        <v>24.8</v>
      </c>
      <c r="DS191" s="1">
        <v>5.4</v>
      </c>
    </row>
    <row r="192" spans="1:123" x14ac:dyDescent="0.2">
      <c r="A192" s="15">
        <f t="shared" si="121"/>
        <v>36711</v>
      </c>
      <c r="B192" s="1">
        <v>186</v>
      </c>
      <c r="E192" s="55">
        <f t="shared" si="131"/>
        <v>3.7</v>
      </c>
      <c r="P192" s="18"/>
      <c r="R192" s="55">
        <f t="shared" si="132"/>
        <v>6.5</v>
      </c>
      <c r="AD192" s="18"/>
      <c r="AF192" s="55">
        <f t="shared" si="133"/>
        <v>0.9</v>
      </c>
      <c r="BM192" s="17">
        <v>32.659999999999997</v>
      </c>
      <c r="BN192" s="17">
        <f t="shared" si="91"/>
        <v>65.973199999999991</v>
      </c>
      <c r="BO192" s="18"/>
      <c r="BP192" s="18"/>
      <c r="BT192" s="55">
        <f t="shared" si="134"/>
        <v>82</v>
      </c>
      <c r="BU192" s="60">
        <f t="shared" si="130"/>
        <v>0.79300000000000004</v>
      </c>
      <c r="BV192" s="60">
        <f t="shared" si="89"/>
        <v>0.17399999999999999</v>
      </c>
      <c r="BX192" s="1">
        <v>7.3</v>
      </c>
      <c r="BZ192" s="1">
        <v>6.4999999999999982</v>
      </c>
      <c r="CB192" s="17" t="s">
        <v>218</v>
      </c>
      <c r="CC192" s="17" t="s">
        <v>218</v>
      </c>
      <c r="CD192" s="3">
        <f t="shared" si="95"/>
        <v>3.7</v>
      </c>
      <c r="CE192" s="17" t="s">
        <v>218</v>
      </c>
      <c r="CF192" s="17" t="s">
        <v>218</v>
      </c>
      <c r="CG192" s="17" t="s">
        <v>218</v>
      </c>
      <c r="CH192" s="17" t="s">
        <v>218</v>
      </c>
      <c r="CI192" s="17" t="s">
        <v>218</v>
      </c>
      <c r="CJ192" s="17" t="s">
        <v>218</v>
      </c>
      <c r="CK192" s="17" t="s">
        <v>218</v>
      </c>
      <c r="CL192" s="1">
        <f t="shared" si="102"/>
        <v>6.5</v>
      </c>
      <c r="CM192" s="17" t="s">
        <v>218</v>
      </c>
      <c r="CN192" s="17" t="s">
        <v>218</v>
      </c>
      <c r="CO192" s="17" t="s">
        <v>218</v>
      </c>
      <c r="CP192" s="17" t="s">
        <v>218</v>
      </c>
      <c r="CQ192" s="17" t="s">
        <v>218</v>
      </c>
      <c r="CR192" s="17" t="s">
        <v>218</v>
      </c>
      <c r="CS192" s="17" t="s">
        <v>218</v>
      </c>
      <c r="CT192" s="1">
        <f t="shared" si="109"/>
        <v>0.9</v>
      </c>
      <c r="CU192" s="17" t="s">
        <v>218</v>
      </c>
      <c r="CV192" s="17" t="s">
        <v>218</v>
      </c>
      <c r="CW192" s="17" t="s">
        <v>218</v>
      </c>
      <c r="CX192" s="17" t="s">
        <v>218</v>
      </c>
      <c r="CY192" s="17" t="s">
        <v>218</v>
      </c>
      <c r="CZ192" s="17" t="s">
        <v>218</v>
      </c>
      <c r="DA192" s="2">
        <f t="shared" si="115"/>
        <v>82</v>
      </c>
      <c r="DB192" s="20">
        <f t="shared" si="116"/>
        <v>0</v>
      </c>
      <c r="DC192" s="1">
        <f>ROUND(PPTest!K192,1)</f>
        <v>7.7</v>
      </c>
      <c r="DD192" s="17" t="s">
        <v>218</v>
      </c>
      <c r="DE192" s="17" t="s">
        <v>218</v>
      </c>
      <c r="DF192" s="24">
        <f t="shared" si="118"/>
        <v>0.79300000000000004</v>
      </c>
      <c r="DG192" s="24">
        <f t="shared" si="119"/>
        <v>0.17399999999999999</v>
      </c>
      <c r="DH192" s="17" t="s">
        <v>218</v>
      </c>
      <c r="DK192" s="1">
        <v>5.8</v>
      </c>
      <c r="DL192" s="1">
        <v>7.5999999046325684</v>
      </c>
      <c r="DM192" s="1">
        <v>4.4000000953674316</v>
      </c>
      <c r="DN192" s="1">
        <v>99.958333333333329</v>
      </c>
      <c r="DO192" s="1">
        <v>99</v>
      </c>
      <c r="DQ192" s="1">
        <v>15.5</v>
      </c>
      <c r="DR192" s="1">
        <v>21.3</v>
      </c>
      <c r="DS192" s="1">
        <v>9.6</v>
      </c>
    </row>
    <row r="193" spans="1:123" x14ac:dyDescent="0.2">
      <c r="A193" s="15">
        <f t="shared" si="121"/>
        <v>36712</v>
      </c>
      <c r="B193" s="1">
        <v>187</v>
      </c>
      <c r="E193" s="55">
        <f t="shared" si="131"/>
        <v>7.1</v>
      </c>
      <c r="P193" s="18"/>
      <c r="R193" s="55">
        <f t="shared" si="132"/>
        <v>12.4</v>
      </c>
      <c r="AD193" s="18"/>
      <c r="AF193" s="55">
        <f t="shared" si="133"/>
        <v>2.1</v>
      </c>
      <c r="BM193" s="17">
        <v>32.590000000000003</v>
      </c>
      <c r="BN193" s="17">
        <f t="shared" si="91"/>
        <v>65.831800000000001</v>
      </c>
      <c r="BO193" s="18"/>
      <c r="BP193" s="18"/>
      <c r="BT193" s="55">
        <f t="shared" si="134"/>
        <v>54</v>
      </c>
      <c r="BU193" s="60">
        <f t="shared" si="130"/>
        <v>0.77700000000000002</v>
      </c>
      <c r="BV193" s="60">
        <f t="shared" si="89"/>
        <v>0.66200000000000003</v>
      </c>
      <c r="BX193" s="1">
        <v>0</v>
      </c>
      <c r="BZ193" s="1">
        <v>0.39999999999999991</v>
      </c>
      <c r="CB193" s="17" t="s">
        <v>218</v>
      </c>
      <c r="CC193" s="17" t="s">
        <v>218</v>
      </c>
      <c r="CD193" s="3">
        <f t="shared" si="95"/>
        <v>7.1</v>
      </c>
      <c r="CE193" s="17" t="s">
        <v>218</v>
      </c>
      <c r="CF193" s="17" t="s">
        <v>218</v>
      </c>
      <c r="CG193" s="17" t="s">
        <v>218</v>
      </c>
      <c r="CH193" s="17" t="s">
        <v>218</v>
      </c>
      <c r="CI193" s="17" t="s">
        <v>218</v>
      </c>
      <c r="CJ193" s="17" t="s">
        <v>218</v>
      </c>
      <c r="CK193" s="17" t="s">
        <v>218</v>
      </c>
      <c r="CL193" s="1">
        <f t="shared" si="102"/>
        <v>12.4</v>
      </c>
      <c r="CM193" s="17" t="s">
        <v>218</v>
      </c>
      <c r="CN193" s="17" t="s">
        <v>218</v>
      </c>
      <c r="CO193" s="17" t="s">
        <v>218</v>
      </c>
      <c r="CP193" s="17" t="s">
        <v>218</v>
      </c>
      <c r="CQ193" s="17" t="s">
        <v>218</v>
      </c>
      <c r="CR193" s="17" t="s">
        <v>218</v>
      </c>
      <c r="CS193" s="17" t="s">
        <v>218</v>
      </c>
      <c r="CT193" s="1">
        <f t="shared" si="109"/>
        <v>2.1</v>
      </c>
      <c r="CU193" s="17" t="s">
        <v>218</v>
      </c>
      <c r="CV193" s="17" t="s">
        <v>218</v>
      </c>
      <c r="CW193" s="17" t="s">
        <v>218</v>
      </c>
      <c r="CX193" s="17" t="s">
        <v>218</v>
      </c>
      <c r="CY193" s="17" t="s">
        <v>218</v>
      </c>
      <c r="CZ193" s="17" t="s">
        <v>218</v>
      </c>
      <c r="DA193" s="2">
        <f t="shared" si="115"/>
        <v>54</v>
      </c>
      <c r="DB193" s="20">
        <f t="shared" si="116"/>
        <v>0</v>
      </c>
      <c r="DC193" s="1">
        <f>ROUND(PPTest!K193,1)</f>
        <v>0</v>
      </c>
      <c r="DD193" s="17" t="s">
        <v>218</v>
      </c>
      <c r="DE193" s="17" t="s">
        <v>218</v>
      </c>
      <c r="DF193" s="24">
        <f t="shared" si="118"/>
        <v>0.77700000000000002</v>
      </c>
      <c r="DG193" s="24">
        <f t="shared" si="119"/>
        <v>0.66200000000000003</v>
      </c>
      <c r="DH193" s="17" t="s">
        <v>218</v>
      </c>
      <c r="DK193" s="1">
        <v>10</v>
      </c>
      <c r="DL193" s="1">
        <v>14</v>
      </c>
      <c r="DM193" s="1">
        <v>6.4000000953674316</v>
      </c>
      <c r="DN193" s="1">
        <v>84.666666666666671</v>
      </c>
      <c r="DO193" s="1">
        <v>66</v>
      </c>
      <c r="DQ193" s="1">
        <v>14.7</v>
      </c>
      <c r="DR193" s="1">
        <v>20.2</v>
      </c>
      <c r="DS193" s="1">
        <v>9.1999999999999993</v>
      </c>
    </row>
    <row r="194" spans="1:123" x14ac:dyDescent="0.2">
      <c r="A194" s="15">
        <f t="shared" si="121"/>
        <v>36713</v>
      </c>
      <c r="B194" s="1">
        <v>188</v>
      </c>
      <c r="E194" s="55">
        <f t="shared" si="131"/>
        <v>8.5</v>
      </c>
      <c r="P194" s="18"/>
      <c r="R194" s="55">
        <f t="shared" si="132"/>
        <v>14.7</v>
      </c>
      <c r="AD194" s="18"/>
      <c r="AF194" s="55">
        <f t="shared" si="133"/>
        <v>2.6</v>
      </c>
      <c r="BM194" s="17">
        <v>32.520000000000003</v>
      </c>
      <c r="BN194" s="17">
        <f t="shared" si="91"/>
        <v>65.690400000000011</v>
      </c>
      <c r="BO194" s="18"/>
      <c r="BP194" s="18"/>
      <c r="BT194" s="55">
        <f t="shared" si="134"/>
        <v>42</v>
      </c>
      <c r="BU194" s="60">
        <f t="shared" si="130"/>
        <v>0.70199999999999996</v>
      </c>
      <c r="BV194" s="60">
        <f t="shared" si="89"/>
        <v>0.96899999999999997</v>
      </c>
      <c r="BX194" s="1">
        <v>1.8</v>
      </c>
      <c r="BZ194" s="1">
        <v>1.6</v>
      </c>
      <c r="CB194" s="17" t="s">
        <v>218</v>
      </c>
      <c r="CC194" s="17" t="s">
        <v>218</v>
      </c>
      <c r="CD194" s="3">
        <f t="shared" si="95"/>
        <v>8.5</v>
      </c>
      <c r="CE194" s="17" t="s">
        <v>218</v>
      </c>
      <c r="CF194" s="17" t="s">
        <v>218</v>
      </c>
      <c r="CG194" s="17" t="s">
        <v>218</v>
      </c>
      <c r="CH194" s="17" t="s">
        <v>218</v>
      </c>
      <c r="CI194" s="17" t="s">
        <v>218</v>
      </c>
      <c r="CJ194" s="17" t="s">
        <v>218</v>
      </c>
      <c r="CK194" s="17" t="s">
        <v>218</v>
      </c>
      <c r="CL194" s="1">
        <f t="shared" si="102"/>
        <v>14.7</v>
      </c>
      <c r="CM194" s="17" t="s">
        <v>218</v>
      </c>
      <c r="CN194" s="17" t="s">
        <v>218</v>
      </c>
      <c r="CO194" s="17" t="s">
        <v>218</v>
      </c>
      <c r="CP194" s="17" t="s">
        <v>218</v>
      </c>
      <c r="CQ194" s="17" t="s">
        <v>218</v>
      </c>
      <c r="CR194" s="17" t="s">
        <v>218</v>
      </c>
      <c r="CS194" s="17" t="s">
        <v>218</v>
      </c>
      <c r="CT194" s="1">
        <f t="shared" si="109"/>
        <v>2.6</v>
      </c>
      <c r="CU194" s="17" t="s">
        <v>218</v>
      </c>
      <c r="CV194" s="17" t="s">
        <v>218</v>
      </c>
      <c r="CW194" s="17" t="s">
        <v>218</v>
      </c>
      <c r="CX194" s="17" t="s">
        <v>218</v>
      </c>
      <c r="CY194" s="17" t="s">
        <v>218</v>
      </c>
      <c r="CZ194" s="17" t="s">
        <v>218</v>
      </c>
      <c r="DA194" s="2">
        <f t="shared" si="115"/>
        <v>42</v>
      </c>
      <c r="DB194" s="20">
        <f t="shared" si="116"/>
        <v>0</v>
      </c>
      <c r="DC194" s="1">
        <f>ROUND(PPTest!K194,1)</f>
        <v>1.9</v>
      </c>
      <c r="DD194" s="17" t="s">
        <v>218</v>
      </c>
      <c r="DE194" s="17" t="s">
        <v>218</v>
      </c>
      <c r="DF194" s="24">
        <f t="shared" si="118"/>
        <v>0.70199999999999996</v>
      </c>
      <c r="DG194" s="24">
        <f t="shared" si="119"/>
        <v>0.96899999999999997</v>
      </c>
      <c r="DH194" s="17" t="s">
        <v>218</v>
      </c>
      <c r="DK194" s="1">
        <v>11.7</v>
      </c>
      <c r="DL194" s="1">
        <v>16.5</v>
      </c>
      <c r="DM194" s="1">
        <v>7.1999998092651367</v>
      </c>
      <c r="DN194" s="1">
        <v>79.875</v>
      </c>
      <c r="DO194" s="1">
        <v>52</v>
      </c>
      <c r="DQ194" s="1">
        <v>14.5</v>
      </c>
      <c r="DR194" s="1">
        <v>22.2</v>
      </c>
      <c r="DS194" s="1">
        <v>6.8</v>
      </c>
    </row>
    <row r="195" spans="1:123" x14ac:dyDescent="0.2">
      <c r="A195" s="15">
        <f t="shared" si="121"/>
        <v>36714</v>
      </c>
      <c r="B195" s="1">
        <v>189</v>
      </c>
      <c r="E195" s="55">
        <f t="shared" si="131"/>
        <v>9.4</v>
      </c>
      <c r="P195" s="18"/>
      <c r="R195" s="55">
        <f t="shared" si="132"/>
        <v>15.6</v>
      </c>
      <c r="AD195" s="18"/>
      <c r="AF195" s="55">
        <f t="shared" si="133"/>
        <v>3.5</v>
      </c>
      <c r="BM195" s="17">
        <v>32.43</v>
      </c>
      <c r="BN195" s="17">
        <f t="shared" si="91"/>
        <v>65.508600000000001</v>
      </c>
      <c r="BO195" s="18"/>
      <c r="BP195" s="18"/>
      <c r="BT195" s="55">
        <f t="shared" si="134"/>
        <v>50</v>
      </c>
      <c r="BU195" s="60">
        <f t="shared" si="130"/>
        <v>0.88600000000000001</v>
      </c>
      <c r="BV195" s="60">
        <f t="shared" si="89"/>
        <v>0.88600000000000001</v>
      </c>
      <c r="BX195" s="1">
        <v>2.1</v>
      </c>
      <c r="BZ195" s="1">
        <v>0</v>
      </c>
      <c r="CB195" s="17" t="s">
        <v>218</v>
      </c>
      <c r="CC195" s="17" t="s">
        <v>218</v>
      </c>
      <c r="CD195" s="3">
        <f t="shared" si="95"/>
        <v>9.4</v>
      </c>
      <c r="CE195" s="17" t="s">
        <v>218</v>
      </c>
      <c r="CF195" s="17" t="s">
        <v>218</v>
      </c>
      <c r="CG195" s="17" t="s">
        <v>218</v>
      </c>
      <c r="CH195" s="17" t="s">
        <v>218</v>
      </c>
      <c r="CI195" s="17" t="s">
        <v>218</v>
      </c>
      <c r="CJ195" s="17" t="s">
        <v>218</v>
      </c>
      <c r="CK195" s="17" t="s">
        <v>218</v>
      </c>
      <c r="CL195" s="1">
        <f t="shared" si="102"/>
        <v>15.6</v>
      </c>
      <c r="CM195" s="17" t="s">
        <v>218</v>
      </c>
      <c r="CN195" s="17" t="s">
        <v>218</v>
      </c>
      <c r="CO195" s="17" t="s">
        <v>218</v>
      </c>
      <c r="CP195" s="17" t="s">
        <v>218</v>
      </c>
      <c r="CQ195" s="17" t="s">
        <v>218</v>
      </c>
      <c r="CR195" s="17" t="s">
        <v>218</v>
      </c>
      <c r="CS195" s="17" t="s">
        <v>218</v>
      </c>
      <c r="CT195" s="1">
        <f t="shared" si="109"/>
        <v>3.5</v>
      </c>
      <c r="CU195" s="17" t="s">
        <v>218</v>
      </c>
      <c r="CV195" s="17" t="s">
        <v>218</v>
      </c>
      <c r="CW195" s="17" t="s">
        <v>218</v>
      </c>
      <c r="CX195" s="17" t="s">
        <v>218</v>
      </c>
      <c r="CY195" s="17" t="s">
        <v>218</v>
      </c>
      <c r="CZ195" s="17" t="s">
        <v>218</v>
      </c>
      <c r="DA195" s="2">
        <f t="shared" si="115"/>
        <v>50</v>
      </c>
      <c r="DB195" s="20">
        <f t="shared" si="116"/>
        <v>0</v>
      </c>
      <c r="DC195" s="1">
        <f>ROUND(PPTest!K195,1)</f>
        <v>2.2000000000000002</v>
      </c>
      <c r="DD195" s="17" t="s">
        <v>218</v>
      </c>
      <c r="DE195" s="17" t="s">
        <v>218</v>
      </c>
      <c r="DF195" s="24">
        <f t="shared" si="118"/>
        <v>0.88600000000000001</v>
      </c>
      <c r="DG195" s="24">
        <f t="shared" si="119"/>
        <v>0.88600000000000001</v>
      </c>
      <c r="DH195" s="17" t="s">
        <v>218</v>
      </c>
      <c r="DK195" s="1">
        <v>12.8</v>
      </c>
      <c r="DL195" s="1">
        <v>17.5</v>
      </c>
      <c r="DM195" s="1">
        <v>8.8000001907348633</v>
      </c>
      <c r="DN195" s="1">
        <v>81.166666666666671</v>
      </c>
      <c r="DO195" s="1">
        <v>62</v>
      </c>
      <c r="DQ195" s="1">
        <v>18.5</v>
      </c>
      <c r="DR195" s="1">
        <v>25.3</v>
      </c>
      <c r="DS195" s="1">
        <v>11.7</v>
      </c>
    </row>
    <row r="196" spans="1:123" x14ac:dyDescent="0.2">
      <c r="A196" s="15">
        <f t="shared" si="121"/>
        <v>36715</v>
      </c>
      <c r="B196" s="1">
        <v>190</v>
      </c>
      <c r="E196" s="55">
        <f t="shared" si="131"/>
        <v>9.5</v>
      </c>
      <c r="P196" s="18"/>
      <c r="R196" s="55">
        <f t="shared" si="132"/>
        <v>16</v>
      </c>
      <c r="AD196" s="18"/>
      <c r="AF196" s="55">
        <f t="shared" si="133"/>
        <v>3.5</v>
      </c>
      <c r="BM196" s="17">
        <v>32.35</v>
      </c>
      <c r="BN196" s="17">
        <f t="shared" si="91"/>
        <v>65.347000000000008</v>
      </c>
      <c r="BO196" s="18"/>
      <c r="BP196" s="18"/>
      <c r="BT196" s="55">
        <f t="shared" si="134"/>
        <v>39</v>
      </c>
      <c r="BU196" s="60">
        <f t="shared" si="130"/>
        <v>0.70899999999999996</v>
      </c>
      <c r="BV196" s="60">
        <f t="shared" si="89"/>
        <v>1.109</v>
      </c>
      <c r="BX196" s="1">
        <v>1.6</v>
      </c>
      <c r="BZ196" s="1">
        <v>0.49999999999999989</v>
      </c>
      <c r="CB196" s="17" t="s">
        <v>218</v>
      </c>
      <c r="CC196" s="17" t="s">
        <v>218</v>
      </c>
      <c r="CD196" s="3">
        <f t="shared" si="95"/>
        <v>9.5</v>
      </c>
      <c r="CE196" s="17" t="s">
        <v>218</v>
      </c>
      <c r="CF196" s="17" t="s">
        <v>218</v>
      </c>
      <c r="CG196" s="17" t="s">
        <v>218</v>
      </c>
      <c r="CH196" s="17" t="s">
        <v>218</v>
      </c>
      <c r="CI196" s="17" t="s">
        <v>218</v>
      </c>
      <c r="CJ196" s="17" t="s">
        <v>218</v>
      </c>
      <c r="CK196" s="17" t="s">
        <v>218</v>
      </c>
      <c r="CL196" s="1">
        <f t="shared" si="102"/>
        <v>16</v>
      </c>
      <c r="CM196" s="17" t="s">
        <v>218</v>
      </c>
      <c r="CN196" s="17" t="s">
        <v>218</v>
      </c>
      <c r="CO196" s="17" t="s">
        <v>218</v>
      </c>
      <c r="CP196" s="17" t="s">
        <v>218</v>
      </c>
      <c r="CQ196" s="17" t="s">
        <v>218</v>
      </c>
      <c r="CR196" s="17" t="s">
        <v>218</v>
      </c>
      <c r="CS196" s="17" t="s">
        <v>218</v>
      </c>
      <c r="CT196" s="1">
        <f t="shared" si="109"/>
        <v>3.5</v>
      </c>
      <c r="CU196" s="17" t="s">
        <v>218</v>
      </c>
      <c r="CV196" s="17" t="s">
        <v>218</v>
      </c>
      <c r="CW196" s="17" t="s">
        <v>218</v>
      </c>
      <c r="CX196" s="17" t="s">
        <v>218</v>
      </c>
      <c r="CY196" s="17" t="s">
        <v>218</v>
      </c>
      <c r="CZ196" s="17" t="s">
        <v>218</v>
      </c>
      <c r="DA196" s="2">
        <f t="shared" si="115"/>
        <v>39</v>
      </c>
      <c r="DB196" s="20">
        <f t="shared" si="116"/>
        <v>0</v>
      </c>
      <c r="DC196" s="1">
        <f>ROUND(PPTest!K196,1)</f>
        <v>1.7</v>
      </c>
      <c r="DD196" s="17" t="s">
        <v>218</v>
      </c>
      <c r="DE196" s="17" t="s">
        <v>218</v>
      </c>
      <c r="DF196" s="24">
        <f t="shared" si="118"/>
        <v>0.70899999999999996</v>
      </c>
      <c r="DG196" s="24">
        <f t="shared" si="119"/>
        <v>1.109</v>
      </c>
      <c r="DH196" s="17" t="s">
        <v>218</v>
      </c>
      <c r="DK196" s="1">
        <v>12.9</v>
      </c>
      <c r="DL196" s="1">
        <v>18</v>
      </c>
      <c r="DM196" s="1">
        <v>8.8000001907348633</v>
      </c>
      <c r="DN196" s="1">
        <v>79.875</v>
      </c>
      <c r="DO196" s="1">
        <v>49</v>
      </c>
      <c r="DQ196" s="1">
        <v>18.7</v>
      </c>
      <c r="DR196" s="1">
        <v>25.1</v>
      </c>
      <c r="DS196" s="1">
        <v>12.3</v>
      </c>
    </row>
    <row r="197" spans="1:123" x14ac:dyDescent="0.2">
      <c r="A197" s="15">
        <f t="shared" si="121"/>
        <v>36716</v>
      </c>
      <c r="B197" s="1">
        <v>191</v>
      </c>
      <c r="E197" s="55">
        <f t="shared" si="131"/>
        <v>7.5</v>
      </c>
      <c r="P197" s="18"/>
      <c r="R197" s="55">
        <f t="shared" si="132"/>
        <v>13.4</v>
      </c>
      <c r="AD197" s="18"/>
      <c r="AF197" s="55">
        <f t="shared" si="133"/>
        <v>3.2</v>
      </c>
      <c r="BM197" s="17">
        <v>32.270000000000003</v>
      </c>
      <c r="BN197" s="17">
        <f t="shared" si="91"/>
        <v>65.185400000000001</v>
      </c>
      <c r="BO197" s="18"/>
      <c r="BP197" s="18"/>
      <c r="BT197" s="55">
        <f t="shared" si="134"/>
        <v>62</v>
      </c>
      <c r="BU197" s="60">
        <f t="shared" si="130"/>
        <v>0.95299999999999996</v>
      </c>
      <c r="BV197" s="60">
        <f t="shared" ref="BV197:BV260" si="135">ROUND((100-BT197)*BU197/BT197,3)</f>
        <v>0.58399999999999996</v>
      </c>
      <c r="BX197" s="1">
        <v>10.8</v>
      </c>
      <c r="BZ197" s="1">
        <v>0.59999999999999987</v>
      </c>
      <c r="CB197" s="17" t="s">
        <v>218</v>
      </c>
      <c r="CC197" s="17" t="s">
        <v>218</v>
      </c>
      <c r="CD197" s="3">
        <f t="shared" si="95"/>
        <v>7.5</v>
      </c>
      <c r="CE197" s="17" t="s">
        <v>218</v>
      </c>
      <c r="CF197" s="17" t="s">
        <v>218</v>
      </c>
      <c r="CG197" s="17" t="s">
        <v>218</v>
      </c>
      <c r="CH197" s="17" t="s">
        <v>218</v>
      </c>
      <c r="CI197" s="17" t="s">
        <v>218</v>
      </c>
      <c r="CJ197" s="17" t="s">
        <v>218</v>
      </c>
      <c r="CK197" s="17" t="s">
        <v>218</v>
      </c>
      <c r="CL197" s="1">
        <f t="shared" si="102"/>
        <v>13.4</v>
      </c>
      <c r="CM197" s="17" t="s">
        <v>218</v>
      </c>
      <c r="CN197" s="17" t="s">
        <v>218</v>
      </c>
      <c r="CO197" s="17" t="s">
        <v>218</v>
      </c>
      <c r="CP197" s="17" t="s">
        <v>218</v>
      </c>
      <c r="CQ197" s="17" t="s">
        <v>218</v>
      </c>
      <c r="CR197" s="17" t="s">
        <v>218</v>
      </c>
      <c r="CS197" s="17" t="s">
        <v>218</v>
      </c>
      <c r="CT197" s="1">
        <f t="shared" si="109"/>
        <v>3.2</v>
      </c>
      <c r="CU197" s="17" t="s">
        <v>218</v>
      </c>
      <c r="CV197" s="17" t="s">
        <v>218</v>
      </c>
      <c r="CW197" s="17" t="s">
        <v>218</v>
      </c>
      <c r="CX197" s="17" t="s">
        <v>218</v>
      </c>
      <c r="CY197" s="17" t="s">
        <v>218</v>
      </c>
      <c r="CZ197" s="17" t="s">
        <v>218</v>
      </c>
      <c r="DA197" s="2">
        <f t="shared" si="115"/>
        <v>62</v>
      </c>
      <c r="DB197" s="20">
        <f t="shared" si="116"/>
        <v>0</v>
      </c>
      <c r="DC197" s="1">
        <f>ROUND(PPTest!K197,1)</f>
        <v>11.3</v>
      </c>
      <c r="DD197" s="17" t="s">
        <v>218</v>
      </c>
      <c r="DE197" s="17" t="s">
        <v>218</v>
      </c>
      <c r="DF197" s="24">
        <f t="shared" si="118"/>
        <v>0.95299999999999996</v>
      </c>
      <c r="DG197" s="24">
        <f t="shared" si="119"/>
        <v>0.58399999999999996</v>
      </c>
      <c r="DH197" s="17" t="s">
        <v>218</v>
      </c>
      <c r="DK197" s="1">
        <v>10.5</v>
      </c>
      <c r="DL197" s="1">
        <v>15.100000381469727</v>
      </c>
      <c r="DM197" s="1">
        <v>8.1999998092651367</v>
      </c>
      <c r="DN197" s="1">
        <v>94.958333333333329</v>
      </c>
      <c r="DO197" s="1">
        <v>76</v>
      </c>
      <c r="DQ197" s="1">
        <v>17.7</v>
      </c>
      <c r="DR197" s="1">
        <v>23.9</v>
      </c>
      <c r="DS197" s="1">
        <v>11.5</v>
      </c>
    </row>
    <row r="198" spans="1:123" x14ac:dyDescent="0.2">
      <c r="A198" s="15">
        <f t="shared" si="121"/>
        <v>36717</v>
      </c>
      <c r="B198" s="1">
        <v>192</v>
      </c>
      <c r="E198" s="55">
        <f t="shared" si="131"/>
        <v>8.3000000000000007</v>
      </c>
      <c r="P198" s="18"/>
      <c r="R198" s="55">
        <f t="shared" si="132"/>
        <v>13.9</v>
      </c>
      <c r="AD198" s="18"/>
      <c r="AF198" s="55">
        <f t="shared" si="133"/>
        <v>3.3</v>
      </c>
      <c r="BM198" s="17">
        <v>32.17</v>
      </c>
      <c r="BN198" s="17">
        <f t="shared" si="91"/>
        <v>64.983400000000003</v>
      </c>
      <c r="BO198" s="18"/>
      <c r="BP198" s="18"/>
      <c r="BT198" s="55">
        <f t="shared" si="134"/>
        <v>63</v>
      </c>
      <c r="BU198" s="60">
        <f t="shared" si="130"/>
        <v>1</v>
      </c>
      <c r="BV198" s="60">
        <f t="shared" si="135"/>
        <v>0.58699999999999997</v>
      </c>
      <c r="BX198" s="1">
        <v>0.3</v>
      </c>
      <c r="BZ198" s="1">
        <v>0</v>
      </c>
      <c r="CB198" s="17" t="s">
        <v>218</v>
      </c>
      <c r="CC198" s="17" t="s">
        <v>218</v>
      </c>
      <c r="CD198" s="3">
        <f t="shared" si="95"/>
        <v>8.3000000000000007</v>
      </c>
      <c r="CE198" s="17" t="s">
        <v>218</v>
      </c>
      <c r="CF198" s="17" t="s">
        <v>218</v>
      </c>
      <c r="CG198" s="17" t="s">
        <v>218</v>
      </c>
      <c r="CH198" s="17" t="s">
        <v>218</v>
      </c>
      <c r="CI198" s="17" t="s">
        <v>218</v>
      </c>
      <c r="CJ198" s="17" t="s">
        <v>218</v>
      </c>
      <c r="CK198" s="17" t="s">
        <v>218</v>
      </c>
      <c r="CL198" s="1">
        <f t="shared" si="102"/>
        <v>13.9</v>
      </c>
      <c r="CM198" s="17" t="s">
        <v>218</v>
      </c>
      <c r="CN198" s="17" t="s">
        <v>218</v>
      </c>
      <c r="CO198" s="17" t="s">
        <v>218</v>
      </c>
      <c r="CP198" s="17" t="s">
        <v>218</v>
      </c>
      <c r="CQ198" s="17" t="s">
        <v>218</v>
      </c>
      <c r="CR198" s="17" t="s">
        <v>218</v>
      </c>
      <c r="CS198" s="17" t="s">
        <v>218</v>
      </c>
      <c r="CT198" s="1">
        <f t="shared" si="109"/>
        <v>3.3</v>
      </c>
      <c r="CU198" s="17" t="s">
        <v>218</v>
      </c>
      <c r="CV198" s="17" t="s">
        <v>218</v>
      </c>
      <c r="CW198" s="17" t="s">
        <v>218</v>
      </c>
      <c r="CX198" s="17" t="s">
        <v>218</v>
      </c>
      <c r="CY198" s="17" t="s">
        <v>218</v>
      </c>
      <c r="CZ198" s="17" t="s">
        <v>218</v>
      </c>
      <c r="DA198" s="2">
        <f t="shared" si="115"/>
        <v>63</v>
      </c>
      <c r="DB198" s="20">
        <f t="shared" si="116"/>
        <v>0</v>
      </c>
      <c r="DC198" s="1">
        <f>ROUND(PPTest!K198,1)</f>
        <v>0.3</v>
      </c>
      <c r="DD198" s="17" t="s">
        <v>218</v>
      </c>
      <c r="DE198" s="17" t="s">
        <v>218</v>
      </c>
      <c r="DF198" s="24">
        <f t="shared" si="118"/>
        <v>1</v>
      </c>
      <c r="DG198" s="24">
        <f t="shared" si="119"/>
        <v>0.58699999999999997</v>
      </c>
      <c r="DH198" s="17" t="s">
        <v>218</v>
      </c>
      <c r="DK198" s="1">
        <v>11.5</v>
      </c>
      <c r="DL198" s="1">
        <v>15.699999809265137</v>
      </c>
      <c r="DM198" s="1">
        <v>8.3999996185302734</v>
      </c>
      <c r="DN198" s="1">
        <v>91.583333333333329</v>
      </c>
      <c r="DO198" s="1">
        <v>77</v>
      </c>
      <c r="DQ198" s="1">
        <v>16.8</v>
      </c>
      <c r="DR198" s="1">
        <v>22.2</v>
      </c>
      <c r="DS198" s="1">
        <v>11.4</v>
      </c>
    </row>
    <row r="199" spans="1:123" x14ac:dyDescent="0.2">
      <c r="A199" s="15">
        <f t="shared" si="121"/>
        <v>36718</v>
      </c>
      <c r="B199" s="1">
        <v>193</v>
      </c>
      <c r="E199" s="55">
        <f t="shared" si="131"/>
        <v>11.2</v>
      </c>
      <c r="P199" s="18"/>
      <c r="R199" s="55">
        <f t="shared" si="132"/>
        <v>17.600000000000001</v>
      </c>
      <c r="AD199" s="18"/>
      <c r="AF199" s="55">
        <f t="shared" si="133"/>
        <v>4</v>
      </c>
      <c r="BM199" s="17">
        <v>32.08</v>
      </c>
      <c r="BN199" s="17">
        <f t="shared" ref="BN199:BN262" si="136">BM199*$BN$1</f>
        <v>64.801599999999993</v>
      </c>
      <c r="BO199" s="18"/>
      <c r="BP199" s="18"/>
      <c r="BT199" s="55">
        <f t="shared" si="134"/>
        <v>37</v>
      </c>
      <c r="BU199" s="60">
        <f t="shared" si="130"/>
        <v>0.74399999999999999</v>
      </c>
      <c r="BV199" s="60">
        <f t="shared" si="135"/>
        <v>1.2669999999999999</v>
      </c>
      <c r="BX199" s="1">
        <v>0</v>
      </c>
      <c r="BZ199" s="1">
        <v>0</v>
      </c>
      <c r="CB199" s="17" t="s">
        <v>218</v>
      </c>
      <c r="CC199" s="17" t="s">
        <v>218</v>
      </c>
      <c r="CD199" s="3">
        <f t="shared" si="95"/>
        <v>11.2</v>
      </c>
      <c r="CE199" s="17" t="s">
        <v>218</v>
      </c>
      <c r="CF199" s="17" t="s">
        <v>218</v>
      </c>
      <c r="CG199" s="17" t="s">
        <v>218</v>
      </c>
      <c r="CH199" s="17" t="s">
        <v>218</v>
      </c>
      <c r="CI199" s="17" t="s">
        <v>218</v>
      </c>
      <c r="CJ199" s="17" t="s">
        <v>218</v>
      </c>
      <c r="CK199" s="17" t="s">
        <v>218</v>
      </c>
      <c r="CL199" s="1">
        <f t="shared" si="102"/>
        <v>17.600000000000001</v>
      </c>
      <c r="CM199" s="17" t="s">
        <v>218</v>
      </c>
      <c r="CN199" s="17" t="s">
        <v>218</v>
      </c>
      <c r="CO199" s="17" t="s">
        <v>218</v>
      </c>
      <c r="CP199" s="17" t="s">
        <v>218</v>
      </c>
      <c r="CQ199" s="17" t="s">
        <v>218</v>
      </c>
      <c r="CR199" s="17" t="s">
        <v>218</v>
      </c>
      <c r="CS199" s="17" t="s">
        <v>218</v>
      </c>
      <c r="CT199" s="1">
        <f t="shared" si="109"/>
        <v>4</v>
      </c>
      <c r="CU199" s="17" t="s">
        <v>218</v>
      </c>
      <c r="CV199" s="17" t="s">
        <v>218</v>
      </c>
      <c r="CW199" s="17" t="s">
        <v>218</v>
      </c>
      <c r="CX199" s="17" t="s">
        <v>218</v>
      </c>
      <c r="CY199" s="17" t="s">
        <v>218</v>
      </c>
      <c r="CZ199" s="17" t="s">
        <v>218</v>
      </c>
      <c r="DA199" s="2">
        <f t="shared" si="115"/>
        <v>37</v>
      </c>
      <c r="DB199" s="20">
        <f t="shared" si="116"/>
        <v>0</v>
      </c>
      <c r="DC199" s="1">
        <f>ROUND(PPTest!K199,1)</f>
        <v>0</v>
      </c>
      <c r="DD199" s="17" t="s">
        <v>218</v>
      </c>
      <c r="DE199" s="17" t="s">
        <v>218</v>
      </c>
      <c r="DF199" s="24">
        <f t="shared" si="118"/>
        <v>0.74399999999999999</v>
      </c>
      <c r="DG199" s="24">
        <f t="shared" si="119"/>
        <v>1.2669999999999999</v>
      </c>
      <c r="DH199" s="17" t="s">
        <v>218</v>
      </c>
      <c r="DK199" s="1">
        <v>15</v>
      </c>
      <c r="DL199" s="1">
        <v>19.700000762939453</v>
      </c>
      <c r="DM199" s="1">
        <v>9.5</v>
      </c>
      <c r="DN199" s="1">
        <v>69.833333333333329</v>
      </c>
      <c r="DO199" s="1">
        <v>47</v>
      </c>
      <c r="DQ199" s="1">
        <v>21.3</v>
      </c>
      <c r="DR199" s="1">
        <v>31.2</v>
      </c>
      <c r="DS199" s="1">
        <v>11.3</v>
      </c>
    </row>
    <row r="200" spans="1:123" x14ac:dyDescent="0.2">
      <c r="A200" s="15">
        <f t="shared" si="121"/>
        <v>36719</v>
      </c>
      <c r="B200" s="1">
        <v>194</v>
      </c>
      <c r="E200" s="55">
        <f t="shared" si="131"/>
        <v>12.7</v>
      </c>
      <c r="P200" s="18"/>
      <c r="R200" s="55">
        <f t="shared" si="132"/>
        <v>20.7</v>
      </c>
      <c r="AD200" s="18"/>
      <c r="AF200" s="55">
        <f t="shared" si="133"/>
        <v>4.5</v>
      </c>
      <c r="BM200" s="17">
        <v>31.97</v>
      </c>
      <c r="BN200" s="17">
        <f t="shared" si="136"/>
        <v>64.579399999999993</v>
      </c>
      <c r="BO200" s="18"/>
      <c r="BP200" s="18"/>
      <c r="BT200" s="55">
        <f t="shared" si="134"/>
        <v>25</v>
      </c>
      <c r="BU200" s="60">
        <f t="shared" si="130"/>
        <v>0.61</v>
      </c>
      <c r="BV200" s="60">
        <f t="shared" si="135"/>
        <v>1.83</v>
      </c>
      <c r="BX200" s="1">
        <v>0</v>
      </c>
      <c r="BZ200" s="1">
        <v>0</v>
      </c>
      <c r="CB200" s="17" t="s">
        <v>218</v>
      </c>
      <c r="CC200" s="17" t="s">
        <v>218</v>
      </c>
      <c r="CD200" s="3">
        <f t="shared" ref="CD200:CD263" si="137">ROUND(E200,1)</f>
        <v>12.7</v>
      </c>
      <c r="CE200" s="17" t="s">
        <v>218</v>
      </c>
      <c r="CF200" s="17" t="s">
        <v>218</v>
      </c>
      <c r="CG200" s="17" t="s">
        <v>218</v>
      </c>
      <c r="CH200" s="17" t="s">
        <v>218</v>
      </c>
      <c r="CI200" s="17" t="s">
        <v>218</v>
      </c>
      <c r="CJ200" s="17" t="s">
        <v>218</v>
      </c>
      <c r="CK200" s="17" t="s">
        <v>218</v>
      </c>
      <c r="CL200" s="1">
        <f t="shared" ref="CL200:CL263" si="138">ROUND(R200,1)</f>
        <v>20.7</v>
      </c>
      <c r="CM200" s="17" t="s">
        <v>218</v>
      </c>
      <c r="CN200" s="17" t="s">
        <v>218</v>
      </c>
      <c r="CO200" s="17" t="s">
        <v>218</v>
      </c>
      <c r="CP200" s="17" t="s">
        <v>218</v>
      </c>
      <c r="CQ200" s="17" t="s">
        <v>218</v>
      </c>
      <c r="CR200" s="17" t="s">
        <v>218</v>
      </c>
      <c r="CS200" s="17" t="s">
        <v>218</v>
      </c>
      <c r="CT200" s="1">
        <f t="shared" ref="CT200:CT263" si="139">ROUND(AF200,1)</f>
        <v>4.5</v>
      </c>
      <c r="CU200" s="17" t="s">
        <v>218</v>
      </c>
      <c r="CV200" s="17" t="s">
        <v>218</v>
      </c>
      <c r="CW200" s="17" t="s">
        <v>218</v>
      </c>
      <c r="CX200" s="17" t="s">
        <v>218</v>
      </c>
      <c r="CY200" s="17" t="s">
        <v>218</v>
      </c>
      <c r="CZ200" s="17" t="s">
        <v>218</v>
      </c>
      <c r="DA200" s="2">
        <f t="shared" ref="DA200:DA263" si="140">ROUND(BT200,1)</f>
        <v>25</v>
      </c>
      <c r="DB200" s="20">
        <f t="shared" ref="DB200:DB263" si="141">BF200</f>
        <v>0</v>
      </c>
      <c r="DC200" s="1">
        <f>ROUND(PPTest!K200,1)</f>
        <v>0</v>
      </c>
      <c r="DD200" s="17" t="s">
        <v>218</v>
      </c>
      <c r="DE200" s="17" t="s">
        <v>218</v>
      </c>
      <c r="DF200" s="24">
        <f t="shared" ref="DF200:DF263" si="142">BU200</f>
        <v>0.61</v>
      </c>
      <c r="DG200" s="24">
        <f t="shared" ref="DG200:DG263" si="143">BV200</f>
        <v>1.83</v>
      </c>
      <c r="DH200" s="17" t="s">
        <v>218</v>
      </c>
      <c r="DK200" s="1">
        <v>16.8</v>
      </c>
      <c r="DL200" s="1">
        <v>23.100000381469727</v>
      </c>
      <c r="DM200" s="1">
        <v>10.399999618530273</v>
      </c>
      <c r="DN200" s="1">
        <v>49.666666666666664</v>
      </c>
      <c r="DO200" s="1">
        <v>32</v>
      </c>
      <c r="DQ200" s="1">
        <v>21.4</v>
      </c>
      <c r="DR200" s="1">
        <v>33.799999999999997</v>
      </c>
      <c r="DS200" s="1">
        <v>8.9</v>
      </c>
    </row>
    <row r="201" spans="1:123" x14ac:dyDescent="0.2">
      <c r="A201" s="15">
        <f t="shared" ref="A201:A264" si="144">A200+1</f>
        <v>36720</v>
      </c>
      <c r="B201" s="1">
        <v>195</v>
      </c>
      <c r="E201" s="55">
        <f t="shared" si="131"/>
        <v>12.8</v>
      </c>
      <c r="P201" s="18"/>
      <c r="R201" s="55">
        <f t="shared" si="132"/>
        <v>20.6</v>
      </c>
      <c r="AD201" s="18"/>
      <c r="AF201" s="55">
        <f t="shared" si="133"/>
        <v>5</v>
      </c>
      <c r="BM201" s="17">
        <v>31.87</v>
      </c>
      <c r="BN201" s="17">
        <f t="shared" si="136"/>
        <v>64.377400000000009</v>
      </c>
      <c r="BO201" s="18"/>
      <c r="BP201" s="18"/>
      <c r="BT201" s="55">
        <f t="shared" si="134"/>
        <v>27</v>
      </c>
      <c r="BU201" s="60">
        <f t="shared" si="130"/>
        <v>0.65500000000000003</v>
      </c>
      <c r="BV201" s="60">
        <f t="shared" si="135"/>
        <v>1.7709999999999999</v>
      </c>
      <c r="BX201" s="1">
        <v>0</v>
      </c>
      <c r="BZ201" s="1">
        <v>0</v>
      </c>
      <c r="CB201" s="17" t="s">
        <v>218</v>
      </c>
      <c r="CC201" s="17" t="s">
        <v>218</v>
      </c>
      <c r="CD201" s="3">
        <f t="shared" si="137"/>
        <v>12.8</v>
      </c>
      <c r="CE201" s="17" t="s">
        <v>218</v>
      </c>
      <c r="CF201" s="17" t="s">
        <v>218</v>
      </c>
      <c r="CG201" s="17" t="s">
        <v>218</v>
      </c>
      <c r="CH201" s="17" t="s">
        <v>218</v>
      </c>
      <c r="CI201" s="17" t="s">
        <v>218</v>
      </c>
      <c r="CJ201" s="17" t="s">
        <v>218</v>
      </c>
      <c r="CK201" s="17" t="s">
        <v>218</v>
      </c>
      <c r="CL201" s="1">
        <f t="shared" si="138"/>
        <v>20.6</v>
      </c>
      <c r="CM201" s="17" t="s">
        <v>218</v>
      </c>
      <c r="CN201" s="17" t="s">
        <v>218</v>
      </c>
      <c r="CO201" s="17" t="s">
        <v>218</v>
      </c>
      <c r="CP201" s="17" t="s">
        <v>218</v>
      </c>
      <c r="CQ201" s="17" t="s">
        <v>218</v>
      </c>
      <c r="CR201" s="17" t="s">
        <v>218</v>
      </c>
      <c r="CS201" s="17" t="s">
        <v>218</v>
      </c>
      <c r="CT201" s="1">
        <f t="shared" si="139"/>
        <v>5</v>
      </c>
      <c r="CU201" s="17" t="s">
        <v>218</v>
      </c>
      <c r="CV201" s="17" t="s">
        <v>218</v>
      </c>
      <c r="CW201" s="17" t="s">
        <v>218</v>
      </c>
      <c r="CX201" s="17" t="s">
        <v>218</v>
      </c>
      <c r="CY201" s="17" t="s">
        <v>218</v>
      </c>
      <c r="CZ201" s="17" t="s">
        <v>218</v>
      </c>
      <c r="DA201" s="2">
        <f t="shared" si="140"/>
        <v>27</v>
      </c>
      <c r="DB201" s="20">
        <f t="shared" si="141"/>
        <v>0</v>
      </c>
      <c r="DC201" s="1">
        <f>ROUND(PPTest!K201,1)</f>
        <v>0</v>
      </c>
      <c r="DD201" s="17" t="s">
        <v>218</v>
      </c>
      <c r="DE201" s="17" t="s">
        <v>218</v>
      </c>
      <c r="DF201" s="24">
        <f t="shared" si="142"/>
        <v>0.65500000000000003</v>
      </c>
      <c r="DG201" s="24">
        <f t="shared" si="143"/>
        <v>1.7709999999999999</v>
      </c>
      <c r="DH201" s="17" t="s">
        <v>218</v>
      </c>
      <c r="DK201" s="1">
        <v>17</v>
      </c>
      <c r="DL201" s="1">
        <v>23</v>
      </c>
      <c r="DM201" s="1">
        <v>11.199999809265137</v>
      </c>
      <c r="DN201" s="1">
        <v>45.25</v>
      </c>
      <c r="DO201" s="1">
        <v>35</v>
      </c>
      <c r="DQ201" s="1">
        <v>22.6</v>
      </c>
      <c r="DR201" s="1">
        <v>36.1</v>
      </c>
      <c r="DS201" s="1">
        <v>9.1</v>
      </c>
    </row>
    <row r="202" spans="1:123" x14ac:dyDescent="0.2">
      <c r="A202" s="15">
        <f t="shared" si="144"/>
        <v>36721</v>
      </c>
      <c r="B202" s="1">
        <v>196</v>
      </c>
      <c r="E202" s="55">
        <f t="shared" si="131"/>
        <v>9.1</v>
      </c>
      <c r="P202" s="18"/>
      <c r="R202" s="55">
        <f t="shared" si="132"/>
        <v>15.5</v>
      </c>
      <c r="AD202" s="18"/>
      <c r="AF202" s="55">
        <f t="shared" si="133"/>
        <v>2.6</v>
      </c>
      <c r="BM202" s="17">
        <v>31.77</v>
      </c>
      <c r="BN202" s="17">
        <f t="shared" si="136"/>
        <v>64.175399999999996</v>
      </c>
      <c r="BO202" s="18"/>
      <c r="BP202" s="18"/>
      <c r="BT202" s="55">
        <f t="shared" si="134"/>
        <v>31</v>
      </c>
      <c r="BU202" s="60">
        <f t="shared" si="130"/>
        <v>0.54600000000000004</v>
      </c>
      <c r="BV202" s="60">
        <f t="shared" si="135"/>
        <v>1.2150000000000001</v>
      </c>
      <c r="BX202" s="1">
        <v>3.8</v>
      </c>
      <c r="BZ202" s="1">
        <v>0</v>
      </c>
      <c r="CB202" s="17" t="s">
        <v>218</v>
      </c>
      <c r="CC202" s="17" t="s">
        <v>218</v>
      </c>
      <c r="CD202" s="3">
        <f t="shared" si="137"/>
        <v>9.1</v>
      </c>
      <c r="CE202" s="17" t="s">
        <v>218</v>
      </c>
      <c r="CF202" s="17" t="s">
        <v>218</v>
      </c>
      <c r="CG202" s="17" t="s">
        <v>218</v>
      </c>
      <c r="CH202" s="17" t="s">
        <v>218</v>
      </c>
      <c r="CI202" s="17" t="s">
        <v>218</v>
      </c>
      <c r="CJ202" s="17" t="s">
        <v>218</v>
      </c>
      <c r="CK202" s="17" t="s">
        <v>218</v>
      </c>
      <c r="CL202" s="1">
        <f t="shared" si="138"/>
        <v>15.5</v>
      </c>
      <c r="CM202" s="17" t="s">
        <v>218</v>
      </c>
      <c r="CN202" s="17" t="s">
        <v>218</v>
      </c>
      <c r="CO202" s="17" t="s">
        <v>218</v>
      </c>
      <c r="CP202" s="17" t="s">
        <v>218</v>
      </c>
      <c r="CQ202" s="17" t="s">
        <v>218</v>
      </c>
      <c r="CR202" s="17" t="s">
        <v>218</v>
      </c>
      <c r="CS202" s="17" t="s">
        <v>218</v>
      </c>
      <c r="CT202" s="1">
        <f t="shared" si="139"/>
        <v>2.6</v>
      </c>
      <c r="CU202" s="17" t="s">
        <v>218</v>
      </c>
      <c r="CV202" s="17" t="s">
        <v>218</v>
      </c>
      <c r="CW202" s="17" t="s">
        <v>218</v>
      </c>
      <c r="CX202" s="17" t="s">
        <v>218</v>
      </c>
      <c r="CY202" s="17" t="s">
        <v>218</v>
      </c>
      <c r="CZ202" s="17" t="s">
        <v>218</v>
      </c>
      <c r="DA202" s="2">
        <f t="shared" si="140"/>
        <v>31</v>
      </c>
      <c r="DB202" s="20">
        <f t="shared" si="141"/>
        <v>0</v>
      </c>
      <c r="DC202" s="1">
        <f>ROUND(PPTest!K202,1)</f>
        <v>4</v>
      </c>
      <c r="DD202" s="17" t="s">
        <v>218</v>
      </c>
      <c r="DE202" s="17" t="s">
        <v>218</v>
      </c>
      <c r="DF202" s="24">
        <f t="shared" si="142"/>
        <v>0.54600000000000004</v>
      </c>
      <c r="DG202" s="24">
        <f t="shared" si="143"/>
        <v>1.2150000000000001</v>
      </c>
      <c r="DH202" s="17" t="s">
        <v>218</v>
      </c>
      <c r="DK202" s="1">
        <v>12.4</v>
      </c>
      <c r="DL202" s="1">
        <v>17.399999618530273</v>
      </c>
      <c r="DM202" s="1">
        <v>7.1999998092651367</v>
      </c>
      <c r="DN202" s="1">
        <v>63.291666666666664</v>
      </c>
      <c r="DO202" s="1">
        <v>39</v>
      </c>
      <c r="DQ202" s="1">
        <v>21.1</v>
      </c>
      <c r="DR202" s="1">
        <v>29.8</v>
      </c>
      <c r="DS202" s="1">
        <v>12.3</v>
      </c>
    </row>
    <row r="203" spans="1:123" x14ac:dyDescent="0.2">
      <c r="A203" s="15">
        <f t="shared" si="144"/>
        <v>36722</v>
      </c>
      <c r="B203" s="1">
        <v>197</v>
      </c>
      <c r="E203" s="55">
        <f t="shared" si="131"/>
        <v>7.4</v>
      </c>
      <c r="P203" s="18"/>
      <c r="R203" s="55">
        <f t="shared" si="132"/>
        <v>13.5</v>
      </c>
      <c r="AD203" s="18"/>
      <c r="AF203" s="55">
        <f t="shared" si="133"/>
        <v>2.7</v>
      </c>
      <c r="BM203" s="17">
        <v>31.65</v>
      </c>
      <c r="BN203" s="17">
        <f t="shared" si="136"/>
        <v>63.933</v>
      </c>
      <c r="BO203" s="18"/>
      <c r="BP203" s="18"/>
      <c r="BT203" s="55">
        <f t="shared" si="134"/>
        <v>42</v>
      </c>
      <c r="BU203" s="60">
        <f t="shared" si="130"/>
        <v>0.65</v>
      </c>
      <c r="BV203" s="60">
        <f t="shared" si="135"/>
        <v>0.89800000000000002</v>
      </c>
      <c r="BX203" s="1">
        <v>0.8</v>
      </c>
      <c r="BZ203" s="1">
        <v>2.5999999999999996</v>
      </c>
      <c r="CB203" s="17" t="s">
        <v>218</v>
      </c>
      <c r="CC203" s="17" t="s">
        <v>218</v>
      </c>
      <c r="CD203" s="3">
        <f t="shared" si="137"/>
        <v>7.4</v>
      </c>
      <c r="CE203" s="17" t="s">
        <v>218</v>
      </c>
      <c r="CF203" s="17" t="s">
        <v>218</v>
      </c>
      <c r="CG203" s="17" t="s">
        <v>218</v>
      </c>
      <c r="CH203" s="17" t="s">
        <v>218</v>
      </c>
      <c r="CI203" s="17" t="s">
        <v>218</v>
      </c>
      <c r="CJ203" s="17" t="s">
        <v>218</v>
      </c>
      <c r="CK203" s="17" t="s">
        <v>218</v>
      </c>
      <c r="CL203" s="1">
        <f t="shared" si="138"/>
        <v>13.5</v>
      </c>
      <c r="CM203" s="17" t="s">
        <v>218</v>
      </c>
      <c r="CN203" s="17" t="s">
        <v>218</v>
      </c>
      <c r="CO203" s="17" t="s">
        <v>218</v>
      </c>
      <c r="CP203" s="17" t="s">
        <v>218</v>
      </c>
      <c r="CQ203" s="17" t="s">
        <v>218</v>
      </c>
      <c r="CR203" s="17" t="s">
        <v>218</v>
      </c>
      <c r="CS203" s="17" t="s">
        <v>218</v>
      </c>
      <c r="CT203" s="1">
        <f t="shared" si="139"/>
        <v>2.7</v>
      </c>
      <c r="CU203" s="17" t="s">
        <v>218</v>
      </c>
      <c r="CV203" s="17" t="s">
        <v>218</v>
      </c>
      <c r="CW203" s="17" t="s">
        <v>218</v>
      </c>
      <c r="CX203" s="17" t="s">
        <v>218</v>
      </c>
      <c r="CY203" s="17" t="s">
        <v>218</v>
      </c>
      <c r="CZ203" s="17" t="s">
        <v>218</v>
      </c>
      <c r="DA203" s="2">
        <f t="shared" si="140"/>
        <v>42</v>
      </c>
      <c r="DB203" s="20">
        <f t="shared" si="141"/>
        <v>0</v>
      </c>
      <c r="DC203" s="1">
        <f>ROUND(PPTest!K203,1)</f>
        <v>0.8</v>
      </c>
      <c r="DD203" s="17" t="s">
        <v>218</v>
      </c>
      <c r="DE203" s="17" t="s">
        <v>218</v>
      </c>
      <c r="DF203" s="24">
        <f t="shared" si="142"/>
        <v>0.65</v>
      </c>
      <c r="DG203" s="24">
        <f t="shared" si="143"/>
        <v>0.89800000000000002</v>
      </c>
      <c r="DH203" s="17" t="s">
        <v>218</v>
      </c>
      <c r="DK203" s="1">
        <v>10.4</v>
      </c>
      <c r="DL203" s="1">
        <v>15.199999809265137</v>
      </c>
      <c r="DM203" s="1">
        <v>7.4000000953674316</v>
      </c>
      <c r="DN203" s="1">
        <v>79.541666666666671</v>
      </c>
      <c r="DO203" s="1">
        <v>53</v>
      </c>
      <c r="DQ203" s="1">
        <v>17.3</v>
      </c>
      <c r="DR203" s="1">
        <v>25.1</v>
      </c>
      <c r="DS203" s="1">
        <v>9.5</v>
      </c>
    </row>
    <row r="204" spans="1:123" x14ac:dyDescent="0.2">
      <c r="A204" s="15">
        <f t="shared" si="144"/>
        <v>36723</v>
      </c>
      <c r="B204" s="1">
        <v>198</v>
      </c>
      <c r="E204" s="55">
        <f t="shared" si="131"/>
        <v>10.5</v>
      </c>
      <c r="P204" s="18"/>
      <c r="R204" s="55">
        <f t="shared" si="132"/>
        <v>17.5</v>
      </c>
      <c r="AD204" s="18"/>
      <c r="AF204" s="55">
        <f t="shared" si="133"/>
        <v>2.9</v>
      </c>
      <c r="BM204" s="17">
        <v>31.54</v>
      </c>
      <c r="BN204" s="17">
        <f t="shared" si="136"/>
        <v>63.710799999999999</v>
      </c>
      <c r="BO204" s="18"/>
      <c r="BP204" s="18"/>
      <c r="BT204" s="55">
        <f t="shared" si="134"/>
        <v>31</v>
      </c>
      <c r="BU204" s="60">
        <f t="shared" si="130"/>
        <v>0.62</v>
      </c>
      <c r="BV204" s="60">
        <f t="shared" si="135"/>
        <v>1.38</v>
      </c>
      <c r="BX204" s="1">
        <v>0</v>
      </c>
      <c r="BZ204" s="1">
        <v>0</v>
      </c>
      <c r="CB204" s="17" t="s">
        <v>218</v>
      </c>
      <c r="CC204" s="17" t="s">
        <v>218</v>
      </c>
      <c r="CD204" s="3">
        <f t="shared" si="137"/>
        <v>10.5</v>
      </c>
      <c r="CE204" s="17" t="s">
        <v>218</v>
      </c>
      <c r="CF204" s="17" t="s">
        <v>218</v>
      </c>
      <c r="CG204" s="17" t="s">
        <v>218</v>
      </c>
      <c r="CH204" s="17" t="s">
        <v>218</v>
      </c>
      <c r="CI204" s="17" t="s">
        <v>218</v>
      </c>
      <c r="CJ204" s="17" t="s">
        <v>218</v>
      </c>
      <c r="CK204" s="17" t="s">
        <v>218</v>
      </c>
      <c r="CL204" s="1">
        <f t="shared" si="138"/>
        <v>17.5</v>
      </c>
      <c r="CM204" s="17" t="s">
        <v>218</v>
      </c>
      <c r="CN204" s="17" t="s">
        <v>218</v>
      </c>
      <c r="CO204" s="17" t="s">
        <v>218</v>
      </c>
      <c r="CP204" s="17" t="s">
        <v>218</v>
      </c>
      <c r="CQ204" s="17" t="s">
        <v>218</v>
      </c>
      <c r="CR204" s="17" t="s">
        <v>218</v>
      </c>
      <c r="CS204" s="17" t="s">
        <v>218</v>
      </c>
      <c r="CT204" s="1">
        <f t="shared" si="139"/>
        <v>2.9</v>
      </c>
      <c r="CU204" s="17" t="s">
        <v>218</v>
      </c>
      <c r="CV204" s="17" t="s">
        <v>218</v>
      </c>
      <c r="CW204" s="17" t="s">
        <v>218</v>
      </c>
      <c r="CX204" s="17" t="s">
        <v>218</v>
      </c>
      <c r="CY204" s="17" t="s">
        <v>218</v>
      </c>
      <c r="CZ204" s="17" t="s">
        <v>218</v>
      </c>
      <c r="DA204" s="2">
        <f t="shared" si="140"/>
        <v>31</v>
      </c>
      <c r="DB204" s="20">
        <f t="shared" si="141"/>
        <v>0</v>
      </c>
      <c r="DC204" s="1">
        <f>ROUND(PPTest!K204,1)</f>
        <v>0</v>
      </c>
      <c r="DD204" s="17" t="s">
        <v>218</v>
      </c>
      <c r="DE204" s="17" t="s">
        <v>218</v>
      </c>
      <c r="DF204" s="24">
        <f t="shared" si="142"/>
        <v>0.62</v>
      </c>
      <c r="DG204" s="24">
        <f t="shared" si="143"/>
        <v>1.38</v>
      </c>
      <c r="DH204" s="17" t="s">
        <v>218</v>
      </c>
      <c r="DK204" s="1">
        <v>14.2</v>
      </c>
      <c r="DL204" s="1">
        <v>19.600000381469727</v>
      </c>
      <c r="DM204" s="1">
        <v>7.6999998092651367</v>
      </c>
      <c r="DN204" s="1">
        <v>60.583333333333336</v>
      </c>
      <c r="DO204" s="1">
        <v>39</v>
      </c>
      <c r="DQ204" s="1">
        <v>18.5</v>
      </c>
      <c r="DR204" s="1">
        <v>31.4</v>
      </c>
      <c r="DS204" s="1">
        <v>5.5</v>
      </c>
    </row>
    <row r="205" spans="1:123" x14ac:dyDescent="0.2">
      <c r="A205" s="15">
        <f t="shared" si="144"/>
        <v>36724</v>
      </c>
      <c r="B205" s="1">
        <v>199</v>
      </c>
      <c r="E205" s="55">
        <f t="shared" si="131"/>
        <v>13.4</v>
      </c>
      <c r="P205" s="18"/>
      <c r="R205" s="55">
        <f t="shared" si="132"/>
        <v>21.4</v>
      </c>
      <c r="AD205" s="18"/>
      <c r="AF205" s="55">
        <f t="shared" si="133"/>
        <v>4.5</v>
      </c>
      <c r="BM205" s="17">
        <v>31.42</v>
      </c>
      <c r="BN205" s="17">
        <f t="shared" si="136"/>
        <v>63.468400000000003</v>
      </c>
      <c r="BO205" s="18"/>
      <c r="BP205" s="18"/>
      <c r="BT205" s="55">
        <f t="shared" si="134"/>
        <v>22</v>
      </c>
      <c r="BU205" s="60">
        <f t="shared" si="130"/>
        <v>0.56100000000000005</v>
      </c>
      <c r="BV205" s="60">
        <f t="shared" si="135"/>
        <v>1.9890000000000001</v>
      </c>
      <c r="BX205" s="1">
        <v>0</v>
      </c>
      <c r="BZ205" s="1">
        <v>0</v>
      </c>
      <c r="CB205" s="17" t="s">
        <v>218</v>
      </c>
      <c r="CC205" s="17" t="s">
        <v>218</v>
      </c>
      <c r="CD205" s="3">
        <f t="shared" si="137"/>
        <v>13.4</v>
      </c>
      <c r="CE205" s="17" t="s">
        <v>218</v>
      </c>
      <c r="CF205" s="17" t="s">
        <v>218</v>
      </c>
      <c r="CG205" s="17" t="s">
        <v>218</v>
      </c>
      <c r="CH205" s="17" t="s">
        <v>218</v>
      </c>
      <c r="CI205" s="17" t="s">
        <v>218</v>
      </c>
      <c r="CJ205" s="17" t="s">
        <v>218</v>
      </c>
      <c r="CK205" s="17" t="s">
        <v>218</v>
      </c>
      <c r="CL205" s="1">
        <f t="shared" si="138"/>
        <v>21.4</v>
      </c>
      <c r="CM205" s="17" t="s">
        <v>218</v>
      </c>
      <c r="CN205" s="17" t="s">
        <v>218</v>
      </c>
      <c r="CO205" s="17" t="s">
        <v>218</v>
      </c>
      <c r="CP205" s="17" t="s">
        <v>218</v>
      </c>
      <c r="CQ205" s="17" t="s">
        <v>218</v>
      </c>
      <c r="CR205" s="17" t="s">
        <v>218</v>
      </c>
      <c r="CS205" s="17" t="s">
        <v>218</v>
      </c>
      <c r="CT205" s="1">
        <f t="shared" si="139"/>
        <v>4.5</v>
      </c>
      <c r="CU205" s="17" t="s">
        <v>218</v>
      </c>
      <c r="CV205" s="17" t="s">
        <v>218</v>
      </c>
      <c r="CW205" s="17" t="s">
        <v>218</v>
      </c>
      <c r="CX205" s="17" t="s">
        <v>218</v>
      </c>
      <c r="CY205" s="17" t="s">
        <v>218</v>
      </c>
      <c r="CZ205" s="17" t="s">
        <v>218</v>
      </c>
      <c r="DA205" s="2">
        <f t="shared" si="140"/>
        <v>22</v>
      </c>
      <c r="DB205" s="20">
        <f t="shared" si="141"/>
        <v>0</v>
      </c>
      <c r="DC205" s="1">
        <f>ROUND(PPTest!K205,1)</f>
        <v>0</v>
      </c>
      <c r="DD205" s="17" t="s">
        <v>218</v>
      </c>
      <c r="DE205" s="17" t="s">
        <v>218</v>
      </c>
      <c r="DF205" s="24">
        <f t="shared" si="142"/>
        <v>0.56100000000000005</v>
      </c>
      <c r="DG205" s="24">
        <f t="shared" si="143"/>
        <v>1.9890000000000001</v>
      </c>
      <c r="DH205" s="17" t="s">
        <v>218</v>
      </c>
      <c r="DK205" s="1">
        <v>17.7</v>
      </c>
      <c r="DL205" s="1">
        <v>23.799999237060547</v>
      </c>
      <c r="DM205" s="1">
        <v>10.399999618530273</v>
      </c>
      <c r="DN205" s="1">
        <v>45.083333333333336</v>
      </c>
      <c r="DO205" s="1">
        <v>29</v>
      </c>
      <c r="DQ205" s="1">
        <v>21</v>
      </c>
      <c r="DR205" s="1">
        <v>34.799999999999997</v>
      </c>
      <c r="DS205" s="1">
        <v>7.1</v>
      </c>
    </row>
    <row r="206" spans="1:123" x14ac:dyDescent="0.2">
      <c r="A206" s="15">
        <f t="shared" si="144"/>
        <v>36725</v>
      </c>
      <c r="B206" s="1">
        <v>200</v>
      </c>
      <c r="E206" s="55">
        <f t="shared" si="131"/>
        <v>14.3</v>
      </c>
      <c r="P206" s="18"/>
      <c r="R206" s="55">
        <f t="shared" si="132"/>
        <v>21.7</v>
      </c>
      <c r="AD206" s="18"/>
      <c r="AF206" s="55">
        <f t="shared" si="133"/>
        <v>6.7</v>
      </c>
      <c r="BM206" s="17">
        <v>31.29</v>
      </c>
      <c r="BN206" s="17">
        <f t="shared" si="136"/>
        <v>63.205799999999996</v>
      </c>
      <c r="BO206" s="18"/>
      <c r="BP206" s="18"/>
      <c r="BT206" s="55">
        <f t="shared" si="134"/>
        <v>22</v>
      </c>
      <c r="BU206" s="60">
        <f t="shared" si="130"/>
        <v>0.57099999999999995</v>
      </c>
      <c r="BV206" s="60">
        <f t="shared" si="135"/>
        <v>2.024</v>
      </c>
      <c r="BX206" s="1">
        <v>0</v>
      </c>
      <c r="BZ206" s="1">
        <v>0</v>
      </c>
      <c r="CB206" s="17" t="s">
        <v>218</v>
      </c>
      <c r="CC206" s="17" t="s">
        <v>218</v>
      </c>
      <c r="CD206" s="3">
        <f t="shared" si="137"/>
        <v>14.3</v>
      </c>
      <c r="CE206" s="17" t="s">
        <v>218</v>
      </c>
      <c r="CF206" s="17" t="s">
        <v>218</v>
      </c>
      <c r="CG206" s="17" t="s">
        <v>218</v>
      </c>
      <c r="CH206" s="17" t="s">
        <v>218</v>
      </c>
      <c r="CI206" s="17" t="s">
        <v>218</v>
      </c>
      <c r="CJ206" s="17" t="s">
        <v>218</v>
      </c>
      <c r="CK206" s="17" t="s">
        <v>218</v>
      </c>
      <c r="CL206" s="1">
        <f t="shared" si="138"/>
        <v>21.7</v>
      </c>
      <c r="CM206" s="17" t="s">
        <v>218</v>
      </c>
      <c r="CN206" s="17" t="s">
        <v>218</v>
      </c>
      <c r="CO206" s="17" t="s">
        <v>218</v>
      </c>
      <c r="CP206" s="17" t="s">
        <v>218</v>
      </c>
      <c r="CQ206" s="17" t="s">
        <v>218</v>
      </c>
      <c r="CR206" s="17" t="s">
        <v>218</v>
      </c>
      <c r="CS206" s="17" t="s">
        <v>218</v>
      </c>
      <c r="CT206" s="1">
        <f t="shared" si="139"/>
        <v>6.7</v>
      </c>
      <c r="CU206" s="17" t="s">
        <v>218</v>
      </c>
      <c r="CV206" s="17" t="s">
        <v>218</v>
      </c>
      <c r="CW206" s="17" t="s">
        <v>218</v>
      </c>
      <c r="CX206" s="17" t="s">
        <v>218</v>
      </c>
      <c r="CY206" s="17" t="s">
        <v>218</v>
      </c>
      <c r="CZ206" s="17" t="s">
        <v>218</v>
      </c>
      <c r="DA206" s="2">
        <f t="shared" si="140"/>
        <v>22</v>
      </c>
      <c r="DB206" s="20">
        <f t="shared" si="141"/>
        <v>0</v>
      </c>
      <c r="DC206" s="1">
        <f>ROUND(PPTest!K206,1)</f>
        <v>0</v>
      </c>
      <c r="DD206" s="17" t="s">
        <v>218</v>
      </c>
      <c r="DE206" s="17" t="s">
        <v>218</v>
      </c>
      <c r="DF206" s="24">
        <f t="shared" si="142"/>
        <v>0.57099999999999995</v>
      </c>
      <c r="DG206" s="24">
        <f t="shared" si="143"/>
        <v>2.024</v>
      </c>
      <c r="DH206" s="17" t="s">
        <v>218</v>
      </c>
      <c r="DK206" s="1">
        <v>18.8</v>
      </c>
      <c r="DL206" s="1">
        <v>24.200000762939453</v>
      </c>
      <c r="DM206" s="1">
        <v>13.899999618530273</v>
      </c>
      <c r="DN206" s="1">
        <v>43.25</v>
      </c>
      <c r="DO206" s="1">
        <v>29</v>
      </c>
      <c r="DQ206" s="1">
        <v>22.1</v>
      </c>
      <c r="DR206" s="1">
        <v>34.700000000000003</v>
      </c>
      <c r="DS206" s="1">
        <v>9.4</v>
      </c>
    </row>
    <row r="207" spans="1:123" x14ac:dyDescent="0.2">
      <c r="A207" s="15">
        <f t="shared" si="144"/>
        <v>36726</v>
      </c>
      <c r="B207" s="1">
        <v>201</v>
      </c>
      <c r="E207" s="55">
        <f t="shared" si="131"/>
        <v>14.6</v>
      </c>
      <c r="P207" s="18"/>
      <c r="R207" s="55">
        <f t="shared" si="132"/>
        <v>21.8</v>
      </c>
      <c r="AD207" s="18"/>
      <c r="AF207" s="55">
        <f t="shared" si="133"/>
        <v>6.5</v>
      </c>
      <c r="BM207" s="17">
        <v>31.17</v>
      </c>
      <c r="BN207" s="17">
        <f t="shared" si="136"/>
        <v>62.963400000000007</v>
      </c>
      <c r="BO207" s="18"/>
      <c r="BP207" s="18"/>
      <c r="BT207" s="55">
        <f t="shared" si="134"/>
        <v>28</v>
      </c>
      <c r="BU207" s="60">
        <f t="shared" si="130"/>
        <v>0.73099999999999998</v>
      </c>
      <c r="BV207" s="60">
        <f t="shared" si="135"/>
        <v>1.88</v>
      </c>
      <c r="BX207" s="1">
        <v>0</v>
      </c>
      <c r="BZ207" s="1">
        <v>0</v>
      </c>
      <c r="CB207" s="17" t="s">
        <v>218</v>
      </c>
      <c r="CC207" s="17" t="s">
        <v>218</v>
      </c>
      <c r="CD207" s="3">
        <f t="shared" si="137"/>
        <v>14.6</v>
      </c>
      <c r="CE207" s="17" t="s">
        <v>218</v>
      </c>
      <c r="CF207" s="17" t="s">
        <v>218</v>
      </c>
      <c r="CG207" s="17" t="s">
        <v>218</v>
      </c>
      <c r="CH207" s="17" t="s">
        <v>218</v>
      </c>
      <c r="CI207" s="17" t="s">
        <v>218</v>
      </c>
      <c r="CJ207" s="17" t="s">
        <v>218</v>
      </c>
      <c r="CK207" s="17" t="s">
        <v>218</v>
      </c>
      <c r="CL207" s="1">
        <f t="shared" si="138"/>
        <v>21.8</v>
      </c>
      <c r="CM207" s="17" t="s">
        <v>218</v>
      </c>
      <c r="CN207" s="17" t="s">
        <v>218</v>
      </c>
      <c r="CO207" s="17" t="s">
        <v>218</v>
      </c>
      <c r="CP207" s="17" t="s">
        <v>218</v>
      </c>
      <c r="CQ207" s="17" t="s">
        <v>218</v>
      </c>
      <c r="CR207" s="17" t="s">
        <v>218</v>
      </c>
      <c r="CS207" s="17" t="s">
        <v>218</v>
      </c>
      <c r="CT207" s="1">
        <f t="shared" si="139"/>
        <v>6.5</v>
      </c>
      <c r="CU207" s="17" t="s">
        <v>218</v>
      </c>
      <c r="CV207" s="17" t="s">
        <v>218</v>
      </c>
      <c r="CW207" s="17" t="s">
        <v>218</v>
      </c>
      <c r="CX207" s="17" t="s">
        <v>218</v>
      </c>
      <c r="CY207" s="17" t="s">
        <v>218</v>
      </c>
      <c r="CZ207" s="17" t="s">
        <v>218</v>
      </c>
      <c r="DA207" s="2">
        <f t="shared" si="140"/>
        <v>28</v>
      </c>
      <c r="DB207" s="20">
        <f t="shared" si="141"/>
        <v>0</v>
      </c>
      <c r="DC207" s="1">
        <f>ROUND(PPTest!K207,1)</f>
        <v>0</v>
      </c>
      <c r="DD207" s="17" t="s">
        <v>218</v>
      </c>
      <c r="DE207" s="17" t="s">
        <v>218</v>
      </c>
      <c r="DF207" s="24">
        <f t="shared" si="142"/>
        <v>0.73099999999999998</v>
      </c>
      <c r="DG207" s="24">
        <f t="shared" si="143"/>
        <v>1.88</v>
      </c>
      <c r="DH207" s="17" t="s">
        <v>218</v>
      </c>
      <c r="DK207" s="1">
        <v>19.100000000000001</v>
      </c>
      <c r="DL207" s="1">
        <v>24.299999237060547</v>
      </c>
      <c r="DM207" s="1">
        <v>13.600000381469727</v>
      </c>
      <c r="DN207" s="1">
        <v>53.416666666666664</v>
      </c>
      <c r="DO207" s="1">
        <v>36</v>
      </c>
      <c r="DQ207" s="1">
        <v>23.9</v>
      </c>
      <c r="DR207" s="1">
        <v>36.9</v>
      </c>
      <c r="DS207" s="1">
        <v>10.9</v>
      </c>
    </row>
    <row r="208" spans="1:123" x14ac:dyDescent="0.2">
      <c r="A208" s="15">
        <f t="shared" si="144"/>
        <v>36727</v>
      </c>
      <c r="B208" s="1">
        <v>202</v>
      </c>
      <c r="E208" s="55">
        <f t="shared" si="131"/>
        <v>13.5</v>
      </c>
      <c r="P208" s="18"/>
      <c r="R208" s="55">
        <f t="shared" si="132"/>
        <v>21.4</v>
      </c>
      <c r="AD208" s="18"/>
      <c r="AF208" s="55">
        <f t="shared" si="133"/>
        <v>6</v>
      </c>
      <c r="BM208" s="17">
        <v>31.03</v>
      </c>
      <c r="BN208" s="17">
        <f t="shared" si="136"/>
        <v>62.680600000000005</v>
      </c>
      <c r="BO208" s="18"/>
      <c r="BP208" s="18"/>
      <c r="BT208" s="55">
        <f t="shared" si="134"/>
        <v>38</v>
      </c>
      <c r="BU208" s="60">
        <f t="shared" si="130"/>
        <v>0.96799999999999997</v>
      </c>
      <c r="BV208" s="60">
        <f t="shared" si="135"/>
        <v>1.579</v>
      </c>
      <c r="BX208" s="1">
        <v>2</v>
      </c>
      <c r="BZ208" s="1">
        <v>1.2999999999999998</v>
      </c>
      <c r="CB208" s="17" t="s">
        <v>218</v>
      </c>
      <c r="CC208" s="17" t="s">
        <v>218</v>
      </c>
      <c r="CD208" s="3">
        <f t="shared" si="137"/>
        <v>13.5</v>
      </c>
      <c r="CE208" s="17" t="s">
        <v>218</v>
      </c>
      <c r="CF208" s="17" t="s">
        <v>218</v>
      </c>
      <c r="CG208" s="17" t="s">
        <v>218</v>
      </c>
      <c r="CH208" s="17" t="s">
        <v>218</v>
      </c>
      <c r="CI208" s="17" t="s">
        <v>218</v>
      </c>
      <c r="CJ208" s="17" t="s">
        <v>218</v>
      </c>
      <c r="CK208" s="17" t="s">
        <v>218</v>
      </c>
      <c r="CL208" s="1">
        <f t="shared" si="138"/>
        <v>21.4</v>
      </c>
      <c r="CM208" s="17" t="s">
        <v>218</v>
      </c>
      <c r="CN208" s="17" t="s">
        <v>218</v>
      </c>
      <c r="CO208" s="17" t="s">
        <v>218</v>
      </c>
      <c r="CP208" s="17" t="s">
        <v>218</v>
      </c>
      <c r="CQ208" s="17" t="s">
        <v>218</v>
      </c>
      <c r="CR208" s="17" t="s">
        <v>218</v>
      </c>
      <c r="CS208" s="17" t="s">
        <v>218</v>
      </c>
      <c r="CT208" s="1">
        <f t="shared" si="139"/>
        <v>6</v>
      </c>
      <c r="CU208" s="17" t="s">
        <v>218</v>
      </c>
      <c r="CV208" s="17" t="s">
        <v>218</v>
      </c>
      <c r="CW208" s="17" t="s">
        <v>218</v>
      </c>
      <c r="CX208" s="17" t="s">
        <v>218</v>
      </c>
      <c r="CY208" s="17" t="s">
        <v>218</v>
      </c>
      <c r="CZ208" s="17" t="s">
        <v>218</v>
      </c>
      <c r="DA208" s="2">
        <f t="shared" si="140"/>
        <v>38</v>
      </c>
      <c r="DB208" s="20">
        <f t="shared" si="141"/>
        <v>0</v>
      </c>
      <c r="DC208" s="1">
        <f>ROUND(PPTest!K208,1)</f>
        <v>2.1</v>
      </c>
      <c r="DD208" s="17" t="s">
        <v>218</v>
      </c>
      <c r="DE208" s="17" t="s">
        <v>218</v>
      </c>
      <c r="DF208" s="24">
        <f t="shared" si="142"/>
        <v>0.96799999999999997</v>
      </c>
      <c r="DG208" s="24">
        <f t="shared" si="143"/>
        <v>1.579</v>
      </c>
      <c r="DH208" s="17" t="s">
        <v>218</v>
      </c>
      <c r="DK208" s="1">
        <v>17.8</v>
      </c>
      <c r="DL208" s="1">
        <v>23.799999237060547</v>
      </c>
      <c r="DM208" s="1">
        <v>12.899999618530273</v>
      </c>
      <c r="DN208" s="1">
        <v>62.791666666666664</v>
      </c>
      <c r="DO208" s="1">
        <v>48</v>
      </c>
      <c r="DQ208" s="1">
        <v>24</v>
      </c>
      <c r="DR208" s="1">
        <v>36.4</v>
      </c>
      <c r="DS208" s="1">
        <v>11.6</v>
      </c>
    </row>
    <row r="209" spans="1:123" x14ac:dyDescent="0.2">
      <c r="A209" s="15">
        <f t="shared" si="144"/>
        <v>36728</v>
      </c>
      <c r="B209" s="1">
        <v>203</v>
      </c>
      <c r="E209" s="55">
        <f t="shared" si="131"/>
        <v>15.1</v>
      </c>
      <c r="P209" s="18"/>
      <c r="R209" s="55">
        <f t="shared" si="132"/>
        <v>23.3</v>
      </c>
      <c r="AD209" s="18"/>
      <c r="AF209" s="55">
        <f t="shared" si="133"/>
        <v>5.5</v>
      </c>
      <c r="BM209" s="17">
        <v>30.9</v>
      </c>
      <c r="BN209" s="17">
        <f t="shared" si="136"/>
        <v>62.417999999999999</v>
      </c>
      <c r="BO209" s="18"/>
      <c r="BP209" s="18"/>
      <c r="BT209" s="55">
        <f t="shared" si="134"/>
        <v>26</v>
      </c>
      <c r="BU209" s="60">
        <f t="shared" si="130"/>
        <v>0.74399999999999999</v>
      </c>
      <c r="BV209" s="60">
        <f t="shared" si="135"/>
        <v>2.1179999999999999</v>
      </c>
      <c r="BX209" s="1">
        <v>0</v>
      </c>
      <c r="BZ209" s="1">
        <v>0</v>
      </c>
      <c r="CB209" s="17" t="s">
        <v>218</v>
      </c>
      <c r="CC209" s="17" t="s">
        <v>218</v>
      </c>
      <c r="CD209" s="3">
        <f t="shared" si="137"/>
        <v>15.1</v>
      </c>
      <c r="CE209" s="17" t="s">
        <v>218</v>
      </c>
      <c r="CF209" s="17" t="s">
        <v>218</v>
      </c>
      <c r="CG209" s="17" t="s">
        <v>218</v>
      </c>
      <c r="CH209" s="17" t="s">
        <v>218</v>
      </c>
      <c r="CI209" s="17" t="s">
        <v>218</v>
      </c>
      <c r="CJ209" s="17" t="s">
        <v>218</v>
      </c>
      <c r="CK209" s="17" t="s">
        <v>218</v>
      </c>
      <c r="CL209" s="1">
        <f t="shared" si="138"/>
        <v>23.3</v>
      </c>
      <c r="CM209" s="17" t="s">
        <v>218</v>
      </c>
      <c r="CN209" s="17" t="s">
        <v>218</v>
      </c>
      <c r="CO209" s="17" t="s">
        <v>218</v>
      </c>
      <c r="CP209" s="17" t="s">
        <v>218</v>
      </c>
      <c r="CQ209" s="17" t="s">
        <v>218</v>
      </c>
      <c r="CR209" s="17" t="s">
        <v>218</v>
      </c>
      <c r="CS209" s="17" t="s">
        <v>218</v>
      </c>
      <c r="CT209" s="1">
        <f t="shared" si="139"/>
        <v>5.5</v>
      </c>
      <c r="CU209" s="17" t="s">
        <v>218</v>
      </c>
      <c r="CV209" s="17" t="s">
        <v>218</v>
      </c>
      <c r="CW209" s="17" t="s">
        <v>218</v>
      </c>
      <c r="CX209" s="17" t="s">
        <v>218</v>
      </c>
      <c r="CY209" s="17" t="s">
        <v>218</v>
      </c>
      <c r="CZ209" s="17" t="s">
        <v>218</v>
      </c>
      <c r="DA209" s="2">
        <f t="shared" si="140"/>
        <v>26</v>
      </c>
      <c r="DB209" s="20">
        <f t="shared" si="141"/>
        <v>0</v>
      </c>
      <c r="DC209" s="1">
        <f>ROUND(PPTest!K209,1)</f>
        <v>0</v>
      </c>
      <c r="DD209" s="17" t="s">
        <v>218</v>
      </c>
      <c r="DE209" s="17" t="s">
        <v>218</v>
      </c>
      <c r="DF209" s="24">
        <f t="shared" si="142"/>
        <v>0.74399999999999999</v>
      </c>
      <c r="DG209" s="24">
        <f t="shared" si="143"/>
        <v>2.1179999999999999</v>
      </c>
      <c r="DH209" s="17" t="s">
        <v>218</v>
      </c>
      <c r="DK209" s="1">
        <v>19.8</v>
      </c>
      <c r="DL209" s="1">
        <v>25.899999618530273</v>
      </c>
      <c r="DM209" s="1">
        <v>12</v>
      </c>
      <c r="DN209" s="1">
        <v>55.375</v>
      </c>
      <c r="DO209" s="1">
        <v>34</v>
      </c>
      <c r="DQ209" s="1">
        <v>23.9</v>
      </c>
      <c r="DR209" s="1">
        <v>37</v>
      </c>
      <c r="DS209" s="1">
        <v>10.7</v>
      </c>
    </row>
    <row r="210" spans="1:123" x14ac:dyDescent="0.2">
      <c r="A210" s="15">
        <f t="shared" si="144"/>
        <v>36729</v>
      </c>
      <c r="B210" s="1">
        <v>204</v>
      </c>
      <c r="E210" s="55">
        <f t="shared" si="131"/>
        <v>13.6</v>
      </c>
      <c r="P210" s="18"/>
      <c r="R210" s="55">
        <f t="shared" si="132"/>
        <v>20</v>
      </c>
      <c r="AD210" s="18"/>
      <c r="AF210" s="55">
        <f t="shared" si="133"/>
        <v>4.4000000000000004</v>
      </c>
      <c r="BM210" s="17">
        <v>30.76</v>
      </c>
      <c r="BN210" s="17">
        <f t="shared" si="136"/>
        <v>62.135200000000005</v>
      </c>
      <c r="BO210" s="18"/>
      <c r="BP210" s="18"/>
      <c r="BT210" s="55">
        <f t="shared" si="134"/>
        <v>39</v>
      </c>
      <c r="BU210" s="60">
        <f t="shared" si="130"/>
        <v>0.91200000000000003</v>
      </c>
      <c r="BV210" s="60">
        <f t="shared" si="135"/>
        <v>1.4259999999999999</v>
      </c>
      <c r="BX210" s="1">
        <v>25.4</v>
      </c>
      <c r="BZ210" s="1">
        <v>15.3</v>
      </c>
      <c r="CB210" s="17" t="s">
        <v>218</v>
      </c>
      <c r="CC210" s="17" t="s">
        <v>218</v>
      </c>
      <c r="CD210" s="3">
        <f t="shared" si="137"/>
        <v>13.6</v>
      </c>
      <c r="CE210" s="17" t="s">
        <v>218</v>
      </c>
      <c r="CF210" s="17" t="s">
        <v>218</v>
      </c>
      <c r="CG210" s="17" t="s">
        <v>218</v>
      </c>
      <c r="CH210" s="17" t="s">
        <v>218</v>
      </c>
      <c r="CI210" s="17" t="s">
        <v>218</v>
      </c>
      <c r="CJ210" s="17" t="s">
        <v>218</v>
      </c>
      <c r="CK210" s="17" t="s">
        <v>218</v>
      </c>
      <c r="CL210" s="1">
        <f t="shared" si="138"/>
        <v>20</v>
      </c>
      <c r="CM210" s="17" t="s">
        <v>218</v>
      </c>
      <c r="CN210" s="17" t="s">
        <v>218</v>
      </c>
      <c r="CO210" s="17" t="s">
        <v>218</v>
      </c>
      <c r="CP210" s="17" t="s">
        <v>218</v>
      </c>
      <c r="CQ210" s="17" t="s">
        <v>218</v>
      </c>
      <c r="CR210" s="17" t="s">
        <v>218</v>
      </c>
      <c r="CS210" s="17" t="s">
        <v>218</v>
      </c>
      <c r="CT210" s="1">
        <f t="shared" si="139"/>
        <v>4.4000000000000004</v>
      </c>
      <c r="CU210" s="17" t="s">
        <v>218</v>
      </c>
      <c r="CV210" s="17" t="s">
        <v>218</v>
      </c>
      <c r="CW210" s="17" t="s">
        <v>218</v>
      </c>
      <c r="CX210" s="17" t="s">
        <v>218</v>
      </c>
      <c r="CY210" s="17" t="s">
        <v>218</v>
      </c>
      <c r="CZ210" s="17" t="s">
        <v>218</v>
      </c>
      <c r="DA210" s="2">
        <f t="shared" si="140"/>
        <v>39</v>
      </c>
      <c r="DB210" s="20">
        <f t="shared" si="141"/>
        <v>0</v>
      </c>
      <c r="DC210" s="1">
        <f>ROUND(PPTest!K210,1)</f>
        <v>26.7</v>
      </c>
      <c r="DD210" s="17" t="s">
        <v>218</v>
      </c>
      <c r="DE210" s="17" t="s">
        <v>218</v>
      </c>
      <c r="DF210" s="24">
        <f t="shared" si="142"/>
        <v>0.91200000000000003</v>
      </c>
      <c r="DG210" s="24">
        <f t="shared" si="143"/>
        <v>1.4259999999999999</v>
      </c>
      <c r="DH210" s="17" t="s">
        <v>218</v>
      </c>
      <c r="DK210" s="1">
        <v>17.899999999999999</v>
      </c>
      <c r="DL210" s="1">
        <v>22.299999237060547</v>
      </c>
      <c r="DM210" s="1">
        <v>10.199999809265137</v>
      </c>
      <c r="DN210" s="1">
        <v>64.583333333333329</v>
      </c>
      <c r="DO210" s="1">
        <v>49</v>
      </c>
      <c r="DQ210" s="1">
        <v>23.5</v>
      </c>
      <c r="DR210" s="1">
        <v>34.6</v>
      </c>
      <c r="DS210" s="1">
        <v>12.3</v>
      </c>
    </row>
    <row r="211" spans="1:123" x14ac:dyDescent="0.2">
      <c r="A211" s="15">
        <f t="shared" si="144"/>
        <v>36730</v>
      </c>
      <c r="B211" s="1">
        <v>205</v>
      </c>
      <c r="E211" s="55">
        <f t="shared" si="131"/>
        <v>8.1999999999999993</v>
      </c>
      <c r="P211" s="18"/>
      <c r="R211" s="55">
        <f t="shared" si="132"/>
        <v>12.7</v>
      </c>
      <c r="AD211" s="18"/>
      <c r="AF211" s="55">
        <f t="shared" si="133"/>
        <v>3.9</v>
      </c>
      <c r="BM211" s="17">
        <v>30.62</v>
      </c>
      <c r="BN211" s="17">
        <f t="shared" si="136"/>
        <v>61.852400000000003</v>
      </c>
      <c r="BO211" s="18"/>
      <c r="BP211" s="18"/>
      <c r="BT211" s="55">
        <f t="shared" si="134"/>
        <v>69</v>
      </c>
      <c r="BU211" s="60">
        <f t="shared" si="130"/>
        <v>1.0129999999999999</v>
      </c>
      <c r="BV211" s="60">
        <f t="shared" si="135"/>
        <v>0.45500000000000002</v>
      </c>
      <c r="BX211" s="1">
        <v>5.7</v>
      </c>
      <c r="BZ211" s="1">
        <v>7.1999999999999993</v>
      </c>
      <c r="CB211" s="17" t="s">
        <v>218</v>
      </c>
      <c r="CC211" s="17" t="s">
        <v>218</v>
      </c>
      <c r="CD211" s="3">
        <f t="shared" si="137"/>
        <v>8.1999999999999993</v>
      </c>
      <c r="CE211" s="17" t="s">
        <v>218</v>
      </c>
      <c r="CF211" s="17" t="s">
        <v>218</v>
      </c>
      <c r="CG211" s="17" t="s">
        <v>218</v>
      </c>
      <c r="CH211" s="17" t="s">
        <v>218</v>
      </c>
      <c r="CI211" s="17" t="s">
        <v>218</v>
      </c>
      <c r="CJ211" s="17" t="s">
        <v>218</v>
      </c>
      <c r="CK211" s="17" t="s">
        <v>218</v>
      </c>
      <c r="CL211" s="1">
        <f t="shared" si="138"/>
        <v>12.7</v>
      </c>
      <c r="CM211" s="17" t="s">
        <v>218</v>
      </c>
      <c r="CN211" s="17" t="s">
        <v>218</v>
      </c>
      <c r="CO211" s="17" t="s">
        <v>218</v>
      </c>
      <c r="CP211" s="17" t="s">
        <v>218</v>
      </c>
      <c r="CQ211" s="17" t="s">
        <v>218</v>
      </c>
      <c r="CR211" s="17" t="s">
        <v>218</v>
      </c>
      <c r="CS211" s="17" t="s">
        <v>218</v>
      </c>
      <c r="CT211" s="1">
        <f t="shared" si="139"/>
        <v>3.9</v>
      </c>
      <c r="CU211" s="17" t="s">
        <v>218</v>
      </c>
      <c r="CV211" s="17" t="s">
        <v>218</v>
      </c>
      <c r="CW211" s="17" t="s">
        <v>218</v>
      </c>
      <c r="CX211" s="17" t="s">
        <v>218</v>
      </c>
      <c r="CY211" s="17" t="s">
        <v>218</v>
      </c>
      <c r="CZ211" s="17" t="s">
        <v>218</v>
      </c>
      <c r="DA211" s="2">
        <f t="shared" si="140"/>
        <v>69</v>
      </c>
      <c r="DB211" s="20">
        <f t="shared" si="141"/>
        <v>0</v>
      </c>
      <c r="DC211" s="1">
        <f>ROUND(PPTest!K211,1)</f>
        <v>6</v>
      </c>
      <c r="DD211" s="17" t="s">
        <v>218</v>
      </c>
      <c r="DE211" s="17" t="s">
        <v>218</v>
      </c>
      <c r="DF211" s="24">
        <f t="shared" si="142"/>
        <v>1.0129999999999999</v>
      </c>
      <c r="DG211" s="24">
        <f t="shared" si="143"/>
        <v>0.45500000000000002</v>
      </c>
      <c r="DH211" s="17" t="s">
        <v>218</v>
      </c>
      <c r="DK211" s="1">
        <v>11.3</v>
      </c>
      <c r="DL211" s="1">
        <v>14.399999618530273</v>
      </c>
      <c r="DM211" s="1">
        <v>9.3000001907348633</v>
      </c>
      <c r="DN211" s="1">
        <v>95.583333333333329</v>
      </c>
      <c r="DO211" s="1">
        <v>84</v>
      </c>
      <c r="DQ211" s="1">
        <v>21.5</v>
      </c>
      <c r="DR211" s="1">
        <v>29</v>
      </c>
      <c r="DS211" s="1">
        <v>13.9</v>
      </c>
    </row>
    <row r="212" spans="1:123" x14ac:dyDescent="0.2">
      <c r="A212" s="15">
        <f t="shared" si="144"/>
        <v>36731</v>
      </c>
      <c r="B212" s="1">
        <v>206</v>
      </c>
      <c r="E212" s="55">
        <f t="shared" si="131"/>
        <v>11.1</v>
      </c>
      <c r="P212" s="18"/>
      <c r="R212" s="55">
        <f t="shared" si="132"/>
        <v>18.600000000000001</v>
      </c>
      <c r="AD212" s="18"/>
      <c r="AF212" s="55">
        <f t="shared" si="133"/>
        <v>3.6</v>
      </c>
      <c r="BM212" s="17">
        <v>30.47</v>
      </c>
      <c r="BN212" s="17">
        <f t="shared" si="136"/>
        <v>61.549399999999999</v>
      </c>
      <c r="BO212" s="18"/>
      <c r="BP212" s="18"/>
      <c r="BT212" s="55">
        <f t="shared" si="134"/>
        <v>43</v>
      </c>
      <c r="BU212" s="60">
        <f t="shared" si="130"/>
        <v>0.92100000000000004</v>
      </c>
      <c r="BV212" s="60">
        <f t="shared" si="135"/>
        <v>1.2210000000000001</v>
      </c>
      <c r="BX212" s="1">
        <v>0</v>
      </c>
      <c r="BZ212" s="1">
        <v>0</v>
      </c>
      <c r="CB212" s="17" t="s">
        <v>218</v>
      </c>
      <c r="CC212" s="17" t="s">
        <v>218</v>
      </c>
      <c r="CD212" s="3">
        <f t="shared" si="137"/>
        <v>11.1</v>
      </c>
      <c r="CE212" s="17" t="s">
        <v>218</v>
      </c>
      <c r="CF212" s="17" t="s">
        <v>218</v>
      </c>
      <c r="CG212" s="17" t="s">
        <v>218</v>
      </c>
      <c r="CH212" s="17" t="s">
        <v>218</v>
      </c>
      <c r="CI212" s="17" t="s">
        <v>218</v>
      </c>
      <c r="CJ212" s="17" t="s">
        <v>218</v>
      </c>
      <c r="CK212" s="17" t="s">
        <v>218</v>
      </c>
      <c r="CL212" s="1">
        <f t="shared" si="138"/>
        <v>18.600000000000001</v>
      </c>
      <c r="CM212" s="17" t="s">
        <v>218</v>
      </c>
      <c r="CN212" s="17" t="s">
        <v>218</v>
      </c>
      <c r="CO212" s="17" t="s">
        <v>218</v>
      </c>
      <c r="CP212" s="17" t="s">
        <v>218</v>
      </c>
      <c r="CQ212" s="17" t="s">
        <v>218</v>
      </c>
      <c r="CR212" s="17" t="s">
        <v>218</v>
      </c>
      <c r="CS212" s="17" t="s">
        <v>218</v>
      </c>
      <c r="CT212" s="1">
        <f t="shared" si="139"/>
        <v>3.6</v>
      </c>
      <c r="CU212" s="17" t="s">
        <v>218</v>
      </c>
      <c r="CV212" s="17" t="s">
        <v>218</v>
      </c>
      <c r="CW212" s="17" t="s">
        <v>218</v>
      </c>
      <c r="CX212" s="17" t="s">
        <v>218</v>
      </c>
      <c r="CY212" s="17" t="s">
        <v>218</v>
      </c>
      <c r="CZ212" s="17" t="s">
        <v>218</v>
      </c>
      <c r="DA212" s="2">
        <f t="shared" si="140"/>
        <v>43</v>
      </c>
      <c r="DB212" s="20">
        <f t="shared" si="141"/>
        <v>0</v>
      </c>
      <c r="DC212" s="1">
        <f>ROUND(PPTest!K212,1)</f>
        <v>0</v>
      </c>
      <c r="DD212" s="17" t="s">
        <v>218</v>
      </c>
      <c r="DE212" s="17" t="s">
        <v>218</v>
      </c>
      <c r="DF212" s="24">
        <f t="shared" si="142"/>
        <v>0.92100000000000004</v>
      </c>
      <c r="DG212" s="24">
        <f t="shared" si="143"/>
        <v>1.2210000000000001</v>
      </c>
      <c r="DH212" s="17" t="s">
        <v>218</v>
      </c>
      <c r="DK212" s="1">
        <v>14.9</v>
      </c>
      <c r="DL212" s="1">
        <v>20.799999237060547</v>
      </c>
      <c r="DM212" s="1">
        <v>8.8999996185302734</v>
      </c>
      <c r="DN212" s="1">
        <v>76.416666666666671</v>
      </c>
      <c r="DO212" s="1">
        <v>54</v>
      </c>
      <c r="DQ212" s="1">
        <v>21.9</v>
      </c>
      <c r="DR212" s="1">
        <v>30.6</v>
      </c>
      <c r="DS212" s="1">
        <v>13.2</v>
      </c>
    </row>
    <row r="213" spans="1:123" x14ac:dyDescent="0.2">
      <c r="A213" s="15">
        <f t="shared" si="144"/>
        <v>36732</v>
      </c>
      <c r="B213" s="1">
        <v>207</v>
      </c>
      <c r="E213" s="55">
        <f t="shared" si="131"/>
        <v>10.5</v>
      </c>
      <c r="P213" s="18"/>
      <c r="R213" s="55">
        <f t="shared" si="132"/>
        <v>16.2</v>
      </c>
      <c r="AD213" s="18"/>
      <c r="AF213" s="55">
        <f t="shared" si="133"/>
        <v>3.4</v>
      </c>
      <c r="BM213" s="17">
        <v>30.32</v>
      </c>
      <c r="BN213" s="17">
        <f t="shared" si="136"/>
        <v>61.246400000000001</v>
      </c>
      <c r="BO213" s="18"/>
      <c r="BP213" s="18"/>
      <c r="BT213" s="55">
        <f t="shared" si="134"/>
        <v>51</v>
      </c>
      <c r="BU213" s="60">
        <f t="shared" si="130"/>
        <v>0.93899999999999995</v>
      </c>
      <c r="BV213" s="60">
        <f t="shared" si="135"/>
        <v>0.90200000000000002</v>
      </c>
      <c r="BX213" s="1">
        <v>2.2999999999999998</v>
      </c>
      <c r="BZ213" s="1">
        <v>2.0999999999999996</v>
      </c>
      <c r="CB213" s="17" t="s">
        <v>218</v>
      </c>
      <c r="CC213" s="17" t="s">
        <v>218</v>
      </c>
      <c r="CD213" s="3">
        <f t="shared" si="137"/>
        <v>10.5</v>
      </c>
      <c r="CE213" s="17" t="s">
        <v>218</v>
      </c>
      <c r="CF213" s="17" t="s">
        <v>218</v>
      </c>
      <c r="CG213" s="17" t="s">
        <v>218</v>
      </c>
      <c r="CH213" s="17" t="s">
        <v>218</v>
      </c>
      <c r="CI213" s="17" t="s">
        <v>218</v>
      </c>
      <c r="CJ213" s="17" t="s">
        <v>218</v>
      </c>
      <c r="CK213" s="17" t="s">
        <v>218</v>
      </c>
      <c r="CL213" s="1">
        <f t="shared" si="138"/>
        <v>16.2</v>
      </c>
      <c r="CM213" s="17" t="s">
        <v>218</v>
      </c>
      <c r="CN213" s="17" t="s">
        <v>218</v>
      </c>
      <c r="CO213" s="17" t="s">
        <v>218</v>
      </c>
      <c r="CP213" s="17" t="s">
        <v>218</v>
      </c>
      <c r="CQ213" s="17" t="s">
        <v>218</v>
      </c>
      <c r="CR213" s="17" t="s">
        <v>218</v>
      </c>
      <c r="CS213" s="17" t="s">
        <v>218</v>
      </c>
      <c r="CT213" s="1">
        <f t="shared" si="139"/>
        <v>3.4</v>
      </c>
      <c r="CU213" s="17" t="s">
        <v>218</v>
      </c>
      <c r="CV213" s="17" t="s">
        <v>218</v>
      </c>
      <c r="CW213" s="17" t="s">
        <v>218</v>
      </c>
      <c r="CX213" s="17" t="s">
        <v>218</v>
      </c>
      <c r="CY213" s="17" t="s">
        <v>218</v>
      </c>
      <c r="CZ213" s="17" t="s">
        <v>218</v>
      </c>
      <c r="DA213" s="2">
        <f t="shared" si="140"/>
        <v>51</v>
      </c>
      <c r="DB213" s="20">
        <f t="shared" si="141"/>
        <v>0</v>
      </c>
      <c r="DC213" s="1">
        <f>ROUND(PPTest!K213,1)</f>
        <v>2.4</v>
      </c>
      <c r="DD213" s="17" t="s">
        <v>218</v>
      </c>
      <c r="DE213" s="17" t="s">
        <v>218</v>
      </c>
      <c r="DF213" s="24">
        <f t="shared" si="142"/>
        <v>0.93899999999999995</v>
      </c>
      <c r="DG213" s="24">
        <f t="shared" si="143"/>
        <v>0.90200000000000002</v>
      </c>
      <c r="DH213" s="17" t="s">
        <v>218</v>
      </c>
      <c r="DK213" s="1">
        <v>14.1</v>
      </c>
      <c r="DL213" s="1">
        <v>18.200000762939453</v>
      </c>
      <c r="DM213" s="1">
        <v>8.6000003814697266</v>
      </c>
      <c r="DN213" s="1">
        <v>77.583333333333329</v>
      </c>
      <c r="DO213" s="1">
        <v>63</v>
      </c>
      <c r="DQ213" s="1">
        <v>19</v>
      </c>
      <c r="DR213" s="1">
        <v>27.9</v>
      </c>
      <c r="DS213" s="1">
        <v>10</v>
      </c>
    </row>
    <row r="214" spans="1:123" x14ac:dyDescent="0.2">
      <c r="A214" s="15">
        <f t="shared" si="144"/>
        <v>36733</v>
      </c>
      <c r="B214" s="1">
        <v>208</v>
      </c>
      <c r="E214" s="55">
        <f t="shared" si="131"/>
        <v>10.7</v>
      </c>
      <c r="P214" s="18"/>
      <c r="R214" s="55">
        <f t="shared" si="132"/>
        <v>18.2</v>
      </c>
      <c r="AD214" s="18"/>
      <c r="AF214" s="55">
        <f t="shared" si="133"/>
        <v>3.4</v>
      </c>
      <c r="BM214" s="17">
        <v>30.17</v>
      </c>
      <c r="BN214" s="17">
        <f t="shared" si="136"/>
        <v>60.943400000000004</v>
      </c>
      <c r="BO214" s="18"/>
      <c r="BP214" s="18"/>
      <c r="BT214" s="55">
        <f t="shared" si="134"/>
        <v>43</v>
      </c>
      <c r="BU214" s="60">
        <f t="shared" si="130"/>
        <v>0.89800000000000002</v>
      </c>
      <c r="BV214" s="60">
        <f t="shared" si="135"/>
        <v>1.19</v>
      </c>
      <c r="BX214" s="1">
        <v>1.5</v>
      </c>
      <c r="BZ214" s="1">
        <v>0</v>
      </c>
      <c r="CB214" s="17" t="s">
        <v>218</v>
      </c>
      <c r="CC214" s="17" t="s">
        <v>218</v>
      </c>
      <c r="CD214" s="3">
        <f t="shared" si="137"/>
        <v>10.7</v>
      </c>
      <c r="CE214" s="17" t="s">
        <v>218</v>
      </c>
      <c r="CF214" s="17" t="s">
        <v>218</v>
      </c>
      <c r="CG214" s="17" t="s">
        <v>218</v>
      </c>
      <c r="CH214" s="17" t="s">
        <v>218</v>
      </c>
      <c r="CI214" s="17" t="s">
        <v>218</v>
      </c>
      <c r="CJ214" s="17" t="s">
        <v>218</v>
      </c>
      <c r="CK214" s="17" t="s">
        <v>218</v>
      </c>
      <c r="CL214" s="1">
        <f t="shared" si="138"/>
        <v>18.2</v>
      </c>
      <c r="CM214" s="17" t="s">
        <v>218</v>
      </c>
      <c r="CN214" s="17" t="s">
        <v>218</v>
      </c>
      <c r="CO214" s="17" t="s">
        <v>218</v>
      </c>
      <c r="CP214" s="17" t="s">
        <v>218</v>
      </c>
      <c r="CQ214" s="17" t="s">
        <v>218</v>
      </c>
      <c r="CR214" s="17" t="s">
        <v>218</v>
      </c>
      <c r="CS214" s="17" t="s">
        <v>218</v>
      </c>
      <c r="CT214" s="1">
        <f t="shared" si="139"/>
        <v>3.4</v>
      </c>
      <c r="CU214" s="17" t="s">
        <v>218</v>
      </c>
      <c r="CV214" s="17" t="s">
        <v>218</v>
      </c>
      <c r="CW214" s="17" t="s">
        <v>218</v>
      </c>
      <c r="CX214" s="17" t="s">
        <v>218</v>
      </c>
      <c r="CY214" s="17" t="s">
        <v>218</v>
      </c>
      <c r="CZ214" s="17" t="s">
        <v>218</v>
      </c>
      <c r="DA214" s="2">
        <f t="shared" si="140"/>
        <v>43</v>
      </c>
      <c r="DB214" s="20">
        <f t="shared" si="141"/>
        <v>0</v>
      </c>
      <c r="DC214" s="1">
        <f>ROUND(PPTest!K214,1)</f>
        <v>1.6</v>
      </c>
      <c r="DD214" s="17" t="s">
        <v>218</v>
      </c>
      <c r="DE214" s="17" t="s">
        <v>218</v>
      </c>
      <c r="DF214" s="24">
        <f t="shared" si="142"/>
        <v>0.89800000000000002</v>
      </c>
      <c r="DG214" s="24">
        <f t="shared" si="143"/>
        <v>1.19</v>
      </c>
      <c r="DH214" s="17" t="s">
        <v>218</v>
      </c>
      <c r="DK214" s="1">
        <v>14.4</v>
      </c>
      <c r="DL214" s="1">
        <v>20.399999618530273</v>
      </c>
      <c r="DM214" s="1">
        <v>8.6000003814697266</v>
      </c>
      <c r="DN214" s="1">
        <v>77.583333333333329</v>
      </c>
      <c r="DO214" s="1">
        <v>54</v>
      </c>
      <c r="DQ214" s="1">
        <v>20.5</v>
      </c>
      <c r="DR214" s="1">
        <v>30.3</v>
      </c>
      <c r="DS214" s="1">
        <v>10.6</v>
      </c>
    </row>
    <row r="215" spans="1:123" x14ac:dyDescent="0.2">
      <c r="A215" s="15">
        <f t="shared" si="144"/>
        <v>36734</v>
      </c>
      <c r="B215" s="1">
        <v>209</v>
      </c>
      <c r="E215" s="55">
        <f t="shared" si="131"/>
        <v>10.1</v>
      </c>
      <c r="P215" s="18"/>
      <c r="R215" s="55">
        <f t="shared" si="132"/>
        <v>15</v>
      </c>
      <c r="AD215" s="18"/>
      <c r="AF215" s="55">
        <f t="shared" si="133"/>
        <v>3.2</v>
      </c>
      <c r="BM215" s="17">
        <v>30</v>
      </c>
      <c r="BN215" s="17">
        <f t="shared" si="136"/>
        <v>60.6</v>
      </c>
      <c r="BO215" s="18"/>
      <c r="BP215" s="18"/>
      <c r="BT215" s="55">
        <f t="shared" si="134"/>
        <v>60</v>
      </c>
      <c r="BU215" s="60">
        <f t="shared" si="130"/>
        <v>1.0229999999999999</v>
      </c>
      <c r="BV215" s="60">
        <f t="shared" si="135"/>
        <v>0.68200000000000005</v>
      </c>
      <c r="BX215" s="1">
        <v>1.1000000000000001</v>
      </c>
      <c r="BZ215" s="1">
        <v>2.2000000000000002</v>
      </c>
      <c r="CB215" s="17" t="s">
        <v>218</v>
      </c>
      <c r="CC215" s="17" t="s">
        <v>218</v>
      </c>
      <c r="CD215" s="3">
        <f t="shared" si="137"/>
        <v>10.1</v>
      </c>
      <c r="CE215" s="17" t="s">
        <v>218</v>
      </c>
      <c r="CF215" s="17" t="s">
        <v>218</v>
      </c>
      <c r="CG215" s="17" t="s">
        <v>218</v>
      </c>
      <c r="CH215" s="17" t="s">
        <v>218</v>
      </c>
      <c r="CI215" s="17" t="s">
        <v>218</v>
      </c>
      <c r="CJ215" s="17" t="s">
        <v>218</v>
      </c>
      <c r="CK215" s="17" t="s">
        <v>218</v>
      </c>
      <c r="CL215" s="1">
        <f t="shared" si="138"/>
        <v>15</v>
      </c>
      <c r="CM215" s="17" t="s">
        <v>218</v>
      </c>
      <c r="CN215" s="17" t="s">
        <v>218</v>
      </c>
      <c r="CO215" s="17" t="s">
        <v>218</v>
      </c>
      <c r="CP215" s="17" t="s">
        <v>218</v>
      </c>
      <c r="CQ215" s="17" t="s">
        <v>218</v>
      </c>
      <c r="CR215" s="17" t="s">
        <v>218</v>
      </c>
      <c r="CS215" s="17" t="s">
        <v>218</v>
      </c>
      <c r="CT215" s="1">
        <f t="shared" si="139"/>
        <v>3.2</v>
      </c>
      <c r="CU215" s="17" t="s">
        <v>218</v>
      </c>
      <c r="CV215" s="17" t="s">
        <v>218</v>
      </c>
      <c r="CW215" s="17" t="s">
        <v>218</v>
      </c>
      <c r="CX215" s="17" t="s">
        <v>218</v>
      </c>
      <c r="CY215" s="17" t="s">
        <v>218</v>
      </c>
      <c r="CZ215" s="17" t="s">
        <v>218</v>
      </c>
      <c r="DA215" s="2">
        <f t="shared" si="140"/>
        <v>60</v>
      </c>
      <c r="DB215" s="20">
        <f t="shared" si="141"/>
        <v>0</v>
      </c>
      <c r="DC215" s="1">
        <f>ROUND(PPTest!K215,1)</f>
        <v>1.2</v>
      </c>
      <c r="DD215" s="17" t="s">
        <v>218</v>
      </c>
      <c r="DE215" s="17" t="s">
        <v>218</v>
      </c>
      <c r="DF215" s="24">
        <f t="shared" si="142"/>
        <v>1.0229999999999999</v>
      </c>
      <c r="DG215" s="24">
        <f t="shared" si="143"/>
        <v>0.68200000000000005</v>
      </c>
      <c r="DH215" s="17" t="s">
        <v>218</v>
      </c>
      <c r="DK215" s="1">
        <v>13.6</v>
      </c>
      <c r="DL215" s="1">
        <v>16.899999618530273</v>
      </c>
      <c r="DM215" s="1">
        <v>8.3000001907348633</v>
      </c>
      <c r="DN215" s="1">
        <v>88.375</v>
      </c>
      <c r="DO215" s="1">
        <v>74</v>
      </c>
      <c r="DQ215" s="1">
        <v>22</v>
      </c>
      <c r="DR215" s="1">
        <v>28.8</v>
      </c>
      <c r="DS215" s="1">
        <v>15.2</v>
      </c>
    </row>
    <row r="216" spans="1:123" x14ac:dyDescent="0.2">
      <c r="A216" s="15">
        <f t="shared" si="144"/>
        <v>36735</v>
      </c>
      <c r="B216" s="1">
        <v>210</v>
      </c>
      <c r="E216" s="55">
        <f t="shared" si="131"/>
        <v>9.6</v>
      </c>
      <c r="P216" s="18"/>
      <c r="R216" s="55">
        <f t="shared" si="132"/>
        <v>15.8</v>
      </c>
      <c r="AD216" s="18"/>
      <c r="AF216" s="55">
        <f t="shared" si="133"/>
        <v>4</v>
      </c>
      <c r="BM216" s="17">
        <v>29.84</v>
      </c>
      <c r="BN216" s="17">
        <f t="shared" si="136"/>
        <v>60.276800000000001</v>
      </c>
      <c r="BO216" s="18"/>
      <c r="BP216" s="18"/>
      <c r="BT216" s="55">
        <f t="shared" si="134"/>
        <v>53</v>
      </c>
      <c r="BU216" s="60">
        <f t="shared" si="130"/>
        <v>0.95099999999999996</v>
      </c>
      <c r="BV216" s="60">
        <f t="shared" si="135"/>
        <v>0.84299999999999997</v>
      </c>
      <c r="BX216" s="1">
        <v>9.6</v>
      </c>
      <c r="BZ216" s="1">
        <v>6.1999999999999993</v>
      </c>
      <c r="CB216" s="17" t="s">
        <v>218</v>
      </c>
      <c r="CC216" s="17" t="s">
        <v>218</v>
      </c>
      <c r="CD216" s="3">
        <f t="shared" si="137"/>
        <v>9.6</v>
      </c>
      <c r="CE216" s="17" t="s">
        <v>218</v>
      </c>
      <c r="CF216" s="17" t="s">
        <v>218</v>
      </c>
      <c r="CG216" s="17" t="s">
        <v>218</v>
      </c>
      <c r="CH216" s="17" t="s">
        <v>218</v>
      </c>
      <c r="CI216" s="17" t="s">
        <v>218</v>
      </c>
      <c r="CJ216" s="17" t="s">
        <v>218</v>
      </c>
      <c r="CK216" s="17" t="s">
        <v>218</v>
      </c>
      <c r="CL216" s="1">
        <f t="shared" si="138"/>
        <v>15.8</v>
      </c>
      <c r="CM216" s="17" t="s">
        <v>218</v>
      </c>
      <c r="CN216" s="17" t="s">
        <v>218</v>
      </c>
      <c r="CO216" s="17" t="s">
        <v>218</v>
      </c>
      <c r="CP216" s="17" t="s">
        <v>218</v>
      </c>
      <c r="CQ216" s="17" t="s">
        <v>218</v>
      </c>
      <c r="CR216" s="17" t="s">
        <v>218</v>
      </c>
      <c r="CS216" s="17" t="s">
        <v>218</v>
      </c>
      <c r="CT216" s="1">
        <f t="shared" si="139"/>
        <v>4</v>
      </c>
      <c r="CU216" s="17" t="s">
        <v>218</v>
      </c>
      <c r="CV216" s="17" t="s">
        <v>218</v>
      </c>
      <c r="CW216" s="17" t="s">
        <v>218</v>
      </c>
      <c r="CX216" s="17" t="s">
        <v>218</v>
      </c>
      <c r="CY216" s="17" t="s">
        <v>218</v>
      </c>
      <c r="CZ216" s="17" t="s">
        <v>218</v>
      </c>
      <c r="DA216" s="2">
        <f t="shared" si="140"/>
        <v>53</v>
      </c>
      <c r="DB216" s="20">
        <f t="shared" si="141"/>
        <v>0</v>
      </c>
      <c r="DC216" s="1">
        <f>ROUND(PPTest!K216,1)</f>
        <v>10.1</v>
      </c>
      <c r="DD216" s="17" t="s">
        <v>218</v>
      </c>
      <c r="DE216" s="17" t="s">
        <v>218</v>
      </c>
      <c r="DF216" s="24">
        <f t="shared" si="142"/>
        <v>0.95099999999999996</v>
      </c>
      <c r="DG216" s="24">
        <f t="shared" si="143"/>
        <v>0.84299999999999997</v>
      </c>
      <c r="DH216" s="17" t="s">
        <v>218</v>
      </c>
      <c r="DK216" s="1">
        <v>13</v>
      </c>
      <c r="DL216" s="1">
        <v>17.700000762939453</v>
      </c>
      <c r="DM216" s="1">
        <v>9.6000003814697266</v>
      </c>
      <c r="DN216" s="1">
        <v>91.458333333333329</v>
      </c>
      <c r="DO216" s="1">
        <v>65</v>
      </c>
      <c r="DQ216" s="1">
        <v>18.2</v>
      </c>
      <c r="DR216" s="1">
        <v>22.5</v>
      </c>
      <c r="DS216" s="1">
        <v>13.8</v>
      </c>
    </row>
    <row r="217" spans="1:123" x14ac:dyDescent="0.2">
      <c r="A217" s="15">
        <f t="shared" si="144"/>
        <v>36736</v>
      </c>
      <c r="B217" s="1">
        <v>211</v>
      </c>
      <c r="E217" s="55">
        <f t="shared" si="131"/>
        <v>10.6</v>
      </c>
      <c r="P217" s="18"/>
      <c r="R217" s="55">
        <f t="shared" si="132"/>
        <v>18.600000000000001</v>
      </c>
      <c r="AD217" s="18"/>
      <c r="AF217" s="55">
        <f t="shared" si="133"/>
        <v>3.4</v>
      </c>
      <c r="BM217" s="17">
        <v>29.68</v>
      </c>
      <c r="BN217" s="17">
        <f t="shared" si="136"/>
        <v>59.953600000000002</v>
      </c>
      <c r="BO217" s="18"/>
      <c r="BP217" s="18"/>
      <c r="BT217" s="55">
        <f t="shared" si="134"/>
        <v>35</v>
      </c>
      <c r="BU217" s="60">
        <f t="shared" si="130"/>
        <v>0.75</v>
      </c>
      <c r="BV217" s="60">
        <f t="shared" si="135"/>
        <v>1.393</v>
      </c>
      <c r="BX217" s="1">
        <v>0.3</v>
      </c>
      <c r="BZ217" s="1">
        <v>0</v>
      </c>
      <c r="CB217" s="17" t="s">
        <v>218</v>
      </c>
      <c r="CC217" s="17" t="s">
        <v>218</v>
      </c>
      <c r="CD217" s="3">
        <f t="shared" si="137"/>
        <v>10.6</v>
      </c>
      <c r="CE217" s="17" t="s">
        <v>218</v>
      </c>
      <c r="CF217" s="17" t="s">
        <v>218</v>
      </c>
      <c r="CG217" s="17" t="s">
        <v>218</v>
      </c>
      <c r="CH217" s="17" t="s">
        <v>218</v>
      </c>
      <c r="CI217" s="17" t="s">
        <v>218</v>
      </c>
      <c r="CJ217" s="17" t="s">
        <v>218</v>
      </c>
      <c r="CK217" s="17" t="s">
        <v>218</v>
      </c>
      <c r="CL217" s="1">
        <f t="shared" si="138"/>
        <v>18.600000000000001</v>
      </c>
      <c r="CM217" s="17" t="s">
        <v>218</v>
      </c>
      <c r="CN217" s="17" t="s">
        <v>218</v>
      </c>
      <c r="CO217" s="17" t="s">
        <v>218</v>
      </c>
      <c r="CP217" s="17" t="s">
        <v>218</v>
      </c>
      <c r="CQ217" s="17" t="s">
        <v>218</v>
      </c>
      <c r="CR217" s="17" t="s">
        <v>218</v>
      </c>
      <c r="CS217" s="17" t="s">
        <v>218</v>
      </c>
      <c r="CT217" s="1">
        <f t="shared" si="139"/>
        <v>3.4</v>
      </c>
      <c r="CU217" s="17" t="s">
        <v>218</v>
      </c>
      <c r="CV217" s="17" t="s">
        <v>218</v>
      </c>
      <c r="CW217" s="17" t="s">
        <v>218</v>
      </c>
      <c r="CX217" s="17" t="s">
        <v>218</v>
      </c>
      <c r="CY217" s="17" t="s">
        <v>218</v>
      </c>
      <c r="CZ217" s="17" t="s">
        <v>218</v>
      </c>
      <c r="DA217" s="2">
        <f t="shared" si="140"/>
        <v>35</v>
      </c>
      <c r="DB217" s="20">
        <f t="shared" si="141"/>
        <v>0</v>
      </c>
      <c r="DC217" s="1">
        <f>ROUND(PPTest!K217,1)</f>
        <v>0.3</v>
      </c>
      <c r="DD217" s="17" t="s">
        <v>218</v>
      </c>
      <c r="DE217" s="17" t="s">
        <v>218</v>
      </c>
      <c r="DF217" s="24">
        <f t="shared" si="142"/>
        <v>0.75</v>
      </c>
      <c r="DG217" s="24">
        <f t="shared" si="143"/>
        <v>1.393</v>
      </c>
      <c r="DH217" s="17" t="s">
        <v>218</v>
      </c>
      <c r="DK217" s="1">
        <v>14.3</v>
      </c>
      <c r="DL217" s="1">
        <v>20.799999237060547</v>
      </c>
      <c r="DM217" s="1">
        <v>8.5</v>
      </c>
      <c r="DN217" s="1">
        <v>76.041666666666671</v>
      </c>
      <c r="DO217" s="1">
        <v>44</v>
      </c>
      <c r="DQ217" s="1">
        <v>21.3</v>
      </c>
      <c r="DR217" s="1">
        <v>30.7</v>
      </c>
      <c r="DS217" s="1">
        <v>11.8</v>
      </c>
    </row>
    <row r="218" spans="1:123" x14ac:dyDescent="0.2">
      <c r="A218" s="15">
        <f t="shared" si="144"/>
        <v>36737</v>
      </c>
      <c r="B218" s="1">
        <v>212</v>
      </c>
      <c r="E218" s="50">
        <f t="shared" ref="E218:E219" si="145">ROUND(0.77*DQ218-6.2,1)</f>
        <v>10.7</v>
      </c>
      <c r="R218" s="50">
        <f t="shared" ref="R218:R219" si="146">ROUND(DR218*0.69-5.3,1)</f>
        <v>19.100000000000001</v>
      </c>
      <c r="AF218" s="50">
        <f t="shared" ref="AF218:AF219" si="147">ROUND(2*E218-R218,1)</f>
        <v>2.2999999999999998</v>
      </c>
      <c r="BM218" s="17">
        <v>29.51</v>
      </c>
      <c r="BN218" s="17">
        <f t="shared" si="136"/>
        <v>59.610200000000006</v>
      </c>
      <c r="BO218" s="18"/>
      <c r="BP218" s="18"/>
      <c r="BT218" s="48">
        <v>35</v>
      </c>
      <c r="BU218" s="60">
        <f t="shared" si="130"/>
        <v>0.77400000000000002</v>
      </c>
      <c r="BV218" s="60">
        <f t="shared" si="135"/>
        <v>1.4370000000000001</v>
      </c>
      <c r="BX218" s="1">
        <v>0</v>
      </c>
      <c r="BZ218" s="1">
        <v>0</v>
      </c>
      <c r="CB218" s="17" t="s">
        <v>218</v>
      </c>
      <c r="CC218" s="17" t="s">
        <v>218</v>
      </c>
      <c r="CD218" s="3">
        <f t="shared" si="137"/>
        <v>10.7</v>
      </c>
      <c r="CE218" s="17" t="s">
        <v>218</v>
      </c>
      <c r="CF218" s="17" t="s">
        <v>218</v>
      </c>
      <c r="CG218" s="17" t="s">
        <v>218</v>
      </c>
      <c r="CH218" s="17" t="s">
        <v>218</v>
      </c>
      <c r="CI218" s="17" t="s">
        <v>218</v>
      </c>
      <c r="CJ218" s="17" t="s">
        <v>218</v>
      </c>
      <c r="CK218" s="17" t="s">
        <v>218</v>
      </c>
      <c r="CL218" s="1">
        <f t="shared" si="138"/>
        <v>19.100000000000001</v>
      </c>
      <c r="CM218" s="17" t="s">
        <v>218</v>
      </c>
      <c r="CN218" s="17" t="s">
        <v>218</v>
      </c>
      <c r="CO218" s="17" t="s">
        <v>218</v>
      </c>
      <c r="CP218" s="17" t="s">
        <v>218</v>
      </c>
      <c r="CQ218" s="17" t="s">
        <v>218</v>
      </c>
      <c r="CR218" s="17" t="s">
        <v>218</v>
      </c>
      <c r="CS218" s="17" t="s">
        <v>218</v>
      </c>
      <c r="CT218" s="1">
        <f t="shared" si="139"/>
        <v>2.2999999999999998</v>
      </c>
      <c r="CU218" s="17" t="s">
        <v>218</v>
      </c>
      <c r="CV218" s="17" t="s">
        <v>218</v>
      </c>
      <c r="CW218" s="17" t="s">
        <v>218</v>
      </c>
      <c r="CX218" s="17" t="s">
        <v>218</v>
      </c>
      <c r="CY218" s="17" t="s">
        <v>218</v>
      </c>
      <c r="CZ218" s="17" t="s">
        <v>218</v>
      </c>
      <c r="DA218" s="2">
        <f t="shared" si="140"/>
        <v>35</v>
      </c>
      <c r="DB218" s="20">
        <f t="shared" si="141"/>
        <v>0</v>
      </c>
      <c r="DC218" s="1">
        <f>ROUND(PPTest!K218,1)</f>
        <v>0</v>
      </c>
      <c r="DD218" s="17" t="s">
        <v>218</v>
      </c>
      <c r="DE218" s="17" t="s">
        <v>218</v>
      </c>
      <c r="DF218" s="24">
        <f t="shared" si="142"/>
        <v>0.77400000000000002</v>
      </c>
      <c r="DG218" s="24">
        <f t="shared" si="143"/>
        <v>1.4370000000000001</v>
      </c>
      <c r="DH218" s="17" t="s">
        <v>218</v>
      </c>
      <c r="DQ218" s="1">
        <v>21.9</v>
      </c>
      <c r="DR218" s="1">
        <v>35.4</v>
      </c>
      <c r="DS218" s="1">
        <v>8.3000000000000007</v>
      </c>
    </row>
    <row r="219" spans="1:123" x14ac:dyDescent="0.2">
      <c r="A219" s="15">
        <f t="shared" si="144"/>
        <v>36738</v>
      </c>
      <c r="B219" s="1">
        <v>213</v>
      </c>
      <c r="E219" s="50">
        <f t="shared" si="145"/>
        <v>11.5</v>
      </c>
      <c r="R219" s="50">
        <f t="shared" si="146"/>
        <v>18.600000000000001</v>
      </c>
      <c r="AF219" s="50">
        <f t="shared" si="147"/>
        <v>4.4000000000000004</v>
      </c>
      <c r="BM219" s="17">
        <v>29.34</v>
      </c>
      <c r="BN219" s="17">
        <f t="shared" si="136"/>
        <v>59.266800000000003</v>
      </c>
      <c r="BO219" s="18"/>
      <c r="BP219" s="18"/>
      <c r="BT219" s="48">
        <v>35</v>
      </c>
      <c r="BU219" s="60">
        <f t="shared" si="130"/>
        <v>0.75</v>
      </c>
      <c r="BV219" s="60">
        <f t="shared" si="135"/>
        <v>1.393</v>
      </c>
      <c r="BX219" s="1">
        <v>0</v>
      </c>
      <c r="BZ219" s="1">
        <v>0</v>
      </c>
      <c r="CB219" s="17" t="s">
        <v>218</v>
      </c>
      <c r="CC219" s="17" t="s">
        <v>218</v>
      </c>
      <c r="CD219" s="3">
        <f t="shared" si="137"/>
        <v>11.5</v>
      </c>
      <c r="CE219" s="17" t="s">
        <v>218</v>
      </c>
      <c r="CF219" s="17" t="s">
        <v>218</v>
      </c>
      <c r="CG219" s="17" t="s">
        <v>218</v>
      </c>
      <c r="CH219" s="17" t="s">
        <v>218</v>
      </c>
      <c r="CI219" s="17" t="s">
        <v>218</v>
      </c>
      <c r="CJ219" s="17" t="s">
        <v>218</v>
      </c>
      <c r="CK219" s="17" t="s">
        <v>218</v>
      </c>
      <c r="CL219" s="1">
        <f t="shared" si="138"/>
        <v>18.600000000000001</v>
      </c>
      <c r="CM219" s="17" t="s">
        <v>218</v>
      </c>
      <c r="CN219" s="17" t="s">
        <v>218</v>
      </c>
      <c r="CO219" s="17" t="s">
        <v>218</v>
      </c>
      <c r="CP219" s="17" t="s">
        <v>218</v>
      </c>
      <c r="CQ219" s="17" t="s">
        <v>218</v>
      </c>
      <c r="CR219" s="17" t="s">
        <v>218</v>
      </c>
      <c r="CS219" s="17" t="s">
        <v>218</v>
      </c>
      <c r="CT219" s="1">
        <f t="shared" si="139"/>
        <v>4.4000000000000004</v>
      </c>
      <c r="CU219" s="17" t="s">
        <v>218</v>
      </c>
      <c r="CV219" s="17" t="s">
        <v>218</v>
      </c>
      <c r="CW219" s="17" t="s">
        <v>218</v>
      </c>
      <c r="CX219" s="17" t="s">
        <v>218</v>
      </c>
      <c r="CY219" s="17" t="s">
        <v>218</v>
      </c>
      <c r="CZ219" s="17" t="s">
        <v>218</v>
      </c>
      <c r="DA219" s="2">
        <f t="shared" si="140"/>
        <v>35</v>
      </c>
      <c r="DB219" s="20">
        <f t="shared" si="141"/>
        <v>0</v>
      </c>
      <c r="DC219" s="1">
        <f>ROUND(PPTest!K219,1)</f>
        <v>0</v>
      </c>
      <c r="DD219" s="17" t="s">
        <v>218</v>
      </c>
      <c r="DE219" s="17" t="s">
        <v>218</v>
      </c>
      <c r="DF219" s="24">
        <f t="shared" si="142"/>
        <v>0.75</v>
      </c>
      <c r="DG219" s="24">
        <f t="shared" si="143"/>
        <v>1.393</v>
      </c>
      <c r="DH219" s="17" t="s">
        <v>218</v>
      </c>
      <c r="DQ219" s="1">
        <v>23</v>
      </c>
      <c r="DR219" s="1">
        <v>34.700000000000003</v>
      </c>
      <c r="DS219" s="1">
        <v>11.3</v>
      </c>
    </row>
    <row r="220" spans="1:123" x14ac:dyDescent="0.2">
      <c r="A220" s="15">
        <f t="shared" si="144"/>
        <v>36739</v>
      </c>
      <c r="B220" s="1">
        <v>214</v>
      </c>
      <c r="E220" s="55">
        <f t="shared" si="131"/>
        <v>12.3</v>
      </c>
      <c r="P220" s="18"/>
      <c r="R220" s="55">
        <f t="shared" si="132"/>
        <v>18.2</v>
      </c>
      <c r="AD220" s="18"/>
      <c r="AF220" s="55">
        <f t="shared" si="133"/>
        <v>5.4</v>
      </c>
      <c r="BM220" s="17">
        <v>29.17</v>
      </c>
      <c r="BN220" s="17">
        <f t="shared" si="136"/>
        <v>58.923400000000001</v>
      </c>
      <c r="BO220" s="18"/>
      <c r="BP220" s="18"/>
      <c r="BT220" s="55">
        <f t="shared" si="134"/>
        <v>31</v>
      </c>
      <c r="BU220" s="60">
        <f t="shared" si="130"/>
        <v>0.64800000000000002</v>
      </c>
      <c r="BV220" s="60">
        <f t="shared" si="135"/>
        <v>1.4419999999999999</v>
      </c>
      <c r="BX220" s="1">
        <v>0</v>
      </c>
      <c r="BZ220" s="1">
        <v>0</v>
      </c>
      <c r="CB220" s="17" t="s">
        <v>218</v>
      </c>
      <c r="CC220" s="17" t="s">
        <v>218</v>
      </c>
      <c r="CD220" s="3">
        <f t="shared" si="137"/>
        <v>12.3</v>
      </c>
      <c r="CE220" s="17" t="s">
        <v>218</v>
      </c>
      <c r="CF220" s="17" t="s">
        <v>218</v>
      </c>
      <c r="CG220" s="17" t="s">
        <v>218</v>
      </c>
      <c r="CH220" s="17" t="s">
        <v>218</v>
      </c>
      <c r="CI220" s="17" t="s">
        <v>218</v>
      </c>
      <c r="CJ220" s="17" t="s">
        <v>218</v>
      </c>
      <c r="CK220" s="17" t="s">
        <v>218</v>
      </c>
      <c r="CL220" s="1">
        <f t="shared" si="138"/>
        <v>18.2</v>
      </c>
      <c r="CM220" s="17" t="s">
        <v>218</v>
      </c>
      <c r="CN220" s="17" t="s">
        <v>218</v>
      </c>
      <c r="CO220" s="17" t="s">
        <v>218</v>
      </c>
      <c r="CP220" s="17" t="s">
        <v>218</v>
      </c>
      <c r="CQ220" s="17" t="s">
        <v>218</v>
      </c>
      <c r="CR220" s="17" t="s">
        <v>218</v>
      </c>
      <c r="CS220" s="17" t="s">
        <v>218</v>
      </c>
      <c r="CT220" s="1">
        <f t="shared" si="139"/>
        <v>5.4</v>
      </c>
      <c r="CU220" s="17" t="s">
        <v>218</v>
      </c>
      <c r="CV220" s="17" t="s">
        <v>218</v>
      </c>
      <c r="CW220" s="17" t="s">
        <v>218</v>
      </c>
      <c r="CX220" s="17" t="s">
        <v>218</v>
      </c>
      <c r="CY220" s="17" t="s">
        <v>218</v>
      </c>
      <c r="CZ220" s="17" t="s">
        <v>218</v>
      </c>
      <c r="DA220" s="2">
        <f t="shared" si="140"/>
        <v>31</v>
      </c>
      <c r="DB220" s="20">
        <f t="shared" si="141"/>
        <v>0</v>
      </c>
      <c r="DC220" s="1">
        <f>ROUND(PPTest!K220,1)</f>
        <v>0</v>
      </c>
      <c r="DD220" s="17" t="s">
        <v>218</v>
      </c>
      <c r="DE220" s="17" t="s">
        <v>218</v>
      </c>
      <c r="DF220" s="24">
        <f t="shared" si="142"/>
        <v>0.64800000000000002</v>
      </c>
      <c r="DG220" s="24">
        <f t="shared" si="143"/>
        <v>1.4419999999999999</v>
      </c>
      <c r="DH220" s="17" t="s">
        <v>218</v>
      </c>
      <c r="DK220" s="1">
        <v>16.3</v>
      </c>
      <c r="DL220" s="1">
        <v>20.399999618530273</v>
      </c>
      <c r="DM220" s="1">
        <v>11.899999618530273</v>
      </c>
      <c r="DN220" s="20">
        <v>57.125</v>
      </c>
      <c r="DO220" s="1">
        <v>40</v>
      </c>
      <c r="DQ220" s="1">
        <v>21.9</v>
      </c>
      <c r="DR220" s="1">
        <v>31.3</v>
      </c>
      <c r="DS220" s="1">
        <v>12.4</v>
      </c>
    </row>
    <row r="221" spans="1:123" x14ac:dyDescent="0.2">
      <c r="A221" s="15">
        <f t="shared" si="144"/>
        <v>36740</v>
      </c>
      <c r="B221" s="1">
        <v>215</v>
      </c>
      <c r="E221" s="55">
        <f t="shared" si="131"/>
        <v>12.5</v>
      </c>
      <c r="P221" s="18"/>
      <c r="R221" s="55">
        <f t="shared" si="132"/>
        <v>18.899999999999999</v>
      </c>
      <c r="AD221" s="18"/>
      <c r="AF221" s="55">
        <f t="shared" si="133"/>
        <v>5</v>
      </c>
      <c r="BM221" s="17">
        <v>28.99</v>
      </c>
      <c r="BN221" s="17">
        <f t="shared" si="136"/>
        <v>58.559799999999996</v>
      </c>
      <c r="BO221" s="18"/>
      <c r="BP221" s="18"/>
      <c r="BT221" s="55">
        <f t="shared" si="134"/>
        <v>33</v>
      </c>
      <c r="BU221" s="60">
        <f t="shared" si="130"/>
        <v>0.72</v>
      </c>
      <c r="BV221" s="60">
        <f t="shared" si="135"/>
        <v>1.462</v>
      </c>
      <c r="BX221" s="1">
        <v>0</v>
      </c>
      <c r="BZ221" s="1">
        <v>0</v>
      </c>
      <c r="CB221" s="17" t="s">
        <v>218</v>
      </c>
      <c r="CC221" s="17" t="s">
        <v>218</v>
      </c>
      <c r="CD221" s="3">
        <f t="shared" si="137"/>
        <v>12.5</v>
      </c>
      <c r="CE221" s="17" t="s">
        <v>218</v>
      </c>
      <c r="CF221" s="17" t="s">
        <v>218</v>
      </c>
      <c r="CG221" s="17" t="s">
        <v>218</v>
      </c>
      <c r="CH221" s="17" t="s">
        <v>218</v>
      </c>
      <c r="CI221" s="17" t="s">
        <v>218</v>
      </c>
      <c r="CJ221" s="17" t="s">
        <v>218</v>
      </c>
      <c r="CK221" s="17" t="s">
        <v>218</v>
      </c>
      <c r="CL221" s="1">
        <f t="shared" si="138"/>
        <v>18.899999999999999</v>
      </c>
      <c r="CM221" s="17" t="s">
        <v>218</v>
      </c>
      <c r="CN221" s="17" t="s">
        <v>218</v>
      </c>
      <c r="CO221" s="17" t="s">
        <v>218</v>
      </c>
      <c r="CP221" s="17" t="s">
        <v>218</v>
      </c>
      <c r="CQ221" s="17" t="s">
        <v>218</v>
      </c>
      <c r="CR221" s="17" t="s">
        <v>218</v>
      </c>
      <c r="CS221" s="17" t="s">
        <v>218</v>
      </c>
      <c r="CT221" s="1">
        <f t="shared" si="139"/>
        <v>5</v>
      </c>
      <c r="CU221" s="17" t="s">
        <v>218</v>
      </c>
      <c r="CV221" s="17" t="s">
        <v>218</v>
      </c>
      <c r="CW221" s="17" t="s">
        <v>218</v>
      </c>
      <c r="CX221" s="17" t="s">
        <v>218</v>
      </c>
      <c r="CY221" s="17" t="s">
        <v>218</v>
      </c>
      <c r="CZ221" s="17" t="s">
        <v>218</v>
      </c>
      <c r="DA221" s="2">
        <f t="shared" si="140"/>
        <v>33</v>
      </c>
      <c r="DB221" s="20">
        <f t="shared" si="141"/>
        <v>0</v>
      </c>
      <c r="DC221" s="1">
        <f>ROUND(PPTest!K221,1)</f>
        <v>0</v>
      </c>
      <c r="DD221" s="17" t="s">
        <v>218</v>
      </c>
      <c r="DE221" s="17" t="s">
        <v>218</v>
      </c>
      <c r="DF221" s="24">
        <f t="shared" si="142"/>
        <v>0.72</v>
      </c>
      <c r="DG221" s="24">
        <f t="shared" si="143"/>
        <v>1.462</v>
      </c>
      <c r="DH221" s="17" t="s">
        <v>218</v>
      </c>
      <c r="DK221" s="1">
        <v>16.600000000000001</v>
      </c>
      <c r="DL221" s="1">
        <v>21.100000381469727</v>
      </c>
      <c r="DM221" s="1">
        <v>11.199999809265137</v>
      </c>
      <c r="DN221" s="20">
        <v>54.666666666666664</v>
      </c>
      <c r="DO221" s="1">
        <v>42</v>
      </c>
      <c r="DQ221" s="1">
        <v>21</v>
      </c>
      <c r="DR221" s="1">
        <v>33.1</v>
      </c>
      <c r="DS221" s="1">
        <v>8.8000000000000007</v>
      </c>
    </row>
    <row r="222" spans="1:123" x14ac:dyDescent="0.2">
      <c r="A222" s="15">
        <f t="shared" si="144"/>
        <v>36741</v>
      </c>
      <c r="B222" s="1">
        <v>216</v>
      </c>
      <c r="E222" s="55">
        <f t="shared" si="131"/>
        <v>12.4</v>
      </c>
      <c r="P222" s="18"/>
      <c r="R222" s="55">
        <f t="shared" si="132"/>
        <v>19.8</v>
      </c>
      <c r="AD222" s="18"/>
      <c r="AF222" s="55">
        <f t="shared" si="133"/>
        <v>5.3</v>
      </c>
      <c r="BM222" s="17">
        <v>28.81</v>
      </c>
      <c r="BN222" s="17">
        <f t="shared" si="136"/>
        <v>58.196199999999997</v>
      </c>
      <c r="BO222" s="18"/>
      <c r="BP222" s="18"/>
      <c r="BT222" s="55">
        <f t="shared" si="134"/>
        <v>43</v>
      </c>
      <c r="BU222" s="60">
        <f t="shared" si="130"/>
        <v>0.99299999999999999</v>
      </c>
      <c r="BV222" s="60">
        <f t="shared" si="135"/>
        <v>1.3160000000000001</v>
      </c>
      <c r="BX222" s="1">
        <v>0</v>
      </c>
      <c r="BZ222" s="1">
        <v>0</v>
      </c>
      <c r="CB222" s="17" t="s">
        <v>218</v>
      </c>
      <c r="CC222" s="17" t="s">
        <v>218</v>
      </c>
      <c r="CD222" s="3">
        <f t="shared" si="137"/>
        <v>12.4</v>
      </c>
      <c r="CE222" s="17" t="s">
        <v>218</v>
      </c>
      <c r="CF222" s="17" t="s">
        <v>218</v>
      </c>
      <c r="CG222" s="17" t="s">
        <v>218</v>
      </c>
      <c r="CH222" s="17" t="s">
        <v>218</v>
      </c>
      <c r="CI222" s="17" t="s">
        <v>218</v>
      </c>
      <c r="CJ222" s="17" t="s">
        <v>218</v>
      </c>
      <c r="CK222" s="17" t="s">
        <v>218</v>
      </c>
      <c r="CL222" s="1">
        <f t="shared" si="138"/>
        <v>19.8</v>
      </c>
      <c r="CM222" s="17" t="s">
        <v>218</v>
      </c>
      <c r="CN222" s="17" t="s">
        <v>218</v>
      </c>
      <c r="CO222" s="17" t="s">
        <v>218</v>
      </c>
      <c r="CP222" s="17" t="s">
        <v>218</v>
      </c>
      <c r="CQ222" s="17" t="s">
        <v>218</v>
      </c>
      <c r="CR222" s="17" t="s">
        <v>218</v>
      </c>
      <c r="CS222" s="17" t="s">
        <v>218</v>
      </c>
      <c r="CT222" s="1">
        <f t="shared" si="139"/>
        <v>5.3</v>
      </c>
      <c r="CU222" s="17" t="s">
        <v>218</v>
      </c>
      <c r="CV222" s="17" t="s">
        <v>218</v>
      </c>
      <c r="CW222" s="17" t="s">
        <v>218</v>
      </c>
      <c r="CX222" s="17" t="s">
        <v>218</v>
      </c>
      <c r="CY222" s="17" t="s">
        <v>218</v>
      </c>
      <c r="CZ222" s="17" t="s">
        <v>218</v>
      </c>
      <c r="DA222" s="2">
        <f t="shared" si="140"/>
        <v>43</v>
      </c>
      <c r="DB222" s="20">
        <f t="shared" si="141"/>
        <v>0</v>
      </c>
      <c r="DC222" s="1">
        <f>ROUND(PPTest!K222,1)</f>
        <v>0</v>
      </c>
      <c r="DD222" s="17" t="s">
        <v>218</v>
      </c>
      <c r="DE222" s="17" t="s">
        <v>218</v>
      </c>
      <c r="DF222" s="24">
        <f t="shared" si="142"/>
        <v>0.99299999999999999</v>
      </c>
      <c r="DG222" s="24">
        <f t="shared" si="143"/>
        <v>1.3160000000000001</v>
      </c>
      <c r="DH222" s="17" t="s">
        <v>218</v>
      </c>
      <c r="DK222" s="1">
        <v>16.5</v>
      </c>
      <c r="DL222" s="1">
        <v>22.100000381469727</v>
      </c>
      <c r="DM222" s="1">
        <v>11.600000381469727</v>
      </c>
      <c r="DN222" s="20">
        <v>72</v>
      </c>
      <c r="DO222" s="1">
        <v>54</v>
      </c>
      <c r="DQ222" s="1">
        <v>23.3</v>
      </c>
      <c r="DR222" s="1">
        <v>34</v>
      </c>
      <c r="DS222" s="1">
        <v>12.5</v>
      </c>
    </row>
    <row r="223" spans="1:123" x14ac:dyDescent="0.2">
      <c r="A223" s="15">
        <f t="shared" si="144"/>
        <v>36742</v>
      </c>
      <c r="B223" s="1">
        <v>217</v>
      </c>
      <c r="E223" s="55">
        <f t="shared" si="131"/>
        <v>13.9</v>
      </c>
      <c r="P223" s="18"/>
      <c r="R223" s="55">
        <f t="shared" si="132"/>
        <v>21.7</v>
      </c>
      <c r="AD223" s="18"/>
      <c r="AF223" s="55">
        <f t="shared" si="133"/>
        <v>6.4</v>
      </c>
      <c r="BM223" s="17">
        <v>28.63</v>
      </c>
      <c r="BN223" s="17">
        <f t="shared" si="136"/>
        <v>57.832599999999999</v>
      </c>
      <c r="BO223" s="18"/>
      <c r="BP223" s="18"/>
      <c r="BT223" s="55">
        <f t="shared" si="134"/>
        <v>32</v>
      </c>
      <c r="BU223" s="60">
        <f t="shared" si="130"/>
        <v>0.83099999999999996</v>
      </c>
      <c r="BV223" s="60">
        <f t="shared" si="135"/>
        <v>1.766</v>
      </c>
      <c r="BX223" s="1">
        <v>0</v>
      </c>
      <c r="BZ223" s="1">
        <v>0</v>
      </c>
      <c r="CB223" s="17" t="s">
        <v>218</v>
      </c>
      <c r="CC223" s="17" t="s">
        <v>218</v>
      </c>
      <c r="CD223" s="3">
        <f t="shared" si="137"/>
        <v>13.9</v>
      </c>
      <c r="CE223" s="17" t="s">
        <v>218</v>
      </c>
      <c r="CF223" s="17" t="s">
        <v>218</v>
      </c>
      <c r="CG223" s="17" t="s">
        <v>218</v>
      </c>
      <c r="CH223" s="17" t="s">
        <v>218</v>
      </c>
      <c r="CI223" s="17" t="s">
        <v>218</v>
      </c>
      <c r="CJ223" s="17" t="s">
        <v>218</v>
      </c>
      <c r="CK223" s="17" t="s">
        <v>218</v>
      </c>
      <c r="CL223" s="1">
        <f t="shared" si="138"/>
        <v>21.7</v>
      </c>
      <c r="CM223" s="17" t="s">
        <v>218</v>
      </c>
      <c r="CN223" s="17" t="s">
        <v>218</v>
      </c>
      <c r="CO223" s="17" t="s">
        <v>218</v>
      </c>
      <c r="CP223" s="17" t="s">
        <v>218</v>
      </c>
      <c r="CQ223" s="17" t="s">
        <v>218</v>
      </c>
      <c r="CR223" s="17" t="s">
        <v>218</v>
      </c>
      <c r="CS223" s="17" t="s">
        <v>218</v>
      </c>
      <c r="CT223" s="1">
        <f t="shared" si="139"/>
        <v>6.4</v>
      </c>
      <c r="CU223" s="17" t="s">
        <v>218</v>
      </c>
      <c r="CV223" s="17" t="s">
        <v>218</v>
      </c>
      <c r="CW223" s="17" t="s">
        <v>218</v>
      </c>
      <c r="CX223" s="17" t="s">
        <v>218</v>
      </c>
      <c r="CY223" s="17" t="s">
        <v>218</v>
      </c>
      <c r="CZ223" s="17" t="s">
        <v>218</v>
      </c>
      <c r="DA223" s="2">
        <f t="shared" si="140"/>
        <v>32</v>
      </c>
      <c r="DB223" s="20">
        <f t="shared" si="141"/>
        <v>0</v>
      </c>
      <c r="DC223" s="1">
        <f>ROUND(PPTest!K223,1)</f>
        <v>0</v>
      </c>
      <c r="DD223" s="17" t="s">
        <v>218</v>
      </c>
      <c r="DE223" s="17" t="s">
        <v>218</v>
      </c>
      <c r="DF223" s="24">
        <f t="shared" si="142"/>
        <v>0.83099999999999996</v>
      </c>
      <c r="DG223" s="24">
        <f t="shared" si="143"/>
        <v>1.766</v>
      </c>
      <c r="DH223" s="17" t="s">
        <v>218</v>
      </c>
      <c r="DK223" s="1">
        <v>18.3</v>
      </c>
      <c r="DL223" s="1">
        <v>24.100000381469727</v>
      </c>
      <c r="DM223" s="1">
        <v>13.399999618530273</v>
      </c>
      <c r="DN223" s="20">
        <v>64.416666666666671</v>
      </c>
      <c r="DO223" s="1">
        <v>41</v>
      </c>
      <c r="DQ223" s="1">
        <v>24.5</v>
      </c>
      <c r="DR223" s="1">
        <v>36.9</v>
      </c>
      <c r="DS223" s="1">
        <v>12</v>
      </c>
    </row>
    <row r="224" spans="1:123" x14ac:dyDescent="0.2">
      <c r="A224" s="15">
        <f t="shared" si="144"/>
        <v>36743</v>
      </c>
      <c r="B224" s="1">
        <v>218</v>
      </c>
      <c r="E224" s="55">
        <f t="shared" si="131"/>
        <v>15.5</v>
      </c>
      <c r="P224" s="18"/>
      <c r="R224" s="55">
        <f t="shared" si="132"/>
        <v>23.3</v>
      </c>
      <c r="AD224" s="18"/>
      <c r="AF224" s="55">
        <f t="shared" si="133"/>
        <v>6.4</v>
      </c>
      <c r="BM224" s="17">
        <v>28.45</v>
      </c>
      <c r="BN224" s="17">
        <f t="shared" si="136"/>
        <v>57.469000000000001</v>
      </c>
      <c r="BO224" s="18"/>
      <c r="BP224" s="18"/>
      <c r="BT224" s="55">
        <f t="shared" si="134"/>
        <v>31</v>
      </c>
      <c r="BU224" s="60">
        <f t="shared" si="130"/>
        <v>0.88700000000000001</v>
      </c>
      <c r="BV224" s="60">
        <f t="shared" si="135"/>
        <v>1.974</v>
      </c>
      <c r="BX224" s="1">
        <v>0</v>
      </c>
      <c r="BZ224" s="1">
        <v>0</v>
      </c>
      <c r="CB224" s="17" t="s">
        <v>218</v>
      </c>
      <c r="CC224" s="17" t="s">
        <v>218</v>
      </c>
      <c r="CD224" s="3">
        <f t="shared" si="137"/>
        <v>15.5</v>
      </c>
      <c r="CE224" s="17" t="s">
        <v>218</v>
      </c>
      <c r="CF224" s="17" t="s">
        <v>218</v>
      </c>
      <c r="CG224" s="17" t="s">
        <v>218</v>
      </c>
      <c r="CH224" s="17" t="s">
        <v>218</v>
      </c>
      <c r="CI224" s="17" t="s">
        <v>218</v>
      </c>
      <c r="CJ224" s="17" t="s">
        <v>218</v>
      </c>
      <c r="CK224" s="17" t="s">
        <v>218</v>
      </c>
      <c r="CL224" s="1">
        <f t="shared" si="138"/>
        <v>23.3</v>
      </c>
      <c r="CM224" s="17" t="s">
        <v>218</v>
      </c>
      <c r="CN224" s="17" t="s">
        <v>218</v>
      </c>
      <c r="CO224" s="17" t="s">
        <v>218</v>
      </c>
      <c r="CP224" s="17" t="s">
        <v>218</v>
      </c>
      <c r="CQ224" s="17" t="s">
        <v>218</v>
      </c>
      <c r="CR224" s="17" t="s">
        <v>218</v>
      </c>
      <c r="CS224" s="17" t="s">
        <v>218</v>
      </c>
      <c r="CT224" s="1">
        <f t="shared" si="139"/>
        <v>6.4</v>
      </c>
      <c r="CU224" s="17" t="s">
        <v>218</v>
      </c>
      <c r="CV224" s="17" t="s">
        <v>218</v>
      </c>
      <c r="CW224" s="17" t="s">
        <v>218</v>
      </c>
      <c r="CX224" s="17" t="s">
        <v>218</v>
      </c>
      <c r="CY224" s="17" t="s">
        <v>218</v>
      </c>
      <c r="CZ224" s="17" t="s">
        <v>218</v>
      </c>
      <c r="DA224" s="2">
        <f t="shared" si="140"/>
        <v>31</v>
      </c>
      <c r="DB224" s="20">
        <f t="shared" si="141"/>
        <v>0</v>
      </c>
      <c r="DC224" s="1">
        <f>ROUND(PPTest!K224,1)</f>
        <v>0</v>
      </c>
      <c r="DD224" s="17" t="s">
        <v>218</v>
      </c>
      <c r="DE224" s="17" t="s">
        <v>218</v>
      </c>
      <c r="DF224" s="24">
        <f t="shared" si="142"/>
        <v>0.88700000000000001</v>
      </c>
      <c r="DG224" s="24">
        <f t="shared" si="143"/>
        <v>1.974</v>
      </c>
      <c r="DH224" s="17" t="s">
        <v>218</v>
      </c>
      <c r="DK224" s="1">
        <v>20.2</v>
      </c>
      <c r="DL224" s="1">
        <v>25.899999618530273</v>
      </c>
      <c r="DM224" s="1">
        <v>13.5</v>
      </c>
      <c r="DN224" s="20">
        <v>56.458333333333336</v>
      </c>
      <c r="DO224" s="1">
        <v>39</v>
      </c>
      <c r="DQ224" s="1">
        <v>24.3</v>
      </c>
      <c r="DR224" s="1">
        <v>36.9</v>
      </c>
      <c r="DS224" s="1">
        <v>11.7</v>
      </c>
    </row>
    <row r="225" spans="1:123" x14ac:dyDescent="0.2">
      <c r="A225" s="15">
        <f t="shared" si="144"/>
        <v>36744</v>
      </c>
      <c r="B225" s="1">
        <v>219</v>
      </c>
      <c r="E225" s="55">
        <f t="shared" si="131"/>
        <v>14.4</v>
      </c>
      <c r="P225" s="18"/>
      <c r="R225" s="55">
        <f t="shared" si="132"/>
        <v>20.6</v>
      </c>
      <c r="AD225" s="18"/>
      <c r="AF225" s="55">
        <f t="shared" si="133"/>
        <v>6.8</v>
      </c>
      <c r="BM225" s="17">
        <v>28.26</v>
      </c>
      <c r="BN225" s="17">
        <f t="shared" si="136"/>
        <v>57.0852</v>
      </c>
      <c r="BO225" s="18"/>
      <c r="BP225" s="18"/>
      <c r="BT225" s="55">
        <f t="shared" si="134"/>
        <v>35</v>
      </c>
      <c r="BU225" s="60">
        <f t="shared" si="130"/>
        <v>0.84899999999999998</v>
      </c>
      <c r="BV225" s="60">
        <f t="shared" si="135"/>
        <v>1.577</v>
      </c>
      <c r="BX225" s="1">
        <v>0</v>
      </c>
      <c r="BZ225" s="1">
        <v>0</v>
      </c>
      <c r="CB225" s="17" t="s">
        <v>218</v>
      </c>
      <c r="CC225" s="17" t="s">
        <v>218</v>
      </c>
      <c r="CD225" s="3">
        <f t="shared" si="137"/>
        <v>14.4</v>
      </c>
      <c r="CE225" s="17" t="s">
        <v>218</v>
      </c>
      <c r="CF225" s="17" t="s">
        <v>218</v>
      </c>
      <c r="CG225" s="17" t="s">
        <v>218</v>
      </c>
      <c r="CH225" s="17" t="s">
        <v>218</v>
      </c>
      <c r="CI225" s="17" t="s">
        <v>218</v>
      </c>
      <c r="CJ225" s="17" t="s">
        <v>218</v>
      </c>
      <c r="CK225" s="17" t="s">
        <v>218</v>
      </c>
      <c r="CL225" s="1">
        <f t="shared" si="138"/>
        <v>20.6</v>
      </c>
      <c r="CM225" s="17" t="s">
        <v>218</v>
      </c>
      <c r="CN225" s="17" t="s">
        <v>218</v>
      </c>
      <c r="CO225" s="17" t="s">
        <v>218</v>
      </c>
      <c r="CP225" s="17" t="s">
        <v>218</v>
      </c>
      <c r="CQ225" s="17" t="s">
        <v>218</v>
      </c>
      <c r="CR225" s="17" t="s">
        <v>218</v>
      </c>
      <c r="CS225" s="17" t="s">
        <v>218</v>
      </c>
      <c r="CT225" s="1">
        <f t="shared" si="139"/>
        <v>6.8</v>
      </c>
      <c r="CU225" s="17" t="s">
        <v>218</v>
      </c>
      <c r="CV225" s="17" t="s">
        <v>218</v>
      </c>
      <c r="CW225" s="17" t="s">
        <v>218</v>
      </c>
      <c r="CX225" s="17" t="s">
        <v>218</v>
      </c>
      <c r="CY225" s="17" t="s">
        <v>218</v>
      </c>
      <c r="CZ225" s="17" t="s">
        <v>218</v>
      </c>
      <c r="DA225" s="2">
        <f t="shared" si="140"/>
        <v>35</v>
      </c>
      <c r="DB225" s="20">
        <f t="shared" si="141"/>
        <v>0</v>
      </c>
      <c r="DC225" s="1">
        <f>ROUND(PPTest!K225,1)</f>
        <v>0</v>
      </c>
      <c r="DD225" s="17" t="s">
        <v>218</v>
      </c>
      <c r="DE225" s="17" t="s">
        <v>218</v>
      </c>
      <c r="DF225" s="24">
        <f t="shared" si="142"/>
        <v>0.84899999999999998</v>
      </c>
      <c r="DG225" s="24">
        <f t="shared" si="143"/>
        <v>1.577</v>
      </c>
      <c r="DH225" s="17" t="s">
        <v>218</v>
      </c>
      <c r="DK225" s="1">
        <v>18.899999999999999</v>
      </c>
      <c r="DL225" s="1">
        <v>23</v>
      </c>
      <c r="DM225" s="1">
        <v>14.199999809265137</v>
      </c>
      <c r="DN225" s="20">
        <v>57.791666666666664</v>
      </c>
      <c r="DO225" s="1">
        <v>44</v>
      </c>
      <c r="DQ225" s="1">
        <v>22.8</v>
      </c>
      <c r="DR225" s="1">
        <v>33.299999999999997</v>
      </c>
      <c r="DS225" s="1">
        <v>12.2</v>
      </c>
    </row>
    <row r="226" spans="1:123" x14ac:dyDescent="0.2">
      <c r="A226" s="15">
        <f t="shared" si="144"/>
        <v>36745</v>
      </c>
      <c r="B226" s="1">
        <v>220</v>
      </c>
      <c r="E226" s="55">
        <f t="shared" si="131"/>
        <v>13.7</v>
      </c>
      <c r="P226" s="18"/>
      <c r="R226" s="55">
        <f t="shared" si="132"/>
        <v>21.2</v>
      </c>
      <c r="AD226" s="18"/>
      <c r="AF226" s="55">
        <f t="shared" si="133"/>
        <v>5.6</v>
      </c>
      <c r="BM226" s="17">
        <v>28.06</v>
      </c>
      <c r="BN226" s="17">
        <f t="shared" si="136"/>
        <v>56.681199999999997</v>
      </c>
      <c r="BO226" s="18"/>
      <c r="BP226" s="18"/>
      <c r="BT226" s="55">
        <f t="shared" si="134"/>
        <v>30</v>
      </c>
      <c r="BU226" s="60">
        <f t="shared" si="130"/>
        <v>0.755</v>
      </c>
      <c r="BV226" s="60">
        <f t="shared" si="135"/>
        <v>1.762</v>
      </c>
      <c r="BX226" s="1">
        <v>0</v>
      </c>
      <c r="BZ226" s="1">
        <v>0</v>
      </c>
      <c r="CB226" s="17" t="s">
        <v>218</v>
      </c>
      <c r="CC226" s="17" t="s">
        <v>218</v>
      </c>
      <c r="CD226" s="3">
        <f t="shared" si="137"/>
        <v>13.7</v>
      </c>
      <c r="CE226" s="17" t="s">
        <v>218</v>
      </c>
      <c r="CF226" s="17" t="s">
        <v>218</v>
      </c>
      <c r="CG226" s="17" t="s">
        <v>218</v>
      </c>
      <c r="CH226" s="17" t="s">
        <v>218</v>
      </c>
      <c r="CI226" s="17" t="s">
        <v>218</v>
      </c>
      <c r="CJ226" s="17" t="s">
        <v>218</v>
      </c>
      <c r="CK226" s="17" t="s">
        <v>218</v>
      </c>
      <c r="CL226" s="1">
        <f t="shared" si="138"/>
        <v>21.2</v>
      </c>
      <c r="CM226" s="17" t="s">
        <v>218</v>
      </c>
      <c r="CN226" s="17" t="s">
        <v>218</v>
      </c>
      <c r="CO226" s="17" t="s">
        <v>218</v>
      </c>
      <c r="CP226" s="17" t="s">
        <v>218</v>
      </c>
      <c r="CQ226" s="17" t="s">
        <v>218</v>
      </c>
      <c r="CR226" s="17" t="s">
        <v>218</v>
      </c>
      <c r="CS226" s="17" t="s">
        <v>218</v>
      </c>
      <c r="CT226" s="1">
        <f t="shared" si="139"/>
        <v>5.6</v>
      </c>
      <c r="CU226" s="17" t="s">
        <v>218</v>
      </c>
      <c r="CV226" s="17" t="s">
        <v>218</v>
      </c>
      <c r="CW226" s="17" t="s">
        <v>218</v>
      </c>
      <c r="CX226" s="17" t="s">
        <v>218</v>
      </c>
      <c r="CY226" s="17" t="s">
        <v>218</v>
      </c>
      <c r="CZ226" s="17" t="s">
        <v>218</v>
      </c>
      <c r="DA226" s="2">
        <f t="shared" si="140"/>
        <v>30</v>
      </c>
      <c r="DB226" s="20">
        <f t="shared" si="141"/>
        <v>0</v>
      </c>
      <c r="DC226" s="1">
        <f>ROUND(PPTest!K226,1)</f>
        <v>0</v>
      </c>
      <c r="DD226" s="17" t="s">
        <v>218</v>
      </c>
      <c r="DE226" s="17" t="s">
        <v>218</v>
      </c>
      <c r="DF226" s="24">
        <f t="shared" si="142"/>
        <v>0.755</v>
      </c>
      <c r="DG226" s="24">
        <f t="shared" si="143"/>
        <v>1.762</v>
      </c>
      <c r="DH226" s="17" t="s">
        <v>218</v>
      </c>
      <c r="DK226" s="1">
        <v>18.100000000000001</v>
      </c>
      <c r="DL226" s="1">
        <v>23.600000381469727</v>
      </c>
      <c r="DM226" s="1">
        <v>12.100000381469727</v>
      </c>
      <c r="DN226" s="20">
        <v>54.833333333333336</v>
      </c>
      <c r="DO226" s="1">
        <v>38</v>
      </c>
      <c r="DQ226" s="1">
        <v>22.5</v>
      </c>
      <c r="DR226" s="1">
        <v>34.700000000000003</v>
      </c>
      <c r="DS226" s="1">
        <v>10.3</v>
      </c>
    </row>
    <row r="227" spans="1:123" x14ac:dyDescent="0.2">
      <c r="A227" s="15">
        <f t="shared" si="144"/>
        <v>36746</v>
      </c>
      <c r="B227" s="1">
        <v>221</v>
      </c>
      <c r="E227" s="55">
        <f t="shared" si="131"/>
        <v>15.2</v>
      </c>
      <c r="P227" s="18"/>
      <c r="R227" s="55">
        <f t="shared" si="132"/>
        <v>23</v>
      </c>
      <c r="AD227" s="18"/>
      <c r="AF227" s="55">
        <f t="shared" si="133"/>
        <v>6.3</v>
      </c>
      <c r="BM227" s="17">
        <v>27.87</v>
      </c>
      <c r="BN227" s="17">
        <f t="shared" si="136"/>
        <v>56.297400000000003</v>
      </c>
      <c r="BO227" s="18"/>
      <c r="BP227" s="18"/>
      <c r="BT227" s="55">
        <f t="shared" si="134"/>
        <v>31</v>
      </c>
      <c r="BU227" s="60">
        <f t="shared" si="130"/>
        <v>0.871</v>
      </c>
      <c r="BV227" s="60">
        <f t="shared" si="135"/>
        <v>1.9390000000000001</v>
      </c>
      <c r="BX227" s="1">
        <v>0</v>
      </c>
      <c r="BZ227" s="1">
        <v>0</v>
      </c>
      <c r="CB227" s="17" t="s">
        <v>218</v>
      </c>
      <c r="CC227" s="17" t="s">
        <v>218</v>
      </c>
      <c r="CD227" s="3">
        <f t="shared" si="137"/>
        <v>15.2</v>
      </c>
      <c r="CE227" s="17" t="s">
        <v>218</v>
      </c>
      <c r="CF227" s="17" t="s">
        <v>218</v>
      </c>
      <c r="CG227" s="17" t="s">
        <v>218</v>
      </c>
      <c r="CH227" s="17" t="s">
        <v>218</v>
      </c>
      <c r="CI227" s="17" t="s">
        <v>218</v>
      </c>
      <c r="CJ227" s="17" t="s">
        <v>218</v>
      </c>
      <c r="CK227" s="17" t="s">
        <v>218</v>
      </c>
      <c r="CL227" s="1">
        <f t="shared" si="138"/>
        <v>23</v>
      </c>
      <c r="CM227" s="17" t="s">
        <v>218</v>
      </c>
      <c r="CN227" s="17" t="s">
        <v>218</v>
      </c>
      <c r="CO227" s="17" t="s">
        <v>218</v>
      </c>
      <c r="CP227" s="17" t="s">
        <v>218</v>
      </c>
      <c r="CQ227" s="17" t="s">
        <v>218</v>
      </c>
      <c r="CR227" s="17" t="s">
        <v>218</v>
      </c>
      <c r="CS227" s="17" t="s">
        <v>218</v>
      </c>
      <c r="CT227" s="1">
        <f t="shared" si="139"/>
        <v>6.3</v>
      </c>
      <c r="CU227" s="17" t="s">
        <v>218</v>
      </c>
      <c r="CV227" s="17" t="s">
        <v>218</v>
      </c>
      <c r="CW227" s="17" t="s">
        <v>218</v>
      </c>
      <c r="CX227" s="17" t="s">
        <v>218</v>
      </c>
      <c r="CY227" s="17" t="s">
        <v>218</v>
      </c>
      <c r="CZ227" s="17" t="s">
        <v>218</v>
      </c>
      <c r="DA227" s="2">
        <f t="shared" si="140"/>
        <v>31</v>
      </c>
      <c r="DB227" s="20">
        <f t="shared" si="141"/>
        <v>0</v>
      </c>
      <c r="DC227" s="1">
        <f>ROUND(PPTest!K227,1)</f>
        <v>0</v>
      </c>
      <c r="DD227" s="17" t="s">
        <v>218</v>
      </c>
      <c r="DE227" s="17" t="s">
        <v>218</v>
      </c>
      <c r="DF227" s="24">
        <f t="shared" si="142"/>
        <v>0.871</v>
      </c>
      <c r="DG227" s="24">
        <f t="shared" si="143"/>
        <v>1.9390000000000001</v>
      </c>
      <c r="DH227" s="17" t="s">
        <v>218</v>
      </c>
      <c r="DK227" s="1">
        <v>19.899999999999999</v>
      </c>
      <c r="DL227" s="1">
        <v>25.600000381469727</v>
      </c>
      <c r="DM227" s="1">
        <v>13.300000190734863</v>
      </c>
      <c r="DN227" s="20">
        <v>50.583333333333336</v>
      </c>
      <c r="DO227" s="1">
        <v>39</v>
      </c>
      <c r="DQ227" s="1">
        <v>23.2</v>
      </c>
      <c r="DR227" s="1">
        <v>37.1</v>
      </c>
      <c r="DS227" s="1">
        <v>9.3000000000000007</v>
      </c>
    </row>
    <row r="228" spans="1:123" x14ac:dyDescent="0.2">
      <c r="A228" s="15">
        <f t="shared" si="144"/>
        <v>36747</v>
      </c>
      <c r="B228" s="1">
        <v>222</v>
      </c>
      <c r="E228" s="55">
        <f t="shared" si="131"/>
        <v>14.2</v>
      </c>
      <c r="P228" s="18"/>
      <c r="R228" s="55">
        <f t="shared" si="132"/>
        <v>22.1</v>
      </c>
      <c r="AD228" s="18"/>
      <c r="AF228" s="55">
        <f t="shared" si="133"/>
        <v>6.2</v>
      </c>
      <c r="BM228" s="17">
        <v>27.67</v>
      </c>
      <c r="BN228" s="17">
        <f t="shared" si="136"/>
        <v>55.893400000000007</v>
      </c>
      <c r="BO228" s="18"/>
      <c r="BP228" s="18"/>
      <c r="BT228" s="55">
        <f t="shared" si="134"/>
        <v>25</v>
      </c>
      <c r="BU228" s="60">
        <f t="shared" si="130"/>
        <v>0.66500000000000004</v>
      </c>
      <c r="BV228" s="60">
        <f t="shared" si="135"/>
        <v>1.9950000000000001</v>
      </c>
      <c r="BX228" s="1">
        <v>0</v>
      </c>
      <c r="BZ228" s="1">
        <v>0</v>
      </c>
      <c r="CB228" s="17" t="s">
        <v>218</v>
      </c>
      <c r="CC228" s="17" t="s">
        <v>218</v>
      </c>
      <c r="CD228" s="3">
        <f t="shared" si="137"/>
        <v>14.2</v>
      </c>
      <c r="CE228" s="17" t="s">
        <v>218</v>
      </c>
      <c r="CF228" s="17" t="s">
        <v>218</v>
      </c>
      <c r="CG228" s="17" t="s">
        <v>218</v>
      </c>
      <c r="CH228" s="17" t="s">
        <v>218</v>
      </c>
      <c r="CI228" s="17" t="s">
        <v>218</v>
      </c>
      <c r="CJ228" s="17" t="s">
        <v>218</v>
      </c>
      <c r="CK228" s="17" t="s">
        <v>218</v>
      </c>
      <c r="CL228" s="1">
        <f t="shared" si="138"/>
        <v>22.1</v>
      </c>
      <c r="CM228" s="17" t="s">
        <v>218</v>
      </c>
      <c r="CN228" s="17" t="s">
        <v>218</v>
      </c>
      <c r="CO228" s="17" t="s">
        <v>218</v>
      </c>
      <c r="CP228" s="17" t="s">
        <v>218</v>
      </c>
      <c r="CQ228" s="17" t="s">
        <v>218</v>
      </c>
      <c r="CR228" s="17" t="s">
        <v>218</v>
      </c>
      <c r="CS228" s="17" t="s">
        <v>218</v>
      </c>
      <c r="CT228" s="1">
        <f t="shared" si="139"/>
        <v>6.2</v>
      </c>
      <c r="CU228" s="17" t="s">
        <v>218</v>
      </c>
      <c r="CV228" s="17" t="s">
        <v>218</v>
      </c>
      <c r="CW228" s="17" t="s">
        <v>218</v>
      </c>
      <c r="CX228" s="17" t="s">
        <v>218</v>
      </c>
      <c r="CY228" s="17" t="s">
        <v>218</v>
      </c>
      <c r="CZ228" s="17" t="s">
        <v>218</v>
      </c>
      <c r="DA228" s="2">
        <f t="shared" si="140"/>
        <v>25</v>
      </c>
      <c r="DB228" s="20">
        <f t="shared" si="141"/>
        <v>0</v>
      </c>
      <c r="DC228" s="1">
        <f>ROUND(PPTest!K228,1)</f>
        <v>0</v>
      </c>
      <c r="DD228" s="17" t="s">
        <v>218</v>
      </c>
      <c r="DE228" s="17" t="s">
        <v>218</v>
      </c>
      <c r="DF228" s="24">
        <f t="shared" si="142"/>
        <v>0.66500000000000004</v>
      </c>
      <c r="DG228" s="24">
        <f t="shared" si="143"/>
        <v>1.9950000000000001</v>
      </c>
      <c r="DH228" s="17" t="s">
        <v>218</v>
      </c>
      <c r="DK228" s="1">
        <v>18.7</v>
      </c>
      <c r="DL228" s="1">
        <v>24.600000381469727</v>
      </c>
      <c r="DM228" s="1">
        <v>13.100000381469727</v>
      </c>
      <c r="DN228" s="20">
        <v>48.583333333333336</v>
      </c>
      <c r="DO228" s="1">
        <v>33</v>
      </c>
      <c r="DQ228" s="1">
        <v>23.3</v>
      </c>
      <c r="DR228" s="1">
        <v>35.4</v>
      </c>
      <c r="DS228" s="1">
        <v>11.1</v>
      </c>
    </row>
    <row r="229" spans="1:123" x14ac:dyDescent="0.2">
      <c r="A229" s="15">
        <f t="shared" si="144"/>
        <v>36748</v>
      </c>
      <c r="B229" s="1">
        <v>223</v>
      </c>
      <c r="E229" s="55">
        <f t="shared" si="131"/>
        <v>12.9</v>
      </c>
      <c r="P229" s="18"/>
      <c r="R229" s="55">
        <f t="shared" si="132"/>
        <v>20.6</v>
      </c>
      <c r="AD229" s="18"/>
      <c r="AF229" s="55">
        <f t="shared" si="133"/>
        <v>5.0999999999999996</v>
      </c>
      <c r="BM229" s="17">
        <v>27.47</v>
      </c>
      <c r="BN229" s="17">
        <f t="shared" si="136"/>
        <v>55.489399999999996</v>
      </c>
      <c r="BO229" s="18"/>
      <c r="BP229" s="18"/>
      <c r="BT229" s="55">
        <f t="shared" si="134"/>
        <v>28</v>
      </c>
      <c r="BU229" s="60">
        <f t="shared" ref="BU229:BU292" si="148">ROUND(0.6105*(EXP((17.273*R229)/(R229+237.3)))*BT229/100, 3)</f>
        <v>0.67900000000000005</v>
      </c>
      <c r="BV229" s="60">
        <f t="shared" si="135"/>
        <v>1.746</v>
      </c>
      <c r="BX229" s="1">
        <v>0</v>
      </c>
      <c r="BZ229" s="1">
        <v>0</v>
      </c>
      <c r="CB229" s="17" t="s">
        <v>218</v>
      </c>
      <c r="CC229" s="17" t="s">
        <v>218</v>
      </c>
      <c r="CD229" s="3">
        <f t="shared" si="137"/>
        <v>12.9</v>
      </c>
      <c r="CE229" s="17" t="s">
        <v>218</v>
      </c>
      <c r="CF229" s="17" t="s">
        <v>218</v>
      </c>
      <c r="CG229" s="17" t="s">
        <v>218</v>
      </c>
      <c r="CH229" s="17" t="s">
        <v>218</v>
      </c>
      <c r="CI229" s="17" t="s">
        <v>218</v>
      </c>
      <c r="CJ229" s="17" t="s">
        <v>218</v>
      </c>
      <c r="CK229" s="17" t="s">
        <v>218</v>
      </c>
      <c r="CL229" s="1">
        <f t="shared" si="138"/>
        <v>20.6</v>
      </c>
      <c r="CM229" s="17" t="s">
        <v>218</v>
      </c>
      <c r="CN229" s="17" t="s">
        <v>218</v>
      </c>
      <c r="CO229" s="17" t="s">
        <v>218</v>
      </c>
      <c r="CP229" s="17" t="s">
        <v>218</v>
      </c>
      <c r="CQ229" s="17" t="s">
        <v>218</v>
      </c>
      <c r="CR229" s="17" t="s">
        <v>218</v>
      </c>
      <c r="CS229" s="17" t="s">
        <v>218</v>
      </c>
      <c r="CT229" s="1">
        <f t="shared" si="139"/>
        <v>5.0999999999999996</v>
      </c>
      <c r="CU229" s="17" t="s">
        <v>218</v>
      </c>
      <c r="CV229" s="17" t="s">
        <v>218</v>
      </c>
      <c r="CW229" s="17" t="s">
        <v>218</v>
      </c>
      <c r="CX229" s="17" t="s">
        <v>218</v>
      </c>
      <c r="CY229" s="17" t="s">
        <v>218</v>
      </c>
      <c r="CZ229" s="17" t="s">
        <v>218</v>
      </c>
      <c r="DA229" s="2">
        <f t="shared" si="140"/>
        <v>28</v>
      </c>
      <c r="DB229" s="20">
        <f t="shared" si="141"/>
        <v>0</v>
      </c>
      <c r="DC229" s="1">
        <f>ROUND(PPTest!K229,1)</f>
        <v>0</v>
      </c>
      <c r="DD229" s="17" t="s">
        <v>218</v>
      </c>
      <c r="DE229" s="17" t="s">
        <v>218</v>
      </c>
      <c r="DF229" s="24">
        <f t="shared" si="142"/>
        <v>0.67900000000000005</v>
      </c>
      <c r="DG229" s="24">
        <f t="shared" si="143"/>
        <v>1.746</v>
      </c>
      <c r="DH229" s="17" t="s">
        <v>218</v>
      </c>
      <c r="DK229" s="1">
        <v>17.100000000000001</v>
      </c>
      <c r="DL229" s="1">
        <v>23</v>
      </c>
      <c r="DM229" s="1">
        <v>11.300000190734863</v>
      </c>
      <c r="DN229" s="20">
        <v>52.166666666666664</v>
      </c>
      <c r="DO229" s="1">
        <v>36</v>
      </c>
      <c r="DQ229" s="1">
        <v>21.8</v>
      </c>
      <c r="DR229" s="1">
        <v>34.9</v>
      </c>
      <c r="DS229" s="1">
        <v>8.6999999999999993</v>
      </c>
    </row>
    <row r="230" spans="1:123" x14ac:dyDescent="0.2">
      <c r="A230" s="15">
        <f t="shared" si="144"/>
        <v>36749</v>
      </c>
      <c r="B230" s="1">
        <v>224</v>
      </c>
      <c r="E230" s="55">
        <f t="shared" ref="E230:E268" si="149">ROUND(DK230*0.82-1.1,1)</f>
        <v>10</v>
      </c>
      <c r="P230" s="18"/>
      <c r="R230" s="55">
        <f t="shared" ref="R230:R268" si="150">ROUND(DL230*0.92-0.52,1)</f>
        <v>16.3</v>
      </c>
      <c r="AD230" s="18"/>
      <c r="AF230" s="55">
        <f t="shared" ref="AF230:AF268" si="151">ROUND(DM230*0.61-1.82,1)</f>
        <v>3.4</v>
      </c>
      <c r="BM230" s="17">
        <v>27.27</v>
      </c>
      <c r="BN230" s="17">
        <f t="shared" si="136"/>
        <v>55.0854</v>
      </c>
      <c r="BO230" s="18"/>
      <c r="BP230" s="18"/>
      <c r="BT230" s="55">
        <f t="shared" ref="BT230:BT268" si="152">ROUND(DO230*0.85-2.6,0)</f>
        <v>37</v>
      </c>
      <c r="BU230" s="60">
        <f t="shared" si="148"/>
        <v>0.68600000000000005</v>
      </c>
      <c r="BV230" s="60">
        <f t="shared" si="135"/>
        <v>1.1679999999999999</v>
      </c>
      <c r="BX230" s="1">
        <v>0</v>
      </c>
      <c r="BZ230" s="1">
        <v>0</v>
      </c>
      <c r="CB230" s="17" t="s">
        <v>218</v>
      </c>
      <c r="CC230" s="17" t="s">
        <v>218</v>
      </c>
      <c r="CD230" s="3">
        <f t="shared" si="137"/>
        <v>10</v>
      </c>
      <c r="CE230" s="17" t="s">
        <v>218</v>
      </c>
      <c r="CF230" s="17" t="s">
        <v>218</v>
      </c>
      <c r="CG230" s="17" t="s">
        <v>218</v>
      </c>
      <c r="CH230" s="17" t="s">
        <v>218</v>
      </c>
      <c r="CI230" s="17" t="s">
        <v>218</v>
      </c>
      <c r="CJ230" s="17" t="s">
        <v>218</v>
      </c>
      <c r="CK230" s="17" t="s">
        <v>218</v>
      </c>
      <c r="CL230" s="1">
        <f t="shared" si="138"/>
        <v>16.3</v>
      </c>
      <c r="CM230" s="17" t="s">
        <v>218</v>
      </c>
      <c r="CN230" s="17" t="s">
        <v>218</v>
      </c>
      <c r="CO230" s="17" t="s">
        <v>218</v>
      </c>
      <c r="CP230" s="17" t="s">
        <v>218</v>
      </c>
      <c r="CQ230" s="17" t="s">
        <v>218</v>
      </c>
      <c r="CR230" s="17" t="s">
        <v>218</v>
      </c>
      <c r="CS230" s="17" t="s">
        <v>218</v>
      </c>
      <c r="CT230" s="1">
        <f t="shared" si="139"/>
        <v>3.4</v>
      </c>
      <c r="CU230" s="17" t="s">
        <v>218</v>
      </c>
      <c r="CV230" s="17" t="s">
        <v>218</v>
      </c>
      <c r="CW230" s="17" t="s">
        <v>218</v>
      </c>
      <c r="CX230" s="17" t="s">
        <v>218</v>
      </c>
      <c r="CY230" s="17" t="s">
        <v>218</v>
      </c>
      <c r="CZ230" s="17" t="s">
        <v>218</v>
      </c>
      <c r="DA230" s="2">
        <f t="shared" si="140"/>
        <v>37</v>
      </c>
      <c r="DB230" s="20">
        <f t="shared" si="141"/>
        <v>0</v>
      </c>
      <c r="DC230" s="1">
        <f>ROUND(PPTest!K230,1)</f>
        <v>0</v>
      </c>
      <c r="DD230" s="17" t="s">
        <v>218</v>
      </c>
      <c r="DE230" s="17" t="s">
        <v>218</v>
      </c>
      <c r="DF230" s="24">
        <f t="shared" si="142"/>
        <v>0.68600000000000005</v>
      </c>
      <c r="DG230" s="24">
        <f t="shared" si="143"/>
        <v>1.1679999999999999</v>
      </c>
      <c r="DH230" s="17" t="s">
        <v>218</v>
      </c>
      <c r="DK230" s="1">
        <v>13.5</v>
      </c>
      <c r="DL230" s="1">
        <v>18.299999237060547</v>
      </c>
      <c r="DM230" s="1">
        <v>8.6000003814697266</v>
      </c>
      <c r="DN230" s="20">
        <v>64.166666666666671</v>
      </c>
      <c r="DO230" s="1">
        <v>47</v>
      </c>
      <c r="DQ230" s="1">
        <v>19.3</v>
      </c>
      <c r="DR230" s="1">
        <v>30.5</v>
      </c>
      <c r="DS230" s="1">
        <v>8.1</v>
      </c>
    </row>
    <row r="231" spans="1:123" x14ac:dyDescent="0.2">
      <c r="A231" s="15">
        <f t="shared" si="144"/>
        <v>36750</v>
      </c>
      <c r="B231" s="1">
        <v>225</v>
      </c>
      <c r="E231" s="55">
        <f t="shared" si="149"/>
        <v>9.6</v>
      </c>
      <c r="P231" s="18"/>
      <c r="R231" s="55">
        <f t="shared" si="150"/>
        <v>17</v>
      </c>
      <c r="AD231" s="18"/>
      <c r="AF231" s="55">
        <f t="shared" si="151"/>
        <v>2.6</v>
      </c>
      <c r="BM231" s="17">
        <v>27.06</v>
      </c>
      <c r="BN231" s="17">
        <f t="shared" si="136"/>
        <v>54.661200000000001</v>
      </c>
      <c r="BO231" s="18"/>
      <c r="BP231" s="18"/>
      <c r="BT231" s="55">
        <f t="shared" si="152"/>
        <v>31</v>
      </c>
      <c r="BU231" s="60">
        <f t="shared" si="148"/>
        <v>0.60099999999999998</v>
      </c>
      <c r="BV231" s="60">
        <f t="shared" si="135"/>
        <v>1.3380000000000001</v>
      </c>
      <c r="BX231" s="1">
        <v>0</v>
      </c>
      <c r="BZ231" s="1">
        <v>0</v>
      </c>
      <c r="CB231" s="17" t="s">
        <v>218</v>
      </c>
      <c r="CC231" s="17" t="s">
        <v>218</v>
      </c>
      <c r="CD231" s="3">
        <f t="shared" si="137"/>
        <v>9.6</v>
      </c>
      <c r="CE231" s="17" t="s">
        <v>218</v>
      </c>
      <c r="CF231" s="17" t="s">
        <v>218</v>
      </c>
      <c r="CG231" s="17" t="s">
        <v>218</v>
      </c>
      <c r="CH231" s="17" t="s">
        <v>218</v>
      </c>
      <c r="CI231" s="17" t="s">
        <v>218</v>
      </c>
      <c r="CJ231" s="17" t="s">
        <v>218</v>
      </c>
      <c r="CK231" s="17" t="s">
        <v>218</v>
      </c>
      <c r="CL231" s="1">
        <f t="shared" si="138"/>
        <v>17</v>
      </c>
      <c r="CM231" s="17" t="s">
        <v>218</v>
      </c>
      <c r="CN231" s="17" t="s">
        <v>218</v>
      </c>
      <c r="CO231" s="17" t="s">
        <v>218</v>
      </c>
      <c r="CP231" s="17" t="s">
        <v>218</v>
      </c>
      <c r="CQ231" s="17" t="s">
        <v>218</v>
      </c>
      <c r="CR231" s="17" t="s">
        <v>218</v>
      </c>
      <c r="CS231" s="17" t="s">
        <v>218</v>
      </c>
      <c r="CT231" s="1">
        <f t="shared" si="139"/>
        <v>2.6</v>
      </c>
      <c r="CU231" s="17" t="s">
        <v>218</v>
      </c>
      <c r="CV231" s="17" t="s">
        <v>218</v>
      </c>
      <c r="CW231" s="17" t="s">
        <v>218</v>
      </c>
      <c r="CX231" s="17" t="s">
        <v>218</v>
      </c>
      <c r="CY231" s="17" t="s">
        <v>218</v>
      </c>
      <c r="CZ231" s="17" t="s">
        <v>218</v>
      </c>
      <c r="DA231" s="2">
        <f t="shared" si="140"/>
        <v>31</v>
      </c>
      <c r="DB231" s="20">
        <f t="shared" si="141"/>
        <v>0</v>
      </c>
      <c r="DC231" s="1">
        <f>ROUND(PPTest!K231,1)</f>
        <v>0</v>
      </c>
      <c r="DD231" s="17" t="s">
        <v>218</v>
      </c>
      <c r="DE231" s="17" t="s">
        <v>218</v>
      </c>
      <c r="DF231" s="24">
        <f t="shared" si="142"/>
        <v>0.60099999999999998</v>
      </c>
      <c r="DG231" s="24">
        <f t="shared" si="143"/>
        <v>1.3380000000000001</v>
      </c>
      <c r="DH231" s="17" t="s">
        <v>218</v>
      </c>
      <c r="DK231" s="1">
        <v>13.1</v>
      </c>
      <c r="DL231" s="1">
        <v>19</v>
      </c>
      <c r="DM231" s="1">
        <v>7.3000001907348633</v>
      </c>
      <c r="DN231" s="20">
        <v>65.333333333333329</v>
      </c>
      <c r="DO231" s="1">
        <v>40</v>
      </c>
      <c r="DQ231" s="1">
        <v>19.399999999999999</v>
      </c>
      <c r="DR231" s="1">
        <v>31.3</v>
      </c>
      <c r="DS231" s="1">
        <v>7.4</v>
      </c>
    </row>
    <row r="232" spans="1:123" x14ac:dyDescent="0.2">
      <c r="A232" s="15">
        <f t="shared" si="144"/>
        <v>36751</v>
      </c>
      <c r="B232" s="1">
        <v>226</v>
      </c>
      <c r="E232" s="55">
        <f t="shared" si="149"/>
        <v>8.1999999999999993</v>
      </c>
      <c r="P232" s="18"/>
      <c r="R232" s="55">
        <f t="shared" si="150"/>
        <v>15.1</v>
      </c>
      <c r="AD232" s="18"/>
      <c r="AF232" s="55">
        <f t="shared" si="151"/>
        <v>3.1</v>
      </c>
      <c r="BM232" s="17">
        <v>26.86</v>
      </c>
      <c r="BN232" s="17">
        <f t="shared" si="136"/>
        <v>54.257199999999997</v>
      </c>
      <c r="BO232" s="18"/>
      <c r="BP232" s="18"/>
      <c r="BT232" s="55">
        <f t="shared" si="152"/>
        <v>43</v>
      </c>
      <c r="BU232" s="60">
        <f t="shared" si="148"/>
        <v>0.73799999999999999</v>
      </c>
      <c r="BV232" s="60">
        <f t="shared" si="135"/>
        <v>0.97799999999999998</v>
      </c>
      <c r="BX232" s="1">
        <v>0</v>
      </c>
      <c r="BZ232" s="1">
        <v>0</v>
      </c>
      <c r="CB232" s="17" t="s">
        <v>218</v>
      </c>
      <c r="CC232" s="17" t="s">
        <v>218</v>
      </c>
      <c r="CD232" s="3">
        <f t="shared" si="137"/>
        <v>8.1999999999999993</v>
      </c>
      <c r="CE232" s="17" t="s">
        <v>218</v>
      </c>
      <c r="CF232" s="17" t="s">
        <v>218</v>
      </c>
      <c r="CG232" s="17" t="s">
        <v>218</v>
      </c>
      <c r="CH232" s="17" t="s">
        <v>218</v>
      </c>
      <c r="CI232" s="17" t="s">
        <v>218</v>
      </c>
      <c r="CJ232" s="17" t="s">
        <v>218</v>
      </c>
      <c r="CK232" s="17" t="s">
        <v>218</v>
      </c>
      <c r="CL232" s="1">
        <f t="shared" si="138"/>
        <v>15.1</v>
      </c>
      <c r="CM232" s="17" t="s">
        <v>218</v>
      </c>
      <c r="CN232" s="17" t="s">
        <v>218</v>
      </c>
      <c r="CO232" s="17" t="s">
        <v>218</v>
      </c>
      <c r="CP232" s="17" t="s">
        <v>218</v>
      </c>
      <c r="CQ232" s="17" t="s">
        <v>218</v>
      </c>
      <c r="CR232" s="17" t="s">
        <v>218</v>
      </c>
      <c r="CS232" s="17" t="s">
        <v>218</v>
      </c>
      <c r="CT232" s="1">
        <f t="shared" si="139"/>
        <v>3.1</v>
      </c>
      <c r="CU232" s="17" t="s">
        <v>218</v>
      </c>
      <c r="CV232" s="17" t="s">
        <v>218</v>
      </c>
      <c r="CW232" s="17" t="s">
        <v>218</v>
      </c>
      <c r="CX232" s="17" t="s">
        <v>218</v>
      </c>
      <c r="CY232" s="17" t="s">
        <v>218</v>
      </c>
      <c r="CZ232" s="17" t="s">
        <v>218</v>
      </c>
      <c r="DA232" s="2">
        <f t="shared" si="140"/>
        <v>43</v>
      </c>
      <c r="DB232" s="20">
        <f t="shared" si="141"/>
        <v>0</v>
      </c>
      <c r="DC232" s="1">
        <f>ROUND(PPTest!K232,1)</f>
        <v>0</v>
      </c>
      <c r="DD232" s="17" t="s">
        <v>218</v>
      </c>
      <c r="DE232" s="17" t="s">
        <v>218</v>
      </c>
      <c r="DF232" s="24">
        <f t="shared" si="142"/>
        <v>0.73799999999999999</v>
      </c>
      <c r="DG232" s="24">
        <f t="shared" si="143"/>
        <v>0.97799999999999998</v>
      </c>
      <c r="DH232" s="17" t="s">
        <v>218</v>
      </c>
      <c r="DK232" s="1">
        <v>11.4</v>
      </c>
      <c r="DL232" s="1">
        <v>17</v>
      </c>
      <c r="DM232" s="1">
        <v>8.1000003814697266</v>
      </c>
      <c r="DN232" s="20">
        <v>64.583333333333329</v>
      </c>
      <c r="DO232" s="1">
        <v>54</v>
      </c>
      <c r="DQ232" s="1">
        <v>17.899999999999999</v>
      </c>
      <c r="DR232" s="1">
        <v>27.7</v>
      </c>
      <c r="DS232" s="1">
        <v>8.1</v>
      </c>
    </row>
    <row r="233" spans="1:123" x14ac:dyDescent="0.2">
      <c r="A233" s="15">
        <f t="shared" si="144"/>
        <v>36752</v>
      </c>
      <c r="B233" s="1">
        <v>227</v>
      </c>
      <c r="E233" s="55">
        <f t="shared" si="149"/>
        <v>9</v>
      </c>
      <c r="P233" s="18"/>
      <c r="R233" s="55">
        <f t="shared" si="150"/>
        <v>15.9</v>
      </c>
      <c r="AD233" s="18"/>
      <c r="AF233" s="55">
        <f t="shared" si="151"/>
        <v>2</v>
      </c>
      <c r="BM233" s="17">
        <v>26.64</v>
      </c>
      <c r="BN233" s="17">
        <f t="shared" si="136"/>
        <v>53.812800000000003</v>
      </c>
      <c r="BO233" s="18"/>
      <c r="BP233" s="18"/>
      <c r="BT233" s="55">
        <f t="shared" si="152"/>
        <v>26</v>
      </c>
      <c r="BU233" s="60">
        <f t="shared" si="148"/>
        <v>0.47</v>
      </c>
      <c r="BV233" s="60">
        <f t="shared" si="135"/>
        <v>1.3380000000000001</v>
      </c>
      <c r="BX233" s="1">
        <v>0</v>
      </c>
      <c r="BZ233" s="1">
        <v>0</v>
      </c>
      <c r="CB233" s="17" t="s">
        <v>218</v>
      </c>
      <c r="CC233" s="17" t="s">
        <v>218</v>
      </c>
      <c r="CD233" s="3">
        <f t="shared" si="137"/>
        <v>9</v>
      </c>
      <c r="CE233" s="17" t="s">
        <v>218</v>
      </c>
      <c r="CF233" s="17" t="s">
        <v>218</v>
      </c>
      <c r="CG233" s="17" t="s">
        <v>218</v>
      </c>
      <c r="CH233" s="17" t="s">
        <v>218</v>
      </c>
      <c r="CI233" s="17" t="s">
        <v>218</v>
      </c>
      <c r="CJ233" s="17" t="s">
        <v>218</v>
      </c>
      <c r="CK233" s="17" t="s">
        <v>218</v>
      </c>
      <c r="CL233" s="1">
        <f t="shared" si="138"/>
        <v>15.9</v>
      </c>
      <c r="CM233" s="17" t="s">
        <v>218</v>
      </c>
      <c r="CN233" s="17" t="s">
        <v>218</v>
      </c>
      <c r="CO233" s="17" t="s">
        <v>218</v>
      </c>
      <c r="CP233" s="17" t="s">
        <v>218</v>
      </c>
      <c r="CQ233" s="17" t="s">
        <v>218</v>
      </c>
      <c r="CR233" s="17" t="s">
        <v>218</v>
      </c>
      <c r="CS233" s="17" t="s">
        <v>218</v>
      </c>
      <c r="CT233" s="1">
        <f t="shared" si="139"/>
        <v>2</v>
      </c>
      <c r="CU233" s="17" t="s">
        <v>218</v>
      </c>
      <c r="CV233" s="17" t="s">
        <v>218</v>
      </c>
      <c r="CW233" s="17" t="s">
        <v>218</v>
      </c>
      <c r="CX233" s="17" t="s">
        <v>218</v>
      </c>
      <c r="CY233" s="17" t="s">
        <v>218</v>
      </c>
      <c r="CZ233" s="17" t="s">
        <v>218</v>
      </c>
      <c r="DA233" s="2">
        <f t="shared" si="140"/>
        <v>26</v>
      </c>
      <c r="DB233" s="20">
        <f t="shared" si="141"/>
        <v>0</v>
      </c>
      <c r="DC233" s="1">
        <f>ROUND(PPTest!K233,1)</f>
        <v>0</v>
      </c>
      <c r="DD233" s="17" t="s">
        <v>218</v>
      </c>
      <c r="DE233" s="17" t="s">
        <v>218</v>
      </c>
      <c r="DF233" s="24">
        <f t="shared" si="142"/>
        <v>0.47</v>
      </c>
      <c r="DG233" s="24">
        <f t="shared" si="143"/>
        <v>1.3380000000000001</v>
      </c>
      <c r="DH233" s="17" t="s">
        <v>218</v>
      </c>
      <c r="DK233" s="1">
        <v>12.3</v>
      </c>
      <c r="DL233" s="1">
        <v>17.799999237060547</v>
      </c>
      <c r="DM233" s="1">
        <v>6.1999998092651367</v>
      </c>
      <c r="DN233" s="20">
        <v>57.458333333333336</v>
      </c>
      <c r="DO233" s="1">
        <v>34</v>
      </c>
      <c r="DQ233" s="1">
        <v>16.2</v>
      </c>
      <c r="DR233" s="1">
        <v>28.5</v>
      </c>
      <c r="DS233" s="1">
        <v>3.9</v>
      </c>
    </row>
    <row r="234" spans="1:123" x14ac:dyDescent="0.2">
      <c r="A234" s="15">
        <f t="shared" si="144"/>
        <v>36753</v>
      </c>
      <c r="B234" s="1">
        <v>228</v>
      </c>
      <c r="E234" s="55">
        <f t="shared" si="149"/>
        <v>9.4</v>
      </c>
      <c r="P234" s="18"/>
      <c r="R234" s="55">
        <f t="shared" si="150"/>
        <v>15.9</v>
      </c>
      <c r="AD234" s="18"/>
      <c r="AF234" s="55">
        <f t="shared" si="151"/>
        <v>3.9</v>
      </c>
      <c r="BM234" s="17">
        <v>26.43</v>
      </c>
      <c r="BN234" s="17">
        <f t="shared" si="136"/>
        <v>53.388599999999997</v>
      </c>
      <c r="BO234" s="18"/>
      <c r="BP234" s="18"/>
      <c r="BT234" s="55">
        <f t="shared" si="152"/>
        <v>35</v>
      </c>
      <c r="BU234" s="60">
        <f t="shared" si="148"/>
        <v>0.63200000000000001</v>
      </c>
      <c r="BV234" s="60">
        <f t="shared" si="135"/>
        <v>1.1739999999999999</v>
      </c>
      <c r="BX234" s="1">
        <v>0.3</v>
      </c>
      <c r="BZ234" s="1">
        <v>0</v>
      </c>
      <c r="CB234" s="17" t="s">
        <v>218</v>
      </c>
      <c r="CC234" s="17" t="s">
        <v>218</v>
      </c>
      <c r="CD234" s="3">
        <f t="shared" si="137"/>
        <v>9.4</v>
      </c>
      <c r="CE234" s="17" t="s">
        <v>218</v>
      </c>
      <c r="CF234" s="17" t="s">
        <v>218</v>
      </c>
      <c r="CG234" s="17" t="s">
        <v>218</v>
      </c>
      <c r="CH234" s="17" t="s">
        <v>218</v>
      </c>
      <c r="CI234" s="17" t="s">
        <v>218</v>
      </c>
      <c r="CJ234" s="17" t="s">
        <v>218</v>
      </c>
      <c r="CK234" s="17" t="s">
        <v>218</v>
      </c>
      <c r="CL234" s="1">
        <f t="shared" si="138"/>
        <v>15.9</v>
      </c>
      <c r="CM234" s="17" t="s">
        <v>218</v>
      </c>
      <c r="CN234" s="17" t="s">
        <v>218</v>
      </c>
      <c r="CO234" s="17" t="s">
        <v>218</v>
      </c>
      <c r="CP234" s="17" t="s">
        <v>218</v>
      </c>
      <c r="CQ234" s="17" t="s">
        <v>218</v>
      </c>
      <c r="CR234" s="17" t="s">
        <v>218</v>
      </c>
      <c r="CS234" s="17" t="s">
        <v>218</v>
      </c>
      <c r="CT234" s="1">
        <f t="shared" si="139"/>
        <v>3.9</v>
      </c>
      <c r="CU234" s="17" t="s">
        <v>218</v>
      </c>
      <c r="CV234" s="17" t="s">
        <v>218</v>
      </c>
      <c r="CW234" s="17" t="s">
        <v>218</v>
      </c>
      <c r="CX234" s="17" t="s">
        <v>218</v>
      </c>
      <c r="CY234" s="17" t="s">
        <v>218</v>
      </c>
      <c r="CZ234" s="17" t="s">
        <v>218</v>
      </c>
      <c r="DA234" s="2">
        <f t="shared" si="140"/>
        <v>35</v>
      </c>
      <c r="DB234" s="20">
        <f t="shared" si="141"/>
        <v>0</v>
      </c>
      <c r="DC234" s="1">
        <f>ROUND(PPTest!K234,1)</f>
        <v>0.3</v>
      </c>
      <c r="DD234" s="17" t="s">
        <v>218</v>
      </c>
      <c r="DE234" s="17" t="s">
        <v>218</v>
      </c>
      <c r="DF234" s="24">
        <f t="shared" si="142"/>
        <v>0.63200000000000001</v>
      </c>
      <c r="DG234" s="24">
        <f t="shared" si="143"/>
        <v>1.1739999999999999</v>
      </c>
      <c r="DH234" s="17" t="s">
        <v>218</v>
      </c>
      <c r="DK234" s="1">
        <v>12.8</v>
      </c>
      <c r="DL234" s="1">
        <v>17.899999618530273</v>
      </c>
      <c r="DM234" s="1">
        <v>9.3000001907348633</v>
      </c>
      <c r="DN234" s="20">
        <v>59.333333333333336</v>
      </c>
      <c r="DO234" s="1">
        <v>44</v>
      </c>
      <c r="DQ234" s="1">
        <v>16.7</v>
      </c>
      <c r="DR234" s="1">
        <v>28.2</v>
      </c>
      <c r="DS234" s="1">
        <v>5.2</v>
      </c>
    </row>
    <row r="235" spans="1:123" x14ac:dyDescent="0.2">
      <c r="A235" s="15">
        <f t="shared" si="144"/>
        <v>36754</v>
      </c>
      <c r="B235" s="1">
        <v>229</v>
      </c>
      <c r="E235" s="55">
        <f t="shared" si="149"/>
        <v>11</v>
      </c>
      <c r="P235" s="18"/>
      <c r="R235" s="55">
        <f t="shared" si="150"/>
        <v>18.8</v>
      </c>
      <c r="AD235" s="18"/>
      <c r="AF235" s="55">
        <f t="shared" si="151"/>
        <v>3.7</v>
      </c>
      <c r="BM235" s="17">
        <v>26.22</v>
      </c>
      <c r="BN235" s="17">
        <f t="shared" si="136"/>
        <v>52.964399999999998</v>
      </c>
      <c r="BO235" s="18"/>
      <c r="BP235" s="18"/>
      <c r="BT235" s="55">
        <f t="shared" si="152"/>
        <v>23</v>
      </c>
      <c r="BU235" s="60">
        <f t="shared" si="148"/>
        <v>0.499</v>
      </c>
      <c r="BV235" s="60">
        <f t="shared" si="135"/>
        <v>1.671</v>
      </c>
      <c r="BX235" s="1">
        <v>0</v>
      </c>
      <c r="BZ235" s="1">
        <v>0</v>
      </c>
      <c r="CB235" s="17" t="s">
        <v>218</v>
      </c>
      <c r="CC235" s="17" t="s">
        <v>218</v>
      </c>
      <c r="CD235" s="3">
        <f t="shared" si="137"/>
        <v>11</v>
      </c>
      <c r="CE235" s="17" t="s">
        <v>218</v>
      </c>
      <c r="CF235" s="17" t="s">
        <v>218</v>
      </c>
      <c r="CG235" s="17" t="s">
        <v>218</v>
      </c>
      <c r="CH235" s="17" t="s">
        <v>218</v>
      </c>
      <c r="CI235" s="17" t="s">
        <v>218</v>
      </c>
      <c r="CJ235" s="17" t="s">
        <v>218</v>
      </c>
      <c r="CK235" s="17" t="s">
        <v>218</v>
      </c>
      <c r="CL235" s="1">
        <f t="shared" si="138"/>
        <v>18.8</v>
      </c>
      <c r="CM235" s="17" t="s">
        <v>218</v>
      </c>
      <c r="CN235" s="17" t="s">
        <v>218</v>
      </c>
      <c r="CO235" s="17" t="s">
        <v>218</v>
      </c>
      <c r="CP235" s="17" t="s">
        <v>218</v>
      </c>
      <c r="CQ235" s="17" t="s">
        <v>218</v>
      </c>
      <c r="CR235" s="17" t="s">
        <v>218</v>
      </c>
      <c r="CS235" s="17" t="s">
        <v>218</v>
      </c>
      <c r="CT235" s="1">
        <f t="shared" si="139"/>
        <v>3.7</v>
      </c>
      <c r="CU235" s="17" t="s">
        <v>218</v>
      </c>
      <c r="CV235" s="17" t="s">
        <v>218</v>
      </c>
      <c r="CW235" s="17" t="s">
        <v>218</v>
      </c>
      <c r="CX235" s="17" t="s">
        <v>218</v>
      </c>
      <c r="CY235" s="17" t="s">
        <v>218</v>
      </c>
      <c r="CZ235" s="17" t="s">
        <v>218</v>
      </c>
      <c r="DA235" s="2">
        <f t="shared" si="140"/>
        <v>23</v>
      </c>
      <c r="DB235" s="20">
        <f t="shared" si="141"/>
        <v>0</v>
      </c>
      <c r="DC235" s="1">
        <f>ROUND(PPTest!K235,1)</f>
        <v>0</v>
      </c>
      <c r="DD235" s="17" t="s">
        <v>218</v>
      </c>
      <c r="DE235" s="17" t="s">
        <v>218</v>
      </c>
      <c r="DF235" s="24">
        <f t="shared" si="142"/>
        <v>0.499</v>
      </c>
      <c r="DG235" s="24">
        <f t="shared" si="143"/>
        <v>1.671</v>
      </c>
      <c r="DH235" s="17" t="s">
        <v>218</v>
      </c>
      <c r="DK235" s="1">
        <v>14.8</v>
      </c>
      <c r="DL235" s="1">
        <v>21</v>
      </c>
      <c r="DM235" s="1">
        <v>9</v>
      </c>
      <c r="DN235" s="20">
        <v>54.583333333333336</v>
      </c>
      <c r="DO235" s="1">
        <v>30</v>
      </c>
      <c r="DQ235" s="1">
        <v>18.8</v>
      </c>
      <c r="DR235" s="1">
        <v>32.5</v>
      </c>
      <c r="DS235" s="1">
        <v>5</v>
      </c>
    </row>
    <row r="236" spans="1:123" x14ac:dyDescent="0.2">
      <c r="A236" s="15">
        <f t="shared" si="144"/>
        <v>36755</v>
      </c>
      <c r="B236" s="1">
        <v>230</v>
      </c>
      <c r="E236" s="55">
        <f t="shared" si="149"/>
        <v>12.8</v>
      </c>
      <c r="P236" s="18"/>
      <c r="R236" s="55">
        <f t="shared" si="150"/>
        <v>21</v>
      </c>
      <c r="AD236" s="18"/>
      <c r="AF236" s="55">
        <f t="shared" si="151"/>
        <v>5</v>
      </c>
      <c r="BM236" s="17">
        <v>25.99</v>
      </c>
      <c r="BN236" s="17">
        <f t="shared" si="136"/>
        <v>52.4998</v>
      </c>
      <c r="BO236" s="18"/>
      <c r="BP236" s="18"/>
      <c r="BT236" s="55">
        <f t="shared" si="152"/>
        <v>20</v>
      </c>
      <c r="BU236" s="60">
        <f t="shared" si="148"/>
        <v>0.497</v>
      </c>
      <c r="BV236" s="60">
        <f t="shared" si="135"/>
        <v>1.988</v>
      </c>
      <c r="BX236" s="1">
        <v>0</v>
      </c>
      <c r="BZ236" s="1">
        <v>0</v>
      </c>
      <c r="CB236" s="17" t="s">
        <v>218</v>
      </c>
      <c r="CC236" s="17" t="s">
        <v>218</v>
      </c>
      <c r="CD236" s="3">
        <f t="shared" si="137"/>
        <v>12.8</v>
      </c>
      <c r="CE236" s="17" t="s">
        <v>218</v>
      </c>
      <c r="CF236" s="17" t="s">
        <v>218</v>
      </c>
      <c r="CG236" s="17" t="s">
        <v>218</v>
      </c>
      <c r="CH236" s="17" t="s">
        <v>218</v>
      </c>
      <c r="CI236" s="17" t="s">
        <v>218</v>
      </c>
      <c r="CJ236" s="17" t="s">
        <v>218</v>
      </c>
      <c r="CK236" s="17" t="s">
        <v>218</v>
      </c>
      <c r="CL236" s="1">
        <f t="shared" si="138"/>
        <v>21</v>
      </c>
      <c r="CM236" s="17" t="s">
        <v>218</v>
      </c>
      <c r="CN236" s="17" t="s">
        <v>218</v>
      </c>
      <c r="CO236" s="17" t="s">
        <v>218</v>
      </c>
      <c r="CP236" s="17" t="s">
        <v>218</v>
      </c>
      <c r="CQ236" s="17" t="s">
        <v>218</v>
      </c>
      <c r="CR236" s="17" t="s">
        <v>218</v>
      </c>
      <c r="CS236" s="17" t="s">
        <v>218</v>
      </c>
      <c r="CT236" s="1">
        <f t="shared" si="139"/>
        <v>5</v>
      </c>
      <c r="CU236" s="17" t="s">
        <v>218</v>
      </c>
      <c r="CV236" s="17" t="s">
        <v>218</v>
      </c>
      <c r="CW236" s="17" t="s">
        <v>218</v>
      </c>
      <c r="CX236" s="17" t="s">
        <v>218</v>
      </c>
      <c r="CY236" s="17" t="s">
        <v>218</v>
      </c>
      <c r="CZ236" s="17" t="s">
        <v>218</v>
      </c>
      <c r="DA236" s="2">
        <f t="shared" si="140"/>
        <v>20</v>
      </c>
      <c r="DB236" s="20">
        <f t="shared" si="141"/>
        <v>0</v>
      </c>
      <c r="DC236" s="1">
        <f>ROUND(PPTest!K236,1)</f>
        <v>0</v>
      </c>
      <c r="DD236" s="17" t="s">
        <v>218</v>
      </c>
      <c r="DE236" s="17" t="s">
        <v>218</v>
      </c>
      <c r="DF236" s="24">
        <f t="shared" si="142"/>
        <v>0.497</v>
      </c>
      <c r="DG236" s="24">
        <f t="shared" si="143"/>
        <v>1.988</v>
      </c>
      <c r="DH236" s="17" t="s">
        <v>218</v>
      </c>
      <c r="DK236" s="1">
        <v>16.899999999999999</v>
      </c>
      <c r="DL236" s="1">
        <v>23.399999618530273</v>
      </c>
      <c r="DM236" s="1">
        <v>11.100000381469727</v>
      </c>
      <c r="DN236" s="20">
        <v>41.25</v>
      </c>
      <c r="DO236" s="1">
        <v>26</v>
      </c>
      <c r="DQ236" s="1">
        <v>20.100000000000001</v>
      </c>
      <c r="DR236" s="1">
        <v>34.4</v>
      </c>
      <c r="DS236" s="1">
        <v>5.7</v>
      </c>
    </row>
    <row r="237" spans="1:123" x14ac:dyDescent="0.2">
      <c r="A237" s="15">
        <f t="shared" si="144"/>
        <v>36756</v>
      </c>
      <c r="B237" s="1">
        <v>231</v>
      </c>
      <c r="E237" s="55">
        <f t="shared" si="149"/>
        <v>8</v>
      </c>
      <c r="P237" s="18"/>
      <c r="R237" s="55">
        <f t="shared" si="150"/>
        <v>13.4</v>
      </c>
      <c r="AD237" s="18"/>
      <c r="AF237" s="55">
        <f t="shared" si="151"/>
        <v>2</v>
      </c>
      <c r="BM237" s="17">
        <v>25.77</v>
      </c>
      <c r="BN237" s="17">
        <f t="shared" si="136"/>
        <v>52.055399999999999</v>
      </c>
      <c r="BO237" s="18"/>
      <c r="BP237" s="18"/>
      <c r="BT237" s="55">
        <f t="shared" si="152"/>
        <v>31</v>
      </c>
      <c r="BU237" s="60">
        <f t="shared" si="148"/>
        <v>0.47599999999999998</v>
      </c>
      <c r="BV237" s="60">
        <f t="shared" si="135"/>
        <v>1.0589999999999999</v>
      </c>
      <c r="BX237" s="1">
        <v>1.8</v>
      </c>
      <c r="BZ237" s="1">
        <v>0</v>
      </c>
      <c r="CB237" s="17" t="s">
        <v>218</v>
      </c>
      <c r="CC237" s="17" t="s">
        <v>218</v>
      </c>
      <c r="CD237" s="3">
        <f t="shared" si="137"/>
        <v>8</v>
      </c>
      <c r="CE237" s="17" t="s">
        <v>218</v>
      </c>
      <c r="CF237" s="17" t="s">
        <v>218</v>
      </c>
      <c r="CG237" s="17" t="s">
        <v>218</v>
      </c>
      <c r="CH237" s="17" t="s">
        <v>218</v>
      </c>
      <c r="CI237" s="17" t="s">
        <v>218</v>
      </c>
      <c r="CJ237" s="17" t="s">
        <v>218</v>
      </c>
      <c r="CK237" s="17" t="s">
        <v>218</v>
      </c>
      <c r="CL237" s="1">
        <f t="shared" si="138"/>
        <v>13.4</v>
      </c>
      <c r="CM237" s="17" t="s">
        <v>218</v>
      </c>
      <c r="CN237" s="17" t="s">
        <v>218</v>
      </c>
      <c r="CO237" s="17" t="s">
        <v>218</v>
      </c>
      <c r="CP237" s="17" t="s">
        <v>218</v>
      </c>
      <c r="CQ237" s="17" t="s">
        <v>218</v>
      </c>
      <c r="CR237" s="17" t="s">
        <v>218</v>
      </c>
      <c r="CS237" s="17" t="s">
        <v>218</v>
      </c>
      <c r="CT237" s="1">
        <f t="shared" si="139"/>
        <v>2</v>
      </c>
      <c r="CU237" s="17" t="s">
        <v>218</v>
      </c>
      <c r="CV237" s="17" t="s">
        <v>218</v>
      </c>
      <c r="CW237" s="17" t="s">
        <v>218</v>
      </c>
      <c r="CX237" s="17" t="s">
        <v>218</v>
      </c>
      <c r="CY237" s="17" t="s">
        <v>218</v>
      </c>
      <c r="CZ237" s="17" t="s">
        <v>218</v>
      </c>
      <c r="DA237" s="2">
        <f t="shared" si="140"/>
        <v>31</v>
      </c>
      <c r="DB237" s="20">
        <f t="shared" si="141"/>
        <v>0</v>
      </c>
      <c r="DC237" s="1">
        <f>ROUND(PPTest!K237,1)</f>
        <v>1.9</v>
      </c>
      <c r="DD237" s="17" t="s">
        <v>218</v>
      </c>
      <c r="DE237" s="17" t="s">
        <v>218</v>
      </c>
      <c r="DF237" s="24">
        <f t="shared" si="142"/>
        <v>0.47599999999999998</v>
      </c>
      <c r="DG237" s="24">
        <f t="shared" si="143"/>
        <v>1.0589999999999999</v>
      </c>
      <c r="DH237" s="17" t="s">
        <v>218</v>
      </c>
      <c r="DK237" s="1">
        <v>11.1</v>
      </c>
      <c r="DL237" s="1">
        <v>15.100000381469727</v>
      </c>
      <c r="DM237" s="1">
        <v>6.3000001907348633</v>
      </c>
      <c r="DN237" s="20">
        <v>62.875</v>
      </c>
      <c r="DO237" s="1">
        <v>39</v>
      </c>
      <c r="DQ237" s="1">
        <v>16.899999999999999</v>
      </c>
      <c r="DR237" s="1">
        <v>27.4</v>
      </c>
      <c r="DS237" s="1">
        <v>6.4</v>
      </c>
    </row>
    <row r="238" spans="1:123" x14ac:dyDescent="0.2">
      <c r="A238" s="15">
        <f t="shared" si="144"/>
        <v>36757</v>
      </c>
      <c r="B238" s="1">
        <v>232</v>
      </c>
      <c r="E238" s="55">
        <f t="shared" si="149"/>
        <v>5.5</v>
      </c>
      <c r="P238" s="18"/>
      <c r="R238" s="55">
        <f t="shared" si="150"/>
        <v>10</v>
      </c>
      <c r="AD238" s="18"/>
      <c r="AF238" s="55">
        <f t="shared" si="151"/>
        <v>1.4</v>
      </c>
      <c r="BM238" s="17">
        <v>25.55</v>
      </c>
      <c r="BN238" s="17">
        <f t="shared" si="136"/>
        <v>51.611000000000004</v>
      </c>
      <c r="BO238" s="18"/>
      <c r="BP238" s="18"/>
      <c r="BT238" s="55">
        <f t="shared" si="152"/>
        <v>56</v>
      </c>
      <c r="BU238" s="60">
        <f t="shared" si="148"/>
        <v>0.68700000000000006</v>
      </c>
      <c r="BV238" s="60">
        <f t="shared" si="135"/>
        <v>0.54</v>
      </c>
      <c r="BX238" s="1">
        <v>5.7</v>
      </c>
      <c r="BZ238" s="1">
        <v>4.5</v>
      </c>
      <c r="CB238" s="17" t="s">
        <v>218</v>
      </c>
      <c r="CC238" s="17" t="s">
        <v>218</v>
      </c>
      <c r="CD238" s="3">
        <f t="shared" si="137"/>
        <v>5.5</v>
      </c>
      <c r="CE238" s="17" t="s">
        <v>218</v>
      </c>
      <c r="CF238" s="17" t="s">
        <v>218</v>
      </c>
      <c r="CG238" s="17" t="s">
        <v>218</v>
      </c>
      <c r="CH238" s="17" t="s">
        <v>218</v>
      </c>
      <c r="CI238" s="17" t="s">
        <v>218</v>
      </c>
      <c r="CJ238" s="17" t="s">
        <v>218</v>
      </c>
      <c r="CK238" s="17" t="s">
        <v>218</v>
      </c>
      <c r="CL238" s="1">
        <f t="shared" si="138"/>
        <v>10</v>
      </c>
      <c r="CM238" s="17" t="s">
        <v>218</v>
      </c>
      <c r="CN238" s="17" t="s">
        <v>218</v>
      </c>
      <c r="CO238" s="17" t="s">
        <v>218</v>
      </c>
      <c r="CP238" s="17" t="s">
        <v>218</v>
      </c>
      <c r="CQ238" s="17" t="s">
        <v>218</v>
      </c>
      <c r="CR238" s="17" t="s">
        <v>218</v>
      </c>
      <c r="CS238" s="17" t="s">
        <v>218</v>
      </c>
      <c r="CT238" s="1">
        <f t="shared" si="139"/>
        <v>1.4</v>
      </c>
      <c r="CU238" s="17" t="s">
        <v>218</v>
      </c>
      <c r="CV238" s="17" t="s">
        <v>218</v>
      </c>
      <c r="CW238" s="17" t="s">
        <v>218</v>
      </c>
      <c r="CX238" s="17" t="s">
        <v>218</v>
      </c>
      <c r="CY238" s="17" t="s">
        <v>218</v>
      </c>
      <c r="CZ238" s="17" t="s">
        <v>218</v>
      </c>
      <c r="DA238" s="2">
        <f t="shared" si="140"/>
        <v>56</v>
      </c>
      <c r="DB238" s="20">
        <f t="shared" si="141"/>
        <v>0</v>
      </c>
      <c r="DC238" s="1">
        <f>ROUND(PPTest!K238,1)</f>
        <v>6</v>
      </c>
      <c r="DD238" s="17" t="s">
        <v>218</v>
      </c>
      <c r="DE238" s="17" t="s">
        <v>218</v>
      </c>
      <c r="DF238" s="24">
        <f t="shared" si="142"/>
        <v>0.68700000000000006</v>
      </c>
      <c r="DG238" s="24">
        <f t="shared" si="143"/>
        <v>0.54</v>
      </c>
      <c r="DH238" s="17" t="s">
        <v>218</v>
      </c>
      <c r="DK238" s="1">
        <v>8</v>
      </c>
      <c r="DL238" s="1">
        <v>11.399999618530273</v>
      </c>
      <c r="DM238" s="1">
        <v>5.3000001907348633</v>
      </c>
      <c r="DN238" s="20">
        <v>89.958333333333329</v>
      </c>
      <c r="DO238" s="1">
        <v>69</v>
      </c>
      <c r="DQ238" s="1">
        <v>15.2</v>
      </c>
      <c r="DR238" s="1">
        <v>21.4</v>
      </c>
      <c r="DS238" s="1">
        <v>9</v>
      </c>
    </row>
    <row r="239" spans="1:123" x14ac:dyDescent="0.2">
      <c r="A239" s="15">
        <f t="shared" si="144"/>
        <v>36758</v>
      </c>
      <c r="B239" s="1">
        <v>233</v>
      </c>
      <c r="E239" s="55">
        <f t="shared" si="149"/>
        <v>5.6</v>
      </c>
      <c r="P239" s="18"/>
      <c r="R239" s="55">
        <f t="shared" si="150"/>
        <v>10.5</v>
      </c>
      <c r="AD239" s="18"/>
      <c r="AF239" s="55">
        <f t="shared" si="151"/>
        <v>1.1000000000000001</v>
      </c>
      <c r="BM239" s="17">
        <v>25.32</v>
      </c>
      <c r="BN239" s="17">
        <f t="shared" si="136"/>
        <v>51.1464</v>
      </c>
      <c r="BO239" s="18"/>
      <c r="BP239" s="18"/>
      <c r="BT239" s="55">
        <f t="shared" si="152"/>
        <v>53</v>
      </c>
      <c r="BU239" s="60">
        <f t="shared" si="148"/>
        <v>0.67300000000000004</v>
      </c>
      <c r="BV239" s="60">
        <f t="shared" si="135"/>
        <v>0.59699999999999998</v>
      </c>
      <c r="BX239" s="1">
        <v>1.1000000000000001</v>
      </c>
      <c r="BZ239" s="1">
        <v>0.4</v>
      </c>
      <c r="CB239" s="17" t="s">
        <v>218</v>
      </c>
      <c r="CC239" s="17" t="s">
        <v>218</v>
      </c>
      <c r="CD239" s="3">
        <f t="shared" si="137"/>
        <v>5.6</v>
      </c>
      <c r="CE239" s="17" t="s">
        <v>218</v>
      </c>
      <c r="CF239" s="17" t="s">
        <v>218</v>
      </c>
      <c r="CG239" s="17" t="s">
        <v>218</v>
      </c>
      <c r="CH239" s="17" t="s">
        <v>218</v>
      </c>
      <c r="CI239" s="17" t="s">
        <v>218</v>
      </c>
      <c r="CJ239" s="17" t="s">
        <v>218</v>
      </c>
      <c r="CK239" s="17" t="s">
        <v>218</v>
      </c>
      <c r="CL239" s="1">
        <f t="shared" si="138"/>
        <v>10.5</v>
      </c>
      <c r="CM239" s="17" t="s">
        <v>218</v>
      </c>
      <c r="CN239" s="17" t="s">
        <v>218</v>
      </c>
      <c r="CO239" s="17" t="s">
        <v>218</v>
      </c>
      <c r="CP239" s="17" t="s">
        <v>218</v>
      </c>
      <c r="CQ239" s="17" t="s">
        <v>218</v>
      </c>
      <c r="CR239" s="17" t="s">
        <v>218</v>
      </c>
      <c r="CS239" s="17" t="s">
        <v>218</v>
      </c>
      <c r="CT239" s="1">
        <f t="shared" si="139"/>
        <v>1.1000000000000001</v>
      </c>
      <c r="CU239" s="17" t="s">
        <v>218</v>
      </c>
      <c r="CV239" s="17" t="s">
        <v>218</v>
      </c>
      <c r="CW239" s="17" t="s">
        <v>218</v>
      </c>
      <c r="CX239" s="17" t="s">
        <v>218</v>
      </c>
      <c r="CY239" s="17" t="s">
        <v>218</v>
      </c>
      <c r="CZ239" s="17" t="s">
        <v>218</v>
      </c>
      <c r="DA239" s="2">
        <f t="shared" si="140"/>
        <v>53</v>
      </c>
      <c r="DB239" s="20">
        <f t="shared" si="141"/>
        <v>0</v>
      </c>
      <c r="DC239" s="1">
        <f>ROUND(PPTest!K239,1)</f>
        <v>1.2</v>
      </c>
      <c r="DD239" s="17" t="s">
        <v>218</v>
      </c>
      <c r="DE239" s="17" t="s">
        <v>218</v>
      </c>
      <c r="DF239" s="24">
        <f t="shared" si="142"/>
        <v>0.67300000000000004</v>
      </c>
      <c r="DG239" s="24">
        <f t="shared" si="143"/>
        <v>0.59699999999999998</v>
      </c>
      <c r="DH239" s="17" t="s">
        <v>218</v>
      </c>
      <c r="DK239" s="1">
        <v>8.1999999999999993</v>
      </c>
      <c r="DL239" s="1">
        <v>12</v>
      </c>
      <c r="DM239" s="1">
        <v>4.8000001907348633</v>
      </c>
      <c r="DN239" s="20">
        <v>85.166666666666671</v>
      </c>
      <c r="DO239" s="1">
        <v>65</v>
      </c>
      <c r="DQ239" s="1">
        <v>14.6</v>
      </c>
      <c r="DR239" s="1">
        <v>20.100000000000001</v>
      </c>
      <c r="DS239" s="1">
        <v>9.1</v>
      </c>
    </row>
    <row r="240" spans="1:123" x14ac:dyDescent="0.2">
      <c r="A240" s="15">
        <f t="shared" si="144"/>
        <v>36759</v>
      </c>
      <c r="B240" s="1">
        <v>234</v>
      </c>
      <c r="E240" s="55">
        <f t="shared" si="149"/>
        <v>8.4</v>
      </c>
      <c r="P240" s="18"/>
      <c r="R240" s="55">
        <f t="shared" si="150"/>
        <v>15.1</v>
      </c>
      <c r="AD240" s="18"/>
      <c r="AF240" s="55">
        <f t="shared" si="151"/>
        <v>1.2</v>
      </c>
      <c r="BM240" s="17">
        <v>25.09</v>
      </c>
      <c r="BN240" s="17">
        <f t="shared" si="136"/>
        <v>50.681800000000003</v>
      </c>
      <c r="BO240" s="18"/>
      <c r="BP240" s="18"/>
      <c r="BT240" s="55">
        <f t="shared" si="152"/>
        <v>37</v>
      </c>
      <c r="BU240" s="60">
        <f t="shared" si="148"/>
        <v>0.63500000000000001</v>
      </c>
      <c r="BV240" s="60">
        <f t="shared" si="135"/>
        <v>1.081</v>
      </c>
      <c r="BX240" s="1">
        <v>0</v>
      </c>
      <c r="BZ240" s="1">
        <v>0</v>
      </c>
      <c r="CB240" s="17" t="s">
        <v>218</v>
      </c>
      <c r="CC240" s="17" t="s">
        <v>218</v>
      </c>
      <c r="CD240" s="3">
        <f t="shared" si="137"/>
        <v>8.4</v>
      </c>
      <c r="CE240" s="17" t="s">
        <v>218</v>
      </c>
      <c r="CF240" s="17" t="s">
        <v>218</v>
      </c>
      <c r="CG240" s="17" t="s">
        <v>218</v>
      </c>
      <c r="CH240" s="17" t="s">
        <v>218</v>
      </c>
      <c r="CI240" s="17" t="s">
        <v>218</v>
      </c>
      <c r="CJ240" s="17" t="s">
        <v>218</v>
      </c>
      <c r="CK240" s="17" t="s">
        <v>218</v>
      </c>
      <c r="CL240" s="1">
        <f t="shared" si="138"/>
        <v>15.1</v>
      </c>
      <c r="CM240" s="17" t="s">
        <v>218</v>
      </c>
      <c r="CN240" s="17" t="s">
        <v>218</v>
      </c>
      <c r="CO240" s="17" t="s">
        <v>218</v>
      </c>
      <c r="CP240" s="17" t="s">
        <v>218</v>
      </c>
      <c r="CQ240" s="17" t="s">
        <v>218</v>
      </c>
      <c r="CR240" s="17" t="s">
        <v>218</v>
      </c>
      <c r="CS240" s="17" t="s">
        <v>218</v>
      </c>
      <c r="CT240" s="1">
        <f t="shared" si="139"/>
        <v>1.2</v>
      </c>
      <c r="CU240" s="17" t="s">
        <v>218</v>
      </c>
      <c r="CV240" s="17" t="s">
        <v>218</v>
      </c>
      <c r="CW240" s="17" t="s">
        <v>218</v>
      </c>
      <c r="CX240" s="17" t="s">
        <v>218</v>
      </c>
      <c r="CY240" s="17" t="s">
        <v>218</v>
      </c>
      <c r="CZ240" s="17" t="s">
        <v>218</v>
      </c>
      <c r="DA240" s="2">
        <f t="shared" si="140"/>
        <v>37</v>
      </c>
      <c r="DB240" s="20">
        <f t="shared" si="141"/>
        <v>0</v>
      </c>
      <c r="DC240" s="1">
        <f>ROUND(PPTest!K240,1)</f>
        <v>0</v>
      </c>
      <c r="DD240" s="17" t="s">
        <v>218</v>
      </c>
      <c r="DE240" s="17" t="s">
        <v>218</v>
      </c>
      <c r="DF240" s="24">
        <f t="shared" si="142"/>
        <v>0.63500000000000001</v>
      </c>
      <c r="DG240" s="24">
        <f t="shared" si="143"/>
        <v>1.081</v>
      </c>
      <c r="DH240" s="17" t="s">
        <v>218</v>
      </c>
      <c r="DK240" s="1">
        <v>11.6</v>
      </c>
      <c r="DL240" s="1">
        <v>17</v>
      </c>
      <c r="DM240" s="1">
        <v>4.9000000953674316</v>
      </c>
      <c r="DN240" s="20">
        <v>69.916666666666671</v>
      </c>
      <c r="DO240" s="1">
        <v>47</v>
      </c>
      <c r="DQ240" s="1">
        <v>17.3</v>
      </c>
      <c r="DR240" s="1">
        <v>27.4</v>
      </c>
      <c r="DS240" s="1">
        <v>7.1</v>
      </c>
    </row>
    <row r="241" spans="1:123" x14ac:dyDescent="0.2">
      <c r="A241" s="15">
        <f t="shared" si="144"/>
        <v>36760</v>
      </c>
      <c r="B241" s="1">
        <v>235</v>
      </c>
      <c r="E241" s="55">
        <f t="shared" si="149"/>
        <v>12.3</v>
      </c>
      <c r="P241" s="18"/>
      <c r="R241" s="55">
        <f t="shared" si="150"/>
        <v>20.6</v>
      </c>
      <c r="AD241" s="18"/>
      <c r="AF241" s="55">
        <f t="shared" si="151"/>
        <v>3.5</v>
      </c>
      <c r="BM241" s="17">
        <v>24.86</v>
      </c>
      <c r="BN241" s="17">
        <f t="shared" si="136"/>
        <v>50.217199999999998</v>
      </c>
      <c r="BO241" s="18"/>
      <c r="BP241" s="18"/>
      <c r="BT241" s="55">
        <f t="shared" si="152"/>
        <v>25</v>
      </c>
      <c r="BU241" s="60">
        <f t="shared" si="148"/>
        <v>0.60599999999999998</v>
      </c>
      <c r="BV241" s="60">
        <f t="shared" si="135"/>
        <v>1.8180000000000001</v>
      </c>
      <c r="BX241" s="1">
        <v>0</v>
      </c>
      <c r="BZ241" s="1">
        <v>0</v>
      </c>
      <c r="CB241" s="17" t="s">
        <v>218</v>
      </c>
      <c r="CC241" s="17" t="s">
        <v>218</v>
      </c>
      <c r="CD241" s="3">
        <f t="shared" si="137"/>
        <v>12.3</v>
      </c>
      <c r="CE241" s="17" t="s">
        <v>218</v>
      </c>
      <c r="CF241" s="17" t="s">
        <v>218</v>
      </c>
      <c r="CG241" s="17" t="s">
        <v>218</v>
      </c>
      <c r="CH241" s="17" t="s">
        <v>218</v>
      </c>
      <c r="CI241" s="17" t="s">
        <v>218</v>
      </c>
      <c r="CJ241" s="17" t="s">
        <v>218</v>
      </c>
      <c r="CK241" s="17" t="s">
        <v>218</v>
      </c>
      <c r="CL241" s="1">
        <f t="shared" si="138"/>
        <v>20.6</v>
      </c>
      <c r="CM241" s="17" t="s">
        <v>218</v>
      </c>
      <c r="CN241" s="17" t="s">
        <v>218</v>
      </c>
      <c r="CO241" s="17" t="s">
        <v>218</v>
      </c>
      <c r="CP241" s="17" t="s">
        <v>218</v>
      </c>
      <c r="CQ241" s="17" t="s">
        <v>218</v>
      </c>
      <c r="CR241" s="17" t="s">
        <v>218</v>
      </c>
      <c r="CS241" s="17" t="s">
        <v>218</v>
      </c>
      <c r="CT241" s="1">
        <f t="shared" si="139"/>
        <v>3.5</v>
      </c>
      <c r="CU241" s="17" t="s">
        <v>218</v>
      </c>
      <c r="CV241" s="17" t="s">
        <v>218</v>
      </c>
      <c r="CW241" s="17" t="s">
        <v>218</v>
      </c>
      <c r="CX241" s="17" t="s">
        <v>218</v>
      </c>
      <c r="CY241" s="17" t="s">
        <v>218</v>
      </c>
      <c r="CZ241" s="17" t="s">
        <v>218</v>
      </c>
      <c r="DA241" s="2">
        <f t="shared" si="140"/>
        <v>25</v>
      </c>
      <c r="DB241" s="20">
        <f t="shared" si="141"/>
        <v>0</v>
      </c>
      <c r="DC241" s="1">
        <f>ROUND(PPTest!K241,1)</f>
        <v>0</v>
      </c>
      <c r="DD241" s="17" t="s">
        <v>218</v>
      </c>
      <c r="DE241" s="17" t="s">
        <v>218</v>
      </c>
      <c r="DF241" s="24">
        <f t="shared" si="142"/>
        <v>0.60599999999999998</v>
      </c>
      <c r="DG241" s="24">
        <f t="shared" si="143"/>
        <v>1.8180000000000001</v>
      </c>
      <c r="DH241" s="17" t="s">
        <v>218</v>
      </c>
      <c r="DK241" s="1">
        <v>16.399999999999999</v>
      </c>
      <c r="DL241" s="1">
        <v>23</v>
      </c>
      <c r="DM241" s="1">
        <v>8.6999998092651367</v>
      </c>
      <c r="DN241" s="20">
        <v>52.333333333333336</v>
      </c>
      <c r="DO241" s="1">
        <v>32</v>
      </c>
      <c r="DQ241" s="1">
        <v>19.2</v>
      </c>
      <c r="DR241" s="1">
        <v>32.9</v>
      </c>
      <c r="DS241" s="1">
        <v>5.4</v>
      </c>
    </row>
    <row r="242" spans="1:123" x14ac:dyDescent="0.2">
      <c r="A242" s="15">
        <f t="shared" si="144"/>
        <v>36761</v>
      </c>
      <c r="B242" s="1">
        <v>236</v>
      </c>
      <c r="E242" s="55">
        <f t="shared" si="149"/>
        <v>14.5</v>
      </c>
      <c r="P242" s="18"/>
      <c r="R242" s="55">
        <f t="shared" si="150"/>
        <v>21.8</v>
      </c>
      <c r="AD242" s="18"/>
      <c r="AF242" s="55">
        <f t="shared" si="151"/>
        <v>6</v>
      </c>
      <c r="BM242" s="17">
        <v>24.62</v>
      </c>
      <c r="BN242" s="17">
        <f t="shared" si="136"/>
        <v>49.732400000000005</v>
      </c>
      <c r="BO242" s="18"/>
      <c r="BP242" s="18"/>
      <c r="BT242" s="55">
        <f t="shared" si="152"/>
        <v>26</v>
      </c>
      <c r="BU242" s="60">
        <f t="shared" si="148"/>
        <v>0.67900000000000005</v>
      </c>
      <c r="BV242" s="60">
        <f t="shared" si="135"/>
        <v>1.9330000000000001</v>
      </c>
      <c r="BX242" s="1">
        <v>0</v>
      </c>
      <c r="BZ242" s="1">
        <v>0</v>
      </c>
      <c r="CB242" s="17" t="s">
        <v>218</v>
      </c>
      <c r="CC242" s="17" t="s">
        <v>218</v>
      </c>
      <c r="CD242" s="3">
        <f t="shared" si="137"/>
        <v>14.5</v>
      </c>
      <c r="CE242" s="17" t="s">
        <v>218</v>
      </c>
      <c r="CF242" s="17" t="s">
        <v>218</v>
      </c>
      <c r="CG242" s="17" t="s">
        <v>218</v>
      </c>
      <c r="CH242" s="17" t="s">
        <v>218</v>
      </c>
      <c r="CI242" s="17" t="s">
        <v>218</v>
      </c>
      <c r="CJ242" s="17" t="s">
        <v>218</v>
      </c>
      <c r="CK242" s="17" t="s">
        <v>218</v>
      </c>
      <c r="CL242" s="1">
        <f t="shared" si="138"/>
        <v>21.8</v>
      </c>
      <c r="CM242" s="17" t="s">
        <v>218</v>
      </c>
      <c r="CN242" s="17" t="s">
        <v>218</v>
      </c>
      <c r="CO242" s="17" t="s">
        <v>218</v>
      </c>
      <c r="CP242" s="17" t="s">
        <v>218</v>
      </c>
      <c r="CQ242" s="17" t="s">
        <v>218</v>
      </c>
      <c r="CR242" s="17" t="s">
        <v>218</v>
      </c>
      <c r="CS242" s="17" t="s">
        <v>218</v>
      </c>
      <c r="CT242" s="1">
        <f t="shared" si="139"/>
        <v>6</v>
      </c>
      <c r="CU242" s="17" t="s">
        <v>218</v>
      </c>
      <c r="CV242" s="17" t="s">
        <v>218</v>
      </c>
      <c r="CW242" s="17" t="s">
        <v>218</v>
      </c>
      <c r="CX242" s="17" t="s">
        <v>218</v>
      </c>
      <c r="CY242" s="17" t="s">
        <v>218</v>
      </c>
      <c r="CZ242" s="17" t="s">
        <v>218</v>
      </c>
      <c r="DA242" s="2">
        <f t="shared" si="140"/>
        <v>26</v>
      </c>
      <c r="DB242" s="20">
        <f t="shared" si="141"/>
        <v>0</v>
      </c>
      <c r="DC242" s="1">
        <f>ROUND(PPTest!K242,1)</f>
        <v>0</v>
      </c>
      <c r="DD242" s="17" t="s">
        <v>218</v>
      </c>
      <c r="DE242" s="17" t="s">
        <v>218</v>
      </c>
      <c r="DF242" s="24">
        <f t="shared" si="142"/>
        <v>0.67900000000000005</v>
      </c>
      <c r="DG242" s="24">
        <f t="shared" si="143"/>
        <v>1.9330000000000001</v>
      </c>
      <c r="DH242" s="17" t="s">
        <v>218</v>
      </c>
      <c r="DK242" s="1">
        <v>19</v>
      </c>
      <c r="DL242" s="1">
        <v>24.299999237060547</v>
      </c>
      <c r="DM242" s="1">
        <v>12.800000190734863</v>
      </c>
      <c r="DN242" s="20">
        <v>46.708333333333336</v>
      </c>
      <c r="DO242" s="1">
        <v>34</v>
      </c>
      <c r="DQ242" s="1">
        <v>21.3</v>
      </c>
      <c r="DR242" s="1">
        <v>35.299999999999997</v>
      </c>
      <c r="DS242" s="1">
        <v>7.3</v>
      </c>
    </row>
    <row r="243" spans="1:123" x14ac:dyDescent="0.2">
      <c r="A243" s="15">
        <f t="shared" si="144"/>
        <v>36762</v>
      </c>
      <c r="B243" s="1">
        <v>237</v>
      </c>
      <c r="E243" s="55">
        <f t="shared" si="149"/>
        <v>12.6</v>
      </c>
      <c r="P243" s="18"/>
      <c r="R243" s="55">
        <f t="shared" si="150"/>
        <v>17.8</v>
      </c>
      <c r="AD243" s="18"/>
      <c r="AF243" s="55">
        <f t="shared" si="151"/>
        <v>6</v>
      </c>
      <c r="BM243" s="17">
        <v>24.39</v>
      </c>
      <c r="BN243" s="17">
        <f t="shared" si="136"/>
        <v>49.267800000000001</v>
      </c>
      <c r="BO243" s="18"/>
      <c r="BP243" s="18"/>
      <c r="BT243" s="55">
        <f t="shared" si="152"/>
        <v>36</v>
      </c>
      <c r="BU243" s="60">
        <f t="shared" si="148"/>
        <v>0.73399999999999999</v>
      </c>
      <c r="BV243" s="60">
        <f t="shared" si="135"/>
        <v>1.3049999999999999</v>
      </c>
      <c r="BX243" s="1">
        <v>0</v>
      </c>
      <c r="BZ243" s="1">
        <v>0</v>
      </c>
      <c r="CB243" s="17" t="s">
        <v>218</v>
      </c>
      <c r="CC243" s="17" t="s">
        <v>218</v>
      </c>
      <c r="CD243" s="3">
        <f t="shared" si="137"/>
        <v>12.6</v>
      </c>
      <c r="CE243" s="17" t="s">
        <v>218</v>
      </c>
      <c r="CF243" s="17" t="s">
        <v>218</v>
      </c>
      <c r="CG243" s="17" t="s">
        <v>218</v>
      </c>
      <c r="CH243" s="17" t="s">
        <v>218</v>
      </c>
      <c r="CI243" s="17" t="s">
        <v>218</v>
      </c>
      <c r="CJ243" s="17" t="s">
        <v>218</v>
      </c>
      <c r="CK243" s="17" t="s">
        <v>218</v>
      </c>
      <c r="CL243" s="1">
        <f t="shared" si="138"/>
        <v>17.8</v>
      </c>
      <c r="CM243" s="17" t="s">
        <v>218</v>
      </c>
      <c r="CN243" s="17" t="s">
        <v>218</v>
      </c>
      <c r="CO243" s="17" t="s">
        <v>218</v>
      </c>
      <c r="CP243" s="17" t="s">
        <v>218</v>
      </c>
      <c r="CQ243" s="17" t="s">
        <v>218</v>
      </c>
      <c r="CR243" s="17" t="s">
        <v>218</v>
      </c>
      <c r="CS243" s="17" t="s">
        <v>218</v>
      </c>
      <c r="CT243" s="1">
        <f t="shared" si="139"/>
        <v>6</v>
      </c>
      <c r="CU243" s="17" t="s">
        <v>218</v>
      </c>
      <c r="CV243" s="17" t="s">
        <v>218</v>
      </c>
      <c r="CW243" s="17" t="s">
        <v>218</v>
      </c>
      <c r="CX243" s="17" t="s">
        <v>218</v>
      </c>
      <c r="CY243" s="17" t="s">
        <v>218</v>
      </c>
      <c r="CZ243" s="17" t="s">
        <v>218</v>
      </c>
      <c r="DA243" s="2">
        <f t="shared" si="140"/>
        <v>36</v>
      </c>
      <c r="DB243" s="20">
        <f t="shared" si="141"/>
        <v>0</v>
      </c>
      <c r="DC243" s="1">
        <f>ROUND(PPTest!K243,1)</f>
        <v>0</v>
      </c>
      <c r="DD243" s="17" t="s">
        <v>218</v>
      </c>
      <c r="DE243" s="17" t="s">
        <v>218</v>
      </c>
      <c r="DF243" s="24">
        <f t="shared" si="142"/>
        <v>0.73399999999999999</v>
      </c>
      <c r="DG243" s="24">
        <f t="shared" si="143"/>
        <v>1.3049999999999999</v>
      </c>
      <c r="DH243" s="17" t="s">
        <v>218</v>
      </c>
      <c r="DK243" s="1">
        <v>16.7</v>
      </c>
      <c r="DL243" s="1">
        <v>19.899999618530273</v>
      </c>
      <c r="DM243" s="1">
        <v>12.800000190734863</v>
      </c>
      <c r="DN243" s="20">
        <v>57.333333333333336</v>
      </c>
      <c r="DO243" s="1">
        <v>45</v>
      </c>
      <c r="DQ243" s="1">
        <v>18.399999999999999</v>
      </c>
      <c r="DR243" s="1">
        <v>28</v>
      </c>
      <c r="DS243" s="1">
        <v>8.8000000000000007</v>
      </c>
    </row>
    <row r="244" spans="1:123" x14ac:dyDescent="0.2">
      <c r="A244" s="15">
        <f t="shared" si="144"/>
        <v>36763</v>
      </c>
      <c r="B244" s="1">
        <v>238</v>
      </c>
      <c r="E244" s="55">
        <f t="shared" si="149"/>
        <v>11.6</v>
      </c>
      <c r="P244" s="18"/>
      <c r="R244" s="55">
        <f t="shared" si="150"/>
        <v>18</v>
      </c>
      <c r="AD244" s="18"/>
      <c r="AF244" s="55">
        <f t="shared" si="151"/>
        <v>4.5999999999999996</v>
      </c>
      <c r="BM244" s="17">
        <v>24.16</v>
      </c>
      <c r="BN244" s="17">
        <f t="shared" si="136"/>
        <v>48.803200000000004</v>
      </c>
      <c r="BO244" s="18"/>
      <c r="BP244" s="18"/>
      <c r="BT244" s="55">
        <f t="shared" si="152"/>
        <v>36</v>
      </c>
      <c r="BU244" s="60">
        <f t="shared" si="148"/>
        <v>0.74299999999999999</v>
      </c>
      <c r="BV244" s="60">
        <f t="shared" si="135"/>
        <v>1.321</v>
      </c>
      <c r="BX244" s="1">
        <v>0.3</v>
      </c>
      <c r="BZ244" s="1">
        <v>0</v>
      </c>
      <c r="CB244" s="17" t="s">
        <v>218</v>
      </c>
      <c r="CC244" s="17" t="s">
        <v>218</v>
      </c>
      <c r="CD244" s="3">
        <f t="shared" si="137"/>
        <v>11.6</v>
      </c>
      <c r="CE244" s="17" t="s">
        <v>218</v>
      </c>
      <c r="CF244" s="17" t="s">
        <v>218</v>
      </c>
      <c r="CG244" s="17" t="s">
        <v>218</v>
      </c>
      <c r="CH244" s="17" t="s">
        <v>218</v>
      </c>
      <c r="CI244" s="17" t="s">
        <v>218</v>
      </c>
      <c r="CJ244" s="17" t="s">
        <v>218</v>
      </c>
      <c r="CK244" s="17" t="s">
        <v>218</v>
      </c>
      <c r="CL244" s="1">
        <f t="shared" si="138"/>
        <v>18</v>
      </c>
      <c r="CM244" s="17" t="s">
        <v>218</v>
      </c>
      <c r="CN244" s="17" t="s">
        <v>218</v>
      </c>
      <c r="CO244" s="17" t="s">
        <v>218</v>
      </c>
      <c r="CP244" s="17" t="s">
        <v>218</v>
      </c>
      <c r="CQ244" s="17" t="s">
        <v>218</v>
      </c>
      <c r="CR244" s="17" t="s">
        <v>218</v>
      </c>
      <c r="CS244" s="17" t="s">
        <v>218</v>
      </c>
      <c r="CT244" s="1">
        <f t="shared" si="139"/>
        <v>4.5999999999999996</v>
      </c>
      <c r="CU244" s="17" t="s">
        <v>218</v>
      </c>
      <c r="CV244" s="17" t="s">
        <v>218</v>
      </c>
      <c r="CW244" s="17" t="s">
        <v>218</v>
      </c>
      <c r="CX244" s="17" t="s">
        <v>218</v>
      </c>
      <c r="CY244" s="17" t="s">
        <v>218</v>
      </c>
      <c r="CZ244" s="17" t="s">
        <v>218</v>
      </c>
      <c r="DA244" s="2">
        <f t="shared" si="140"/>
        <v>36</v>
      </c>
      <c r="DB244" s="20">
        <f t="shared" si="141"/>
        <v>0</v>
      </c>
      <c r="DC244" s="1">
        <f>ROUND(PPTest!K244,1)</f>
        <v>0.3</v>
      </c>
      <c r="DD244" s="17" t="s">
        <v>218</v>
      </c>
      <c r="DE244" s="17" t="s">
        <v>218</v>
      </c>
      <c r="DF244" s="24">
        <f t="shared" si="142"/>
        <v>0.74299999999999999</v>
      </c>
      <c r="DG244" s="24">
        <f t="shared" si="143"/>
        <v>1.321</v>
      </c>
      <c r="DH244" s="17" t="s">
        <v>218</v>
      </c>
      <c r="DK244" s="1">
        <v>15.5</v>
      </c>
      <c r="DL244" s="1">
        <v>20.100000381469727</v>
      </c>
      <c r="DM244" s="1">
        <v>10.600000381469727</v>
      </c>
      <c r="DN244" s="20">
        <v>62.541666666666664</v>
      </c>
      <c r="DO244" s="1">
        <v>45</v>
      </c>
      <c r="DQ244" s="1">
        <v>19</v>
      </c>
      <c r="DR244" s="1">
        <v>29.8</v>
      </c>
      <c r="DS244" s="1">
        <v>8.1</v>
      </c>
    </row>
    <row r="245" spans="1:123" x14ac:dyDescent="0.2">
      <c r="A245" s="15">
        <f t="shared" si="144"/>
        <v>36764</v>
      </c>
      <c r="B245" s="1">
        <v>239</v>
      </c>
      <c r="E245" s="55">
        <f t="shared" si="149"/>
        <v>5.7</v>
      </c>
      <c r="P245" s="18"/>
      <c r="R245" s="55">
        <f t="shared" si="150"/>
        <v>12.1</v>
      </c>
      <c r="AD245" s="18"/>
      <c r="AF245" s="55">
        <f t="shared" si="151"/>
        <v>1.4</v>
      </c>
      <c r="BM245" s="17">
        <v>23.92</v>
      </c>
      <c r="BN245" s="17">
        <f t="shared" si="136"/>
        <v>48.318400000000004</v>
      </c>
      <c r="BO245" s="18"/>
      <c r="BP245" s="18"/>
      <c r="BT245" s="55">
        <f t="shared" si="152"/>
        <v>48</v>
      </c>
      <c r="BU245" s="60">
        <f t="shared" si="148"/>
        <v>0.67700000000000005</v>
      </c>
      <c r="BV245" s="60">
        <f t="shared" si="135"/>
        <v>0.73299999999999998</v>
      </c>
      <c r="BX245" s="1">
        <v>16</v>
      </c>
      <c r="BZ245" s="1">
        <v>2.9</v>
      </c>
      <c r="CB245" s="17" t="s">
        <v>218</v>
      </c>
      <c r="CC245" s="17" t="s">
        <v>218</v>
      </c>
      <c r="CD245" s="3">
        <f t="shared" si="137"/>
        <v>5.7</v>
      </c>
      <c r="CE245" s="17" t="s">
        <v>218</v>
      </c>
      <c r="CF245" s="17" t="s">
        <v>218</v>
      </c>
      <c r="CG245" s="17" t="s">
        <v>218</v>
      </c>
      <c r="CH245" s="17" t="s">
        <v>218</v>
      </c>
      <c r="CI245" s="17" t="s">
        <v>218</v>
      </c>
      <c r="CJ245" s="17" t="s">
        <v>218</v>
      </c>
      <c r="CK245" s="17" t="s">
        <v>218</v>
      </c>
      <c r="CL245" s="1">
        <f t="shared" si="138"/>
        <v>12.1</v>
      </c>
      <c r="CM245" s="17" t="s">
        <v>218</v>
      </c>
      <c r="CN245" s="17" t="s">
        <v>218</v>
      </c>
      <c r="CO245" s="17" t="s">
        <v>218</v>
      </c>
      <c r="CP245" s="17" t="s">
        <v>218</v>
      </c>
      <c r="CQ245" s="17" t="s">
        <v>218</v>
      </c>
      <c r="CR245" s="17" t="s">
        <v>218</v>
      </c>
      <c r="CS245" s="17" t="s">
        <v>218</v>
      </c>
      <c r="CT245" s="1">
        <f t="shared" si="139"/>
        <v>1.4</v>
      </c>
      <c r="CU245" s="17" t="s">
        <v>218</v>
      </c>
      <c r="CV245" s="17" t="s">
        <v>218</v>
      </c>
      <c r="CW245" s="17" t="s">
        <v>218</v>
      </c>
      <c r="CX245" s="17" t="s">
        <v>218</v>
      </c>
      <c r="CY245" s="17" t="s">
        <v>218</v>
      </c>
      <c r="CZ245" s="17" t="s">
        <v>218</v>
      </c>
      <c r="DA245" s="2">
        <f t="shared" si="140"/>
        <v>48</v>
      </c>
      <c r="DB245" s="20">
        <f t="shared" si="141"/>
        <v>0</v>
      </c>
      <c r="DC245" s="1">
        <f>ROUND(PPTest!K245,1)</f>
        <v>16.8</v>
      </c>
      <c r="DD245" s="17" t="s">
        <v>218</v>
      </c>
      <c r="DE245" s="17" t="s">
        <v>218</v>
      </c>
      <c r="DF245" s="24">
        <f t="shared" si="142"/>
        <v>0.67700000000000005</v>
      </c>
      <c r="DG245" s="24">
        <f t="shared" si="143"/>
        <v>0.73299999999999998</v>
      </c>
      <c r="DH245" s="17" t="s">
        <v>218</v>
      </c>
      <c r="DK245" s="1">
        <v>8.3000000000000007</v>
      </c>
      <c r="DL245" s="1">
        <v>13.699999809265137</v>
      </c>
      <c r="DM245" s="1">
        <v>5.1999998092651367</v>
      </c>
      <c r="DN245" s="20">
        <v>87.833333333333329</v>
      </c>
      <c r="DO245" s="1">
        <v>59</v>
      </c>
      <c r="DQ245" s="1">
        <v>17.899999999999999</v>
      </c>
      <c r="DR245" s="1">
        <v>25.7</v>
      </c>
      <c r="DS245" s="1">
        <v>10.1</v>
      </c>
    </row>
    <row r="246" spans="1:123" x14ac:dyDescent="0.2">
      <c r="A246" s="15">
        <f t="shared" si="144"/>
        <v>36765</v>
      </c>
      <c r="B246" s="1">
        <v>240</v>
      </c>
      <c r="E246" s="55">
        <f t="shared" si="149"/>
        <v>3.9</v>
      </c>
      <c r="P246" s="18"/>
      <c r="R246" s="55">
        <f t="shared" si="150"/>
        <v>8.6</v>
      </c>
      <c r="AD246" s="18"/>
      <c r="AF246" s="55">
        <f t="shared" si="151"/>
        <v>0.4</v>
      </c>
      <c r="BM246" s="17">
        <v>23.67</v>
      </c>
      <c r="BN246" s="17">
        <f t="shared" si="136"/>
        <v>47.813400000000001</v>
      </c>
      <c r="BO246" s="18"/>
      <c r="BP246" s="18"/>
      <c r="BT246" s="55">
        <f t="shared" si="152"/>
        <v>54</v>
      </c>
      <c r="BU246" s="60">
        <f t="shared" si="148"/>
        <v>0.60299999999999998</v>
      </c>
      <c r="BV246" s="60">
        <f t="shared" si="135"/>
        <v>0.51400000000000001</v>
      </c>
      <c r="BX246" s="1">
        <v>4.4000000000000004</v>
      </c>
      <c r="BZ246" s="1">
        <v>7.2000000000000011</v>
      </c>
      <c r="CB246" s="17" t="s">
        <v>218</v>
      </c>
      <c r="CC246" s="17" t="s">
        <v>218</v>
      </c>
      <c r="CD246" s="3">
        <f t="shared" si="137"/>
        <v>3.9</v>
      </c>
      <c r="CE246" s="17" t="s">
        <v>218</v>
      </c>
      <c r="CF246" s="17" t="s">
        <v>218</v>
      </c>
      <c r="CG246" s="17" t="s">
        <v>218</v>
      </c>
      <c r="CH246" s="17" t="s">
        <v>218</v>
      </c>
      <c r="CI246" s="17" t="s">
        <v>218</v>
      </c>
      <c r="CJ246" s="17" t="s">
        <v>218</v>
      </c>
      <c r="CK246" s="17" t="s">
        <v>218</v>
      </c>
      <c r="CL246" s="1">
        <f t="shared" si="138"/>
        <v>8.6</v>
      </c>
      <c r="CM246" s="17" t="s">
        <v>218</v>
      </c>
      <c r="CN246" s="17" t="s">
        <v>218</v>
      </c>
      <c r="CO246" s="17" t="s">
        <v>218</v>
      </c>
      <c r="CP246" s="17" t="s">
        <v>218</v>
      </c>
      <c r="CQ246" s="17" t="s">
        <v>218</v>
      </c>
      <c r="CR246" s="17" t="s">
        <v>218</v>
      </c>
      <c r="CS246" s="17" t="s">
        <v>218</v>
      </c>
      <c r="CT246" s="1">
        <f t="shared" si="139"/>
        <v>0.4</v>
      </c>
      <c r="CU246" s="17" t="s">
        <v>218</v>
      </c>
      <c r="CV246" s="17" t="s">
        <v>218</v>
      </c>
      <c r="CW246" s="17" t="s">
        <v>218</v>
      </c>
      <c r="CX246" s="17" t="s">
        <v>218</v>
      </c>
      <c r="CY246" s="17" t="s">
        <v>218</v>
      </c>
      <c r="CZ246" s="17" t="s">
        <v>218</v>
      </c>
      <c r="DA246" s="2">
        <f t="shared" si="140"/>
        <v>54</v>
      </c>
      <c r="DB246" s="20">
        <f t="shared" si="141"/>
        <v>0</v>
      </c>
      <c r="DC246" s="1">
        <f>ROUND(PPTest!K246,1)</f>
        <v>4.5999999999999996</v>
      </c>
      <c r="DD246" s="17" t="s">
        <v>218</v>
      </c>
      <c r="DE246" s="17" t="s">
        <v>218</v>
      </c>
      <c r="DF246" s="24">
        <f t="shared" si="142"/>
        <v>0.60299999999999998</v>
      </c>
      <c r="DG246" s="24">
        <f t="shared" si="143"/>
        <v>0.51400000000000001</v>
      </c>
      <c r="DH246" s="17" t="s">
        <v>218</v>
      </c>
      <c r="DK246" s="1">
        <v>6.1</v>
      </c>
      <c r="DL246" s="1">
        <v>9.8999996185302734</v>
      </c>
      <c r="DM246" s="1">
        <v>3.7000000476837158</v>
      </c>
      <c r="DN246" s="20">
        <v>91.791666666666671</v>
      </c>
      <c r="DO246" s="1">
        <v>67</v>
      </c>
      <c r="DQ246" s="1">
        <v>12.4</v>
      </c>
      <c r="DR246" s="1">
        <v>19.899999999999999</v>
      </c>
      <c r="DS246" s="1">
        <v>4.9000000000000004</v>
      </c>
    </row>
    <row r="247" spans="1:123" x14ac:dyDescent="0.2">
      <c r="A247" s="15">
        <f t="shared" si="144"/>
        <v>36766</v>
      </c>
      <c r="B247" s="1">
        <v>241</v>
      </c>
      <c r="E247" s="55">
        <f t="shared" si="149"/>
        <v>5.5</v>
      </c>
      <c r="P247" s="18"/>
      <c r="R247" s="55">
        <f t="shared" si="150"/>
        <v>10.8</v>
      </c>
      <c r="AD247" s="18"/>
      <c r="AF247" s="55">
        <f t="shared" si="151"/>
        <v>-0.4</v>
      </c>
      <c r="BM247" s="17">
        <v>23.43</v>
      </c>
      <c r="BN247" s="17">
        <f t="shared" si="136"/>
        <v>47.328600000000002</v>
      </c>
      <c r="BO247" s="18"/>
      <c r="BP247" s="18"/>
      <c r="BT247" s="55">
        <f t="shared" si="152"/>
        <v>46</v>
      </c>
      <c r="BU247" s="60">
        <f t="shared" si="148"/>
        <v>0.59599999999999997</v>
      </c>
      <c r="BV247" s="60">
        <f t="shared" si="135"/>
        <v>0.7</v>
      </c>
      <c r="BX247" s="1">
        <v>0.3</v>
      </c>
      <c r="BZ247" s="1">
        <v>0</v>
      </c>
      <c r="CB247" s="17" t="s">
        <v>218</v>
      </c>
      <c r="CC247" s="17" t="s">
        <v>218</v>
      </c>
      <c r="CD247" s="3">
        <f t="shared" si="137"/>
        <v>5.5</v>
      </c>
      <c r="CE247" s="17" t="s">
        <v>218</v>
      </c>
      <c r="CF247" s="17" t="s">
        <v>218</v>
      </c>
      <c r="CG247" s="17" t="s">
        <v>218</v>
      </c>
      <c r="CH247" s="17" t="s">
        <v>218</v>
      </c>
      <c r="CI247" s="17" t="s">
        <v>218</v>
      </c>
      <c r="CJ247" s="17" t="s">
        <v>218</v>
      </c>
      <c r="CK247" s="17" t="s">
        <v>218</v>
      </c>
      <c r="CL247" s="1">
        <f t="shared" si="138"/>
        <v>10.8</v>
      </c>
      <c r="CM247" s="17" t="s">
        <v>218</v>
      </c>
      <c r="CN247" s="17" t="s">
        <v>218</v>
      </c>
      <c r="CO247" s="17" t="s">
        <v>218</v>
      </c>
      <c r="CP247" s="17" t="s">
        <v>218</v>
      </c>
      <c r="CQ247" s="17" t="s">
        <v>218</v>
      </c>
      <c r="CR247" s="17" t="s">
        <v>218</v>
      </c>
      <c r="CS247" s="17" t="s">
        <v>218</v>
      </c>
      <c r="CT247" s="1">
        <f t="shared" si="139"/>
        <v>-0.4</v>
      </c>
      <c r="CU247" s="17" t="s">
        <v>218</v>
      </c>
      <c r="CV247" s="17" t="s">
        <v>218</v>
      </c>
      <c r="CW247" s="17" t="s">
        <v>218</v>
      </c>
      <c r="CX247" s="17" t="s">
        <v>218</v>
      </c>
      <c r="CY247" s="17" t="s">
        <v>218</v>
      </c>
      <c r="CZ247" s="17" t="s">
        <v>218</v>
      </c>
      <c r="DA247" s="2">
        <f t="shared" si="140"/>
        <v>46</v>
      </c>
      <c r="DB247" s="20">
        <f t="shared" si="141"/>
        <v>0</v>
      </c>
      <c r="DC247" s="1">
        <f>ROUND(PPTest!K247,1)</f>
        <v>0.3</v>
      </c>
      <c r="DD247" s="17" t="s">
        <v>218</v>
      </c>
      <c r="DE247" s="17" t="s">
        <v>218</v>
      </c>
      <c r="DF247" s="24">
        <f t="shared" si="142"/>
        <v>0.59599999999999997</v>
      </c>
      <c r="DG247" s="24">
        <f t="shared" si="143"/>
        <v>0.7</v>
      </c>
      <c r="DH247" s="17" t="s">
        <v>218</v>
      </c>
      <c r="DK247" s="1">
        <v>8</v>
      </c>
      <c r="DL247" s="1">
        <v>12.300000190734863</v>
      </c>
      <c r="DM247" s="1">
        <v>2.4000000953674316</v>
      </c>
      <c r="DN247" s="20">
        <v>80.458333333333329</v>
      </c>
      <c r="DO247" s="1">
        <v>57</v>
      </c>
      <c r="DQ247" s="1">
        <v>11.4</v>
      </c>
      <c r="DR247" s="1">
        <v>21.4</v>
      </c>
      <c r="DS247" s="1">
        <v>1.4</v>
      </c>
    </row>
    <row r="248" spans="1:123" x14ac:dyDescent="0.2">
      <c r="A248" s="15">
        <f t="shared" si="144"/>
        <v>36767</v>
      </c>
      <c r="B248" s="1">
        <v>242</v>
      </c>
      <c r="E248" s="55">
        <f t="shared" si="149"/>
        <v>5.5</v>
      </c>
      <c r="P248" s="18"/>
      <c r="R248" s="55">
        <f t="shared" si="150"/>
        <v>7.9</v>
      </c>
      <c r="AD248" s="18"/>
      <c r="AF248" s="55">
        <f t="shared" si="151"/>
        <v>2</v>
      </c>
      <c r="BM248" s="17">
        <v>23.19</v>
      </c>
      <c r="BN248" s="17">
        <f t="shared" si="136"/>
        <v>46.843800000000002</v>
      </c>
      <c r="BO248" s="18"/>
      <c r="BP248" s="18"/>
      <c r="BT248" s="55">
        <f t="shared" si="152"/>
        <v>59</v>
      </c>
      <c r="BU248" s="60">
        <f t="shared" si="148"/>
        <v>0.628</v>
      </c>
      <c r="BV248" s="60">
        <f t="shared" si="135"/>
        <v>0.436</v>
      </c>
      <c r="BX248" s="1">
        <v>9.3000000000000007</v>
      </c>
      <c r="BZ248" s="1">
        <v>5.7</v>
      </c>
      <c r="CB248" s="17" t="s">
        <v>218</v>
      </c>
      <c r="CC248" s="17" t="s">
        <v>218</v>
      </c>
      <c r="CD248" s="3">
        <f t="shared" si="137"/>
        <v>5.5</v>
      </c>
      <c r="CE248" s="17" t="s">
        <v>218</v>
      </c>
      <c r="CF248" s="17" t="s">
        <v>218</v>
      </c>
      <c r="CG248" s="17" t="s">
        <v>218</v>
      </c>
      <c r="CH248" s="17" t="s">
        <v>218</v>
      </c>
      <c r="CI248" s="17" t="s">
        <v>218</v>
      </c>
      <c r="CJ248" s="17" t="s">
        <v>218</v>
      </c>
      <c r="CK248" s="17" t="s">
        <v>218</v>
      </c>
      <c r="CL248" s="1">
        <f t="shared" si="138"/>
        <v>7.9</v>
      </c>
      <c r="CM248" s="17" t="s">
        <v>218</v>
      </c>
      <c r="CN248" s="17" t="s">
        <v>218</v>
      </c>
      <c r="CO248" s="17" t="s">
        <v>218</v>
      </c>
      <c r="CP248" s="17" t="s">
        <v>218</v>
      </c>
      <c r="CQ248" s="17" t="s">
        <v>218</v>
      </c>
      <c r="CR248" s="17" t="s">
        <v>218</v>
      </c>
      <c r="CS248" s="17" t="s">
        <v>218</v>
      </c>
      <c r="CT248" s="1">
        <f t="shared" si="139"/>
        <v>2</v>
      </c>
      <c r="CU248" s="17" t="s">
        <v>218</v>
      </c>
      <c r="CV248" s="17" t="s">
        <v>218</v>
      </c>
      <c r="CW248" s="17" t="s">
        <v>218</v>
      </c>
      <c r="CX248" s="17" t="s">
        <v>218</v>
      </c>
      <c r="CY248" s="17" t="s">
        <v>218</v>
      </c>
      <c r="CZ248" s="17" t="s">
        <v>218</v>
      </c>
      <c r="DA248" s="2">
        <f t="shared" si="140"/>
        <v>59</v>
      </c>
      <c r="DB248" s="20">
        <f t="shared" si="141"/>
        <v>0</v>
      </c>
      <c r="DC248" s="1">
        <f>ROUND(PPTest!K248,1)</f>
        <v>9.8000000000000007</v>
      </c>
      <c r="DD248" s="17" t="s">
        <v>218</v>
      </c>
      <c r="DE248" s="17" t="s">
        <v>218</v>
      </c>
      <c r="DF248" s="24">
        <f t="shared" si="142"/>
        <v>0.628</v>
      </c>
      <c r="DG248" s="24">
        <f t="shared" si="143"/>
        <v>0.436</v>
      </c>
      <c r="DH248" s="17" t="s">
        <v>218</v>
      </c>
      <c r="DK248" s="1">
        <v>8</v>
      </c>
      <c r="DL248" s="1">
        <v>9.1999998092651367</v>
      </c>
      <c r="DM248" s="1">
        <v>6.3000001907348633</v>
      </c>
      <c r="DN248" s="20">
        <v>98</v>
      </c>
      <c r="DO248" s="1">
        <v>72</v>
      </c>
      <c r="DQ248" s="1">
        <v>12.8</v>
      </c>
      <c r="DR248" s="1">
        <v>15.8</v>
      </c>
      <c r="DS248" s="1">
        <v>9.6999999999999993</v>
      </c>
    </row>
    <row r="249" spans="1:123" x14ac:dyDescent="0.2">
      <c r="A249" s="15">
        <f t="shared" si="144"/>
        <v>36768</v>
      </c>
      <c r="B249" s="1">
        <v>243</v>
      </c>
      <c r="E249" s="55">
        <f t="shared" si="149"/>
        <v>6.6</v>
      </c>
      <c r="P249" s="18"/>
      <c r="R249" s="55">
        <f t="shared" si="150"/>
        <v>12.5</v>
      </c>
      <c r="AD249" s="18"/>
      <c r="AF249" s="55">
        <f t="shared" si="151"/>
        <v>2.2999999999999998</v>
      </c>
      <c r="BM249" s="17">
        <v>22.94</v>
      </c>
      <c r="BN249" s="17">
        <f t="shared" si="136"/>
        <v>46.338800000000006</v>
      </c>
      <c r="BO249" s="18"/>
      <c r="BP249" s="18"/>
      <c r="BT249" s="55">
        <f t="shared" si="152"/>
        <v>46</v>
      </c>
      <c r="BU249" s="60">
        <f t="shared" si="148"/>
        <v>0.66700000000000004</v>
      </c>
      <c r="BV249" s="60">
        <f t="shared" si="135"/>
        <v>0.78300000000000003</v>
      </c>
      <c r="BX249" s="1">
        <v>0.3</v>
      </c>
      <c r="BZ249" s="1">
        <v>0</v>
      </c>
      <c r="CB249" s="17" t="s">
        <v>218</v>
      </c>
      <c r="CC249" s="17" t="s">
        <v>218</v>
      </c>
      <c r="CD249" s="3">
        <f t="shared" si="137"/>
        <v>6.6</v>
      </c>
      <c r="CE249" s="17" t="s">
        <v>218</v>
      </c>
      <c r="CF249" s="17" t="s">
        <v>218</v>
      </c>
      <c r="CG249" s="17" t="s">
        <v>218</v>
      </c>
      <c r="CH249" s="17" t="s">
        <v>218</v>
      </c>
      <c r="CI249" s="17" t="s">
        <v>218</v>
      </c>
      <c r="CJ249" s="17" t="s">
        <v>218</v>
      </c>
      <c r="CK249" s="17" t="s">
        <v>218</v>
      </c>
      <c r="CL249" s="1">
        <f t="shared" si="138"/>
        <v>12.5</v>
      </c>
      <c r="CM249" s="17" t="s">
        <v>218</v>
      </c>
      <c r="CN249" s="17" t="s">
        <v>218</v>
      </c>
      <c r="CO249" s="17" t="s">
        <v>218</v>
      </c>
      <c r="CP249" s="17" t="s">
        <v>218</v>
      </c>
      <c r="CQ249" s="17" t="s">
        <v>218</v>
      </c>
      <c r="CR249" s="17" t="s">
        <v>218</v>
      </c>
      <c r="CS249" s="17" t="s">
        <v>218</v>
      </c>
      <c r="CT249" s="1">
        <f t="shared" si="139"/>
        <v>2.2999999999999998</v>
      </c>
      <c r="CU249" s="17" t="s">
        <v>218</v>
      </c>
      <c r="CV249" s="17" t="s">
        <v>218</v>
      </c>
      <c r="CW249" s="17" t="s">
        <v>218</v>
      </c>
      <c r="CX249" s="17" t="s">
        <v>218</v>
      </c>
      <c r="CY249" s="17" t="s">
        <v>218</v>
      </c>
      <c r="CZ249" s="17" t="s">
        <v>218</v>
      </c>
      <c r="DA249" s="2">
        <f t="shared" si="140"/>
        <v>46</v>
      </c>
      <c r="DB249" s="20">
        <f t="shared" si="141"/>
        <v>0</v>
      </c>
      <c r="DC249" s="1">
        <f>ROUND(PPTest!K249,1)</f>
        <v>0.3</v>
      </c>
      <c r="DD249" s="17" t="s">
        <v>218</v>
      </c>
      <c r="DE249" s="17" t="s">
        <v>218</v>
      </c>
      <c r="DF249" s="24">
        <f t="shared" si="142"/>
        <v>0.66700000000000004</v>
      </c>
      <c r="DG249" s="24">
        <f t="shared" si="143"/>
        <v>0.78300000000000003</v>
      </c>
      <c r="DH249" s="17" t="s">
        <v>218</v>
      </c>
      <c r="DK249" s="1">
        <v>9.4</v>
      </c>
      <c r="DL249" s="1">
        <v>14.100000381469727</v>
      </c>
      <c r="DM249" s="1">
        <v>6.6999998092651367</v>
      </c>
      <c r="DN249" s="20">
        <v>83.875</v>
      </c>
      <c r="DO249" s="1">
        <v>57</v>
      </c>
      <c r="DQ249" s="1">
        <v>16.899999999999999</v>
      </c>
      <c r="DR249" s="1">
        <v>25.7</v>
      </c>
      <c r="DS249" s="1">
        <v>8</v>
      </c>
    </row>
    <row r="250" spans="1:123" x14ac:dyDescent="0.2">
      <c r="A250" s="15">
        <f t="shared" si="144"/>
        <v>36769</v>
      </c>
      <c r="B250" s="1">
        <v>244</v>
      </c>
      <c r="E250" s="55">
        <f t="shared" si="149"/>
        <v>7.1</v>
      </c>
      <c r="P250" s="18"/>
      <c r="R250" s="55">
        <f t="shared" si="150"/>
        <v>13.3</v>
      </c>
      <c r="AD250" s="18"/>
      <c r="AF250" s="55">
        <f t="shared" si="151"/>
        <v>2.1</v>
      </c>
      <c r="BM250" s="17">
        <v>22.69</v>
      </c>
      <c r="BN250" s="17">
        <f t="shared" si="136"/>
        <v>45.833800000000004</v>
      </c>
      <c r="BO250" s="18"/>
      <c r="BP250" s="18"/>
      <c r="BT250" s="55">
        <f t="shared" si="152"/>
        <v>45</v>
      </c>
      <c r="BU250" s="60">
        <f t="shared" si="148"/>
        <v>0.68700000000000006</v>
      </c>
      <c r="BV250" s="60">
        <f t="shared" si="135"/>
        <v>0.84</v>
      </c>
      <c r="BX250" s="1">
        <v>13.5</v>
      </c>
      <c r="BZ250" s="1">
        <v>9.3000000000000007</v>
      </c>
      <c r="CB250" s="17" t="s">
        <v>218</v>
      </c>
      <c r="CC250" s="17" t="s">
        <v>218</v>
      </c>
      <c r="CD250" s="3">
        <f t="shared" si="137"/>
        <v>7.1</v>
      </c>
      <c r="CE250" s="17" t="s">
        <v>218</v>
      </c>
      <c r="CF250" s="17" t="s">
        <v>218</v>
      </c>
      <c r="CG250" s="17" t="s">
        <v>218</v>
      </c>
      <c r="CH250" s="17" t="s">
        <v>218</v>
      </c>
      <c r="CI250" s="17" t="s">
        <v>218</v>
      </c>
      <c r="CJ250" s="17" t="s">
        <v>218</v>
      </c>
      <c r="CK250" s="17" t="s">
        <v>218</v>
      </c>
      <c r="CL250" s="1">
        <f t="shared" si="138"/>
        <v>13.3</v>
      </c>
      <c r="CM250" s="17" t="s">
        <v>218</v>
      </c>
      <c r="CN250" s="17" t="s">
        <v>218</v>
      </c>
      <c r="CO250" s="17" t="s">
        <v>218</v>
      </c>
      <c r="CP250" s="17" t="s">
        <v>218</v>
      </c>
      <c r="CQ250" s="17" t="s">
        <v>218</v>
      </c>
      <c r="CR250" s="17" t="s">
        <v>218</v>
      </c>
      <c r="CS250" s="17" t="s">
        <v>218</v>
      </c>
      <c r="CT250" s="1">
        <f t="shared" si="139"/>
        <v>2.1</v>
      </c>
      <c r="CU250" s="17" t="s">
        <v>218</v>
      </c>
      <c r="CV250" s="17" t="s">
        <v>218</v>
      </c>
      <c r="CW250" s="17" t="s">
        <v>218</v>
      </c>
      <c r="CX250" s="17" t="s">
        <v>218</v>
      </c>
      <c r="CY250" s="17" t="s">
        <v>218</v>
      </c>
      <c r="CZ250" s="17" t="s">
        <v>218</v>
      </c>
      <c r="DA250" s="2">
        <f t="shared" si="140"/>
        <v>45</v>
      </c>
      <c r="DB250" s="20">
        <f t="shared" si="141"/>
        <v>0</v>
      </c>
      <c r="DC250" s="1">
        <f>ROUND(PPTest!K250,1)</f>
        <v>14.2</v>
      </c>
      <c r="DD250" s="17" t="s">
        <v>218</v>
      </c>
      <c r="DE250" s="17" t="s">
        <v>218</v>
      </c>
      <c r="DF250" s="24">
        <f t="shared" si="142"/>
        <v>0.68700000000000006</v>
      </c>
      <c r="DG250" s="24">
        <f t="shared" si="143"/>
        <v>0.84</v>
      </c>
      <c r="DH250" s="17" t="s">
        <v>218</v>
      </c>
      <c r="DK250" s="1">
        <v>10</v>
      </c>
      <c r="DL250" s="1">
        <v>15</v>
      </c>
      <c r="DM250" s="1">
        <v>6.5</v>
      </c>
      <c r="DN250" s="20">
        <v>79.041666666666671</v>
      </c>
      <c r="DO250" s="1">
        <v>56</v>
      </c>
      <c r="DQ250" s="1">
        <v>15.7</v>
      </c>
      <c r="DR250" s="1">
        <v>24.6</v>
      </c>
      <c r="DS250" s="1">
        <v>6.7</v>
      </c>
    </row>
    <row r="251" spans="1:123" x14ac:dyDescent="0.2">
      <c r="A251" s="15">
        <f t="shared" si="144"/>
        <v>36770</v>
      </c>
      <c r="B251" s="1">
        <v>245</v>
      </c>
      <c r="E251" s="55">
        <f t="shared" si="149"/>
        <v>6</v>
      </c>
      <c r="P251" s="18"/>
      <c r="R251" s="55">
        <f t="shared" si="150"/>
        <v>10.8</v>
      </c>
      <c r="AD251" s="18"/>
      <c r="AF251" s="55">
        <f t="shared" si="151"/>
        <v>1.8</v>
      </c>
      <c r="BM251" s="17">
        <v>22.45</v>
      </c>
      <c r="BN251" s="17">
        <f t="shared" si="136"/>
        <v>45.348999999999997</v>
      </c>
      <c r="BO251" s="18"/>
      <c r="BP251" s="18"/>
      <c r="BT251" s="55">
        <f t="shared" si="152"/>
        <v>54</v>
      </c>
      <c r="BU251" s="60">
        <f t="shared" si="148"/>
        <v>0.69899999999999995</v>
      </c>
      <c r="BV251" s="60">
        <f t="shared" si="135"/>
        <v>0.59499999999999997</v>
      </c>
      <c r="BX251" s="1">
        <v>2.9</v>
      </c>
      <c r="BZ251" s="1">
        <v>0</v>
      </c>
      <c r="CB251" s="17" t="s">
        <v>218</v>
      </c>
      <c r="CC251" s="17" t="s">
        <v>218</v>
      </c>
      <c r="CD251" s="3">
        <f t="shared" si="137"/>
        <v>6</v>
      </c>
      <c r="CE251" s="17" t="s">
        <v>218</v>
      </c>
      <c r="CF251" s="17" t="s">
        <v>218</v>
      </c>
      <c r="CG251" s="17" t="s">
        <v>218</v>
      </c>
      <c r="CH251" s="17" t="s">
        <v>218</v>
      </c>
      <c r="CI251" s="17" t="s">
        <v>218</v>
      </c>
      <c r="CJ251" s="17" t="s">
        <v>218</v>
      </c>
      <c r="CK251" s="17" t="s">
        <v>218</v>
      </c>
      <c r="CL251" s="1">
        <f t="shared" si="138"/>
        <v>10.8</v>
      </c>
      <c r="CM251" s="17" t="s">
        <v>218</v>
      </c>
      <c r="CN251" s="17" t="s">
        <v>218</v>
      </c>
      <c r="CO251" s="17" t="s">
        <v>218</v>
      </c>
      <c r="CP251" s="17" t="s">
        <v>218</v>
      </c>
      <c r="CQ251" s="17" t="s">
        <v>218</v>
      </c>
      <c r="CR251" s="17" t="s">
        <v>218</v>
      </c>
      <c r="CS251" s="17" t="s">
        <v>218</v>
      </c>
      <c r="CT251" s="1">
        <f t="shared" si="139"/>
        <v>1.8</v>
      </c>
      <c r="CU251" s="17" t="s">
        <v>218</v>
      </c>
      <c r="CV251" s="17" t="s">
        <v>218</v>
      </c>
      <c r="CW251" s="17" t="s">
        <v>218</v>
      </c>
      <c r="CX251" s="17" t="s">
        <v>218</v>
      </c>
      <c r="CY251" s="17" t="s">
        <v>218</v>
      </c>
      <c r="CZ251" s="17" t="s">
        <v>218</v>
      </c>
      <c r="DA251" s="2">
        <f t="shared" si="140"/>
        <v>54</v>
      </c>
      <c r="DB251" s="20">
        <f t="shared" si="141"/>
        <v>0</v>
      </c>
      <c r="DC251" s="1">
        <f>ROUND(PPTest!K251,1)</f>
        <v>3</v>
      </c>
      <c r="DD251" s="17" t="s">
        <v>218</v>
      </c>
      <c r="DE251" s="17" t="s">
        <v>218</v>
      </c>
      <c r="DF251" s="24">
        <f t="shared" si="142"/>
        <v>0.69899999999999995</v>
      </c>
      <c r="DG251" s="24">
        <f t="shared" si="143"/>
        <v>0.59499999999999997</v>
      </c>
      <c r="DH251" s="17" t="s">
        <v>218</v>
      </c>
      <c r="DK251" s="1">
        <v>8.6</v>
      </c>
      <c r="DL251" s="1">
        <v>12.300000190734863</v>
      </c>
      <c r="DM251" s="1">
        <v>5.9000000953674316</v>
      </c>
      <c r="DN251" s="20">
        <v>92</v>
      </c>
      <c r="DO251" s="1">
        <v>66</v>
      </c>
      <c r="DQ251" s="1">
        <v>16.100000000000001</v>
      </c>
      <c r="DR251" s="1">
        <v>21.7</v>
      </c>
      <c r="DS251" s="1">
        <v>10.5</v>
      </c>
    </row>
    <row r="252" spans="1:123" x14ac:dyDescent="0.2">
      <c r="A252" s="15">
        <f t="shared" si="144"/>
        <v>36771</v>
      </c>
      <c r="B252" s="1">
        <v>246</v>
      </c>
      <c r="E252" s="55">
        <f t="shared" si="149"/>
        <v>4.4000000000000004</v>
      </c>
      <c r="P252" s="18"/>
      <c r="R252" s="55">
        <f t="shared" si="150"/>
        <v>7</v>
      </c>
      <c r="AD252" s="18"/>
      <c r="AF252" s="55">
        <f t="shared" si="151"/>
        <v>1.4</v>
      </c>
      <c r="BM252" s="17">
        <v>22.2</v>
      </c>
      <c r="BN252" s="17">
        <f t="shared" si="136"/>
        <v>44.844000000000001</v>
      </c>
      <c r="BO252" s="18"/>
      <c r="BP252" s="18"/>
      <c r="BT252" s="55">
        <f t="shared" si="152"/>
        <v>82</v>
      </c>
      <c r="BU252" s="60">
        <f t="shared" si="148"/>
        <v>0.82099999999999995</v>
      </c>
      <c r="BV252" s="60">
        <f t="shared" si="135"/>
        <v>0.18</v>
      </c>
      <c r="BX252" s="1">
        <v>2.9</v>
      </c>
      <c r="BZ252" s="1">
        <v>5.0999999999999996</v>
      </c>
      <c r="CB252" s="17" t="s">
        <v>218</v>
      </c>
      <c r="CC252" s="17" t="s">
        <v>218</v>
      </c>
      <c r="CD252" s="3">
        <f t="shared" si="137"/>
        <v>4.4000000000000004</v>
      </c>
      <c r="CE252" s="17" t="s">
        <v>218</v>
      </c>
      <c r="CF252" s="17" t="s">
        <v>218</v>
      </c>
      <c r="CG252" s="17" t="s">
        <v>218</v>
      </c>
      <c r="CH252" s="17" t="s">
        <v>218</v>
      </c>
      <c r="CI252" s="17" t="s">
        <v>218</v>
      </c>
      <c r="CJ252" s="17" t="s">
        <v>218</v>
      </c>
      <c r="CK252" s="17" t="s">
        <v>218</v>
      </c>
      <c r="CL252" s="1">
        <f t="shared" si="138"/>
        <v>7</v>
      </c>
      <c r="CM252" s="17" t="s">
        <v>218</v>
      </c>
      <c r="CN252" s="17" t="s">
        <v>218</v>
      </c>
      <c r="CO252" s="17" t="s">
        <v>218</v>
      </c>
      <c r="CP252" s="17" t="s">
        <v>218</v>
      </c>
      <c r="CQ252" s="17" t="s">
        <v>218</v>
      </c>
      <c r="CR252" s="17" t="s">
        <v>218</v>
      </c>
      <c r="CS252" s="17" t="s">
        <v>218</v>
      </c>
      <c r="CT252" s="1">
        <f t="shared" si="139"/>
        <v>1.4</v>
      </c>
      <c r="CU252" s="17" t="s">
        <v>218</v>
      </c>
      <c r="CV252" s="17" t="s">
        <v>218</v>
      </c>
      <c r="CW252" s="17" t="s">
        <v>218</v>
      </c>
      <c r="CX252" s="17" t="s">
        <v>218</v>
      </c>
      <c r="CY252" s="17" t="s">
        <v>218</v>
      </c>
      <c r="CZ252" s="17" t="s">
        <v>218</v>
      </c>
      <c r="DA252" s="2">
        <f t="shared" si="140"/>
        <v>82</v>
      </c>
      <c r="DB252" s="20">
        <f t="shared" si="141"/>
        <v>0</v>
      </c>
      <c r="DC252" s="1">
        <f>ROUND(PPTest!K252,1)</f>
        <v>3</v>
      </c>
      <c r="DD252" s="17" t="s">
        <v>218</v>
      </c>
      <c r="DE252" s="17" t="s">
        <v>218</v>
      </c>
      <c r="DF252" s="24">
        <f t="shared" si="142"/>
        <v>0.82099999999999995</v>
      </c>
      <c r="DG252" s="24">
        <f t="shared" si="143"/>
        <v>0.18</v>
      </c>
      <c r="DH252" s="17" t="s">
        <v>218</v>
      </c>
      <c r="DK252" s="1">
        <v>6.7</v>
      </c>
      <c r="DL252" s="1">
        <v>8.1999998092651367</v>
      </c>
      <c r="DM252" s="1">
        <v>5.1999998092651367</v>
      </c>
      <c r="DN252" s="20">
        <v>100</v>
      </c>
      <c r="DO252" s="1">
        <v>100</v>
      </c>
      <c r="DQ252" s="1">
        <v>14.2</v>
      </c>
      <c r="DR252" s="1">
        <v>17.100000000000001</v>
      </c>
      <c r="DS252" s="1">
        <v>11.3</v>
      </c>
    </row>
    <row r="253" spans="1:123" x14ac:dyDescent="0.2">
      <c r="A253" s="15">
        <f t="shared" si="144"/>
        <v>36772</v>
      </c>
      <c r="B253" s="1">
        <v>247</v>
      </c>
      <c r="E253" s="55">
        <f t="shared" si="149"/>
        <v>3.2</v>
      </c>
      <c r="P253" s="18"/>
      <c r="R253" s="55">
        <f t="shared" si="150"/>
        <v>5.7</v>
      </c>
      <c r="AD253" s="18"/>
      <c r="AF253" s="55">
        <f t="shared" si="151"/>
        <v>0.9</v>
      </c>
      <c r="BM253" s="17">
        <v>21.95</v>
      </c>
      <c r="BN253" s="17">
        <f t="shared" si="136"/>
        <v>44.338999999999999</v>
      </c>
      <c r="BO253" s="18"/>
      <c r="BP253" s="18"/>
      <c r="BT253" s="55">
        <f t="shared" si="152"/>
        <v>82</v>
      </c>
      <c r="BU253" s="60">
        <f t="shared" si="148"/>
        <v>0.751</v>
      </c>
      <c r="BV253" s="60">
        <f t="shared" si="135"/>
        <v>0.16500000000000001</v>
      </c>
      <c r="BX253" s="1">
        <v>9.4</v>
      </c>
      <c r="BZ253" s="1">
        <v>8.4</v>
      </c>
      <c r="CB253" s="17" t="s">
        <v>218</v>
      </c>
      <c r="CC253" s="17" t="s">
        <v>218</v>
      </c>
      <c r="CD253" s="3">
        <f t="shared" si="137"/>
        <v>3.2</v>
      </c>
      <c r="CE253" s="17" t="s">
        <v>218</v>
      </c>
      <c r="CF253" s="17" t="s">
        <v>218</v>
      </c>
      <c r="CG253" s="17" t="s">
        <v>218</v>
      </c>
      <c r="CH253" s="17" t="s">
        <v>218</v>
      </c>
      <c r="CI253" s="17" t="s">
        <v>218</v>
      </c>
      <c r="CJ253" s="17" t="s">
        <v>218</v>
      </c>
      <c r="CK253" s="17" t="s">
        <v>218</v>
      </c>
      <c r="CL253" s="1">
        <f t="shared" si="138"/>
        <v>5.7</v>
      </c>
      <c r="CM253" s="17" t="s">
        <v>218</v>
      </c>
      <c r="CN253" s="17" t="s">
        <v>218</v>
      </c>
      <c r="CO253" s="17" t="s">
        <v>218</v>
      </c>
      <c r="CP253" s="17" t="s">
        <v>218</v>
      </c>
      <c r="CQ253" s="17" t="s">
        <v>218</v>
      </c>
      <c r="CR253" s="17" t="s">
        <v>218</v>
      </c>
      <c r="CS253" s="17" t="s">
        <v>218</v>
      </c>
      <c r="CT253" s="1">
        <f t="shared" si="139"/>
        <v>0.9</v>
      </c>
      <c r="CU253" s="17" t="s">
        <v>218</v>
      </c>
      <c r="CV253" s="17" t="s">
        <v>218</v>
      </c>
      <c r="CW253" s="17" t="s">
        <v>218</v>
      </c>
      <c r="CX253" s="17" t="s">
        <v>218</v>
      </c>
      <c r="CY253" s="17" t="s">
        <v>218</v>
      </c>
      <c r="CZ253" s="17" t="s">
        <v>218</v>
      </c>
      <c r="DA253" s="2">
        <f t="shared" si="140"/>
        <v>82</v>
      </c>
      <c r="DB253" s="20">
        <f t="shared" si="141"/>
        <v>0</v>
      </c>
      <c r="DC253" s="1">
        <f>ROUND(PPTest!K253,1)</f>
        <v>9.9</v>
      </c>
      <c r="DD253" s="17" t="s">
        <v>218</v>
      </c>
      <c r="DE253" s="17" t="s">
        <v>218</v>
      </c>
      <c r="DF253" s="24">
        <f t="shared" si="142"/>
        <v>0.751</v>
      </c>
      <c r="DG253" s="24">
        <f t="shared" si="143"/>
        <v>0.16500000000000001</v>
      </c>
      <c r="DH253" s="17" t="s">
        <v>218</v>
      </c>
      <c r="DK253" s="1">
        <v>5.2</v>
      </c>
      <c r="DL253" s="1">
        <v>6.8000001907348633</v>
      </c>
      <c r="DM253" s="1">
        <v>4.5</v>
      </c>
      <c r="DN253" s="20">
        <v>100</v>
      </c>
      <c r="DO253" s="1">
        <v>100</v>
      </c>
      <c r="DQ253" s="1">
        <v>11</v>
      </c>
      <c r="DR253" s="1">
        <v>13.6</v>
      </c>
      <c r="DS253" s="1">
        <v>8.3000000000000007</v>
      </c>
    </row>
    <row r="254" spans="1:123" x14ac:dyDescent="0.2">
      <c r="A254" s="15">
        <f t="shared" si="144"/>
        <v>36773</v>
      </c>
      <c r="B254" s="1">
        <v>248</v>
      </c>
      <c r="E254" s="55">
        <f t="shared" si="149"/>
        <v>4.5</v>
      </c>
      <c r="P254" s="18"/>
      <c r="R254" s="55">
        <f t="shared" si="150"/>
        <v>9.6</v>
      </c>
      <c r="AD254" s="18"/>
      <c r="AF254" s="55">
        <f t="shared" si="151"/>
        <v>0.6</v>
      </c>
      <c r="BM254" s="17">
        <v>21.7</v>
      </c>
      <c r="BN254" s="17">
        <f t="shared" si="136"/>
        <v>43.833999999999996</v>
      </c>
      <c r="BO254" s="18"/>
      <c r="BP254" s="18"/>
      <c r="BT254" s="55">
        <f t="shared" si="152"/>
        <v>59</v>
      </c>
      <c r="BU254" s="60">
        <f t="shared" si="148"/>
        <v>0.70499999999999996</v>
      </c>
      <c r="BV254" s="60">
        <f t="shared" si="135"/>
        <v>0.49</v>
      </c>
      <c r="BX254" s="1">
        <v>2</v>
      </c>
      <c r="BZ254" s="1">
        <v>0</v>
      </c>
      <c r="CB254" s="17" t="s">
        <v>218</v>
      </c>
      <c r="CC254" s="17" t="s">
        <v>218</v>
      </c>
      <c r="CD254" s="3">
        <f t="shared" si="137"/>
        <v>4.5</v>
      </c>
      <c r="CE254" s="17" t="s">
        <v>218</v>
      </c>
      <c r="CF254" s="17" t="s">
        <v>218</v>
      </c>
      <c r="CG254" s="17" t="s">
        <v>218</v>
      </c>
      <c r="CH254" s="17" t="s">
        <v>218</v>
      </c>
      <c r="CI254" s="17" t="s">
        <v>218</v>
      </c>
      <c r="CJ254" s="17" t="s">
        <v>218</v>
      </c>
      <c r="CK254" s="17" t="s">
        <v>218</v>
      </c>
      <c r="CL254" s="1">
        <f t="shared" si="138"/>
        <v>9.6</v>
      </c>
      <c r="CM254" s="17" t="s">
        <v>218</v>
      </c>
      <c r="CN254" s="17" t="s">
        <v>218</v>
      </c>
      <c r="CO254" s="17" t="s">
        <v>218</v>
      </c>
      <c r="CP254" s="17" t="s">
        <v>218</v>
      </c>
      <c r="CQ254" s="17" t="s">
        <v>218</v>
      </c>
      <c r="CR254" s="17" t="s">
        <v>218</v>
      </c>
      <c r="CS254" s="17" t="s">
        <v>218</v>
      </c>
      <c r="CT254" s="1">
        <f t="shared" si="139"/>
        <v>0.6</v>
      </c>
      <c r="CU254" s="17" t="s">
        <v>218</v>
      </c>
      <c r="CV254" s="17" t="s">
        <v>218</v>
      </c>
      <c r="CW254" s="17" t="s">
        <v>218</v>
      </c>
      <c r="CX254" s="17" t="s">
        <v>218</v>
      </c>
      <c r="CY254" s="17" t="s">
        <v>218</v>
      </c>
      <c r="CZ254" s="17" t="s">
        <v>218</v>
      </c>
      <c r="DA254" s="2">
        <f t="shared" si="140"/>
        <v>59</v>
      </c>
      <c r="DB254" s="20">
        <f t="shared" si="141"/>
        <v>0</v>
      </c>
      <c r="DC254" s="1">
        <f>ROUND(PPTest!K254,1)</f>
        <v>2.1</v>
      </c>
      <c r="DD254" s="17" t="s">
        <v>218</v>
      </c>
      <c r="DE254" s="17" t="s">
        <v>218</v>
      </c>
      <c r="DF254" s="24">
        <f t="shared" si="142"/>
        <v>0.70499999999999996</v>
      </c>
      <c r="DG254" s="24">
        <f t="shared" si="143"/>
        <v>0.49</v>
      </c>
      <c r="DH254" s="17" t="s">
        <v>218</v>
      </c>
      <c r="DK254" s="1">
        <v>6.8</v>
      </c>
      <c r="DL254" s="1">
        <v>11</v>
      </c>
      <c r="DM254" s="1">
        <v>4</v>
      </c>
      <c r="DN254" s="20">
        <v>93.083333333333329</v>
      </c>
      <c r="DO254" s="1">
        <v>73</v>
      </c>
      <c r="DQ254" s="1">
        <v>14</v>
      </c>
      <c r="DR254" s="1">
        <v>21.9</v>
      </c>
      <c r="DS254" s="1">
        <v>6</v>
      </c>
    </row>
    <row r="255" spans="1:123" x14ac:dyDescent="0.2">
      <c r="A255" s="15">
        <f t="shared" si="144"/>
        <v>36774</v>
      </c>
      <c r="B255" s="1">
        <v>249</v>
      </c>
      <c r="E255" s="55">
        <f t="shared" si="149"/>
        <v>4.5999999999999996</v>
      </c>
      <c r="P255" s="18"/>
      <c r="R255" s="55">
        <f t="shared" si="150"/>
        <v>8.5</v>
      </c>
      <c r="AD255" s="18"/>
      <c r="AF255" s="55">
        <f t="shared" si="151"/>
        <v>0.4</v>
      </c>
      <c r="BM255" s="17">
        <v>21.46</v>
      </c>
      <c r="BN255" s="17">
        <f t="shared" si="136"/>
        <v>43.349200000000003</v>
      </c>
      <c r="BO255" s="18"/>
      <c r="BP255" s="18"/>
      <c r="BT255" s="55">
        <f t="shared" si="152"/>
        <v>73</v>
      </c>
      <c r="BU255" s="60">
        <f t="shared" si="148"/>
        <v>0.81</v>
      </c>
      <c r="BV255" s="60">
        <f t="shared" si="135"/>
        <v>0.3</v>
      </c>
      <c r="BX255" s="1">
        <v>2.4</v>
      </c>
      <c r="BZ255" s="1">
        <v>5.4</v>
      </c>
      <c r="CB255" s="17" t="s">
        <v>218</v>
      </c>
      <c r="CC255" s="17" t="s">
        <v>218</v>
      </c>
      <c r="CD255" s="3">
        <f t="shared" si="137"/>
        <v>4.5999999999999996</v>
      </c>
      <c r="CE255" s="17" t="s">
        <v>218</v>
      </c>
      <c r="CF255" s="17" t="s">
        <v>218</v>
      </c>
      <c r="CG255" s="17" t="s">
        <v>218</v>
      </c>
      <c r="CH255" s="17" t="s">
        <v>218</v>
      </c>
      <c r="CI255" s="17" t="s">
        <v>218</v>
      </c>
      <c r="CJ255" s="17" t="s">
        <v>218</v>
      </c>
      <c r="CK255" s="17" t="s">
        <v>218</v>
      </c>
      <c r="CL255" s="1">
        <f t="shared" si="138"/>
        <v>8.5</v>
      </c>
      <c r="CM255" s="17" t="s">
        <v>218</v>
      </c>
      <c r="CN255" s="17" t="s">
        <v>218</v>
      </c>
      <c r="CO255" s="17" t="s">
        <v>218</v>
      </c>
      <c r="CP255" s="17" t="s">
        <v>218</v>
      </c>
      <c r="CQ255" s="17" t="s">
        <v>218</v>
      </c>
      <c r="CR255" s="17" t="s">
        <v>218</v>
      </c>
      <c r="CS255" s="17" t="s">
        <v>218</v>
      </c>
      <c r="CT255" s="1">
        <f t="shared" si="139"/>
        <v>0.4</v>
      </c>
      <c r="CU255" s="17" t="s">
        <v>218</v>
      </c>
      <c r="CV255" s="17" t="s">
        <v>218</v>
      </c>
      <c r="CW255" s="17" t="s">
        <v>218</v>
      </c>
      <c r="CX255" s="17" t="s">
        <v>218</v>
      </c>
      <c r="CY255" s="17" t="s">
        <v>218</v>
      </c>
      <c r="CZ255" s="17" t="s">
        <v>218</v>
      </c>
      <c r="DA255" s="2">
        <f t="shared" si="140"/>
        <v>73</v>
      </c>
      <c r="DB255" s="20">
        <f t="shared" si="141"/>
        <v>0</v>
      </c>
      <c r="DC255" s="1">
        <f>ROUND(PPTest!K255,1)</f>
        <v>2.5</v>
      </c>
      <c r="DD255" s="17" t="s">
        <v>218</v>
      </c>
      <c r="DE255" s="17" t="s">
        <v>218</v>
      </c>
      <c r="DF255" s="24">
        <f t="shared" si="142"/>
        <v>0.81</v>
      </c>
      <c r="DG255" s="24">
        <f t="shared" si="143"/>
        <v>0.3</v>
      </c>
      <c r="DH255" s="17" t="s">
        <v>218</v>
      </c>
      <c r="DK255" s="1">
        <v>6.9</v>
      </c>
      <c r="DL255" s="1">
        <v>9.8000001907348633</v>
      </c>
      <c r="DM255" s="1">
        <v>3.5999999046325684</v>
      </c>
      <c r="DN255" s="20">
        <v>98.041666666666671</v>
      </c>
      <c r="DO255" s="1">
        <v>89</v>
      </c>
      <c r="DQ255" s="1">
        <v>10</v>
      </c>
      <c r="DR255" s="1">
        <v>16</v>
      </c>
      <c r="DS255" s="1">
        <v>4</v>
      </c>
    </row>
    <row r="256" spans="1:123" x14ac:dyDescent="0.2">
      <c r="A256" s="15">
        <f t="shared" si="144"/>
        <v>36775</v>
      </c>
      <c r="B256" s="1">
        <v>250</v>
      </c>
      <c r="E256" s="55">
        <f t="shared" si="149"/>
        <v>7.1</v>
      </c>
      <c r="P256" s="18"/>
      <c r="R256" s="55">
        <f t="shared" si="150"/>
        <v>13.6</v>
      </c>
      <c r="AD256" s="18"/>
      <c r="AF256" s="55">
        <f t="shared" si="151"/>
        <v>2.8</v>
      </c>
      <c r="BM256" s="17">
        <v>21.21</v>
      </c>
      <c r="BN256" s="17">
        <f t="shared" si="136"/>
        <v>42.844200000000001</v>
      </c>
      <c r="BO256" s="18"/>
      <c r="BP256" s="18"/>
      <c r="BT256" s="55">
        <f t="shared" si="152"/>
        <v>39</v>
      </c>
      <c r="BU256" s="60">
        <f t="shared" si="148"/>
        <v>0.60699999999999998</v>
      </c>
      <c r="BV256" s="60">
        <f t="shared" si="135"/>
        <v>0.94899999999999995</v>
      </c>
      <c r="BX256" s="1">
        <v>0</v>
      </c>
      <c r="BZ256" s="1">
        <v>0</v>
      </c>
      <c r="CB256" s="17" t="s">
        <v>218</v>
      </c>
      <c r="CC256" s="17" t="s">
        <v>218</v>
      </c>
      <c r="CD256" s="3">
        <f t="shared" si="137"/>
        <v>7.1</v>
      </c>
      <c r="CE256" s="17" t="s">
        <v>218</v>
      </c>
      <c r="CF256" s="17" t="s">
        <v>218</v>
      </c>
      <c r="CG256" s="17" t="s">
        <v>218</v>
      </c>
      <c r="CH256" s="17" t="s">
        <v>218</v>
      </c>
      <c r="CI256" s="17" t="s">
        <v>218</v>
      </c>
      <c r="CJ256" s="17" t="s">
        <v>218</v>
      </c>
      <c r="CK256" s="17" t="s">
        <v>218</v>
      </c>
      <c r="CL256" s="1">
        <f t="shared" si="138"/>
        <v>13.6</v>
      </c>
      <c r="CM256" s="17" t="s">
        <v>218</v>
      </c>
      <c r="CN256" s="17" t="s">
        <v>218</v>
      </c>
      <c r="CO256" s="17" t="s">
        <v>218</v>
      </c>
      <c r="CP256" s="17" t="s">
        <v>218</v>
      </c>
      <c r="CQ256" s="17" t="s">
        <v>218</v>
      </c>
      <c r="CR256" s="17" t="s">
        <v>218</v>
      </c>
      <c r="CS256" s="17" t="s">
        <v>218</v>
      </c>
      <c r="CT256" s="1">
        <f t="shared" si="139"/>
        <v>2.8</v>
      </c>
      <c r="CU256" s="17" t="s">
        <v>218</v>
      </c>
      <c r="CV256" s="17" t="s">
        <v>218</v>
      </c>
      <c r="CW256" s="17" t="s">
        <v>218</v>
      </c>
      <c r="CX256" s="17" t="s">
        <v>218</v>
      </c>
      <c r="CY256" s="17" t="s">
        <v>218</v>
      </c>
      <c r="CZ256" s="17" t="s">
        <v>218</v>
      </c>
      <c r="DA256" s="2">
        <f t="shared" si="140"/>
        <v>39</v>
      </c>
      <c r="DB256" s="20">
        <f t="shared" si="141"/>
        <v>0</v>
      </c>
      <c r="DC256" s="1">
        <f>ROUND(PPTest!K256,1)</f>
        <v>0</v>
      </c>
      <c r="DD256" s="17" t="s">
        <v>218</v>
      </c>
      <c r="DE256" s="17" t="s">
        <v>218</v>
      </c>
      <c r="DF256" s="24">
        <f t="shared" si="142"/>
        <v>0.60699999999999998</v>
      </c>
      <c r="DG256" s="24">
        <f t="shared" si="143"/>
        <v>0.94899999999999995</v>
      </c>
      <c r="DH256" s="17" t="s">
        <v>218</v>
      </c>
      <c r="DK256" s="1">
        <v>10</v>
      </c>
      <c r="DL256" s="1">
        <v>15.399999618530273</v>
      </c>
      <c r="DM256" s="1">
        <v>7.5999999046325684</v>
      </c>
      <c r="DN256" s="20">
        <v>83.666666666666671</v>
      </c>
      <c r="DO256" s="1">
        <v>49</v>
      </c>
      <c r="DQ256" s="1">
        <v>15.8</v>
      </c>
      <c r="DR256" s="1">
        <v>24.6</v>
      </c>
      <c r="DS256" s="1">
        <v>7</v>
      </c>
    </row>
    <row r="257" spans="1:123" x14ac:dyDescent="0.2">
      <c r="A257" s="15">
        <f t="shared" si="144"/>
        <v>36776</v>
      </c>
      <c r="B257" s="1">
        <v>251</v>
      </c>
      <c r="E257" s="55">
        <f t="shared" si="149"/>
        <v>6.5</v>
      </c>
      <c r="P257" s="18"/>
      <c r="R257" s="55">
        <f t="shared" si="150"/>
        <v>11.3</v>
      </c>
      <c r="AD257" s="18"/>
      <c r="AF257" s="55">
        <f t="shared" si="151"/>
        <v>2.5</v>
      </c>
      <c r="BM257" s="17">
        <v>20.95</v>
      </c>
      <c r="BN257" s="17">
        <f t="shared" si="136"/>
        <v>42.318999999999996</v>
      </c>
      <c r="BO257" s="18"/>
      <c r="BP257" s="18"/>
      <c r="BT257" s="55">
        <f t="shared" si="152"/>
        <v>56</v>
      </c>
      <c r="BU257" s="60">
        <f t="shared" si="148"/>
        <v>0.75</v>
      </c>
      <c r="BV257" s="60">
        <f t="shared" si="135"/>
        <v>0.58899999999999997</v>
      </c>
      <c r="BX257" s="1">
        <v>7.4</v>
      </c>
      <c r="BZ257" s="1">
        <v>5</v>
      </c>
      <c r="CB257" s="17" t="s">
        <v>218</v>
      </c>
      <c r="CC257" s="17" t="s">
        <v>218</v>
      </c>
      <c r="CD257" s="3">
        <f t="shared" si="137"/>
        <v>6.5</v>
      </c>
      <c r="CE257" s="17" t="s">
        <v>218</v>
      </c>
      <c r="CF257" s="17" t="s">
        <v>218</v>
      </c>
      <c r="CG257" s="17" t="s">
        <v>218</v>
      </c>
      <c r="CH257" s="17" t="s">
        <v>218</v>
      </c>
      <c r="CI257" s="17" t="s">
        <v>218</v>
      </c>
      <c r="CJ257" s="17" t="s">
        <v>218</v>
      </c>
      <c r="CK257" s="17" t="s">
        <v>218</v>
      </c>
      <c r="CL257" s="1">
        <f t="shared" si="138"/>
        <v>11.3</v>
      </c>
      <c r="CM257" s="17" t="s">
        <v>218</v>
      </c>
      <c r="CN257" s="17" t="s">
        <v>218</v>
      </c>
      <c r="CO257" s="17" t="s">
        <v>218</v>
      </c>
      <c r="CP257" s="17" t="s">
        <v>218</v>
      </c>
      <c r="CQ257" s="17" t="s">
        <v>218</v>
      </c>
      <c r="CR257" s="17" t="s">
        <v>218</v>
      </c>
      <c r="CS257" s="17" t="s">
        <v>218</v>
      </c>
      <c r="CT257" s="1">
        <f t="shared" si="139"/>
        <v>2.5</v>
      </c>
      <c r="CU257" s="17" t="s">
        <v>218</v>
      </c>
      <c r="CV257" s="17" t="s">
        <v>218</v>
      </c>
      <c r="CW257" s="17" t="s">
        <v>218</v>
      </c>
      <c r="CX257" s="17" t="s">
        <v>218</v>
      </c>
      <c r="CY257" s="17" t="s">
        <v>218</v>
      </c>
      <c r="CZ257" s="17" t="s">
        <v>218</v>
      </c>
      <c r="DA257" s="2">
        <f t="shared" si="140"/>
        <v>56</v>
      </c>
      <c r="DB257" s="20">
        <f t="shared" si="141"/>
        <v>0</v>
      </c>
      <c r="DC257" s="1">
        <f>ROUND(PPTest!K257,1)</f>
        <v>7.8</v>
      </c>
      <c r="DD257" s="17" t="s">
        <v>218</v>
      </c>
      <c r="DE257" s="17" t="s">
        <v>218</v>
      </c>
      <c r="DF257" s="24">
        <f t="shared" si="142"/>
        <v>0.75</v>
      </c>
      <c r="DG257" s="24">
        <f t="shared" si="143"/>
        <v>0.58899999999999997</v>
      </c>
      <c r="DH257" s="17" t="s">
        <v>218</v>
      </c>
      <c r="DK257" s="1">
        <v>9.3000000000000007</v>
      </c>
      <c r="DL257" s="1">
        <v>12.800000190734863</v>
      </c>
      <c r="DM257" s="1">
        <v>7</v>
      </c>
      <c r="DN257" s="20">
        <v>86.125</v>
      </c>
      <c r="DO257" s="1">
        <v>69</v>
      </c>
      <c r="DQ257" s="1">
        <v>11.1</v>
      </c>
      <c r="DR257" s="1">
        <v>18.399999999999999</v>
      </c>
      <c r="DS257" s="1">
        <v>3.8</v>
      </c>
    </row>
    <row r="258" spans="1:123" x14ac:dyDescent="0.2">
      <c r="A258" s="15">
        <f t="shared" si="144"/>
        <v>36777</v>
      </c>
      <c r="B258" s="1">
        <v>252</v>
      </c>
      <c r="E258" s="55">
        <f t="shared" si="149"/>
        <v>3.5</v>
      </c>
      <c r="P258" s="18"/>
      <c r="R258" s="55">
        <f t="shared" si="150"/>
        <v>7.1</v>
      </c>
      <c r="AD258" s="18"/>
      <c r="AF258" s="55">
        <f t="shared" si="151"/>
        <v>0.3</v>
      </c>
      <c r="BM258" s="17">
        <v>20.7</v>
      </c>
      <c r="BN258" s="17">
        <f t="shared" si="136"/>
        <v>41.814</v>
      </c>
      <c r="BO258" s="18"/>
      <c r="BP258" s="18"/>
      <c r="BT258" s="55">
        <f t="shared" si="152"/>
        <v>64</v>
      </c>
      <c r="BU258" s="60">
        <f t="shared" si="148"/>
        <v>0.64500000000000002</v>
      </c>
      <c r="BV258" s="60">
        <f t="shared" si="135"/>
        <v>0.36299999999999999</v>
      </c>
      <c r="BX258" s="1">
        <v>11.7</v>
      </c>
      <c r="BZ258" s="1">
        <v>12.2</v>
      </c>
      <c r="CB258" s="17" t="s">
        <v>218</v>
      </c>
      <c r="CC258" s="17" t="s">
        <v>218</v>
      </c>
      <c r="CD258" s="3">
        <f t="shared" si="137"/>
        <v>3.5</v>
      </c>
      <c r="CE258" s="17" t="s">
        <v>218</v>
      </c>
      <c r="CF258" s="17" t="s">
        <v>218</v>
      </c>
      <c r="CG258" s="17" t="s">
        <v>218</v>
      </c>
      <c r="CH258" s="17" t="s">
        <v>218</v>
      </c>
      <c r="CI258" s="17" t="s">
        <v>218</v>
      </c>
      <c r="CJ258" s="17" t="s">
        <v>218</v>
      </c>
      <c r="CK258" s="17" t="s">
        <v>218</v>
      </c>
      <c r="CL258" s="1">
        <f t="shared" si="138"/>
        <v>7.1</v>
      </c>
      <c r="CM258" s="17" t="s">
        <v>218</v>
      </c>
      <c r="CN258" s="17" t="s">
        <v>218</v>
      </c>
      <c r="CO258" s="17" t="s">
        <v>218</v>
      </c>
      <c r="CP258" s="17" t="s">
        <v>218</v>
      </c>
      <c r="CQ258" s="17" t="s">
        <v>218</v>
      </c>
      <c r="CR258" s="17" t="s">
        <v>218</v>
      </c>
      <c r="CS258" s="17" t="s">
        <v>218</v>
      </c>
      <c r="CT258" s="1">
        <f t="shared" si="139"/>
        <v>0.3</v>
      </c>
      <c r="CU258" s="17" t="s">
        <v>218</v>
      </c>
      <c r="CV258" s="17" t="s">
        <v>218</v>
      </c>
      <c r="CW258" s="17" t="s">
        <v>218</v>
      </c>
      <c r="CX258" s="17" t="s">
        <v>218</v>
      </c>
      <c r="CY258" s="17" t="s">
        <v>218</v>
      </c>
      <c r="CZ258" s="17" t="s">
        <v>218</v>
      </c>
      <c r="DA258" s="2">
        <f t="shared" si="140"/>
        <v>64</v>
      </c>
      <c r="DB258" s="20">
        <f t="shared" si="141"/>
        <v>0</v>
      </c>
      <c r="DC258" s="1">
        <f>ROUND(PPTest!K258,1)</f>
        <v>12.3</v>
      </c>
      <c r="DD258" s="17" t="s">
        <v>218</v>
      </c>
      <c r="DE258" s="17" t="s">
        <v>218</v>
      </c>
      <c r="DF258" s="24">
        <f t="shared" si="142"/>
        <v>0.64500000000000002</v>
      </c>
      <c r="DG258" s="24">
        <f t="shared" si="143"/>
        <v>0.36299999999999999</v>
      </c>
      <c r="DH258" s="17" t="s">
        <v>218</v>
      </c>
      <c r="DK258" s="1">
        <v>5.6</v>
      </c>
      <c r="DL258" s="1">
        <v>8.3000001907348633</v>
      </c>
      <c r="DM258" s="1">
        <v>3.5</v>
      </c>
      <c r="DN258" s="20">
        <v>95.583333333333329</v>
      </c>
      <c r="DO258" s="1">
        <v>78</v>
      </c>
      <c r="DQ258" s="1">
        <v>10.3</v>
      </c>
      <c r="DR258" s="1">
        <v>13.1</v>
      </c>
      <c r="DS258" s="1">
        <v>7.5</v>
      </c>
    </row>
    <row r="259" spans="1:123" x14ac:dyDescent="0.2">
      <c r="A259" s="15">
        <f t="shared" si="144"/>
        <v>36778</v>
      </c>
      <c r="B259" s="1">
        <v>253</v>
      </c>
      <c r="E259" s="55">
        <f t="shared" si="149"/>
        <v>2.8</v>
      </c>
      <c r="P259" s="18"/>
      <c r="R259" s="55">
        <f t="shared" si="150"/>
        <v>4.8</v>
      </c>
      <c r="AD259" s="18"/>
      <c r="AF259" s="55">
        <f t="shared" si="151"/>
        <v>0.4</v>
      </c>
      <c r="BM259" s="17">
        <v>20.45</v>
      </c>
      <c r="BN259" s="17">
        <f t="shared" si="136"/>
        <v>41.308999999999997</v>
      </c>
      <c r="BO259" s="18"/>
      <c r="BP259" s="18"/>
      <c r="BT259" s="55">
        <f t="shared" si="152"/>
        <v>74</v>
      </c>
      <c r="BU259" s="60">
        <f t="shared" si="148"/>
        <v>0.63600000000000001</v>
      </c>
      <c r="BV259" s="60">
        <f t="shared" si="135"/>
        <v>0.223</v>
      </c>
      <c r="BX259" s="1">
        <v>7.7</v>
      </c>
      <c r="BZ259" s="1">
        <v>4.6000000000000005</v>
      </c>
      <c r="CB259" s="17" t="s">
        <v>218</v>
      </c>
      <c r="CC259" s="17" t="s">
        <v>218</v>
      </c>
      <c r="CD259" s="3">
        <f t="shared" si="137"/>
        <v>2.8</v>
      </c>
      <c r="CE259" s="17" t="s">
        <v>218</v>
      </c>
      <c r="CF259" s="17" t="s">
        <v>218</v>
      </c>
      <c r="CG259" s="17" t="s">
        <v>218</v>
      </c>
      <c r="CH259" s="17" t="s">
        <v>218</v>
      </c>
      <c r="CI259" s="17" t="s">
        <v>218</v>
      </c>
      <c r="CJ259" s="17" t="s">
        <v>218</v>
      </c>
      <c r="CK259" s="17" t="s">
        <v>218</v>
      </c>
      <c r="CL259" s="1">
        <f t="shared" si="138"/>
        <v>4.8</v>
      </c>
      <c r="CM259" s="17" t="s">
        <v>218</v>
      </c>
      <c r="CN259" s="17" t="s">
        <v>218</v>
      </c>
      <c r="CO259" s="17" t="s">
        <v>218</v>
      </c>
      <c r="CP259" s="17" t="s">
        <v>218</v>
      </c>
      <c r="CQ259" s="17" t="s">
        <v>218</v>
      </c>
      <c r="CR259" s="17" t="s">
        <v>218</v>
      </c>
      <c r="CS259" s="17" t="s">
        <v>218</v>
      </c>
      <c r="CT259" s="1">
        <f t="shared" si="139"/>
        <v>0.4</v>
      </c>
      <c r="CU259" s="17" t="s">
        <v>218</v>
      </c>
      <c r="CV259" s="17" t="s">
        <v>218</v>
      </c>
      <c r="CW259" s="17" t="s">
        <v>218</v>
      </c>
      <c r="CX259" s="17" t="s">
        <v>218</v>
      </c>
      <c r="CY259" s="17" t="s">
        <v>218</v>
      </c>
      <c r="CZ259" s="17" t="s">
        <v>218</v>
      </c>
      <c r="DA259" s="2">
        <f t="shared" si="140"/>
        <v>74</v>
      </c>
      <c r="DB259" s="20">
        <f t="shared" si="141"/>
        <v>0</v>
      </c>
      <c r="DC259" s="1">
        <f>ROUND(PPTest!K259,1)</f>
        <v>8.1</v>
      </c>
      <c r="DD259" s="17" t="s">
        <v>218</v>
      </c>
      <c r="DE259" s="17" t="s">
        <v>218</v>
      </c>
      <c r="DF259" s="24">
        <f t="shared" si="142"/>
        <v>0.63600000000000001</v>
      </c>
      <c r="DG259" s="24">
        <f t="shared" si="143"/>
        <v>0.223</v>
      </c>
      <c r="DH259" s="17" t="s">
        <v>218</v>
      </c>
      <c r="DK259" s="1">
        <v>4.7</v>
      </c>
      <c r="DL259" s="1">
        <v>5.8000001907348633</v>
      </c>
      <c r="DM259" s="1">
        <v>3.5999999046325684</v>
      </c>
      <c r="DN259" s="20">
        <v>94.291666666666671</v>
      </c>
      <c r="DO259" s="1">
        <v>90</v>
      </c>
      <c r="DQ259" s="1">
        <v>8.8000000000000007</v>
      </c>
      <c r="DR259" s="1">
        <v>10</v>
      </c>
      <c r="DS259" s="1">
        <v>7.5</v>
      </c>
    </row>
    <row r="260" spans="1:123" x14ac:dyDescent="0.2">
      <c r="A260" s="15">
        <f t="shared" si="144"/>
        <v>36779</v>
      </c>
      <c r="B260" s="1">
        <v>254</v>
      </c>
      <c r="E260" s="55">
        <f t="shared" si="149"/>
        <v>3.5</v>
      </c>
      <c r="P260" s="18"/>
      <c r="R260" s="55">
        <f t="shared" si="150"/>
        <v>9.3000000000000007</v>
      </c>
      <c r="AD260" s="18"/>
      <c r="AF260" s="55">
        <f t="shared" si="151"/>
        <v>-0.6</v>
      </c>
      <c r="BM260" s="17">
        <v>20.2</v>
      </c>
      <c r="BN260" s="17">
        <f t="shared" si="136"/>
        <v>40.804000000000002</v>
      </c>
      <c r="BO260" s="18"/>
      <c r="BP260" s="18"/>
      <c r="BT260" s="55">
        <f t="shared" si="152"/>
        <v>44</v>
      </c>
      <c r="BU260" s="60">
        <f t="shared" si="148"/>
        <v>0.51500000000000001</v>
      </c>
      <c r="BV260" s="60">
        <f t="shared" si="135"/>
        <v>0.65500000000000003</v>
      </c>
      <c r="BX260" s="1">
        <v>1</v>
      </c>
      <c r="BZ260" s="1">
        <v>3.3000000000000003</v>
      </c>
      <c r="CB260" s="17" t="s">
        <v>218</v>
      </c>
      <c r="CC260" s="17" t="s">
        <v>218</v>
      </c>
      <c r="CD260" s="3">
        <f t="shared" si="137"/>
        <v>3.5</v>
      </c>
      <c r="CE260" s="17" t="s">
        <v>218</v>
      </c>
      <c r="CF260" s="17" t="s">
        <v>218</v>
      </c>
      <c r="CG260" s="17" t="s">
        <v>218</v>
      </c>
      <c r="CH260" s="17" t="s">
        <v>218</v>
      </c>
      <c r="CI260" s="17" t="s">
        <v>218</v>
      </c>
      <c r="CJ260" s="17" t="s">
        <v>218</v>
      </c>
      <c r="CK260" s="17" t="s">
        <v>218</v>
      </c>
      <c r="CL260" s="1">
        <f t="shared" si="138"/>
        <v>9.3000000000000007</v>
      </c>
      <c r="CM260" s="17" t="s">
        <v>218</v>
      </c>
      <c r="CN260" s="17" t="s">
        <v>218</v>
      </c>
      <c r="CO260" s="17" t="s">
        <v>218</v>
      </c>
      <c r="CP260" s="17" t="s">
        <v>218</v>
      </c>
      <c r="CQ260" s="17" t="s">
        <v>218</v>
      </c>
      <c r="CR260" s="17" t="s">
        <v>218</v>
      </c>
      <c r="CS260" s="17" t="s">
        <v>218</v>
      </c>
      <c r="CT260" s="1">
        <f t="shared" si="139"/>
        <v>-0.6</v>
      </c>
      <c r="CU260" s="17" t="s">
        <v>218</v>
      </c>
      <c r="CV260" s="17" t="s">
        <v>218</v>
      </c>
      <c r="CW260" s="17" t="s">
        <v>218</v>
      </c>
      <c r="CX260" s="17" t="s">
        <v>218</v>
      </c>
      <c r="CY260" s="17" t="s">
        <v>218</v>
      </c>
      <c r="CZ260" s="17" t="s">
        <v>218</v>
      </c>
      <c r="DA260" s="2">
        <f t="shared" si="140"/>
        <v>44</v>
      </c>
      <c r="DB260" s="20">
        <f t="shared" si="141"/>
        <v>0</v>
      </c>
      <c r="DC260" s="1">
        <f>ROUND(PPTest!K260,1)</f>
        <v>1.1000000000000001</v>
      </c>
      <c r="DD260" s="17" t="s">
        <v>218</v>
      </c>
      <c r="DE260" s="17" t="s">
        <v>218</v>
      </c>
      <c r="DF260" s="24">
        <f t="shared" si="142"/>
        <v>0.51500000000000001</v>
      </c>
      <c r="DG260" s="24">
        <f t="shared" si="143"/>
        <v>0.65500000000000003</v>
      </c>
      <c r="DH260" s="17" t="s">
        <v>218</v>
      </c>
      <c r="DK260" s="1">
        <v>5.6</v>
      </c>
      <c r="DL260" s="1">
        <v>10.699999809265137</v>
      </c>
      <c r="DM260" s="1">
        <v>2</v>
      </c>
      <c r="DN260" s="20">
        <v>84.916666666666671</v>
      </c>
      <c r="DO260" s="1">
        <v>55</v>
      </c>
      <c r="DQ260" s="1">
        <v>12</v>
      </c>
      <c r="DR260" s="1">
        <v>20.100000000000001</v>
      </c>
      <c r="DS260" s="1">
        <v>3.8</v>
      </c>
    </row>
    <row r="261" spans="1:123" x14ac:dyDescent="0.2">
      <c r="A261" s="15">
        <f t="shared" si="144"/>
        <v>36780</v>
      </c>
      <c r="B261" s="1">
        <v>255</v>
      </c>
      <c r="E261" s="55">
        <f t="shared" si="149"/>
        <v>5.5</v>
      </c>
      <c r="P261" s="18"/>
      <c r="R261" s="55">
        <f t="shared" si="150"/>
        <v>9.5</v>
      </c>
      <c r="AD261" s="18"/>
      <c r="AF261" s="55">
        <f t="shared" si="151"/>
        <v>-0.2</v>
      </c>
      <c r="BM261" s="17">
        <v>19.940000000000001</v>
      </c>
      <c r="BN261" s="17">
        <f t="shared" si="136"/>
        <v>40.278800000000004</v>
      </c>
      <c r="BO261" s="18"/>
      <c r="BP261" s="18"/>
      <c r="BT261" s="55">
        <f t="shared" si="152"/>
        <v>54</v>
      </c>
      <c r="BU261" s="60">
        <f t="shared" si="148"/>
        <v>0.64100000000000001</v>
      </c>
      <c r="BV261" s="60">
        <f t="shared" ref="BV261:BV324" si="153">ROUND((100-BT261)*BU261/BT261,3)</f>
        <v>0.54600000000000004</v>
      </c>
      <c r="BX261" s="1">
        <v>0.3</v>
      </c>
      <c r="BZ261" s="1">
        <v>0</v>
      </c>
      <c r="CB261" s="17" t="s">
        <v>218</v>
      </c>
      <c r="CC261" s="17" t="s">
        <v>218</v>
      </c>
      <c r="CD261" s="3">
        <f t="shared" si="137"/>
        <v>5.5</v>
      </c>
      <c r="CE261" s="17" t="s">
        <v>218</v>
      </c>
      <c r="CF261" s="17" t="s">
        <v>218</v>
      </c>
      <c r="CG261" s="17" t="s">
        <v>218</v>
      </c>
      <c r="CH261" s="17" t="s">
        <v>218</v>
      </c>
      <c r="CI261" s="17" t="s">
        <v>218</v>
      </c>
      <c r="CJ261" s="17" t="s">
        <v>218</v>
      </c>
      <c r="CK261" s="17" t="s">
        <v>218</v>
      </c>
      <c r="CL261" s="1">
        <f t="shared" si="138"/>
        <v>9.5</v>
      </c>
      <c r="CM261" s="17" t="s">
        <v>218</v>
      </c>
      <c r="CN261" s="17" t="s">
        <v>218</v>
      </c>
      <c r="CO261" s="17" t="s">
        <v>218</v>
      </c>
      <c r="CP261" s="17" t="s">
        <v>218</v>
      </c>
      <c r="CQ261" s="17" t="s">
        <v>218</v>
      </c>
      <c r="CR261" s="17" t="s">
        <v>218</v>
      </c>
      <c r="CS261" s="17" t="s">
        <v>218</v>
      </c>
      <c r="CT261" s="1">
        <f t="shared" si="139"/>
        <v>-0.2</v>
      </c>
      <c r="CU261" s="17" t="s">
        <v>218</v>
      </c>
      <c r="CV261" s="17" t="s">
        <v>218</v>
      </c>
      <c r="CW261" s="17" t="s">
        <v>218</v>
      </c>
      <c r="CX261" s="17" t="s">
        <v>218</v>
      </c>
      <c r="CY261" s="17" t="s">
        <v>218</v>
      </c>
      <c r="CZ261" s="17" t="s">
        <v>218</v>
      </c>
      <c r="DA261" s="2">
        <f t="shared" si="140"/>
        <v>54</v>
      </c>
      <c r="DB261" s="20">
        <f t="shared" si="141"/>
        <v>0</v>
      </c>
      <c r="DC261" s="1">
        <f>ROUND(PPTest!K261,1)</f>
        <v>0.3</v>
      </c>
      <c r="DD261" s="17" t="s">
        <v>218</v>
      </c>
      <c r="DE261" s="17" t="s">
        <v>218</v>
      </c>
      <c r="DF261" s="24">
        <f t="shared" si="142"/>
        <v>0.64100000000000001</v>
      </c>
      <c r="DG261" s="24">
        <f t="shared" si="143"/>
        <v>0.54600000000000004</v>
      </c>
      <c r="DH261" s="17" t="s">
        <v>218</v>
      </c>
      <c r="DK261" s="1">
        <v>8</v>
      </c>
      <c r="DL261" s="1">
        <v>10.899999618530273</v>
      </c>
      <c r="DM261" s="1">
        <v>2.7000000476837158</v>
      </c>
      <c r="DN261" s="20">
        <v>79.375</v>
      </c>
      <c r="DO261" s="1">
        <v>66</v>
      </c>
      <c r="DQ261" s="1">
        <v>10</v>
      </c>
      <c r="DR261" s="1">
        <v>17.899999999999999</v>
      </c>
      <c r="DS261" s="1">
        <v>2</v>
      </c>
    </row>
    <row r="262" spans="1:123" x14ac:dyDescent="0.2">
      <c r="A262" s="15">
        <f t="shared" si="144"/>
        <v>36781</v>
      </c>
      <c r="B262" s="1">
        <v>256</v>
      </c>
      <c r="E262" s="55">
        <f t="shared" si="149"/>
        <v>7.5</v>
      </c>
      <c r="P262" s="18"/>
      <c r="R262" s="55">
        <f t="shared" si="150"/>
        <v>13</v>
      </c>
      <c r="AD262" s="18"/>
      <c r="AF262" s="55">
        <f t="shared" si="151"/>
        <v>2.6</v>
      </c>
      <c r="BM262" s="17">
        <v>19.68</v>
      </c>
      <c r="BN262" s="17">
        <f t="shared" si="136"/>
        <v>39.753599999999999</v>
      </c>
      <c r="BO262" s="18"/>
      <c r="BP262" s="18"/>
      <c r="BT262" s="55">
        <f t="shared" si="152"/>
        <v>54</v>
      </c>
      <c r="BU262" s="60">
        <f t="shared" si="148"/>
        <v>0.80900000000000005</v>
      </c>
      <c r="BV262" s="60">
        <f t="shared" si="153"/>
        <v>0.68899999999999995</v>
      </c>
      <c r="BX262" s="1">
        <v>0</v>
      </c>
      <c r="BZ262" s="1">
        <v>0.39999999999999991</v>
      </c>
      <c r="CB262" s="17" t="s">
        <v>218</v>
      </c>
      <c r="CC262" s="17" t="s">
        <v>218</v>
      </c>
      <c r="CD262" s="3">
        <f t="shared" si="137"/>
        <v>7.5</v>
      </c>
      <c r="CE262" s="17" t="s">
        <v>218</v>
      </c>
      <c r="CF262" s="17" t="s">
        <v>218</v>
      </c>
      <c r="CG262" s="17" t="s">
        <v>218</v>
      </c>
      <c r="CH262" s="17" t="s">
        <v>218</v>
      </c>
      <c r="CI262" s="17" t="s">
        <v>218</v>
      </c>
      <c r="CJ262" s="17" t="s">
        <v>218</v>
      </c>
      <c r="CK262" s="17" t="s">
        <v>218</v>
      </c>
      <c r="CL262" s="1">
        <f t="shared" si="138"/>
        <v>13</v>
      </c>
      <c r="CM262" s="17" t="s">
        <v>218</v>
      </c>
      <c r="CN262" s="17" t="s">
        <v>218</v>
      </c>
      <c r="CO262" s="17" t="s">
        <v>218</v>
      </c>
      <c r="CP262" s="17" t="s">
        <v>218</v>
      </c>
      <c r="CQ262" s="17" t="s">
        <v>218</v>
      </c>
      <c r="CR262" s="17" t="s">
        <v>218</v>
      </c>
      <c r="CS262" s="17" t="s">
        <v>218</v>
      </c>
      <c r="CT262" s="1">
        <f t="shared" si="139"/>
        <v>2.6</v>
      </c>
      <c r="CU262" s="17" t="s">
        <v>218</v>
      </c>
      <c r="CV262" s="17" t="s">
        <v>218</v>
      </c>
      <c r="CW262" s="17" t="s">
        <v>218</v>
      </c>
      <c r="CX262" s="17" t="s">
        <v>218</v>
      </c>
      <c r="CY262" s="17" t="s">
        <v>218</v>
      </c>
      <c r="CZ262" s="17" t="s">
        <v>218</v>
      </c>
      <c r="DA262" s="2">
        <f t="shared" si="140"/>
        <v>54</v>
      </c>
      <c r="DB262" s="20">
        <f t="shared" si="141"/>
        <v>0</v>
      </c>
      <c r="DC262" s="1">
        <f>ROUND(PPTest!K262,1)</f>
        <v>0</v>
      </c>
      <c r="DD262" s="17" t="s">
        <v>218</v>
      </c>
      <c r="DE262" s="17" t="s">
        <v>218</v>
      </c>
      <c r="DF262" s="24">
        <f t="shared" si="142"/>
        <v>0.80900000000000005</v>
      </c>
      <c r="DG262" s="24">
        <f t="shared" si="143"/>
        <v>0.68899999999999995</v>
      </c>
      <c r="DH262" s="17" t="s">
        <v>218</v>
      </c>
      <c r="DK262" s="1">
        <v>10.5</v>
      </c>
      <c r="DL262" s="1">
        <v>14.699999809265137</v>
      </c>
      <c r="DM262" s="1">
        <v>7.3000001907348633</v>
      </c>
      <c r="DN262" s="20">
        <v>83.25</v>
      </c>
      <c r="DO262" s="1">
        <v>67</v>
      </c>
      <c r="DQ262" s="1">
        <v>16</v>
      </c>
      <c r="DR262" s="1">
        <v>22.3</v>
      </c>
      <c r="DS262" s="1">
        <v>9.6999999999999993</v>
      </c>
    </row>
    <row r="263" spans="1:123" x14ac:dyDescent="0.2">
      <c r="A263" s="15">
        <f t="shared" si="144"/>
        <v>36782</v>
      </c>
      <c r="B263" s="1">
        <v>257</v>
      </c>
      <c r="E263" s="55">
        <f t="shared" si="149"/>
        <v>9.1999999999999993</v>
      </c>
      <c r="P263" s="18"/>
      <c r="R263" s="55">
        <f t="shared" si="150"/>
        <v>16.5</v>
      </c>
      <c r="AD263" s="18"/>
      <c r="AF263" s="55">
        <f t="shared" si="151"/>
        <v>2.5</v>
      </c>
      <c r="BM263" s="17">
        <v>19.43</v>
      </c>
      <c r="BN263" s="17">
        <f t="shared" ref="BN263:BN326" si="154">BM263*$BN$1</f>
        <v>39.248600000000003</v>
      </c>
      <c r="BO263" s="18"/>
      <c r="BP263" s="18"/>
      <c r="BT263" s="55">
        <f t="shared" si="152"/>
        <v>40</v>
      </c>
      <c r="BU263" s="60">
        <f t="shared" si="148"/>
        <v>0.751</v>
      </c>
      <c r="BV263" s="60">
        <f t="shared" si="153"/>
        <v>1.127</v>
      </c>
      <c r="BX263" s="1">
        <v>0</v>
      </c>
      <c r="BZ263" s="1">
        <v>0</v>
      </c>
      <c r="CB263" s="17" t="s">
        <v>218</v>
      </c>
      <c r="CC263" s="17" t="s">
        <v>218</v>
      </c>
      <c r="CD263" s="3">
        <f t="shared" si="137"/>
        <v>9.1999999999999993</v>
      </c>
      <c r="CE263" s="17" t="s">
        <v>218</v>
      </c>
      <c r="CF263" s="17" t="s">
        <v>218</v>
      </c>
      <c r="CG263" s="17" t="s">
        <v>218</v>
      </c>
      <c r="CH263" s="17" t="s">
        <v>218</v>
      </c>
      <c r="CI263" s="17" t="s">
        <v>218</v>
      </c>
      <c r="CJ263" s="17" t="s">
        <v>218</v>
      </c>
      <c r="CK263" s="17" t="s">
        <v>218</v>
      </c>
      <c r="CL263" s="1">
        <f t="shared" si="138"/>
        <v>16.5</v>
      </c>
      <c r="CM263" s="17" t="s">
        <v>218</v>
      </c>
      <c r="CN263" s="17" t="s">
        <v>218</v>
      </c>
      <c r="CO263" s="17" t="s">
        <v>218</v>
      </c>
      <c r="CP263" s="17" t="s">
        <v>218</v>
      </c>
      <c r="CQ263" s="17" t="s">
        <v>218</v>
      </c>
      <c r="CR263" s="17" t="s">
        <v>218</v>
      </c>
      <c r="CS263" s="17" t="s">
        <v>218</v>
      </c>
      <c r="CT263" s="1">
        <f t="shared" si="139"/>
        <v>2.5</v>
      </c>
      <c r="CU263" s="17" t="s">
        <v>218</v>
      </c>
      <c r="CV263" s="17" t="s">
        <v>218</v>
      </c>
      <c r="CW263" s="17" t="s">
        <v>218</v>
      </c>
      <c r="CX263" s="17" t="s">
        <v>218</v>
      </c>
      <c r="CY263" s="17" t="s">
        <v>218</v>
      </c>
      <c r="CZ263" s="17" t="s">
        <v>218</v>
      </c>
      <c r="DA263" s="2">
        <f t="shared" si="140"/>
        <v>40</v>
      </c>
      <c r="DB263" s="20">
        <f t="shared" si="141"/>
        <v>0</v>
      </c>
      <c r="DC263" s="1">
        <f>ROUND(PPTest!K263,1)</f>
        <v>0</v>
      </c>
      <c r="DD263" s="17" t="s">
        <v>218</v>
      </c>
      <c r="DE263" s="17" t="s">
        <v>218</v>
      </c>
      <c r="DF263" s="24">
        <f t="shared" si="142"/>
        <v>0.751</v>
      </c>
      <c r="DG263" s="24">
        <f t="shared" si="143"/>
        <v>1.127</v>
      </c>
      <c r="DH263" s="17" t="s">
        <v>218</v>
      </c>
      <c r="DK263" s="1">
        <v>12.5</v>
      </c>
      <c r="DL263" s="1">
        <v>18.5</v>
      </c>
      <c r="DM263" s="1">
        <v>7</v>
      </c>
      <c r="DN263" s="20">
        <v>77.375</v>
      </c>
      <c r="DO263" s="1">
        <v>50</v>
      </c>
      <c r="DQ263" s="1">
        <v>16.100000000000001</v>
      </c>
      <c r="DR263" s="1">
        <v>26.4</v>
      </c>
      <c r="DS263" s="1">
        <v>5.8</v>
      </c>
    </row>
    <row r="264" spans="1:123" x14ac:dyDescent="0.2">
      <c r="A264" s="15">
        <f t="shared" si="144"/>
        <v>36783</v>
      </c>
      <c r="B264" s="1">
        <v>258</v>
      </c>
      <c r="E264" s="55">
        <f t="shared" si="149"/>
        <v>11.8</v>
      </c>
      <c r="P264" s="18"/>
      <c r="R264" s="55">
        <f t="shared" si="150"/>
        <v>20.6</v>
      </c>
      <c r="AD264" s="18"/>
      <c r="AF264" s="55">
        <f t="shared" si="151"/>
        <v>4.3</v>
      </c>
      <c r="BM264" s="17">
        <v>19.170000000000002</v>
      </c>
      <c r="BN264" s="17">
        <f t="shared" si="154"/>
        <v>38.723400000000005</v>
      </c>
      <c r="BO264" s="18"/>
      <c r="BP264" s="18"/>
      <c r="BT264" s="55">
        <f t="shared" si="152"/>
        <v>30</v>
      </c>
      <c r="BU264" s="60">
        <f t="shared" si="148"/>
        <v>0.72799999999999998</v>
      </c>
      <c r="BV264" s="60">
        <f t="shared" si="153"/>
        <v>1.6990000000000001</v>
      </c>
      <c r="BX264" s="1">
        <v>0</v>
      </c>
      <c r="BZ264" s="1">
        <v>0</v>
      </c>
      <c r="CB264" s="17" t="s">
        <v>218</v>
      </c>
      <c r="CC264" s="17" t="s">
        <v>218</v>
      </c>
      <c r="CD264" s="3">
        <f t="shared" ref="CD264:CD327" si="155">ROUND(E264,1)</f>
        <v>11.8</v>
      </c>
      <c r="CE264" s="17" t="s">
        <v>218</v>
      </c>
      <c r="CF264" s="17" t="s">
        <v>218</v>
      </c>
      <c r="CG264" s="17" t="s">
        <v>218</v>
      </c>
      <c r="CH264" s="17" t="s">
        <v>218</v>
      </c>
      <c r="CI264" s="17" t="s">
        <v>218</v>
      </c>
      <c r="CJ264" s="17" t="s">
        <v>218</v>
      </c>
      <c r="CK264" s="17" t="s">
        <v>218</v>
      </c>
      <c r="CL264" s="1">
        <f t="shared" ref="CL264:CL327" si="156">ROUND(R264,1)</f>
        <v>20.6</v>
      </c>
      <c r="CM264" s="17" t="s">
        <v>218</v>
      </c>
      <c r="CN264" s="17" t="s">
        <v>218</v>
      </c>
      <c r="CO264" s="17" t="s">
        <v>218</v>
      </c>
      <c r="CP264" s="17" t="s">
        <v>218</v>
      </c>
      <c r="CQ264" s="17" t="s">
        <v>218</v>
      </c>
      <c r="CR264" s="17" t="s">
        <v>218</v>
      </c>
      <c r="CS264" s="17" t="s">
        <v>218</v>
      </c>
      <c r="CT264" s="1">
        <f t="shared" ref="CT264:CT327" si="157">ROUND(AF264,1)</f>
        <v>4.3</v>
      </c>
      <c r="CU264" s="17" t="s">
        <v>218</v>
      </c>
      <c r="CV264" s="17" t="s">
        <v>218</v>
      </c>
      <c r="CW264" s="17" t="s">
        <v>218</v>
      </c>
      <c r="CX264" s="17" t="s">
        <v>218</v>
      </c>
      <c r="CY264" s="17" t="s">
        <v>218</v>
      </c>
      <c r="CZ264" s="17" t="s">
        <v>218</v>
      </c>
      <c r="DA264" s="2">
        <f t="shared" ref="DA264:DA327" si="158">ROUND(BT264,1)</f>
        <v>30</v>
      </c>
      <c r="DB264" s="20">
        <f t="shared" ref="DB264:DB327" si="159">BF264</f>
        <v>0</v>
      </c>
      <c r="DC264" s="1">
        <f>ROUND(PPTest!K264,1)</f>
        <v>0</v>
      </c>
      <c r="DD264" s="17" t="s">
        <v>218</v>
      </c>
      <c r="DE264" s="17" t="s">
        <v>218</v>
      </c>
      <c r="DF264" s="24">
        <f t="shared" ref="DF264:DF327" si="160">BU264</f>
        <v>0.72799999999999998</v>
      </c>
      <c r="DG264" s="24">
        <f t="shared" ref="DG264:DG327" si="161">BV264</f>
        <v>1.6990000000000001</v>
      </c>
      <c r="DH264" s="17" t="s">
        <v>218</v>
      </c>
      <c r="DK264" s="1">
        <v>15.7</v>
      </c>
      <c r="DL264" s="1">
        <v>23</v>
      </c>
      <c r="DM264" s="1">
        <v>10.100000381469727</v>
      </c>
      <c r="DN264" s="20">
        <v>59.833333333333336</v>
      </c>
      <c r="DO264" s="1">
        <v>38</v>
      </c>
      <c r="DQ264" s="1">
        <v>17.2</v>
      </c>
      <c r="DR264" s="1">
        <v>28.1</v>
      </c>
      <c r="DS264" s="1">
        <v>6.2</v>
      </c>
    </row>
    <row r="265" spans="1:123" x14ac:dyDescent="0.2">
      <c r="A265" s="15">
        <f t="shared" ref="A265:A328" si="162">A264+1</f>
        <v>36784</v>
      </c>
      <c r="B265" s="1">
        <v>259</v>
      </c>
      <c r="E265" s="55">
        <f t="shared" si="149"/>
        <v>11.9</v>
      </c>
      <c r="P265" s="18"/>
      <c r="R265" s="55">
        <f t="shared" si="150"/>
        <v>17.5</v>
      </c>
      <c r="AD265" s="18"/>
      <c r="AF265" s="55">
        <f t="shared" si="151"/>
        <v>5.7</v>
      </c>
      <c r="BM265" s="17">
        <v>18.920000000000002</v>
      </c>
      <c r="BN265" s="17">
        <f t="shared" si="154"/>
        <v>38.218400000000003</v>
      </c>
      <c r="BO265" s="18"/>
      <c r="BP265" s="18"/>
      <c r="BT265" s="55">
        <f t="shared" si="152"/>
        <v>44</v>
      </c>
      <c r="BU265" s="60">
        <f t="shared" si="148"/>
        <v>0.88</v>
      </c>
      <c r="BV265" s="60">
        <f t="shared" si="153"/>
        <v>1.1200000000000001</v>
      </c>
      <c r="BX265" s="1">
        <v>0</v>
      </c>
      <c r="BZ265" s="1">
        <v>0</v>
      </c>
      <c r="CB265" s="17" t="s">
        <v>218</v>
      </c>
      <c r="CC265" s="17" t="s">
        <v>218</v>
      </c>
      <c r="CD265" s="3">
        <f t="shared" si="155"/>
        <v>11.9</v>
      </c>
      <c r="CE265" s="17" t="s">
        <v>218</v>
      </c>
      <c r="CF265" s="17" t="s">
        <v>218</v>
      </c>
      <c r="CG265" s="17" t="s">
        <v>218</v>
      </c>
      <c r="CH265" s="17" t="s">
        <v>218</v>
      </c>
      <c r="CI265" s="17" t="s">
        <v>218</v>
      </c>
      <c r="CJ265" s="17" t="s">
        <v>218</v>
      </c>
      <c r="CK265" s="17" t="s">
        <v>218</v>
      </c>
      <c r="CL265" s="1">
        <f t="shared" si="156"/>
        <v>17.5</v>
      </c>
      <c r="CM265" s="17" t="s">
        <v>218</v>
      </c>
      <c r="CN265" s="17" t="s">
        <v>218</v>
      </c>
      <c r="CO265" s="17" t="s">
        <v>218</v>
      </c>
      <c r="CP265" s="17" t="s">
        <v>218</v>
      </c>
      <c r="CQ265" s="17" t="s">
        <v>218</v>
      </c>
      <c r="CR265" s="17" t="s">
        <v>218</v>
      </c>
      <c r="CS265" s="17" t="s">
        <v>218</v>
      </c>
      <c r="CT265" s="1">
        <f t="shared" si="157"/>
        <v>5.7</v>
      </c>
      <c r="CU265" s="17" t="s">
        <v>218</v>
      </c>
      <c r="CV265" s="17" t="s">
        <v>218</v>
      </c>
      <c r="CW265" s="17" t="s">
        <v>218</v>
      </c>
      <c r="CX265" s="17" t="s">
        <v>218</v>
      </c>
      <c r="CY265" s="17" t="s">
        <v>218</v>
      </c>
      <c r="CZ265" s="17" t="s">
        <v>218</v>
      </c>
      <c r="DA265" s="2">
        <f t="shared" si="158"/>
        <v>44</v>
      </c>
      <c r="DB265" s="20">
        <f t="shared" si="159"/>
        <v>0</v>
      </c>
      <c r="DC265" s="1">
        <f>ROUND(PPTest!K265,1)</f>
        <v>0</v>
      </c>
      <c r="DD265" s="17" t="s">
        <v>218</v>
      </c>
      <c r="DE265" s="17" t="s">
        <v>218</v>
      </c>
      <c r="DF265" s="24">
        <f t="shared" si="160"/>
        <v>0.88</v>
      </c>
      <c r="DG265" s="24">
        <f t="shared" si="161"/>
        <v>1.1200000000000001</v>
      </c>
      <c r="DH265" s="17" t="s">
        <v>218</v>
      </c>
      <c r="DK265" s="1">
        <v>15.8</v>
      </c>
      <c r="DL265" s="1">
        <v>19.600000381469727</v>
      </c>
      <c r="DM265" s="1">
        <v>12.300000190734863</v>
      </c>
      <c r="DN265" s="20">
        <v>71</v>
      </c>
      <c r="DO265" s="1">
        <v>55</v>
      </c>
      <c r="DQ265" s="1">
        <v>17.100000000000001</v>
      </c>
      <c r="DR265" s="1">
        <v>27</v>
      </c>
      <c r="DS265" s="1">
        <v>7.2</v>
      </c>
    </row>
    <row r="266" spans="1:123" x14ac:dyDescent="0.2">
      <c r="A266" s="15">
        <f t="shared" si="162"/>
        <v>36785</v>
      </c>
      <c r="B266" s="1">
        <v>260</v>
      </c>
      <c r="E266" s="55">
        <f t="shared" si="149"/>
        <v>11.3</v>
      </c>
      <c r="P266" s="18"/>
      <c r="R266" s="55">
        <f t="shared" si="150"/>
        <v>18.399999999999999</v>
      </c>
      <c r="AD266" s="18"/>
      <c r="AF266" s="55">
        <f t="shared" si="151"/>
        <v>4.8</v>
      </c>
      <c r="BM266" s="17">
        <v>18.66</v>
      </c>
      <c r="BN266" s="17">
        <f t="shared" si="154"/>
        <v>37.693199999999997</v>
      </c>
      <c r="BO266" s="18"/>
      <c r="BP266" s="18"/>
      <c r="BT266" s="55">
        <f t="shared" si="152"/>
        <v>47</v>
      </c>
      <c r="BU266" s="60">
        <f t="shared" si="148"/>
        <v>0.99399999999999999</v>
      </c>
      <c r="BV266" s="60">
        <f t="shared" si="153"/>
        <v>1.121</v>
      </c>
      <c r="BX266" s="1">
        <v>0</v>
      </c>
      <c r="BZ266" s="1">
        <v>0</v>
      </c>
      <c r="CB266" s="17" t="s">
        <v>218</v>
      </c>
      <c r="CC266" s="17" t="s">
        <v>218</v>
      </c>
      <c r="CD266" s="3">
        <f t="shared" si="155"/>
        <v>11.3</v>
      </c>
      <c r="CE266" s="17" t="s">
        <v>218</v>
      </c>
      <c r="CF266" s="17" t="s">
        <v>218</v>
      </c>
      <c r="CG266" s="17" t="s">
        <v>218</v>
      </c>
      <c r="CH266" s="17" t="s">
        <v>218</v>
      </c>
      <c r="CI266" s="17" t="s">
        <v>218</v>
      </c>
      <c r="CJ266" s="17" t="s">
        <v>218</v>
      </c>
      <c r="CK266" s="17" t="s">
        <v>218</v>
      </c>
      <c r="CL266" s="1">
        <f t="shared" si="156"/>
        <v>18.399999999999999</v>
      </c>
      <c r="CM266" s="17" t="s">
        <v>218</v>
      </c>
      <c r="CN266" s="17" t="s">
        <v>218</v>
      </c>
      <c r="CO266" s="17" t="s">
        <v>218</v>
      </c>
      <c r="CP266" s="17" t="s">
        <v>218</v>
      </c>
      <c r="CQ266" s="17" t="s">
        <v>218</v>
      </c>
      <c r="CR266" s="17" t="s">
        <v>218</v>
      </c>
      <c r="CS266" s="17" t="s">
        <v>218</v>
      </c>
      <c r="CT266" s="1">
        <f t="shared" si="157"/>
        <v>4.8</v>
      </c>
      <c r="CU266" s="17" t="s">
        <v>218</v>
      </c>
      <c r="CV266" s="17" t="s">
        <v>218</v>
      </c>
      <c r="CW266" s="17" t="s">
        <v>218</v>
      </c>
      <c r="CX266" s="17" t="s">
        <v>218</v>
      </c>
      <c r="CY266" s="17" t="s">
        <v>218</v>
      </c>
      <c r="CZ266" s="17" t="s">
        <v>218</v>
      </c>
      <c r="DA266" s="2">
        <f t="shared" si="158"/>
        <v>47</v>
      </c>
      <c r="DB266" s="20">
        <f t="shared" si="159"/>
        <v>0</v>
      </c>
      <c r="DC266" s="1">
        <f>ROUND(PPTest!K266,1)</f>
        <v>0</v>
      </c>
      <c r="DD266" s="17" t="s">
        <v>218</v>
      </c>
      <c r="DE266" s="17" t="s">
        <v>218</v>
      </c>
      <c r="DF266" s="24">
        <f t="shared" si="160"/>
        <v>0.99399999999999999</v>
      </c>
      <c r="DG266" s="24">
        <f t="shared" si="161"/>
        <v>1.121</v>
      </c>
      <c r="DH266" s="17" t="s">
        <v>218</v>
      </c>
      <c r="DK266" s="1">
        <v>15.1</v>
      </c>
      <c r="DL266" s="1">
        <v>20.600000381469727</v>
      </c>
      <c r="DM266" s="1">
        <v>10.899999618530273</v>
      </c>
      <c r="DN266" s="20">
        <v>80.291666666666671</v>
      </c>
      <c r="DO266" s="1">
        <v>58</v>
      </c>
      <c r="DQ266" s="1">
        <v>18.600000000000001</v>
      </c>
      <c r="DR266" s="1">
        <v>28.5</v>
      </c>
      <c r="DS266" s="1">
        <v>8.6999999999999993</v>
      </c>
    </row>
    <row r="267" spans="1:123" x14ac:dyDescent="0.2">
      <c r="A267" s="15">
        <f t="shared" si="162"/>
        <v>36786</v>
      </c>
      <c r="B267" s="1">
        <v>261</v>
      </c>
      <c r="E267" s="55">
        <f t="shared" si="149"/>
        <v>10.4</v>
      </c>
      <c r="P267" s="18"/>
      <c r="R267" s="55">
        <f t="shared" si="150"/>
        <v>15.5</v>
      </c>
      <c r="AD267" s="18"/>
      <c r="AF267" s="55">
        <f t="shared" si="151"/>
        <v>4.8</v>
      </c>
      <c r="BM267" s="17">
        <v>18.399999999999999</v>
      </c>
      <c r="BN267" s="17">
        <f t="shared" si="154"/>
        <v>37.167999999999999</v>
      </c>
      <c r="BO267" s="18"/>
      <c r="BP267" s="18"/>
      <c r="BT267" s="55">
        <f t="shared" si="152"/>
        <v>55</v>
      </c>
      <c r="BU267" s="60">
        <f t="shared" si="148"/>
        <v>0.96799999999999997</v>
      </c>
      <c r="BV267" s="60">
        <f t="shared" si="153"/>
        <v>0.79200000000000004</v>
      </c>
      <c r="BX267" s="1">
        <v>0</v>
      </c>
      <c r="BZ267" s="1">
        <v>0</v>
      </c>
      <c r="CB267" s="17" t="s">
        <v>218</v>
      </c>
      <c r="CC267" s="17" t="s">
        <v>218</v>
      </c>
      <c r="CD267" s="3">
        <f t="shared" si="155"/>
        <v>10.4</v>
      </c>
      <c r="CE267" s="17" t="s">
        <v>218</v>
      </c>
      <c r="CF267" s="17" t="s">
        <v>218</v>
      </c>
      <c r="CG267" s="17" t="s">
        <v>218</v>
      </c>
      <c r="CH267" s="17" t="s">
        <v>218</v>
      </c>
      <c r="CI267" s="17" t="s">
        <v>218</v>
      </c>
      <c r="CJ267" s="17" t="s">
        <v>218</v>
      </c>
      <c r="CK267" s="17" t="s">
        <v>218</v>
      </c>
      <c r="CL267" s="1">
        <f t="shared" si="156"/>
        <v>15.5</v>
      </c>
      <c r="CM267" s="17" t="s">
        <v>218</v>
      </c>
      <c r="CN267" s="17" t="s">
        <v>218</v>
      </c>
      <c r="CO267" s="17" t="s">
        <v>218</v>
      </c>
      <c r="CP267" s="17" t="s">
        <v>218</v>
      </c>
      <c r="CQ267" s="17" t="s">
        <v>218</v>
      </c>
      <c r="CR267" s="17" t="s">
        <v>218</v>
      </c>
      <c r="CS267" s="17" t="s">
        <v>218</v>
      </c>
      <c r="CT267" s="1">
        <f t="shared" si="157"/>
        <v>4.8</v>
      </c>
      <c r="CU267" s="17" t="s">
        <v>218</v>
      </c>
      <c r="CV267" s="17" t="s">
        <v>218</v>
      </c>
      <c r="CW267" s="17" t="s">
        <v>218</v>
      </c>
      <c r="CX267" s="17" t="s">
        <v>218</v>
      </c>
      <c r="CY267" s="17" t="s">
        <v>218</v>
      </c>
      <c r="CZ267" s="17" t="s">
        <v>218</v>
      </c>
      <c r="DA267" s="2">
        <f t="shared" si="158"/>
        <v>55</v>
      </c>
      <c r="DB267" s="20">
        <f t="shared" si="159"/>
        <v>0</v>
      </c>
      <c r="DC267" s="1">
        <f>ROUND(PPTest!K267,1)</f>
        <v>0</v>
      </c>
      <c r="DD267" s="17" t="s">
        <v>218</v>
      </c>
      <c r="DE267" s="17" t="s">
        <v>218</v>
      </c>
      <c r="DF267" s="24">
        <f t="shared" si="160"/>
        <v>0.96799999999999997</v>
      </c>
      <c r="DG267" s="24">
        <f t="shared" si="161"/>
        <v>0.79200000000000004</v>
      </c>
      <c r="DH267" s="17" t="s">
        <v>218</v>
      </c>
      <c r="DK267" s="1">
        <v>14</v>
      </c>
      <c r="DL267" s="1">
        <v>17.399999618530273</v>
      </c>
      <c r="DM267" s="1">
        <v>10.800000190734863</v>
      </c>
      <c r="DN267" s="20">
        <v>79.708333333333329</v>
      </c>
      <c r="DO267" s="1">
        <v>68</v>
      </c>
      <c r="DQ267" s="1">
        <v>17.399999999999999</v>
      </c>
      <c r="DR267" s="1">
        <v>25.3</v>
      </c>
      <c r="DS267" s="1">
        <v>9.4</v>
      </c>
    </row>
    <row r="268" spans="1:123" x14ac:dyDescent="0.2">
      <c r="A268" s="15">
        <f t="shared" si="162"/>
        <v>36787</v>
      </c>
      <c r="B268" s="1">
        <v>262</v>
      </c>
      <c r="E268" s="55">
        <f t="shared" si="149"/>
        <v>6.8</v>
      </c>
      <c r="P268" s="18"/>
      <c r="R268" s="55">
        <f t="shared" si="150"/>
        <v>11.5</v>
      </c>
      <c r="AD268" s="18"/>
      <c r="AF268" s="55">
        <f t="shared" si="151"/>
        <v>2.1</v>
      </c>
      <c r="BA268" s="1">
        <v>3491</v>
      </c>
      <c r="BB268" s="1">
        <v>12.92</v>
      </c>
      <c r="BC268" s="1">
        <v>2876</v>
      </c>
      <c r="BD268" s="1">
        <v>3493</v>
      </c>
      <c r="BE268" s="1">
        <v>3491</v>
      </c>
      <c r="BM268" s="17">
        <v>18.149999999999999</v>
      </c>
      <c r="BN268" s="17">
        <f t="shared" si="154"/>
        <v>36.662999999999997</v>
      </c>
      <c r="BO268" s="18"/>
      <c r="BP268" s="18"/>
      <c r="BT268" s="55">
        <f t="shared" si="152"/>
        <v>63</v>
      </c>
      <c r="BU268" s="60">
        <f t="shared" si="148"/>
        <v>0.85499999999999998</v>
      </c>
      <c r="BV268" s="60">
        <f t="shared" si="153"/>
        <v>0.502</v>
      </c>
      <c r="BX268" s="1">
        <v>7.9</v>
      </c>
      <c r="BZ268" s="1">
        <v>0.9</v>
      </c>
      <c r="CB268" s="17" t="s">
        <v>218</v>
      </c>
      <c r="CC268" s="17" t="s">
        <v>218</v>
      </c>
      <c r="CD268" s="3">
        <f t="shared" si="155"/>
        <v>6.8</v>
      </c>
      <c r="CE268" s="17" t="s">
        <v>218</v>
      </c>
      <c r="CF268" s="17" t="s">
        <v>218</v>
      </c>
      <c r="CG268" s="17" t="s">
        <v>218</v>
      </c>
      <c r="CH268" s="17" t="s">
        <v>218</v>
      </c>
      <c r="CI268" s="17" t="s">
        <v>218</v>
      </c>
      <c r="CJ268" s="17" t="s">
        <v>218</v>
      </c>
      <c r="CK268" s="17" t="s">
        <v>218</v>
      </c>
      <c r="CL268" s="1">
        <f t="shared" si="156"/>
        <v>11.5</v>
      </c>
      <c r="CM268" s="17" t="s">
        <v>218</v>
      </c>
      <c r="CN268" s="17" t="s">
        <v>218</v>
      </c>
      <c r="CO268" s="17" t="s">
        <v>218</v>
      </c>
      <c r="CP268" s="17" t="s">
        <v>218</v>
      </c>
      <c r="CQ268" s="17" t="s">
        <v>218</v>
      </c>
      <c r="CR268" s="17" t="s">
        <v>218</v>
      </c>
      <c r="CS268" s="17" t="s">
        <v>218</v>
      </c>
      <c r="CT268" s="1">
        <f t="shared" si="157"/>
        <v>2.1</v>
      </c>
      <c r="CU268" s="17" t="s">
        <v>218</v>
      </c>
      <c r="CV268" s="17" t="s">
        <v>218</v>
      </c>
      <c r="CW268" s="17" t="s">
        <v>218</v>
      </c>
      <c r="CX268" s="17" t="s">
        <v>218</v>
      </c>
      <c r="CY268" s="17" t="s">
        <v>218</v>
      </c>
      <c r="CZ268" s="17" t="s">
        <v>218</v>
      </c>
      <c r="DA268" s="2">
        <f t="shared" si="158"/>
        <v>63</v>
      </c>
      <c r="DB268" s="20">
        <f t="shared" si="159"/>
        <v>0</v>
      </c>
      <c r="DC268" s="1">
        <f>ROUND(PPTest!K268,1)</f>
        <v>8.3000000000000007</v>
      </c>
      <c r="DD268" s="17" t="s">
        <v>218</v>
      </c>
      <c r="DE268" s="17" t="s">
        <v>218</v>
      </c>
      <c r="DF268" s="24">
        <f t="shared" si="160"/>
        <v>0.85499999999999998</v>
      </c>
      <c r="DG268" s="24">
        <f t="shared" si="161"/>
        <v>0.502</v>
      </c>
      <c r="DH268" s="17">
        <f t="shared" ref="DH268:DH327" si="163">BB268</f>
        <v>12.92</v>
      </c>
      <c r="DK268" s="1">
        <v>9.6</v>
      </c>
      <c r="DL268" s="1">
        <v>13.100000381469727</v>
      </c>
      <c r="DM268" s="1">
        <v>6.5</v>
      </c>
      <c r="DN268" s="20">
        <v>94.583333333333329</v>
      </c>
      <c r="DO268" s="1">
        <v>77</v>
      </c>
      <c r="DQ268" s="1">
        <v>15.4</v>
      </c>
      <c r="DR268" s="1">
        <v>22.6</v>
      </c>
      <c r="DS268" s="1">
        <v>8.1999999999999993</v>
      </c>
    </row>
    <row r="269" spans="1:123" x14ac:dyDescent="0.2">
      <c r="A269" s="15">
        <f t="shared" si="162"/>
        <v>36788</v>
      </c>
      <c r="B269" s="1">
        <v>263</v>
      </c>
      <c r="C269" s="1">
        <v>17</v>
      </c>
      <c r="D269" s="1">
        <v>30.4</v>
      </c>
      <c r="E269" s="1">
        <v>5.4020000000000001</v>
      </c>
      <c r="F269" s="1">
        <v>94.3</v>
      </c>
      <c r="G269" s="1">
        <v>5.5330000000000004</v>
      </c>
      <c r="H269" s="1">
        <v>5.5110000000000001</v>
      </c>
      <c r="I269" s="1">
        <v>6.6289999999999996</v>
      </c>
      <c r="L269" s="1">
        <v>8.3699999999999992</v>
      </c>
      <c r="M269" s="1">
        <v>8.35</v>
      </c>
      <c r="N269" s="1">
        <v>7.99</v>
      </c>
      <c r="R269" s="1">
        <v>10.88</v>
      </c>
      <c r="S269" s="1">
        <v>1509</v>
      </c>
      <c r="T269" s="1">
        <v>110.2</v>
      </c>
      <c r="U269" s="1">
        <v>653</v>
      </c>
      <c r="V269" s="1">
        <v>14.69</v>
      </c>
      <c r="W269" s="1">
        <v>15.29</v>
      </c>
      <c r="X269" s="1">
        <v>14.02</v>
      </c>
      <c r="AA269" s="1">
        <v>11.55</v>
      </c>
      <c r="AB269" s="1">
        <v>8.84</v>
      </c>
      <c r="AC269" s="1">
        <v>8.3699999999999992</v>
      </c>
      <c r="AD269" s="1">
        <v>4.7960000000000003</v>
      </c>
      <c r="AE269" s="1">
        <v>1241</v>
      </c>
      <c r="AF269" s="1">
        <v>-0.186</v>
      </c>
      <c r="AG269" s="1">
        <v>53</v>
      </c>
      <c r="AH269" s="1">
        <v>58.03</v>
      </c>
      <c r="AI269" s="1">
        <v>1325</v>
      </c>
      <c r="AJ269" s="1">
        <v>-0.83399999999999996</v>
      </c>
      <c r="AK269" s="1">
        <v>-1.2989999999999999</v>
      </c>
      <c r="AL269" s="1">
        <v>1.28</v>
      </c>
      <c r="AO269" s="1">
        <v>6.3970000000000002</v>
      </c>
      <c r="AP269" s="1">
        <v>7.88</v>
      </c>
      <c r="AQ269" s="1">
        <v>7.69</v>
      </c>
      <c r="AZ269" s="1">
        <v>6.2220000000000004</v>
      </c>
      <c r="BA269" s="1">
        <v>3482</v>
      </c>
      <c r="BB269" s="1">
        <v>12.91</v>
      </c>
      <c r="BC269" s="1">
        <v>2876</v>
      </c>
      <c r="BD269" s="1">
        <v>3486</v>
      </c>
      <c r="BE269" s="1">
        <v>3474</v>
      </c>
      <c r="BG269" s="1">
        <v>6.33</v>
      </c>
      <c r="BH269" s="1">
        <v>15.84</v>
      </c>
      <c r="BI269" s="1">
        <v>15.59</v>
      </c>
      <c r="BJ269" s="1">
        <v>-0.83099999999999996</v>
      </c>
      <c r="BK269" s="1">
        <v>-1.0860000000000001</v>
      </c>
      <c r="BM269" s="17">
        <v>17.89</v>
      </c>
      <c r="BN269" s="17">
        <f t="shared" si="154"/>
        <v>36.137799999999999</v>
      </c>
      <c r="BO269" s="18">
        <f t="shared" ref="BO269:BO300" si="164">ROUND(C269*BO$2,2)</f>
        <v>16.66</v>
      </c>
      <c r="BP269" s="18">
        <f t="shared" ref="BP269:BP300" si="165">ROUND(D269*BP$2,2)</f>
        <v>33.44</v>
      </c>
      <c r="BR269" s="1">
        <f t="shared" ref="BR269:BR300" si="166">ROUND(IF(T269&gt;BR$2,100,IF(T269&gt;BR$3,BS$1*T269+BS$2, T269*BS$3+BS$4)),1)</f>
        <v>100</v>
      </c>
      <c r="BS269" s="1">
        <f t="shared" ref="BS269:BS300" si="167">ROUND(IF(F269&gt;BR$2,100, IF(F269&gt;BR$3,BS$1*F269+BS$2, F269*BS$3+BS$4)),1)</f>
        <v>77</v>
      </c>
      <c r="BT269" s="1">
        <f t="shared" ref="BT269:BT300" si="168">ROUND(IF(AH269&gt;BR$2,100,IF(AH269&gt;BR$3,BS$1*AH269+BS$2, AH269*BS$3+BS$4)),1)</f>
        <v>45.1</v>
      </c>
      <c r="BU269" s="60">
        <f t="shared" si="148"/>
        <v>0.58699999999999997</v>
      </c>
      <c r="BV269" s="60">
        <f t="shared" si="153"/>
        <v>0.71499999999999997</v>
      </c>
      <c r="BX269" s="1">
        <v>0</v>
      </c>
      <c r="BZ269" s="1">
        <v>0</v>
      </c>
      <c r="CB269" s="17">
        <f t="shared" ref="CB269:CB327" si="169">BO269</f>
        <v>16.66</v>
      </c>
      <c r="CC269" s="17">
        <f t="shared" ref="CC269:CC327" si="170">BP269</f>
        <v>33.44</v>
      </c>
      <c r="CD269" s="3">
        <f t="shared" si="155"/>
        <v>5.4</v>
      </c>
      <c r="CE269" s="3">
        <f t="shared" ref="CE269:CE327" si="171">ROUND(G269,1)</f>
        <v>5.5</v>
      </c>
      <c r="CF269" s="3">
        <f t="shared" ref="CF269:CF327" si="172">ROUND(H269,1)</f>
        <v>5.5</v>
      </c>
      <c r="CG269" s="3">
        <f t="shared" ref="CG269:CG327" si="173">ROUND(I269,1)</f>
        <v>6.6</v>
      </c>
      <c r="CH269" s="3">
        <f t="shared" ref="CH269:CH327" si="174">ROUND(L269,1)</f>
        <v>8.4</v>
      </c>
      <c r="CI269" s="3">
        <f t="shared" ref="CI269:CI327" si="175">ROUND(M269,1)</f>
        <v>8.4</v>
      </c>
      <c r="CJ269" s="3">
        <f t="shared" ref="CJ269:CJ327" si="176">ROUND(N269,1)</f>
        <v>8</v>
      </c>
      <c r="CK269" s="27">
        <f t="shared" ref="CK269:CK327" si="177">ROUND(BS269,1)</f>
        <v>77</v>
      </c>
      <c r="CL269" s="1">
        <f t="shared" si="156"/>
        <v>10.9</v>
      </c>
      <c r="CM269" s="1">
        <f t="shared" ref="CM269:CM327" si="178">ROUND(V269,1)</f>
        <v>14.7</v>
      </c>
      <c r="CN269" s="1">
        <f t="shared" ref="CN269:CN327" si="179">ROUND(W269,1)</f>
        <v>15.3</v>
      </c>
      <c r="CO269" s="1">
        <f t="shared" ref="CO269:CO327" si="180">ROUND(X269,1)</f>
        <v>14</v>
      </c>
      <c r="CP269" s="1">
        <f t="shared" ref="CP269:CP327" si="181">ROUND(AA269,1)</f>
        <v>11.6</v>
      </c>
      <c r="CQ269" s="1">
        <f t="shared" ref="CQ269:CQ327" si="182">ROUND(AB269,1)</f>
        <v>8.8000000000000007</v>
      </c>
      <c r="CR269" s="1">
        <f t="shared" ref="CR269:CR327" si="183">ROUND(AC269,1)</f>
        <v>8.4</v>
      </c>
      <c r="CS269" s="2">
        <f t="shared" ref="CS269:CS327" si="184">ROUND(BR269,1)</f>
        <v>100</v>
      </c>
      <c r="CT269" s="1">
        <f t="shared" si="157"/>
        <v>-0.2</v>
      </c>
      <c r="CU269" s="1">
        <f t="shared" ref="CU269:CU327" si="185">ROUND(AJ269,1)</f>
        <v>-0.8</v>
      </c>
      <c r="CV269" s="1">
        <f t="shared" ref="CV269:CV327" si="186">ROUND(AK269,1)</f>
        <v>-1.3</v>
      </c>
      <c r="CW269" s="1">
        <f t="shared" ref="CW269:CW327" si="187">ROUND(AL269,1)</f>
        <v>1.3</v>
      </c>
      <c r="CX269" s="1">
        <f t="shared" ref="CX269:CX327" si="188">ROUND(AO269,1)</f>
        <v>6.4</v>
      </c>
      <c r="CY269" s="1">
        <f t="shared" ref="CY269:CY327" si="189">ROUND(AP269,1)</f>
        <v>7.9</v>
      </c>
      <c r="CZ269" s="1">
        <f t="shared" ref="CZ269:CZ327" si="190">ROUND(AQ269,1)</f>
        <v>7.7</v>
      </c>
      <c r="DA269" s="2">
        <f t="shared" si="158"/>
        <v>45.1</v>
      </c>
      <c r="DB269" s="20">
        <f t="shared" si="159"/>
        <v>0</v>
      </c>
      <c r="DC269" s="1">
        <f>ROUND(PPTest!K269,1)</f>
        <v>0</v>
      </c>
      <c r="DD269" s="17" t="s">
        <v>218</v>
      </c>
      <c r="DE269" s="3">
        <f t="shared" ref="DE269:DE327" si="191">ROUND(AD269,2)</f>
        <v>4.8</v>
      </c>
      <c r="DF269" s="24">
        <f t="shared" si="160"/>
        <v>0.58699999999999997</v>
      </c>
      <c r="DG269" s="24">
        <f t="shared" si="161"/>
        <v>0.71499999999999997</v>
      </c>
      <c r="DH269" s="17">
        <f t="shared" si="163"/>
        <v>12.91</v>
      </c>
      <c r="DK269" s="1">
        <v>9.3000000000000007</v>
      </c>
      <c r="DL269" s="1">
        <v>13.699999809265137</v>
      </c>
      <c r="DM269" s="1">
        <v>6.9000000953674316</v>
      </c>
      <c r="DN269" s="20">
        <v>75.708333333333329</v>
      </c>
      <c r="DO269" s="1">
        <v>52</v>
      </c>
      <c r="DQ269" s="1">
        <v>15.8</v>
      </c>
      <c r="DR269" s="1">
        <v>24.5</v>
      </c>
      <c r="DS269" s="1">
        <v>7</v>
      </c>
    </row>
    <row r="270" spans="1:123" x14ac:dyDescent="0.2">
      <c r="A270" s="15">
        <f t="shared" si="162"/>
        <v>36789</v>
      </c>
      <c r="B270" s="1">
        <v>264</v>
      </c>
      <c r="C270" s="1">
        <v>4.5369999999999999</v>
      </c>
      <c r="D270" s="1">
        <v>8.6</v>
      </c>
      <c r="E270" s="1">
        <v>3.9350000000000001</v>
      </c>
      <c r="F270" s="1">
        <v>104.5</v>
      </c>
      <c r="G270" s="1">
        <v>3.8319999999999999</v>
      </c>
      <c r="H270" s="1">
        <v>3.7749999999999999</v>
      </c>
      <c r="I270" s="1">
        <v>5.4109999999999996</v>
      </c>
      <c r="L270" s="1">
        <v>7.15</v>
      </c>
      <c r="M270" s="1">
        <v>8.11</v>
      </c>
      <c r="N270" s="1">
        <v>8.07</v>
      </c>
      <c r="R270" s="1">
        <v>6.7679999999999998</v>
      </c>
      <c r="S270" s="1">
        <v>1453</v>
      </c>
      <c r="T270" s="1">
        <v>109.1</v>
      </c>
      <c r="U270" s="1">
        <v>2111</v>
      </c>
      <c r="V270" s="1">
        <v>7.86</v>
      </c>
      <c r="W270" s="1">
        <v>8.24</v>
      </c>
      <c r="X270" s="1">
        <v>9.35</v>
      </c>
      <c r="AA270" s="1">
        <v>8.1999999999999993</v>
      </c>
      <c r="AB270" s="1">
        <v>8.49</v>
      </c>
      <c r="AC270" s="1">
        <v>8.2799999999999994</v>
      </c>
      <c r="AD270" s="1">
        <v>4.7690000000000001</v>
      </c>
      <c r="AE270" s="1">
        <v>1925</v>
      </c>
      <c r="AF270" s="1">
        <v>1.522</v>
      </c>
      <c r="AG270" s="1">
        <v>536</v>
      </c>
      <c r="AH270" s="1">
        <v>90</v>
      </c>
      <c r="AI270" s="1">
        <v>848</v>
      </c>
      <c r="AJ270" s="1">
        <v>0.88200000000000001</v>
      </c>
      <c r="AK270" s="1">
        <v>0.626</v>
      </c>
      <c r="AL270" s="1">
        <v>2.42</v>
      </c>
      <c r="AO270" s="1">
        <v>6.2859999999999996</v>
      </c>
      <c r="AP270" s="1">
        <v>7.75</v>
      </c>
      <c r="AQ270" s="1">
        <v>7.87</v>
      </c>
      <c r="AZ270" s="1">
        <v>3.98</v>
      </c>
      <c r="BA270" s="1">
        <v>3487</v>
      </c>
      <c r="BB270" s="1">
        <v>12.9</v>
      </c>
      <c r="BC270" s="1">
        <v>2876</v>
      </c>
      <c r="BD270" s="1">
        <v>3487</v>
      </c>
      <c r="BE270" s="1">
        <v>3484</v>
      </c>
      <c r="BG270" s="1">
        <v>4.0640000000000001</v>
      </c>
      <c r="BH270" s="1">
        <v>7.81</v>
      </c>
      <c r="BI270" s="1">
        <v>7.87</v>
      </c>
      <c r="BJ270" s="1">
        <v>0.96499999999999997</v>
      </c>
      <c r="BK270" s="1">
        <v>0.79900000000000004</v>
      </c>
      <c r="BM270" s="17">
        <v>17.64</v>
      </c>
      <c r="BN270" s="17">
        <f t="shared" si="154"/>
        <v>35.632800000000003</v>
      </c>
      <c r="BO270" s="18">
        <f t="shared" si="164"/>
        <v>4.45</v>
      </c>
      <c r="BP270" s="18">
        <f t="shared" si="165"/>
        <v>9.4600000000000009</v>
      </c>
      <c r="BR270" s="1">
        <f t="shared" si="166"/>
        <v>97.8</v>
      </c>
      <c r="BS270" s="1">
        <f t="shared" si="167"/>
        <v>90.5</v>
      </c>
      <c r="BT270" s="1">
        <f t="shared" si="168"/>
        <v>73.2</v>
      </c>
      <c r="BU270" s="60">
        <f t="shared" si="148"/>
        <v>0.72099999999999997</v>
      </c>
      <c r="BV270" s="60">
        <f t="shared" si="153"/>
        <v>0.26400000000000001</v>
      </c>
      <c r="BX270" s="1">
        <v>7.6</v>
      </c>
      <c r="BZ270" s="1">
        <v>10</v>
      </c>
      <c r="CB270" s="17">
        <f t="shared" si="169"/>
        <v>4.45</v>
      </c>
      <c r="CC270" s="17">
        <f t="shared" si="170"/>
        <v>9.4600000000000009</v>
      </c>
      <c r="CD270" s="3">
        <f t="shared" si="155"/>
        <v>3.9</v>
      </c>
      <c r="CE270" s="3">
        <f t="shared" si="171"/>
        <v>3.8</v>
      </c>
      <c r="CF270" s="3">
        <f t="shared" si="172"/>
        <v>3.8</v>
      </c>
      <c r="CG270" s="3">
        <f t="shared" si="173"/>
        <v>5.4</v>
      </c>
      <c r="CH270" s="3">
        <f t="shared" si="174"/>
        <v>7.2</v>
      </c>
      <c r="CI270" s="3">
        <f t="shared" si="175"/>
        <v>8.1</v>
      </c>
      <c r="CJ270" s="3">
        <f t="shared" si="176"/>
        <v>8.1</v>
      </c>
      <c r="CK270" s="27">
        <f t="shared" si="177"/>
        <v>90.5</v>
      </c>
      <c r="CL270" s="1">
        <f t="shared" si="156"/>
        <v>6.8</v>
      </c>
      <c r="CM270" s="1">
        <f t="shared" si="178"/>
        <v>7.9</v>
      </c>
      <c r="CN270" s="1">
        <f t="shared" si="179"/>
        <v>8.1999999999999993</v>
      </c>
      <c r="CO270" s="1">
        <f t="shared" si="180"/>
        <v>9.4</v>
      </c>
      <c r="CP270" s="1">
        <f t="shared" si="181"/>
        <v>8.1999999999999993</v>
      </c>
      <c r="CQ270" s="1">
        <f t="shared" si="182"/>
        <v>8.5</v>
      </c>
      <c r="CR270" s="1">
        <f t="shared" si="183"/>
        <v>8.3000000000000007</v>
      </c>
      <c r="CS270" s="2">
        <f t="shared" si="184"/>
        <v>97.8</v>
      </c>
      <c r="CT270" s="1">
        <f t="shared" si="157"/>
        <v>1.5</v>
      </c>
      <c r="CU270" s="1">
        <f t="shared" si="185"/>
        <v>0.9</v>
      </c>
      <c r="CV270" s="1">
        <f t="shared" si="186"/>
        <v>0.6</v>
      </c>
      <c r="CW270" s="1">
        <f t="shared" si="187"/>
        <v>2.4</v>
      </c>
      <c r="CX270" s="1">
        <f t="shared" si="188"/>
        <v>6.3</v>
      </c>
      <c r="CY270" s="1">
        <f t="shared" si="189"/>
        <v>7.8</v>
      </c>
      <c r="CZ270" s="1">
        <f t="shared" si="190"/>
        <v>7.9</v>
      </c>
      <c r="DA270" s="2">
        <f t="shared" si="158"/>
        <v>73.2</v>
      </c>
      <c r="DB270" s="20">
        <f t="shared" si="159"/>
        <v>0</v>
      </c>
      <c r="DC270" s="1">
        <f>ROUND(PPTest!K270,1)</f>
        <v>8</v>
      </c>
      <c r="DD270" s="17" t="s">
        <v>218</v>
      </c>
      <c r="DE270" s="3">
        <f t="shared" si="191"/>
        <v>4.7699999999999996</v>
      </c>
      <c r="DF270" s="24">
        <f t="shared" si="160"/>
        <v>0.72099999999999997</v>
      </c>
      <c r="DG270" s="24">
        <f t="shared" si="161"/>
        <v>0.26400000000000001</v>
      </c>
      <c r="DH270" s="17">
        <f t="shared" si="163"/>
        <v>12.9</v>
      </c>
      <c r="DK270" s="1">
        <v>6.9</v>
      </c>
      <c r="DL270" s="1">
        <v>8.8999996185302734</v>
      </c>
      <c r="DM270" s="1">
        <v>4.6999998092651367</v>
      </c>
      <c r="DN270" s="20">
        <v>86.791666666666671</v>
      </c>
      <c r="DO270" s="1">
        <v>67</v>
      </c>
      <c r="DQ270" s="1">
        <v>10.9</v>
      </c>
      <c r="DR270" s="1">
        <v>14.9</v>
      </c>
      <c r="DS270" s="1">
        <v>6.8</v>
      </c>
    </row>
    <row r="271" spans="1:123" x14ac:dyDescent="0.2">
      <c r="A271" s="15">
        <f t="shared" si="162"/>
        <v>36790</v>
      </c>
      <c r="B271" s="1">
        <v>265</v>
      </c>
      <c r="C271" s="1">
        <v>14.5</v>
      </c>
      <c r="D271" s="1">
        <v>25.26</v>
      </c>
      <c r="E271" s="1">
        <v>1.4530000000000001</v>
      </c>
      <c r="F271" s="1">
        <v>81</v>
      </c>
      <c r="G271" s="1">
        <v>1.353</v>
      </c>
      <c r="H271" s="1">
        <v>1.19</v>
      </c>
      <c r="I271" s="1">
        <v>2.59</v>
      </c>
      <c r="L271" s="1">
        <v>6.5010000000000003</v>
      </c>
      <c r="M271" s="1">
        <v>7.43</v>
      </c>
      <c r="N271" s="1">
        <v>7.93</v>
      </c>
      <c r="R271" s="1">
        <v>6.07</v>
      </c>
      <c r="S271" s="1">
        <v>1433</v>
      </c>
      <c r="T271" s="1">
        <v>108.9</v>
      </c>
      <c r="U271" s="1">
        <v>115</v>
      </c>
      <c r="V271" s="1">
        <v>8.69</v>
      </c>
      <c r="W271" s="1">
        <v>11.11</v>
      </c>
      <c r="X271" s="1">
        <v>8.9</v>
      </c>
      <c r="AA271" s="1">
        <v>8.86</v>
      </c>
      <c r="AB271" s="1">
        <v>7.81</v>
      </c>
      <c r="AC271" s="1">
        <v>8.35</v>
      </c>
      <c r="AD271" s="1">
        <v>5.3949999999999996</v>
      </c>
      <c r="AE271" s="1">
        <v>1108</v>
      </c>
      <c r="AF271" s="1">
        <v>-2.35</v>
      </c>
      <c r="AG271" s="1">
        <v>1904</v>
      </c>
      <c r="AH271" s="1">
        <v>45.37</v>
      </c>
      <c r="AI271" s="1">
        <v>1413</v>
      </c>
      <c r="AJ271" s="1">
        <v>-3.694</v>
      </c>
      <c r="AK271" s="1">
        <v>-4.5739999999999998</v>
      </c>
      <c r="AL271" s="1">
        <v>-3.052</v>
      </c>
      <c r="AO271" s="1">
        <v>4.6399999999999997</v>
      </c>
      <c r="AP271" s="1">
        <v>6.9779999999999998</v>
      </c>
      <c r="AQ271" s="1">
        <v>7.51</v>
      </c>
      <c r="AZ271" s="1">
        <v>1.5449999999999999</v>
      </c>
      <c r="BA271" s="1">
        <v>3334</v>
      </c>
      <c r="BB271" s="1">
        <v>12.89</v>
      </c>
      <c r="BC271" s="1">
        <v>2876</v>
      </c>
      <c r="BD271" s="1">
        <v>3486</v>
      </c>
      <c r="BE271" s="1">
        <v>3165</v>
      </c>
      <c r="BG271" s="1">
        <v>1.806</v>
      </c>
      <c r="BH271" s="1">
        <v>8.17</v>
      </c>
      <c r="BI271" s="1">
        <v>8.4</v>
      </c>
      <c r="BJ271" s="1">
        <v>-4.5010000000000003</v>
      </c>
      <c r="BK271" s="1">
        <v>-4.9989999999999997</v>
      </c>
      <c r="BM271" s="17">
        <v>17.38</v>
      </c>
      <c r="BN271" s="17">
        <f t="shared" si="154"/>
        <v>35.107599999999998</v>
      </c>
      <c r="BO271" s="18">
        <f t="shared" si="164"/>
        <v>14.21</v>
      </c>
      <c r="BP271" s="18">
        <f t="shared" si="165"/>
        <v>27.79</v>
      </c>
      <c r="BR271" s="1">
        <f t="shared" si="166"/>
        <v>97.5</v>
      </c>
      <c r="BS271" s="1">
        <f t="shared" si="167"/>
        <v>65.3</v>
      </c>
      <c r="BT271" s="1">
        <f t="shared" si="168"/>
        <v>33.9</v>
      </c>
      <c r="BU271" s="60">
        <f t="shared" si="148"/>
        <v>0.318</v>
      </c>
      <c r="BV271" s="60">
        <f t="shared" si="153"/>
        <v>0.62</v>
      </c>
      <c r="BX271" s="1">
        <v>0</v>
      </c>
      <c r="BZ271" s="1">
        <v>0.6000000000000002</v>
      </c>
      <c r="CB271" s="17">
        <f t="shared" si="169"/>
        <v>14.21</v>
      </c>
      <c r="CC271" s="17">
        <f t="shared" si="170"/>
        <v>27.79</v>
      </c>
      <c r="CD271" s="3">
        <f t="shared" si="155"/>
        <v>1.5</v>
      </c>
      <c r="CE271" s="3">
        <f t="shared" si="171"/>
        <v>1.4</v>
      </c>
      <c r="CF271" s="3">
        <f t="shared" si="172"/>
        <v>1.2</v>
      </c>
      <c r="CG271" s="3">
        <f t="shared" si="173"/>
        <v>2.6</v>
      </c>
      <c r="CH271" s="3">
        <f t="shared" si="174"/>
        <v>6.5</v>
      </c>
      <c r="CI271" s="3">
        <f t="shared" si="175"/>
        <v>7.4</v>
      </c>
      <c r="CJ271" s="3">
        <f t="shared" si="176"/>
        <v>7.9</v>
      </c>
      <c r="CK271" s="27">
        <f t="shared" si="177"/>
        <v>65.3</v>
      </c>
      <c r="CL271" s="1">
        <f t="shared" si="156"/>
        <v>6.1</v>
      </c>
      <c r="CM271" s="1">
        <f t="shared" si="178"/>
        <v>8.6999999999999993</v>
      </c>
      <c r="CN271" s="1">
        <f t="shared" si="179"/>
        <v>11.1</v>
      </c>
      <c r="CO271" s="1">
        <f t="shared" si="180"/>
        <v>8.9</v>
      </c>
      <c r="CP271" s="1">
        <f t="shared" si="181"/>
        <v>8.9</v>
      </c>
      <c r="CQ271" s="1">
        <f t="shared" si="182"/>
        <v>7.8</v>
      </c>
      <c r="CR271" s="1">
        <f t="shared" si="183"/>
        <v>8.4</v>
      </c>
      <c r="CS271" s="2">
        <f t="shared" si="184"/>
        <v>97.5</v>
      </c>
      <c r="CT271" s="1">
        <f t="shared" si="157"/>
        <v>-2.4</v>
      </c>
      <c r="CU271" s="1">
        <f t="shared" si="185"/>
        <v>-3.7</v>
      </c>
      <c r="CV271" s="1">
        <f t="shared" si="186"/>
        <v>-4.5999999999999996</v>
      </c>
      <c r="CW271" s="1">
        <f t="shared" si="187"/>
        <v>-3.1</v>
      </c>
      <c r="CX271" s="1">
        <f t="shared" si="188"/>
        <v>4.5999999999999996</v>
      </c>
      <c r="CY271" s="1">
        <f t="shared" si="189"/>
        <v>7</v>
      </c>
      <c r="CZ271" s="1">
        <f t="shared" si="190"/>
        <v>7.5</v>
      </c>
      <c r="DA271" s="2">
        <f t="shared" si="158"/>
        <v>33.9</v>
      </c>
      <c r="DB271" s="20">
        <f t="shared" si="159"/>
        <v>0</v>
      </c>
      <c r="DC271" s="1">
        <f>ROUND(PPTest!K271,1)</f>
        <v>0</v>
      </c>
      <c r="DD271" s="17" t="s">
        <v>218</v>
      </c>
      <c r="DE271" s="3">
        <f t="shared" si="191"/>
        <v>5.4</v>
      </c>
      <c r="DF271" s="24">
        <f t="shared" si="160"/>
        <v>0.318</v>
      </c>
      <c r="DG271" s="24">
        <f t="shared" si="161"/>
        <v>0.62</v>
      </c>
      <c r="DH271" s="17">
        <f t="shared" si="163"/>
        <v>12.89</v>
      </c>
      <c r="DK271" s="1">
        <v>4.4000000000000004</v>
      </c>
      <c r="DL271" s="1">
        <v>8.1999998092651367</v>
      </c>
      <c r="DM271" s="1">
        <v>0.20000000298023224</v>
      </c>
      <c r="DN271" s="20">
        <v>61.875</v>
      </c>
      <c r="DO271" s="1">
        <v>41</v>
      </c>
      <c r="DQ271" s="1">
        <v>8.9</v>
      </c>
      <c r="DR271" s="1">
        <v>18.100000000000001</v>
      </c>
      <c r="DS271" s="1">
        <v>-0.3</v>
      </c>
    </row>
    <row r="272" spans="1:123" x14ac:dyDescent="0.2">
      <c r="A272" s="15">
        <f t="shared" si="162"/>
        <v>36791</v>
      </c>
      <c r="B272" s="1">
        <v>266</v>
      </c>
      <c r="C272" s="1">
        <v>18.649999999999999</v>
      </c>
      <c r="D272" s="1">
        <v>31.97</v>
      </c>
      <c r="E272" s="1">
        <v>-0.64300000000000002</v>
      </c>
      <c r="F272" s="1">
        <v>64.37</v>
      </c>
      <c r="G272" s="1">
        <v>-0.83899999999999997</v>
      </c>
      <c r="H272" s="1">
        <v>-1.0589999999999999</v>
      </c>
      <c r="I272" s="1">
        <v>-4.8000000000000001E-2</v>
      </c>
      <c r="L272" s="1">
        <v>4.851</v>
      </c>
      <c r="M272" s="1">
        <v>6.69</v>
      </c>
      <c r="N272" s="1">
        <v>7.75</v>
      </c>
      <c r="R272" s="1">
        <v>5.6109999999999998</v>
      </c>
      <c r="S272" s="1">
        <v>1614</v>
      </c>
      <c r="T272" s="1">
        <v>101.1</v>
      </c>
      <c r="U272" s="1">
        <v>2354</v>
      </c>
      <c r="V272" s="1">
        <v>8.75</v>
      </c>
      <c r="W272" s="1">
        <v>12.29</v>
      </c>
      <c r="X272" s="1">
        <v>8.9600000000000009</v>
      </c>
      <c r="AA272" s="1">
        <v>8.11</v>
      </c>
      <c r="AB272" s="1">
        <v>7.29</v>
      </c>
      <c r="AC272" s="1">
        <v>8.2100000000000009</v>
      </c>
      <c r="AD272" s="1">
        <v>4.5970000000000004</v>
      </c>
      <c r="AE272" s="1">
        <v>1042</v>
      </c>
      <c r="AF272" s="1">
        <v>-6.0490000000000004</v>
      </c>
      <c r="AG272" s="1">
        <v>620</v>
      </c>
      <c r="AH272" s="1">
        <v>34.75</v>
      </c>
      <c r="AI272" s="1">
        <v>945</v>
      </c>
      <c r="AJ272" s="1">
        <v>-7.28</v>
      </c>
      <c r="AK272" s="1">
        <v>-8.0500000000000007</v>
      </c>
      <c r="AL272" s="1">
        <v>-5.4169999999999998</v>
      </c>
      <c r="AO272" s="1">
        <v>3.363</v>
      </c>
      <c r="AP272" s="1">
        <v>6.0270000000000001</v>
      </c>
      <c r="AQ272" s="1">
        <v>7.25</v>
      </c>
      <c r="AZ272" s="1">
        <v>-0.97299999999999998</v>
      </c>
      <c r="BA272" s="1">
        <v>3492</v>
      </c>
      <c r="BB272" s="1">
        <v>12.89</v>
      </c>
      <c r="BC272" s="1">
        <v>2876</v>
      </c>
      <c r="BD272" s="1">
        <v>3493</v>
      </c>
      <c r="BE272" s="1">
        <v>3491</v>
      </c>
      <c r="BG272" s="1">
        <v>-0.71499999999999997</v>
      </c>
      <c r="BH272" s="1">
        <v>10.71</v>
      </c>
      <c r="BI272" s="1">
        <v>10.31</v>
      </c>
      <c r="BJ272" s="1">
        <v>-7.92</v>
      </c>
      <c r="BK272" s="1">
        <v>-8.2899999999999991</v>
      </c>
      <c r="BM272" s="17">
        <v>17.13</v>
      </c>
      <c r="BN272" s="17">
        <f t="shared" si="154"/>
        <v>34.602599999999995</v>
      </c>
      <c r="BO272" s="18">
        <f t="shared" si="164"/>
        <v>18.28</v>
      </c>
      <c r="BP272" s="18">
        <f t="shared" si="165"/>
        <v>35.17</v>
      </c>
      <c r="BR272" s="1">
        <f t="shared" si="166"/>
        <v>85</v>
      </c>
      <c r="BS272" s="1">
        <f t="shared" si="167"/>
        <v>50.6</v>
      </c>
      <c r="BT272" s="1">
        <f t="shared" si="168"/>
        <v>24.6</v>
      </c>
      <c r="BU272" s="60">
        <f t="shared" si="148"/>
        <v>0.224</v>
      </c>
      <c r="BV272" s="60">
        <f t="shared" si="153"/>
        <v>0.68700000000000006</v>
      </c>
      <c r="BX272" s="1">
        <v>0</v>
      </c>
      <c r="BZ272" s="1">
        <v>0</v>
      </c>
      <c r="CB272" s="17">
        <f t="shared" si="169"/>
        <v>18.28</v>
      </c>
      <c r="CC272" s="17">
        <f t="shared" si="170"/>
        <v>35.17</v>
      </c>
      <c r="CD272" s="3">
        <f t="shared" si="155"/>
        <v>-0.6</v>
      </c>
      <c r="CE272" s="3">
        <f t="shared" si="171"/>
        <v>-0.8</v>
      </c>
      <c r="CF272" s="3">
        <f t="shared" si="172"/>
        <v>-1.1000000000000001</v>
      </c>
      <c r="CG272" s="3">
        <f t="shared" si="173"/>
        <v>0</v>
      </c>
      <c r="CH272" s="3">
        <f t="shared" si="174"/>
        <v>4.9000000000000004</v>
      </c>
      <c r="CI272" s="3">
        <f t="shared" si="175"/>
        <v>6.7</v>
      </c>
      <c r="CJ272" s="3">
        <f t="shared" si="176"/>
        <v>7.8</v>
      </c>
      <c r="CK272" s="27">
        <f t="shared" si="177"/>
        <v>50.6</v>
      </c>
      <c r="CL272" s="1">
        <f t="shared" si="156"/>
        <v>5.6</v>
      </c>
      <c r="CM272" s="1">
        <f t="shared" si="178"/>
        <v>8.8000000000000007</v>
      </c>
      <c r="CN272" s="1">
        <f t="shared" si="179"/>
        <v>12.3</v>
      </c>
      <c r="CO272" s="1">
        <f t="shared" si="180"/>
        <v>9</v>
      </c>
      <c r="CP272" s="1">
        <f t="shared" si="181"/>
        <v>8.1</v>
      </c>
      <c r="CQ272" s="1">
        <f t="shared" si="182"/>
        <v>7.3</v>
      </c>
      <c r="CR272" s="1">
        <f t="shared" si="183"/>
        <v>8.1999999999999993</v>
      </c>
      <c r="CS272" s="2">
        <f t="shared" si="184"/>
        <v>85</v>
      </c>
      <c r="CT272" s="1">
        <f t="shared" si="157"/>
        <v>-6</v>
      </c>
      <c r="CU272" s="1">
        <f t="shared" si="185"/>
        <v>-7.3</v>
      </c>
      <c r="CV272" s="1">
        <f t="shared" si="186"/>
        <v>-8.1</v>
      </c>
      <c r="CW272" s="1">
        <f t="shared" si="187"/>
        <v>-5.4</v>
      </c>
      <c r="CX272" s="1">
        <f t="shared" si="188"/>
        <v>3.4</v>
      </c>
      <c r="CY272" s="1">
        <f t="shared" si="189"/>
        <v>6</v>
      </c>
      <c r="CZ272" s="1">
        <f t="shared" si="190"/>
        <v>7.3</v>
      </c>
      <c r="DA272" s="2">
        <f t="shared" si="158"/>
        <v>24.6</v>
      </c>
      <c r="DB272" s="20">
        <f t="shared" si="159"/>
        <v>0</v>
      </c>
      <c r="DC272" s="1">
        <f>ROUND(PPTest!K272,1)</f>
        <v>0</v>
      </c>
      <c r="DD272" s="17" t="s">
        <v>218</v>
      </c>
      <c r="DE272" s="3">
        <f t="shared" si="191"/>
        <v>4.5999999999999996</v>
      </c>
      <c r="DF272" s="24">
        <f t="shared" si="160"/>
        <v>0.224</v>
      </c>
      <c r="DG272" s="24">
        <f t="shared" si="161"/>
        <v>0.68700000000000006</v>
      </c>
      <c r="DH272" s="17">
        <f t="shared" si="163"/>
        <v>12.89</v>
      </c>
      <c r="DK272" s="1">
        <v>2.5</v>
      </c>
      <c r="DL272" s="1">
        <v>8.3000001907348633</v>
      </c>
      <c r="DM272" s="1">
        <v>-2.7999999523162842</v>
      </c>
      <c r="DN272" s="20">
        <v>52.625</v>
      </c>
      <c r="DO272" s="1">
        <v>32</v>
      </c>
      <c r="DQ272" s="1">
        <v>6.6</v>
      </c>
      <c r="DR272" s="1">
        <v>17</v>
      </c>
      <c r="DS272" s="1">
        <v>-3.9</v>
      </c>
    </row>
    <row r="273" spans="1:123" x14ac:dyDescent="0.2">
      <c r="A273" s="15">
        <f t="shared" si="162"/>
        <v>36792</v>
      </c>
      <c r="B273" s="1">
        <v>267</v>
      </c>
      <c r="C273" s="1">
        <v>17.7</v>
      </c>
      <c r="D273" s="1">
        <v>31.56</v>
      </c>
      <c r="E273" s="1">
        <v>0.84099999999999997</v>
      </c>
      <c r="F273" s="1">
        <v>76.400000000000006</v>
      </c>
      <c r="G273" s="1">
        <v>0.69799999999999995</v>
      </c>
      <c r="H273" s="1">
        <v>0.55200000000000005</v>
      </c>
      <c r="I273" s="1">
        <v>1.002</v>
      </c>
      <c r="L273" s="1">
        <v>4.6050000000000004</v>
      </c>
      <c r="M273" s="1">
        <v>6.056</v>
      </c>
      <c r="N273" s="1">
        <v>7.48</v>
      </c>
      <c r="R273" s="1">
        <v>10</v>
      </c>
      <c r="S273" s="1">
        <v>1543</v>
      </c>
      <c r="T273" s="1">
        <v>105.6</v>
      </c>
      <c r="U273" s="1">
        <v>604</v>
      </c>
      <c r="V273" s="1">
        <v>12.61</v>
      </c>
      <c r="W273" s="1">
        <v>13.66</v>
      </c>
      <c r="X273" s="1">
        <v>10.66</v>
      </c>
      <c r="AA273" s="1">
        <v>8.1</v>
      </c>
      <c r="AB273" s="1">
        <v>6.6</v>
      </c>
      <c r="AC273" s="1">
        <v>8.17</v>
      </c>
      <c r="AD273" s="1">
        <v>3.5590000000000002</v>
      </c>
      <c r="AE273" s="1">
        <v>1042</v>
      </c>
      <c r="AF273" s="1">
        <v>-6.3929999999999998</v>
      </c>
      <c r="AG273" s="1">
        <v>447</v>
      </c>
      <c r="AH273" s="1">
        <v>35.1</v>
      </c>
      <c r="AI273" s="1">
        <v>1550</v>
      </c>
      <c r="AJ273" s="1">
        <v>-7.1</v>
      </c>
      <c r="AK273" s="1">
        <v>-7.59</v>
      </c>
      <c r="AL273" s="1">
        <v>-4.8470000000000004</v>
      </c>
      <c r="AO273" s="1">
        <v>2.7549999999999999</v>
      </c>
      <c r="AP273" s="1">
        <v>5.4539999999999997</v>
      </c>
      <c r="AQ273" s="1">
        <v>6.9</v>
      </c>
      <c r="AZ273" s="1">
        <v>0.76400000000000001</v>
      </c>
      <c r="BA273" s="1">
        <v>3492</v>
      </c>
      <c r="BB273" s="1">
        <v>12.88</v>
      </c>
      <c r="BC273" s="1">
        <v>2876</v>
      </c>
      <c r="BD273" s="1">
        <v>3493</v>
      </c>
      <c r="BE273" s="1">
        <v>3490</v>
      </c>
      <c r="BG273" s="1">
        <v>0.88200000000000001</v>
      </c>
      <c r="BH273" s="1">
        <v>14.65</v>
      </c>
      <c r="BI273" s="1">
        <v>14.24</v>
      </c>
      <c r="BJ273" s="1">
        <v>-7.76</v>
      </c>
      <c r="BK273" s="1">
        <v>-7.95</v>
      </c>
      <c r="BM273" s="17">
        <v>16.87</v>
      </c>
      <c r="BN273" s="17">
        <f t="shared" si="154"/>
        <v>34.077400000000004</v>
      </c>
      <c r="BO273" s="18">
        <f t="shared" si="164"/>
        <v>17.350000000000001</v>
      </c>
      <c r="BP273" s="18">
        <f t="shared" si="165"/>
        <v>34.72</v>
      </c>
      <c r="BR273" s="1">
        <f t="shared" si="166"/>
        <v>92.2</v>
      </c>
      <c r="BS273" s="1">
        <f t="shared" si="167"/>
        <v>61.2</v>
      </c>
      <c r="BT273" s="1">
        <f t="shared" si="168"/>
        <v>24.9</v>
      </c>
      <c r="BU273" s="60">
        <f t="shared" si="148"/>
        <v>0.30599999999999999</v>
      </c>
      <c r="BV273" s="60">
        <f t="shared" si="153"/>
        <v>0.92300000000000004</v>
      </c>
      <c r="BX273" s="1">
        <v>0</v>
      </c>
      <c r="BZ273" s="1">
        <v>0</v>
      </c>
      <c r="CB273" s="17">
        <f t="shared" si="169"/>
        <v>17.350000000000001</v>
      </c>
      <c r="CC273" s="17">
        <f t="shared" si="170"/>
        <v>34.72</v>
      </c>
      <c r="CD273" s="3">
        <f t="shared" si="155"/>
        <v>0.8</v>
      </c>
      <c r="CE273" s="3">
        <f t="shared" si="171"/>
        <v>0.7</v>
      </c>
      <c r="CF273" s="3">
        <f t="shared" si="172"/>
        <v>0.6</v>
      </c>
      <c r="CG273" s="3">
        <f t="shared" si="173"/>
        <v>1</v>
      </c>
      <c r="CH273" s="3">
        <f t="shared" si="174"/>
        <v>4.5999999999999996</v>
      </c>
      <c r="CI273" s="3">
        <f t="shared" si="175"/>
        <v>6.1</v>
      </c>
      <c r="CJ273" s="3">
        <f t="shared" si="176"/>
        <v>7.5</v>
      </c>
      <c r="CK273" s="27">
        <f t="shared" si="177"/>
        <v>61.2</v>
      </c>
      <c r="CL273" s="1">
        <f t="shared" si="156"/>
        <v>10</v>
      </c>
      <c r="CM273" s="1">
        <f t="shared" si="178"/>
        <v>12.6</v>
      </c>
      <c r="CN273" s="1">
        <f t="shared" si="179"/>
        <v>13.7</v>
      </c>
      <c r="CO273" s="1">
        <f t="shared" si="180"/>
        <v>10.7</v>
      </c>
      <c r="CP273" s="1">
        <f t="shared" si="181"/>
        <v>8.1</v>
      </c>
      <c r="CQ273" s="1">
        <f t="shared" si="182"/>
        <v>6.6</v>
      </c>
      <c r="CR273" s="1">
        <f t="shared" si="183"/>
        <v>8.1999999999999993</v>
      </c>
      <c r="CS273" s="2">
        <f t="shared" si="184"/>
        <v>92.2</v>
      </c>
      <c r="CT273" s="1">
        <f t="shared" si="157"/>
        <v>-6.4</v>
      </c>
      <c r="CU273" s="1">
        <f t="shared" si="185"/>
        <v>-7.1</v>
      </c>
      <c r="CV273" s="1">
        <f t="shared" si="186"/>
        <v>-7.6</v>
      </c>
      <c r="CW273" s="1">
        <f t="shared" si="187"/>
        <v>-4.8</v>
      </c>
      <c r="CX273" s="1">
        <f t="shared" si="188"/>
        <v>2.8</v>
      </c>
      <c r="CY273" s="1">
        <f t="shared" si="189"/>
        <v>5.5</v>
      </c>
      <c r="CZ273" s="1">
        <f t="shared" si="190"/>
        <v>6.9</v>
      </c>
      <c r="DA273" s="2">
        <f t="shared" si="158"/>
        <v>24.9</v>
      </c>
      <c r="DB273" s="20">
        <f t="shared" si="159"/>
        <v>0</v>
      </c>
      <c r="DC273" s="1">
        <f>ROUND(PPTest!K273,1)</f>
        <v>0</v>
      </c>
      <c r="DD273" s="17" t="s">
        <v>218</v>
      </c>
      <c r="DE273" s="3">
        <f t="shared" si="191"/>
        <v>3.56</v>
      </c>
      <c r="DF273" s="24">
        <f t="shared" si="160"/>
        <v>0.30599999999999999</v>
      </c>
      <c r="DG273" s="24">
        <f t="shared" si="161"/>
        <v>0.92300000000000004</v>
      </c>
      <c r="DH273" s="17">
        <f t="shared" si="163"/>
        <v>12.88</v>
      </c>
      <c r="DK273" s="1">
        <v>5.3</v>
      </c>
      <c r="DL273" s="1">
        <v>11.699999809265137</v>
      </c>
      <c r="DM273" s="1">
        <v>-0.69999998807907104</v>
      </c>
      <c r="DN273" s="20">
        <v>59.5</v>
      </c>
      <c r="DO273" s="1">
        <v>45</v>
      </c>
      <c r="DQ273" s="1">
        <v>7.7</v>
      </c>
      <c r="DR273" s="1">
        <v>18.8</v>
      </c>
      <c r="DS273" s="1">
        <v>-3.4</v>
      </c>
    </row>
    <row r="274" spans="1:123" x14ac:dyDescent="0.2">
      <c r="A274" s="15">
        <f t="shared" si="162"/>
        <v>36793</v>
      </c>
      <c r="B274" s="1">
        <v>268</v>
      </c>
      <c r="C274" s="1">
        <v>17.600000000000001</v>
      </c>
      <c r="D274" s="1">
        <v>31.99</v>
      </c>
      <c r="E274" s="1">
        <v>3.7690000000000001</v>
      </c>
      <c r="F274" s="1">
        <v>81.8</v>
      </c>
      <c r="G274" s="1">
        <v>3.5089999999999999</v>
      </c>
      <c r="H274" s="1">
        <v>3.3719999999999999</v>
      </c>
      <c r="I274" s="1">
        <v>2.8769999999999998</v>
      </c>
      <c r="L274" s="1">
        <v>5.3739999999999997</v>
      </c>
      <c r="M274" s="1">
        <v>5.8769999999999998</v>
      </c>
      <c r="N274" s="1">
        <v>7.07</v>
      </c>
      <c r="R274" s="1">
        <v>14.08</v>
      </c>
      <c r="S274" s="1">
        <v>1615</v>
      </c>
      <c r="T274" s="1">
        <v>106.6</v>
      </c>
      <c r="U274" s="1">
        <v>534</v>
      </c>
      <c r="V274" s="1">
        <v>16.510000000000002</v>
      </c>
      <c r="W274" s="1">
        <v>18.25</v>
      </c>
      <c r="X274" s="1">
        <v>14.42</v>
      </c>
      <c r="AA274" s="1">
        <v>9.33</v>
      </c>
      <c r="AB274" s="1">
        <v>6.4269999999999996</v>
      </c>
      <c r="AC274" s="1">
        <v>7.85</v>
      </c>
      <c r="AD274" s="1">
        <v>3.7450000000000001</v>
      </c>
      <c r="AE274" s="1">
        <v>1407</v>
      </c>
      <c r="AF274" s="1">
        <v>-4</v>
      </c>
      <c r="AG274" s="1">
        <v>530</v>
      </c>
      <c r="AH274" s="1">
        <v>44.13</v>
      </c>
      <c r="AI274" s="1">
        <v>1206</v>
      </c>
      <c r="AJ274" s="1">
        <v>-4.8230000000000004</v>
      </c>
      <c r="AK274" s="1">
        <v>-5.2830000000000004</v>
      </c>
      <c r="AL274" s="1">
        <v>-3.4009999999999998</v>
      </c>
      <c r="AO274" s="1">
        <v>2.9159999999999999</v>
      </c>
      <c r="AP274" s="1">
        <v>5.3250000000000002</v>
      </c>
      <c r="AQ274" s="1">
        <v>6.51</v>
      </c>
      <c r="AZ274" s="1">
        <v>3.625</v>
      </c>
      <c r="BA274" s="1">
        <v>3487</v>
      </c>
      <c r="BB274" s="1">
        <v>12.89</v>
      </c>
      <c r="BC274" s="1">
        <v>2876</v>
      </c>
      <c r="BD274" s="1">
        <v>3492</v>
      </c>
      <c r="BE274" s="1">
        <v>3475</v>
      </c>
      <c r="BG274" s="1">
        <v>3.7410000000000001</v>
      </c>
      <c r="BH274" s="1">
        <v>18.920000000000002</v>
      </c>
      <c r="BI274" s="1">
        <v>18.510000000000002</v>
      </c>
      <c r="BJ274" s="1">
        <v>-5.3179999999999996</v>
      </c>
      <c r="BK274" s="1">
        <v>-5.47</v>
      </c>
      <c r="BM274" s="17">
        <v>16.62</v>
      </c>
      <c r="BN274" s="17">
        <f t="shared" si="154"/>
        <v>33.572400000000002</v>
      </c>
      <c r="BO274" s="18">
        <f t="shared" si="164"/>
        <v>17.25</v>
      </c>
      <c r="BP274" s="18">
        <f t="shared" si="165"/>
        <v>35.19</v>
      </c>
      <c r="BR274" s="1">
        <f t="shared" si="166"/>
        <v>93.8</v>
      </c>
      <c r="BS274" s="1">
        <f t="shared" si="167"/>
        <v>66</v>
      </c>
      <c r="BT274" s="1">
        <f t="shared" si="168"/>
        <v>32.799999999999997</v>
      </c>
      <c r="BU274" s="60">
        <f t="shared" si="148"/>
        <v>0.52700000000000002</v>
      </c>
      <c r="BV274" s="60">
        <f t="shared" si="153"/>
        <v>1.08</v>
      </c>
      <c r="BX274" s="1">
        <v>0</v>
      </c>
      <c r="BZ274" s="1">
        <v>0.19999999999999982</v>
      </c>
      <c r="CB274" s="17">
        <f t="shared" si="169"/>
        <v>17.25</v>
      </c>
      <c r="CC274" s="17">
        <f t="shared" si="170"/>
        <v>35.19</v>
      </c>
      <c r="CD274" s="3">
        <f t="shared" si="155"/>
        <v>3.8</v>
      </c>
      <c r="CE274" s="3">
        <f t="shared" si="171"/>
        <v>3.5</v>
      </c>
      <c r="CF274" s="3">
        <f t="shared" si="172"/>
        <v>3.4</v>
      </c>
      <c r="CG274" s="3">
        <f t="shared" si="173"/>
        <v>2.9</v>
      </c>
      <c r="CH274" s="3">
        <f t="shared" si="174"/>
        <v>5.4</v>
      </c>
      <c r="CI274" s="3">
        <f t="shared" si="175"/>
        <v>5.9</v>
      </c>
      <c r="CJ274" s="3">
        <f t="shared" si="176"/>
        <v>7.1</v>
      </c>
      <c r="CK274" s="27">
        <f t="shared" si="177"/>
        <v>66</v>
      </c>
      <c r="CL274" s="1">
        <f t="shared" si="156"/>
        <v>14.1</v>
      </c>
      <c r="CM274" s="1">
        <f t="shared" si="178"/>
        <v>16.5</v>
      </c>
      <c r="CN274" s="1">
        <f t="shared" si="179"/>
        <v>18.3</v>
      </c>
      <c r="CO274" s="1">
        <f t="shared" si="180"/>
        <v>14.4</v>
      </c>
      <c r="CP274" s="1">
        <f t="shared" si="181"/>
        <v>9.3000000000000007</v>
      </c>
      <c r="CQ274" s="1">
        <f t="shared" si="182"/>
        <v>6.4</v>
      </c>
      <c r="CR274" s="1">
        <f t="shared" si="183"/>
        <v>7.9</v>
      </c>
      <c r="CS274" s="2">
        <f t="shared" si="184"/>
        <v>93.8</v>
      </c>
      <c r="CT274" s="1">
        <f t="shared" si="157"/>
        <v>-4</v>
      </c>
      <c r="CU274" s="1">
        <f t="shared" si="185"/>
        <v>-4.8</v>
      </c>
      <c r="CV274" s="1">
        <f t="shared" si="186"/>
        <v>-5.3</v>
      </c>
      <c r="CW274" s="1">
        <f t="shared" si="187"/>
        <v>-3.4</v>
      </c>
      <c r="CX274" s="1">
        <f t="shared" si="188"/>
        <v>2.9</v>
      </c>
      <c r="CY274" s="1">
        <f t="shared" si="189"/>
        <v>5.3</v>
      </c>
      <c r="CZ274" s="1">
        <f t="shared" si="190"/>
        <v>6.5</v>
      </c>
      <c r="DA274" s="2">
        <f t="shared" si="158"/>
        <v>32.799999999999997</v>
      </c>
      <c r="DB274" s="20">
        <f t="shared" si="159"/>
        <v>0</v>
      </c>
      <c r="DC274" s="1">
        <f>ROUND(PPTest!K274,1)</f>
        <v>0</v>
      </c>
      <c r="DD274" s="17" t="s">
        <v>218</v>
      </c>
      <c r="DE274" s="3">
        <f t="shared" si="191"/>
        <v>3.75</v>
      </c>
      <c r="DF274" s="24">
        <f t="shared" si="160"/>
        <v>0.52700000000000002</v>
      </c>
      <c r="DG274" s="24">
        <f t="shared" si="161"/>
        <v>1.08</v>
      </c>
      <c r="DH274" s="17">
        <f t="shared" si="163"/>
        <v>12.89</v>
      </c>
      <c r="DK274" s="1">
        <v>8.3000000000000007</v>
      </c>
      <c r="DL274" s="1">
        <v>14.800000190734863</v>
      </c>
      <c r="DM274" s="1">
        <v>2.7000000476837158</v>
      </c>
      <c r="DN274" s="20">
        <v>62.458333333333336</v>
      </c>
      <c r="DO274" s="1">
        <v>46</v>
      </c>
      <c r="DQ274" s="1">
        <v>9.8000000000000007</v>
      </c>
      <c r="DR274" s="1">
        <v>21.6</v>
      </c>
      <c r="DS274" s="1">
        <v>-2.1</v>
      </c>
    </row>
    <row r="275" spans="1:123" x14ac:dyDescent="0.2">
      <c r="A275" s="15">
        <f t="shared" si="162"/>
        <v>36794</v>
      </c>
      <c r="B275" s="1">
        <v>269</v>
      </c>
      <c r="C275" s="1">
        <v>17.55</v>
      </c>
      <c r="D275" s="1">
        <v>30.31</v>
      </c>
      <c r="E275" s="1">
        <v>5.2320000000000002</v>
      </c>
      <c r="F275" s="1">
        <v>84.9</v>
      </c>
      <c r="G275" s="1">
        <v>4.9320000000000004</v>
      </c>
      <c r="H275" s="1">
        <v>4.7619999999999996</v>
      </c>
      <c r="I275" s="1">
        <v>3.7909999999999999</v>
      </c>
      <c r="L275" s="1">
        <v>5.9740000000000002</v>
      </c>
      <c r="M275" s="1">
        <v>6.0090000000000003</v>
      </c>
      <c r="N275" s="1">
        <v>6.6989999999999998</v>
      </c>
      <c r="R275" s="1">
        <v>16.16</v>
      </c>
      <c r="S275" s="1">
        <v>1505</v>
      </c>
      <c r="T275" s="1">
        <v>108.6</v>
      </c>
      <c r="U275" s="1">
        <v>549</v>
      </c>
      <c r="V275" s="1">
        <v>18.600000000000001</v>
      </c>
      <c r="W275" s="1">
        <v>20.79</v>
      </c>
      <c r="X275" s="1">
        <v>16.57</v>
      </c>
      <c r="AA275" s="1">
        <v>10.07</v>
      </c>
      <c r="AB275" s="1">
        <v>6.6180000000000003</v>
      </c>
      <c r="AC275" s="1">
        <v>7.56</v>
      </c>
      <c r="AD275" s="1">
        <v>3.6389999999999998</v>
      </c>
      <c r="AE275" s="1">
        <v>1155</v>
      </c>
      <c r="AF275" s="1">
        <v>-2.629</v>
      </c>
      <c r="AG275" s="1">
        <v>521</v>
      </c>
      <c r="AH275" s="1">
        <v>41.36</v>
      </c>
      <c r="AI275" s="1">
        <v>1424</v>
      </c>
      <c r="AJ275" s="1">
        <v>-3.496</v>
      </c>
      <c r="AK275" s="1">
        <v>-3.859</v>
      </c>
      <c r="AL275" s="1">
        <v>-2.661</v>
      </c>
      <c r="AO275" s="1">
        <v>3.2050000000000001</v>
      </c>
      <c r="AP275" s="1">
        <v>5.4470000000000001</v>
      </c>
      <c r="AQ275" s="1">
        <v>6.1689999999999996</v>
      </c>
      <c r="AZ275" s="1">
        <v>5.008</v>
      </c>
      <c r="BA275" s="1">
        <v>3485</v>
      </c>
      <c r="BB275" s="1">
        <v>12.88</v>
      </c>
      <c r="BC275" s="1">
        <v>2876</v>
      </c>
      <c r="BD275" s="1">
        <v>3491</v>
      </c>
      <c r="BE275" s="1">
        <v>3467</v>
      </c>
      <c r="BG275" s="1">
        <v>5.1349999999999998</v>
      </c>
      <c r="BH275" s="1">
        <v>20.64</v>
      </c>
      <c r="BI275" s="1">
        <v>20.2</v>
      </c>
      <c r="BJ275" s="1">
        <v>-4.0430000000000001</v>
      </c>
      <c r="BK275" s="1">
        <v>-4.1719999999999997</v>
      </c>
      <c r="BM275" s="17">
        <v>16.37</v>
      </c>
      <c r="BN275" s="17">
        <f t="shared" si="154"/>
        <v>33.067399999999999</v>
      </c>
      <c r="BO275" s="18">
        <f t="shared" si="164"/>
        <v>17.2</v>
      </c>
      <c r="BP275" s="18">
        <f t="shared" si="165"/>
        <v>33.340000000000003</v>
      </c>
      <c r="BR275" s="1">
        <f t="shared" si="166"/>
        <v>97</v>
      </c>
      <c r="BS275" s="1">
        <f t="shared" si="167"/>
        <v>68.7</v>
      </c>
      <c r="BT275" s="1">
        <f t="shared" si="168"/>
        <v>30.4</v>
      </c>
      <c r="BU275" s="60">
        <f t="shared" si="148"/>
        <v>0.55800000000000005</v>
      </c>
      <c r="BV275" s="60">
        <f t="shared" si="153"/>
        <v>1.278</v>
      </c>
      <c r="BX275" s="1">
        <v>0</v>
      </c>
      <c r="BZ275" s="1">
        <v>0</v>
      </c>
      <c r="CB275" s="17">
        <f t="shared" si="169"/>
        <v>17.2</v>
      </c>
      <c r="CC275" s="17">
        <f t="shared" si="170"/>
        <v>33.340000000000003</v>
      </c>
      <c r="CD275" s="3">
        <f t="shared" si="155"/>
        <v>5.2</v>
      </c>
      <c r="CE275" s="3">
        <f t="shared" si="171"/>
        <v>4.9000000000000004</v>
      </c>
      <c r="CF275" s="3">
        <f t="shared" si="172"/>
        <v>4.8</v>
      </c>
      <c r="CG275" s="3">
        <f t="shared" si="173"/>
        <v>3.8</v>
      </c>
      <c r="CH275" s="3">
        <f t="shared" si="174"/>
        <v>6</v>
      </c>
      <c r="CI275" s="3">
        <f t="shared" si="175"/>
        <v>6</v>
      </c>
      <c r="CJ275" s="3">
        <f t="shared" si="176"/>
        <v>6.7</v>
      </c>
      <c r="CK275" s="27">
        <f t="shared" si="177"/>
        <v>68.7</v>
      </c>
      <c r="CL275" s="1">
        <f t="shared" si="156"/>
        <v>16.2</v>
      </c>
      <c r="CM275" s="1">
        <f t="shared" si="178"/>
        <v>18.600000000000001</v>
      </c>
      <c r="CN275" s="1">
        <f t="shared" si="179"/>
        <v>20.8</v>
      </c>
      <c r="CO275" s="1">
        <f t="shared" si="180"/>
        <v>16.600000000000001</v>
      </c>
      <c r="CP275" s="1">
        <f t="shared" si="181"/>
        <v>10.1</v>
      </c>
      <c r="CQ275" s="1">
        <f t="shared" si="182"/>
        <v>6.6</v>
      </c>
      <c r="CR275" s="1">
        <f t="shared" si="183"/>
        <v>7.6</v>
      </c>
      <c r="CS275" s="2">
        <f t="shared" si="184"/>
        <v>97</v>
      </c>
      <c r="CT275" s="1">
        <f t="shared" si="157"/>
        <v>-2.6</v>
      </c>
      <c r="CU275" s="1">
        <f t="shared" si="185"/>
        <v>-3.5</v>
      </c>
      <c r="CV275" s="1">
        <f t="shared" si="186"/>
        <v>-3.9</v>
      </c>
      <c r="CW275" s="1">
        <f t="shared" si="187"/>
        <v>-2.7</v>
      </c>
      <c r="CX275" s="1">
        <f t="shared" si="188"/>
        <v>3.2</v>
      </c>
      <c r="CY275" s="1">
        <f t="shared" si="189"/>
        <v>5.4</v>
      </c>
      <c r="CZ275" s="1">
        <f t="shared" si="190"/>
        <v>6.2</v>
      </c>
      <c r="DA275" s="2">
        <f t="shared" si="158"/>
        <v>30.4</v>
      </c>
      <c r="DB275" s="20">
        <f t="shared" si="159"/>
        <v>0</v>
      </c>
      <c r="DC275" s="1">
        <f>ROUND(PPTest!K275,1)</f>
        <v>0</v>
      </c>
      <c r="DD275" s="17" t="s">
        <v>218</v>
      </c>
      <c r="DE275" s="3">
        <f t="shared" si="191"/>
        <v>3.64</v>
      </c>
      <c r="DF275" s="24">
        <f t="shared" si="160"/>
        <v>0.55800000000000005</v>
      </c>
      <c r="DG275" s="24">
        <f t="shared" si="161"/>
        <v>1.278</v>
      </c>
      <c r="DH275" s="17">
        <f t="shared" si="163"/>
        <v>12.88</v>
      </c>
      <c r="DK275" s="1">
        <v>10.199999999999999</v>
      </c>
      <c r="DL275" s="1">
        <v>16.600000381469727</v>
      </c>
      <c r="DM275" s="1">
        <v>4.9000000953674316</v>
      </c>
      <c r="DN275" s="20">
        <v>67.666666666666671</v>
      </c>
      <c r="DO275" s="1">
        <v>48</v>
      </c>
      <c r="DQ275" s="1">
        <v>11.1</v>
      </c>
      <c r="DR275" s="1">
        <v>23</v>
      </c>
      <c r="DS275" s="1">
        <v>-0.8</v>
      </c>
    </row>
    <row r="276" spans="1:123" x14ac:dyDescent="0.2">
      <c r="A276" s="15">
        <f t="shared" si="162"/>
        <v>36795</v>
      </c>
      <c r="B276" s="1">
        <v>270</v>
      </c>
      <c r="C276" s="1">
        <v>17.260000000000002</v>
      </c>
      <c r="D276" s="1">
        <v>31.5</v>
      </c>
      <c r="E276" s="1">
        <v>5.9420000000000002</v>
      </c>
      <c r="F276" s="1">
        <v>81.5</v>
      </c>
      <c r="G276" s="1">
        <v>5.6550000000000002</v>
      </c>
      <c r="H276" s="1">
        <v>5.391</v>
      </c>
      <c r="I276" s="1">
        <v>4.2969999999999997</v>
      </c>
      <c r="L276" s="1">
        <v>6.28</v>
      </c>
      <c r="M276" s="1">
        <v>6.1769999999999996</v>
      </c>
      <c r="N276" s="1">
        <v>6.4550000000000001</v>
      </c>
      <c r="R276" s="1">
        <v>16.440000000000001</v>
      </c>
      <c r="S276" s="1">
        <v>1547</v>
      </c>
      <c r="T276" s="1">
        <v>108.7</v>
      </c>
      <c r="U276" s="1">
        <v>551</v>
      </c>
      <c r="V276" s="1">
        <v>19.32</v>
      </c>
      <c r="W276" s="1">
        <v>20.78</v>
      </c>
      <c r="X276" s="1">
        <v>16.649999999999999</v>
      </c>
      <c r="AA276" s="1">
        <v>10.27</v>
      </c>
      <c r="AB276" s="1">
        <v>6.81</v>
      </c>
      <c r="AC276" s="1">
        <v>7.34</v>
      </c>
      <c r="AD276" s="1">
        <v>4.4640000000000004</v>
      </c>
      <c r="AE276" s="1">
        <v>1343</v>
      </c>
      <c r="AF276" s="1">
        <v>-2.1909999999999998</v>
      </c>
      <c r="AG276" s="1">
        <v>538</v>
      </c>
      <c r="AH276" s="1">
        <v>36.950000000000003</v>
      </c>
      <c r="AI276" s="1">
        <v>1418</v>
      </c>
      <c r="AJ276" s="1">
        <v>-2.9510000000000001</v>
      </c>
      <c r="AK276" s="1">
        <v>-3.38</v>
      </c>
      <c r="AL276" s="1">
        <v>-2.4449999999999998</v>
      </c>
      <c r="AO276" s="1">
        <v>3.476</v>
      </c>
      <c r="AP276" s="1">
        <v>5.6539999999999999</v>
      </c>
      <c r="AQ276" s="1">
        <v>5.9589999999999996</v>
      </c>
      <c r="AZ276" s="1">
        <v>5.5890000000000004</v>
      </c>
      <c r="BA276" s="1">
        <v>3488</v>
      </c>
      <c r="BB276" s="1">
        <v>12.88</v>
      </c>
      <c r="BC276" s="1">
        <v>2876</v>
      </c>
      <c r="BD276" s="1">
        <v>3490</v>
      </c>
      <c r="BE276" s="1">
        <v>3485</v>
      </c>
      <c r="BG276" s="1">
        <v>5.7279999999999998</v>
      </c>
      <c r="BH276" s="1">
        <v>21.18</v>
      </c>
      <c r="BI276" s="1">
        <v>20.72</v>
      </c>
      <c r="BJ276" s="1">
        <v>-3.532</v>
      </c>
      <c r="BK276" s="1">
        <v>-3.6659999999999999</v>
      </c>
      <c r="BM276" s="17">
        <v>16.12</v>
      </c>
      <c r="BN276" s="17">
        <f t="shared" si="154"/>
        <v>32.562400000000004</v>
      </c>
      <c r="BO276" s="18">
        <f t="shared" si="164"/>
        <v>16.91</v>
      </c>
      <c r="BP276" s="18">
        <f t="shared" si="165"/>
        <v>34.65</v>
      </c>
      <c r="BR276" s="1">
        <f t="shared" si="166"/>
        <v>97.1</v>
      </c>
      <c r="BS276" s="1">
        <f t="shared" si="167"/>
        <v>65.7</v>
      </c>
      <c r="BT276" s="1">
        <f t="shared" si="168"/>
        <v>26.5</v>
      </c>
      <c r="BU276" s="60">
        <f t="shared" si="148"/>
        <v>0.495</v>
      </c>
      <c r="BV276" s="60">
        <f t="shared" si="153"/>
        <v>1.373</v>
      </c>
      <c r="BX276" s="1">
        <v>0</v>
      </c>
      <c r="BZ276" s="1">
        <v>0</v>
      </c>
      <c r="CB276" s="17">
        <f t="shared" si="169"/>
        <v>16.91</v>
      </c>
      <c r="CC276" s="17">
        <f t="shared" si="170"/>
        <v>34.65</v>
      </c>
      <c r="CD276" s="3">
        <f t="shared" si="155"/>
        <v>5.9</v>
      </c>
      <c r="CE276" s="3">
        <f t="shared" si="171"/>
        <v>5.7</v>
      </c>
      <c r="CF276" s="3">
        <f t="shared" si="172"/>
        <v>5.4</v>
      </c>
      <c r="CG276" s="3">
        <f t="shared" si="173"/>
        <v>4.3</v>
      </c>
      <c r="CH276" s="3">
        <f t="shared" si="174"/>
        <v>6.3</v>
      </c>
      <c r="CI276" s="3">
        <f t="shared" si="175"/>
        <v>6.2</v>
      </c>
      <c r="CJ276" s="3">
        <f t="shared" si="176"/>
        <v>6.5</v>
      </c>
      <c r="CK276" s="27">
        <f t="shared" si="177"/>
        <v>65.7</v>
      </c>
      <c r="CL276" s="1">
        <f t="shared" si="156"/>
        <v>16.399999999999999</v>
      </c>
      <c r="CM276" s="1">
        <f t="shared" si="178"/>
        <v>19.3</v>
      </c>
      <c r="CN276" s="1">
        <f t="shared" si="179"/>
        <v>20.8</v>
      </c>
      <c r="CO276" s="1">
        <f t="shared" si="180"/>
        <v>16.7</v>
      </c>
      <c r="CP276" s="1">
        <f t="shared" si="181"/>
        <v>10.3</v>
      </c>
      <c r="CQ276" s="1">
        <f t="shared" si="182"/>
        <v>6.8</v>
      </c>
      <c r="CR276" s="1">
        <f t="shared" si="183"/>
        <v>7.3</v>
      </c>
      <c r="CS276" s="2">
        <f t="shared" si="184"/>
        <v>97.1</v>
      </c>
      <c r="CT276" s="1">
        <f t="shared" si="157"/>
        <v>-2.2000000000000002</v>
      </c>
      <c r="CU276" s="1">
        <f t="shared" si="185"/>
        <v>-3</v>
      </c>
      <c r="CV276" s="1">
        <f t="shared" si="186"/>
        <v>-3.4</v>
      </c>
      <c r="CW276" s="1">
        <f t="shared" si="187"/>
        <v>-2.4</v>
      </c>
      <c r="CX276" s="1">
        <f t="shared" si="188"/>
        <v>3.5</v>
      </c>
      <c r="CY276" s="1">
        <f t="shared" si="189"/>
        <v>5.7</v>
      </c>
      <c r="CZ276" s="1">
        <f t="shared" si="190"/>
        <v>6</v>
      </c>
      <c r="DA276" s="2">
        <f t="shared" si="158"/>
        <v>26.5</v>
      </c>
      <c r="DB276" s="20">
        <f t="shared" si="159"/>
        <v>0</v>
      </c>
      <c r="DC276" s="1">
        <f>ROUND(PPTest!K276,1)</f>
        <v>0</v>
      </c>
      <c r="DD276" s="17" t="s">
        <v>218</v>
      </c>
      <c r="DE276" s="3">
        <f t="shared" si="191"/>
        <v>4.46</v>
      </c>
      <c r="DF276" s="24">
        <f t="shared" si="160"/>
        <v>0.495</v>
      </c>
      <c r="DG276" s="24">
        <f t="shared" si="161"/>
        <v>1.373</v>
      </c>
      <c r="DH276" s="17">
        <f t="shared" si="163"/>
        <v>12.88</v>
      </c>
      <c r="DK276" s="1">
        <v>12.1</v>
      </c>
      <c r="DL276" s="1">
        <v>19.600000381469727</v>
      </c>
      <c r="DM276" s="1">
        <v>6.1999998092651367</v>
      </c>
      <c r="DN276" s="20">
        <v>62</v>
      </c>
      <c r="DO276" s="1">
        <v>39</v>
      </c>
      <c r="DQ276" s="1">
        <v>13.1</v>
      </c>
      <c r="DR276" s="1">
        <v>25.3</v>
      </c>
      <c r="DS276" s="1">
        <v>0.9</v>
      </c>
    </row>
    <row r="277" spans="1:123" x14ac:dyDescent="0.2">
      <c r="A277" s="15">
        <f t="shared" si="162"/>
        <v>36796</v>
      </c>
      <c r="B277" s="1">
        <v>271</v>
      </c>
      <c r="C277" s="3">
        <v>16.690000000000001</v>
      </c>
      <c r="D277" s="3">
        <v>30.43</v>
      </c>
      <c r="E277" s="3">
        <v>6.9649999999999999</v>
      </c>
      <c r="F277" s="3">
        <v>73.900000000000006</v>
      </c>
      <c r="G277" s="3">
        <v>6.57</v>
      </c>
      <c r="H277" s="3">
        <v>6.2729999999999997</v>
      </c>
      <c r="I277" s="3">
        <v>4.7480000000000002</v>
      </c>
      <c r="L277" s="3">
        <v>6.4429999999999996</v>
      </c>
      <c r="M277" s="3">
        <v>6.298</v>
      </c>
      <c r="N277" s="3">
        <v>6.33</v>
      </c>
      <c r="Q277" s="3"/>
      <c r="R277" s="3">
        <v>17.649999999999999</v>
      </c>
      <c r="S277" s="3">
        <v>1531</v>
      </c>
      <c r="T277" s="3">
        <v>108</v>
      </c>
      <c r="U277" s="3">
        <v>533</v>
      </c>
      <c r="V277" s="3">
        <v>20.56</v>
      </c>
      <c r="W277" s="3">
        <v>22.28</v>
      </c>
      <c r="X277" s="3">
        <v>16.68</v>
      </c>
      <c r="Y277" s="3"/>
      <c r="AA277" s="3">
        <v>10.3</v>
      </c>
      <c r="AB277" s="3">
        <v>7.06</v>
      </c>
      <c r="AC277" s="3">
        <v>7.34</v>
      </c>
      <c r="AD277" s="3">
        <v>4.9560000000000004</v>
      </c>
      <c r="AE277" s="3">
        <v>1411</v>
      </c>
      <c r="AF277" s="3">
        <v>-1.58</v>
      </c>
      <c r="AG277" s="3">
        <v>523</v>
      </c>
      <c r="AH277" s="3">
        <v>28.06</v>
      </c>
      <c r="AI277" s="3">
        <v>1414</v>
      </c>
      <c r="AJ277" s="3">
        <v>-2.6589999999999998</v>
      </c>
      <c r="AK277" s="3">
        <v>-3.0390000000000001</v>
      </c>
      <c r="AL277" s="3">
        <v>-1.7130000000000001</v>
      </c>
      <c r="AO277" s="3">
        <v>3.714</v>
      </c>
      <c r="AP277" s="3">
        <v>5.77</v>
      </c>
      <c r="AQ277" s="3">
        <v>5.8070000000000004</v>
      </c>
      <c r="AR277" s="3"/>
      <c r="AS277" s="3"/>
      <c r="AT277" s="3"/>
      <c r="AU277" s="3"/>
      <c r="AV277" s="3"/>
      <c r="AW277" s="3"/>
      <c r="AX277" s="3"/>
      <c r="AY277" s="3"/>
      <c r="AZ277" s="3">
        <v>6.2889999999999997</v>
      </c>
      <c r="BA277" s="3">
        <v>3471</v>
      </c>
      <c r="BB277" s="3">
        <v>12.88</v>
      </c>
      <c r="BC277" s="3">
        <v>2876</v>
      </c>
      <c r="BD277" s="3">
        <v>3497</v>
      </c>
      <c r="BE277" s="3">
        <v>3452</v>
      </c>
      <c r="BG277" s="3">
        <v>6.4260000000000002</v>
      </c>
      <c r="BH277" s="3">
        <v>21.82</v>
      </c>
      <c r="BI277" s="3">
        <v>21.48</v>
      </c>
      <c r="BJ277" s="3">
        <v>-3.0129999999999999</v>
      </c>
      <c r="BK277" s="3">
        <v>-3.153</v>
      </c>
      <c r="BM277" s="17">
        <v>15.86</v>
      </c>
      <c r="BN277" s="17">
        <f t="shared" si="154"/>
        <v>32.037199999999999</v>
      </c>
      <c r="BO277" s="18">
        <f t="shared" si="164"/>
        <v>16.36</v>
      </c>
      <c r="BP277" s="18">
        <f t="shared" si="165"/>
        <v>33.47</v>
      </c>
      <c r="BR277" s="1">
        <f t="shared" si="166"/>
        <v>96</v>
      </c>
      <c r="BS277" s="1">
        <f t="shared" si="167"/>
        <v>59</v>
      </c>
      <c r="BT277" s="1">
        <f t="shared" si="168"/>
        <v>18.7</v>
      </c>
      <c r="BU277" s="60">
        <f t="shared" si="148"/>
        <v>0.377</v>
      </c>
      <c r="BV277" s="60">
        <f t="shared" si="153"/>
        <v>1.639</v>
      </c>
      <c r="BX277" s="1">
        <v>0</v>
      </c>
      <c r="BZ277" s="1">
        <v>0</v>
      </c>
      <c r="CB277" s="17">
        <f t="shared" si="169"/>
        <v>16.36</v>
      </c>
      <c r="CC277" s="17">
        <f t="shared" si="170"/>
        <v>33.47</v>
      </c>
      <c r="CD277" s="3">
        <f t="shared" si="155"/>
        <v>7</v>
      </c>
      <c r="CE277" s="3">
        <f t="shared" si="171"/>
        <v>6.6</v>
      </c>
      <c r="CF277" s="3">
        <f t="shared" si="172"/>
        <v>6.3</v>
      </c>
      <c r="CG277" s="3">
        <f t="shared" si="173"/>
        <v>4.7</v>
      </c>
      <c r="CH277" s="3">
        <f t="shared" si="174"/>
        <v>6.4</v>
      </c>
      <c r="CI277" s="3">
        <f t="shared" si="175"/>
        <v>6.3</v>
      </c>
      <c r="CJ277" s="3">
        <f t="shared" si="176"/>
        <v>6.3</v>
      </c>
      <c r="CK277" s="27">
        <f t="shared" si="177"/>
        <v>59</v>
      </c>
      <c r="CL277" s="1">
        <f t="shared" si="156"/>
        <v>17.7</v>
      </c>
      <c r="CM277" s="1">
        <f t="shared" si="178"/>
        <v>20.6</v>
      </c>
      <c r="CN277" s="1">
        <f t="shared" si="179"/>
        <v>22.3</v>
      </c>
      <c r="CO277" s="1">
        <f t="shared" si="180"/>
        <v>16.7</v>
      </c>
      <c r="CP277" s="1">
        <f t="shared" si="181"/>
        <v>10.3</v>
      </c>
      <c r="CQ277" s="1">
        <f t="shared" si="182"/>
        <v>7.1</v>
      </c>
      <c r="CR277" s="1">
        <f t="shared" si="183"/>
        <v>7.3</v>
      </c>
      <c r="CS277" s="2">
        <f t="shared" si="184"/>
        <v>96</v>
      </c>
      <c r="CT277" s="1">
        <f t="shared" si="157"/>
        <v>-1.6</v>
      </c>
      <c r="CU277" s="1">
        <f t="shared" si="185"/>
        <v>-2.7</v>
      </c>
      <c r="CV277" s="1">
        <f t="shared" si="186"/>
        <v>-3</v>
      </c>
      <c r="CW277" s="1">
        <f t="shared" si="187"/>
        <v>-1.7</v>
      </c>
      <c r="CX277" s="1">
        <f t="shared" si="188"/>
        <v>3.7</v>
      </c>
      <c r="CY277" s="1">
        <f t="shared" si="189"/>
        <v>5.8</v>
      </c>
      <c r="CZ277" s="1">
        <f t="shared" si="190"/>
        <v>5.8</v>
      </c>
      <c r="DA277" s="2">
        <f t="shared" si="158"/>
        <v>18.7</v>
      </c>
      <c r="DB277" s="20">
        <f t="shared" si="159"/>
        <v>0</v>
      </c>
      <c r="DC277" s="1">
        <f>ROUND(PPTest!K277,1)</f>
        <v>0</v>
      </c>
      <c r="DD277" s="17" t="s">
        <v>218</v>
      </c>
      <c r="DE277" s="3">
        <f t="shared" si="191"/>
        <v>4.96</v>
      </c>
      <c r="DF277" s="24">
        <f t="shared" si="160"/>
        <v>0.377</v>
      </c>
      <c r="DG277" s="24">
        <f t="shared" si="161"/>
        <v>1.639</v>
      </c>
      <c r="DH277" s="17">
        <f t="shared" si="163"/>
        <v>12.88</v>
      </c>
      <c r="DK277" s="1">
        <v>12.9</v>
      </c>
      <c r="DL277" s="1">
        <v>18.200000762939453</v>
      </c>
      <c r="DM277" s="1">
        <v>7.8000001907348633</v>
      </c>
      <c r="DN277" s="20">
        <v>51.916666666666664</v>
      </c>
      <c r="DO277" s="1">
        <v>36</v>
      </c>
      <c r="DQ277" s="1">
        <v>13.2</v>
      </c>
      <c r="DR277" s="1">
        <v>25.5</v>
      </c>
      <c r="DS277" s="1">
        <v>0.9</v>
      </c>
    </row>
    <row r="278" spans="1:123" x14ac:dyDescent="0.2">
      <c r="A278" s="15">
        <f t="shared" si="162"/>
        <v>36797</v>
      </c>
      <c r="B278" s="1">
        <v>272</v>
      </c>
      <c r="C278" s="3">
        <v>13.46</v>
      </c>
      <c r="D278" s="3">
        <v>25.09</v>
      </c>
      <c r="E278" s="3">
        <v>8.7100000000000009</v>
      </c>
      <c r="F278" s="3">
        <v>68.48</v>
      </c>
      <c r="G278" s="3">
        <v>8.23</v>
      </c>
      <c r="H278" s="3">
        <v>7.86</v>
      </c>
      <c r="I278" s="3">
        <v>6.3810000000000002</v>
      </c>
      <c r="L278" s="3">
        <v>6.6070000000000002</v>
      </c>
      <c r="M278" s="3">
        <v>6.4640000000000004</v>
      </c>
      <c r="N278" s="3">
        <v>6.3570000000000002</v>
      </c>
      <c r="Q278" s="3"/>
      <c r="R278" s="3">
        <v>14.57</v>
      </c>
      <c r="S278" s="3">
        <v>1214</v>
      </c>
      <c r="T278" s="3">
        <v>105</v>
      </c>
      <c r="U278" s="3">
        <v>234</v>
      </c>
      <c r="V278" s="3">
        <v>18.350000000000001</v>
      </c>
      <c r="W278" s="3">
        <v>19.25</v>
      </c>
      <c r="X278" s="3">
        <v>17.14</v>
      </c>
      <c r="Y278" s="3"/>
      <c r="AA278" s="3">
        <v>9.1199999999999992</v>
      </c>
      <c r="AB278" s="3">
        <v>6.923</v>
      </c>
      <c r="AC278" s="3">
        <v>6.9480000000000004</v>
      </c>
      <c r="AD278" s="3">
        <v>6.0730000000000004</v>
      </c>
      <c r="AE278" s="3">
        <v>1146</v>
      </c>
      <c r="AF278" s="3">
        <v>-6.2E-2</v>
      </c>
      <c r="AG278" s="3">
        <v>141</v>
      </c>
      <c r="AH278" s="3">
        <v>35.89</v>
      </c>
      <c r="AI278" s="3">
        <v>1209</v>
      </c>
      <c r="AJ278" s="3">
        <v>-1.2509999999999999</v>
      </c>
      <c r="AK278" s="3">
        <v>-1.6379999999999999</v>
      </c>
      <c r="AL278" s="3">
        <v>-0.89400000000000002</v>
      </c>
      <c r="AO278" s="3">
        <v>4.3550000000000004</v>
      </c>
      <c r="AP278" s="3">
        <v>5.9530000000000003</v>
      </c>
      <c r="AQ278" s="3">
        <v>5.9729999999999999</v>
      </c>
      <c r="AR278" s="3"/>
      <c r="AS278" s="3"/>
      <c r="AT278" s="3"/>
      <c r="AU278" s="3"/>
      <c r="AV278" s="3"/>
      <c r="AW278" s="3"/>
      <c r="AX278" s="3"/>
      <c r="AY278" s="3"/>
      <c r="AZ278" s="3">
        <v>7.54</v>
      </c>
      <c r="BA278" s="3">
        <v>3484</v>
      </c>
      <c r="BB278" s="3">
        <v>12.87</v>
      </c>
      <c r="BC278" s="3">
        <v>2876</v>
      </c>
      <c r="BD278" s="3">
        <v>3493</v>
      </c>
      <c r="BE278" s="3">
        <v>3464</v>
      </c>
      <c r="BG278" s="3">
        <v>7.56</v>
      </c>
      <c r="BH278" s="3">
        <v>18.02</v>
      </c>
      <c r="BI278" s="3">
        <v>17.96</v>
      </c>
      <c r="BJ278" s="3">
        <v>-1.6539999999999999</v>
      </c>
      <c r="BK278" s="3">
        <v>-1.845</v>
      </c>
      <c r="BM278" s="17">
        <v>15.61</v>
      </c>
      <c r="BN278" s="17">
        <f t="shared" si="154"/>
        <v>31.5322</v>
      </c>
      <c r="BO278" s="18">
        <f t="shared" si="164"/>
        <v>13.19</v>
      </c>
      <c r="BP278" s="18">
        <f t="shared" si="165"/>
        <v>27.6</v>
      </c>
      <c r="BR278" s="1">
        <f t="shared" si="166"/>
        <v>91.3</v>
      </c>
      <c r="BS278" s="1">
        <f t="shared" si="167"/>
        <v>54.3</v>
      </c>
      <c r="BT278" s="1">
        <f t="shared" si="168"/>
        <v>25.6</v>
      </c>
      <c r="BU278" s="60">
        <f t="shared" si="148"/>
        <v>0.42399999999999999</v>
      </c>
      <c r="BV278" s="60">
        <f t="shared" si="153"/>
        <v>1.232</v>
      </c>
      <c r="BX278" s="1">
        <v>0</v>
      </c>
      <c r="BZ278" s="1">
        <v>0</v>
      </c>
      <c r="CB278" s="17">
        <f t="shared" si="169"/>
        <v>13.19</v>
      </c>
      <c r="CC278" s="17">
        <f t="shared" si="170"/>
        <v>27.6</v>
      </c>
      <c r="CD278" s="3">
        <f t="shared" si="155"/>
        <v>8.6999999999999993</v>
      </c>
      <c r="CE278" s="3">
        <f t="shared" si="171"/>
        <v>8.1999999999999993</v>
      </c>
      <c r="CF278" s="3">
        <f t="shared" si="172"/>
        <v>7.9</v>
      </c>
      <c r="CG278" s="3">
        <f t="shared" si="173"/>
        <v>6.4</v>
      </c>
      <c r="CH278" s="3">
        <f t="shared" si="174"/>
        <v>6.6</v>
      </c>
      <c r="CI278" s="3">
        <f t="shared" si="175"/>
        <v>6.5</v>
      </c>
      <c r="CJ278" s="3">
        <f t="shared" si="176"/>
        <v>6.4</v>
      </c>
      <c r="CK278" s="27">
        <f t="shared" si="177"/>
        <v>54.3</v>
      </c>
      <c r="CL278" s="1">
        <f t="shared" si="156"/>
        <v>14.6</v>
      </c>
      <c r="CM278" s="1">
        <f t="shared" si="178"/>
        <v>18.399999999999999</v>
      </c>
      <c r="CN278" s="1">
        <f t="shared" si="179"/>
        <v>19.3</v>
      </c>
      <c r="CO278" s="1">
        <f t="shared" si="180"/>
        <v>17.100000000000001</v>
      </c>
      <c r="CP278" s="1">
        <f t="shared" si="181"/>
        <v>9.1</v>
      </c>
      <c r="CQ278" s="1">
        <f t="shared" si="182"/>
        <v>6.9</v>
      </c>
      <c r="CR278" s="1">
        <f t="shared" si="183"/>
        <v>6.9</v>
      </c>
      <c r="CS278" s="2">
        <f t="shared" si="184"/>
        <v>91.3</v>
      </c>
      <c r="CT278" s="1">
        <f t="shared" si="157"/>
        <v>-0.1</v>
      </c>
      <c r="CU278" s="1">
        <f t="shared" si="185"/>
        <v>-1.3</v>
      </c>
      <c r="CV278" s="1">
        <f t="shared" si="186"/>
        <v>-1.6</v>
      </c>
      <c r="CW278" s="1">
        <f t="shared" si="187"/>
        <v>-0.9</v>
      </c>
      <c r="CX278" s="1">
        <f t="shared" si="188"/>
        <v>4.4000000000000004</v>
      </c>
      <c r="CY278" s="1">
        <f t="shared" si="189"/>
        <v>6</v>
      </c>
      <c r="CZ278" s="1">
        <f t="shared" si="190"/>
        <v>6</v>
      </c>
      <c r="DA278" s="2">
        <f t="shared" si="158"/>
        <v>25.6</v>
      </c>
      <c r="DB278" s="20">
        <f t="shared" si="159"/>
        <v>0</v>
      </c>
      <c r="DC278" s="1">
        <f>ROUND(PPTest!K278,1)</f>
        <v>0</v>
      </c>
      <c r="DD278" s="17" t="s">
        <v>218</v>
      </c>
      <c r="DE278" s="3">
        <f t="shared" si="191"/>
        <v>6.07</v>
      </c>
      <c r="DF278" s="24">
        <f t="shared" si="160"/>
        <v>0.42399999999999999</v>
      </c>
      <c r="DG278" s="24">
        <f t="shared" si="161"/>
        <v>1.232</v>
      </c>
      <c r="DH278" s="17">
        <f t="shared" si="163"/>
        <v>12.87</v>
      </c>
      <c r="DK278" s="1">
        <v>13</v>
      </c>
      <c r="DL278" s="1">
        <v>18.200000762939453</v>
      </c>
      <c r="DM278" s="1">
        <v>9.8000001907348633</v>
      </c>
      <c r="DN278" s="20">
        <v>51.875</v>
      </c>
      <c r="DO278" s="1">
        <v>38</v>
      </c>
      <c r="DQ278" s="1">
        <v>12</v>
      </c>
      <c r="DR278" s="1">
        <v>22.2</v>
      </c>
      <c r="DS278" s="1">
        <v>1.7</v>
      </c>
    </row>
    <row r="279" spans="1:123" x14ac:dyDescent="0.2">
      <c r="A279" s="15">
        <f t="shared" si="162"/>
        <v>36798</v>
      </c>
      <c r="B279" s="1">
        <v>273</v>
      </c>
      <c r="C279" s="3">
        <v>3.6909999999999998</v>
      </c>
      <c r="D279" s="3">
        <v>7.61</v>
      </c>
      <c r="E279" s="3">
        <v>7.07</v>
      </c>
      <c r="F279" s="3">
        <v>99.6</v>
      </c>
      <c r="G279" s="3">
        <v>6.8150000000000004</v>
      </c>
      <c r="H279" s="3">
        <v>6.5389999999999997</v>
      </c>
      <c r="I279" s="3">
        <v>6.2519999999999998</v>
      </c>
      <c r="L279" s="3">
        <v>6.6639999999999997</v>
      </c>
      <c r="M279" s="3">
        <v>6.577</v>
      </c>
      <c r="N279" s="3">
        <v>6.3410000000000002</v>
      </c>
      <c r="Q279" s="3"/>
      <c r="R279" s="3">
        <v>11.01</v>
      </c>
      <c r="S279" s="3">
        <v>1526</v>
      </c>
      <c r="T279" s="3">
        <v>109.3</v>
      </c>
      <c r="U279" s="3">
        <v>629</v>
      </c>
      <c r="V279" s="3">
        <v>12.21</v>
      </c>
      <c r="W279" s="3">
        <v>12.02</v>
      </c>
      <c r="X279" s="3">
        <v>10.32</v>
      </c>
      <c r="Y279" s="3"/>
      <c r="AA279" s="3">
        <v>7.73</v>
      </c>
      <c r="AB279" s="3">
        <v>6.7309999999999999</v>
      </c>
      <c r="AC279" s="3">
        <v>6.5679999999999996</v>
      </c>
      <c r="AD279" s="3">
        <v>5.4740000000000002</v>
      </c>
      <c r="AE279" s="3">
        <v>1635</v>
      </c>
      <c r="AF279" s="3">
        <v>3.9550000000000001</v>
      </c>
      <c r="AG279" s="3">
        <v>617</v>
      </c>
      <c r="AH279" s="3">
        <v>74.400000000000006</v>
      </c>
      <c r="AI279" s="3">
        <v>24</v>
      </c>
      <c r="AJ279" s="3">
        <v>3.653</v>
      </c>
      <c r="AK279" s="3">
        <v>3.5510000000000002</v>
      </c>
      <c r="AL279" s="3">
        <v>4.12</v>
      </c>
      <c r="AO279" s="3">
        <v>5.98</v>
      </c>
      <c r="AP279" s="3">
        <v>6.3760000000000003</v>
      </c>
      <c r="AQ279" s="3">
        <v>6.1980000000000004</v>
      </c>
      <c r="AR279" s="3"/>
      <c r="AS279" s="3"/>
      <c r="AT279" s="3"/>
      <c r="AU279" s="3"/>
      <c r="AV279" s="3"/>
      <c r="AW279" s="3"/>
      <c r="AX279" s="3"/>
      <c r="AY279" s="3"/>
      <c r="AZ279" s="3">
        <v>6.3689999999999998</v>
      </c>
      <c r="BA279" s="3">
        <v>3487</v>
      </c>
      <c r="BB279" s="3">
        <v>12.86</v>
      </c>
      <c r="BC279" s="3">
        <v>2876</v>
      </c>
      <c r="BD279" s="3">
        <v>3487</v>
      </c>
      <c r="BE279" s="3">
        <v>3486</v>
      </c>
      <c r="BG279" s="3">
        <v>6.4489999999999998</v>
      </c>
      <c r="BH279" s="3">
        <v>10.4</v>
      </c>
      <c r="BI279" s="3">
        <v>10.58</v>
      </c>
      <c r="BJ279" s="3">
        <v>4.1219999999999999</v>
      </c>
      <c r="BK279" s="3">
        <v>3.9460000000000002</v>
      </c>
      <c r="BM279" s="17">
        <v>15.36</v>
      </c>
      <c r="BN279" s="17">
        <f t="shared" si="154"/>
        <v>31.027200000000001</v>
      </c>
      <c r="BO279" s="18">
        <f t="shared" si="164"/>
        <v>3.62</v>
      </c>
      <c r="BP279" s="18">
        <f t="shared" si="165"/>
        <v>8.3699999999999992</v>
      </c>
      <c r="BR279" s="1">
        <f t="shared" si="166"/>
        <v>98.1</v>
      </c>
      <c r="BS279" s="1">
        <f t="shared" si="167"/>
        <v>82.7</v>
      </c>
      <c r="BT279" s="1">
        <f t="shared" si="168"/>
        <v>59.5</v>
      </c>
      <c r="BU279" s="60">
        <f t="shared" si="148"/>
        <v>0.78100000000000003</v>
      </c>
      <c r="BV279" s="60">
        <f t="shared" si="153"/>
        <v>0.53200000000000003</v>
      </c>
      <c r="BX279" s="1">
        <v>17.8</v>
      </c>
      <c r="BZ279" s="1">
        <v>12.2</v>
      </c>
      <c r="CB279" s="17">
        <f t="shared" si="169"/>
        <v>3.62</v>
      </c>
      <c r="CC279" s="17">
        <f t="shared" si="170"/>
        <v>8.3699999999999992</v>
      </c>
      <c r="CD279" s="3">
        <f t="shared" si="155"/>
        <v>7.1</v>
      </c>
      <c r="CE279" s="3">
        <f t="shared" si="171"/>
        <v>6.8</v>
      </c>
      <c r="CF279" s="3">
        <f t="shared" si="172"/>
        <v>6.5</v>
      </c>
      <c r="CG279" s="3">
        <f t="shared" si="173"/>
        <v>6.3</v>
      </c>
      <c r="CH279" s="3">
        <f t="shared" si="174"/>
        <v>6.7</v>
      </c>
      <c r="CI279" s="3">
        <f t="shared" si="175"/>
        <v>6.6</v>
      </c>
      <c r="CJ279" s="3">
        <f t="shared" si="176"/>
        <v>6.3</v>
      </c>
      <c r="CK279" s="27">
        <f t="shared" si="177"/>
        <v>82.7</v>
      </c>
      <c r="CL279" s="1">
        <f t="shared" si="156"/>
        <v>11</v>
      </c>
      <c r="CM279" s="1">
        <f t="shared" si="178"/>
        <v>12.2</v>
      </c>
      <c r="CN279" s="1">
        <f t="shared" si="179"/>
        <v>12</v>
      </c>
      <c r="CO279" s="1">
        <f t="shared" si="180"/>
        <v>10.3</v>
      </c>
      <c r="CP279" s="1">
        <f t="shared" si="181"/>
        <v>7.7</v>
      </c>
      <c r="CQ279" s="1">
        <f t="shared" si="182"/>
        <v>6.7</v>
      </c>
      <c r="CR279" s="1">
        <f t="shared" si="183"/>
        <v>6.6</v>
      </c>
      <c r="CS279" s="2">
        <f t="shared" si="184"/>
        <v>98.1</v>
      </c>
      <c r="CT279" s="1">
        <f t="shared" si="157"/>
        <v>4</v>
      </c>
      <c r="CU279" s="1">
        <f t="shared" si="185"/>
        <v>3.7</v>
      </c>
      <c r="CV279" s="1">
        <f t="shared" si="186"/>
        <v>3.6</v>
      </c>
      <c r="CW279" s="1">
        <f t="shared" si="187"/>
        <v>4.0999999999999996</v>
      </c>
      <c r="CX279" s="1">
        <f t="shared" si="188"/>
        <v>6</v>
      </c>
      <c r="CY279" s="1">
        <f t="shared" si="189"/>
        <v>6.4</v>
      </c>
      <c r="CZ279" s="1">
        <f t="shared" si="190"/>
        <v>6.2</v>
      </c>
      <c r="DA279" s="2">
        <f t="shared" si="158"/>
        <v>59.5</v>
      </c>
      <c r="DB279" s="20">
        <f t="shared" si="159"/>
        <v>0</v>
      </c>
      <c r="DC279" s="1">
        <f>ROUND(PPTest!K279,1)</f>
        <v>18.7</v>
      </c>
      <c r="DD279" s="17" t="s">
        <v>218</v>
      </c>
      <c r="DE279" s="3">
        <f t="shared" si="191"/>
        <v>5.47</v>
      </c>
      <c r="DF279" s="24">
        <f t="shared" si="160"/>
        <v>0.78100000000000003</v>
      </c>
      <c r="DG279" s="24">
        <f t="shared" si="161"/>
        <v>0.53200000000000003</v>
      </c>
      <c r="DH279" s="17">
        <f t="shared" si="163"/>
        <v>12.86</v>
      </c>
      <c r="DK279" s="1">
        <v>8.9</v>
      </c>
      <c r="DL279" s="1">
        <v>12.5</v>
      </c>
      <c r="DM279" s="1">
        <v>6.8000001907348633</v>
      </c>
      <c r="DN279" s="20">
        <v>91.666666666666671</v>
      </c>
      <c r="DO279" s="1">
        <v>72</v>
      </c>
      <c r="DQ279" s="1">
        <v>12.5</v>
      </c>
      <c r="DR279" s="1">
        <v>16.3</v>
      </c>
      <c r="DS279" s="1">
        <v>8.6999999999999993</v>
      </c>
    </row>
    <row r="280" spans="1:123" x14ac:dyDescent="0.2">
      <c r="A280" s="15">
        <f t="shared" si="162"/>
        <v>36799</v>
      </c>
      <c r="B280" s="1">
        <v>274</v>
      </c>
      <c r="C280" s="3">
        <v>13.02</v>
      </c>
      <c r="D280" s="3">
        <v>23.46</v>
      </c>
      <c r="E280" s="3">
        <v>6.7329999999999997</v>
      </c>
      <c r="F280" s="3">
        <v>94.3</v>
      </c>
      <c r="G280" s="3">
        <v>6.5419999999999998</v>
      </c>
      <c r="H280" s="3">
        <v>6.3789999999999996</v>
      </c>
      <c r="I280" s="3">
        <v>6.375</v>
      </c>
      <c r="L280" s="3">
        <v>7.54</v>
      </c>
      <c r="M280" s="3">
        <v>6.7009999999999996</v>
      </c>
      <c r="N280" s="3">
        <v>6.3209999999999997</v>
      </c>
      <c r="Q280" s="3"/>
      <c r="R280" s="3">
        <v>10.5</v>
      </c>
      <c r="S280" s="3">
        <v>1636</v>
      </c>
      <c r="T280" s="3">
        <v>108.9</v>
      </c>
      <c r="U280" s="3">
        <v>2354</v>
      </c>
      <c r="V280" s="3">
        <v>13.51</v>
      </c>
      <c r="W280" s="3">
        <v>15.51</v>
      </c>
      <c r="X280" s="3">
        <v>12.8</v>
      </c>
      <c r="Y280" s="3"/>
      <c r="AA280" s="3">
        <v>10.29</v>
      </c>
      <c r="AB280" s="3">
        <v>7.06</v>
      </c>
      <c r="AC280" s="3">
        <v>6.827</v>
      </c>
      <c r="AD280" s="3">
        <v>9.1199999999999992</v>
      </c>
      <c r="AE280" s="3">
        <v>901</v>
      </c>
      <c r="AF280" s="3">
        <v>-0.32600000000000001</v>
      </c>
      <c r="AG280" s="3">
        <v>2247</v>
      </c>
      <c r="AH280" s="3">
        <v>63.65</v>
      </c>
      <c r="AI280" s="3">
        <v>1428</v>
      </c>
      <c r="AJ280" s="3">
        <v>-1.1559999999999999</v>
      </c>
      <c r="AK280" s="3">
        <v>-1.673</v>
      </c>
      <c r="AL280" s="3">
        <v>0.56100000000000005</v>
      </c>
      <c r="AO280" s="3">
        <v>5.827</v>
      </c>
      <c r="AP280" s="3">
        <v>6.3849999999999998</v>
      </c>
      <c r="AQ280" s="3">
        <v>5.9080000000000004</v>
      </c>
      <c r="AR280" s="3"/>
      <c r="AS280" s="3"/>
      <c r="AT280" s="3"/>
      <c r="AU280" s="3"/>
      <c r="AV280" s="3"/>
      <c r="AW280" s="3"/>
      <c r="AX280" s="3"/>
      <c r="AY280" s="3"/>
      <c r="AZ280" s="3">
        <v>7.02</v>
      </c>
      <c r="BA280" s="3">
        <v>3486</v>
      </c>
      <c r="BB280" s="3">
        <v>12.86</v>
      </c>
      <c r="BC280" s="3">
        <v>2876</v>
      </c>
      <c r="BD280" s="3">
        <v>3486</v>
      </c>
      <c r="BE280" s="3">
        <v>3485</v>
      </c>
      <c r="BG280" s="3">
        <v>7.27</v>
      </c>
      <c r="BH280" s="3">
        <v>13.85</v>
      </c>
      <c r="BI280" s="3">
        <v>13.77</v>
      </c>
      <c r="BJ280" s="3">
        <v>-0.89300000000000002</v>
      </c>
      <c r="BK280" s="3">
        <v>-1.161</v>
      </c>
      <c r="BM280" s="17">
        <v>15.12</v>
      </c>
      <c r="BN280" s="17">
        <f t="shared" si="154"/>
        <v>30.542399999999997</v>
      </c>
      <c r="BO280" s="18">
        <f t="shared" si="164"/>
        <v>12.76</v>
      </c>
      <c r="BP280" s="18">
        <f t="shared" si="165"/>
        <v>25.81</v>
      </c>
      <c r="BR280" s="1">
        <f t="shared" si="166"/>
        <v>97.5</v>
      </c>
      <c r="BS280" s="1">
        <f t="shared" si="167"/>
        <v>77</v>
      </c>
      <c r="BT280" s="1">
        <f t="shared" si="168"/>
        <v>50</v>
      </c>
      <c r="BU280" s="60">
        <f t="shared" si="148"/>
        <v>0.63500000000000001</v>
      </c>
      <c r="BV280" s="60">
        <f t="shared" si="153"/>
        <v>0.63500000000000001</v>
      </c>
      <c r="BX280" s="1">
        <v>2.5</v>
      </c>
      <c r="BZ280" s="1">
        <v>7.2000000000000011</v>
      </c>
      <c r="CB280" s="17">
        <f t="shared" si="169"/>
        <v>12.76</v>
      </c>
      <c r="CC280" s="17">
        <f t="shared" si="170"/>
        <v>25.81</v>
      </c>
      <c r="CD280" s="3">
        <f t="shared" si="155"/>
        <v>6.7</v>
      </c>
      <c r="CE280" s="3">
        <f t="shared" si="171"/>
        <v>6.5</v>
      </c>
      <c r="CF280" s="3">
        <f t="shared" si="172"/>
        <v>6.4</v>
      </c>
      <c r="CG280" s="3">
        <f t="shared" si="173"/>
        <v>6.4</v>
      </c>
      <c r="CH280" s="3">
        <f t="shared" si="174"/>
        <v>7.5</v>
      </c>
      <c r="CI280" s="3">
        <f t="shared" si="175"/>
        <v>6.7</v>
      </c>
      <c r="CJ280" s="3">
        <f t="shared" si="176"/>
        <v>6.3</v>
      </c>
      <c r="CK280" s="27">
        <f t="shared" si="177"/>
        <v>77</v>
      </c>
      <c r="CL280" s="1">
        <f t="shared" si="156"/>
        <v>10.5</v>
      </c>
      <c r="CM280" s="1">
        <f t="shared" si="178"/>
        <v>13.5</v>
      </c>
      <c r="CN280" s="1">
        <f t="shared" si="179"/>
        <v>15.5</v>
      </c>
      <c r="CO280" s="1">
        <f t="shared" si="180"/>
        <v>12.8</v>
      </c>
      <c r="CP280" s="1">
        <f t="shared" si="181"/>
        <v>10.3</v>
      </c>
      <c r="CQ280" s="1">
        <f t="shared" si="182"/>
        <v>7.1</v>
      </c>
      <c r="CR280" s="1">
        <f t="shared" si="183"/>
        <v>6.8</v>
      </c>
      <c r="CS280" s="2">
        <f t="shared" si="184"/>
        <v>97.5</v>
      </c>
      <c r="CT280" s="1">
        <f t="shared" si="157"/>
        <v>-0.3</v>
      </c>
      <c r="CU280" s="1">
        <f t="shared" si="185"/>
        <v>-1.2</v>
      </c>
      <c r="CV280" s="1">
        <f t="shared" si="186"/>
        <v>-1.7</v>
      </c>
      <c r="CW280" s="1">
        <f t="shared" si="187"/>
        <v>0.6</v>
      </c>
      <c r="CX280" s="1">
        <f t="shared" si="188"/>
        <v>5.8</v>
      </c>
      <c r="CY280" s="1">
        <f t="shared" si="189"/>
        <v>6.4</v>
      </c>
      <c r="CZ280" s="1">
        <f t="shared" si="190"/>
        <v>5.9</v>
      </c>
      <c r="DA280" s="2">
        <f t="shared" si="158"/>
        <v>50</v>
      </c>
      <c r="DB280" s="20">
        <f t="shared" si="159"/>
        <v>0</v>
      </c>
      <c r="DC280" s="1">
        <f>ROUND(PPTest!K280,1)</f>
        <v>2.6</v>
      </c>
      <c r="DD280" s="17" t="s">
        <v>218</v>
      </c>
      <c r="DE280" s="3">
        <f t="shared" si="191"/>
        <v>9.1199999999999992</v>
      </c>
      <c r="DF280" s="24">
        <f t="shared" si="160"/>
        <v>0.63500000000000001</v>
      </c>
      <c r="DG280" s="24">
        <f t="shared" si="161"/>
        <v>0.63500000000000001</v>
      </c>
      <c r="DH280" s="17">
        <f t="shared" si="163"/>
        <v>12.86</v>
      </c>
      <c r="DK280" s="1">
        <v>8.5</v>
      </c>
      <c r="DL280" s="1">
        <v>12.800000190734863</v>
      </c>
      <c r="DM280" s="1">
        <v>4.3000001907348633</v>
      </c>
      <c r="DN280" s="20">
        <v>86.291666666666671</v>
      </c>
      <c r="DO280" s="1">
        <v>56</v>
      </c>
      <c r="DQ280" s="1">
        <v>13.8</v>
      </c>
      <c r="DR280" s="1">
        <v>21.4</v>
      </c>
      <c r="DS280" s="1">
        <v>6.2</v>
      </c>
    </row>
    <row r="281" spans="1:123" x14ac:dyDescent="0.2">
      <c r="A281" s="15">
        <f t="shared" si="162"/>
        <v>36800</v>
      </c>
      <c r="B281" s="1">
        <v>275</v>
      </c>
      <c r="C281" s="3">
        <v>12.92</v>
      </c>
      <c r="D281" s="3">
        <v>23.12</v>
      </c>
      <c r="E281" s="3">
        <v>1.569</v>
      </c>
      <c r="F281" s="3">
        <v>93.3</v>
      </c>
      <c r="G281" s="3">
        <v>1.4730000000000001</v>
      </c>
      <c r="H281" s="3">
        <v>1.3979999999999999</v>
      </c>
      <c r="I281" s="3">
        <v>2.9020000000000001</v>
      </c>
      <c r="L281" s="3">
        <v>5.7889999999999997</v>
      </c>
      <c r="M281" s="3">
        <v>6.5430000000000001</v>
      </c>
      <c r="N281" s="3">
        <v>6.351</v>
      </c>
      <c r="Q281" s="3"/>
      <c r="R281" s="3">
        <v>6.4470000000000001</v>
      </c>
      <c r="S281" s="3">
        <v>1333</v>
      </c>
      <c r="T281" s="3">
        <v>109.4</v>
      </c>
      <c r="U281" s="3">
        <v>357</v>
      </c>
      <c r="V281" s="3">
        <v>9.44</v>
      </c>
      <c r="W281" s="3">
        <v>11.19</v>
      </c>
      <c r="X281" s="3">
        <v>11.51</v>
      </c>
      <c r="Y281" s="3"/>
      <c r="AA281" s="3">
        <v>8.34</v>
      </c>
      <c r="AB281" s="3">
        <v>6.9729999999999999</v>
      </c>
      <c r="AC281" s="3">
        <v>6.81</v>
      </c>
      <c r="AD281" s="3">
        <v>4.9020000000000001</v>
      </c>
      <c r="AE281" s="3">
        <v>1209</v>
      </c>
      <c r="AF281" s="3">
        <v>-2.085</v>
      </c>
      <c r="AG281" s="3">
        <v>320</v>
      </c>
      <c r="AH281" s="3">
        <v>59.19</v>
      </c>
      <c r="AI281" s="3">
        <v>1340</v>
      </c>
      <c r="AJ281" s="3">
        <v>-2.8969999999999998</v>
      </c>
      <c r="AK281" s="3">
        <v>-3.4049999999999998</v>
      </c>
      <c r="AL281" s="3">
        <v>-1.31</v>
      </c>
      <c r="AO281" s="3">
        <v>4.4340000000000002</v>
      </c>
      <c r="AP281" s="3">
        <v>6.04</v>
      </c>
      <c r="AQ281" s="3">
        <v>5.992</v>
      </c>
      <c r="AR281" s="3"/>
      <c r="AS281" s="3"/>
      <c r="AT281" s="3"/>
      <c r="AU281" s="3"/>
      <c r="AV281" s="3"/>
      <c r="AW281" s="3"/>
      <c r="AX281" s="3"/>
      <c r="AY281" s="3"/>
      <c r="AZ281" s="3">
        <v>1.736</v>
      </c>
      <c r="BA281" s="3">
        <v>3488</v>
      </c>
      <c r="BB281" s="3">
        <v>12.85</v>
      </c>
      <c r="BC281" s="3">
        <v>2876</v>
      </c>
      <c r="BD281" s="3">
        <v>3488</v>
      </c>
      <c r="BE281" s="3">
        <v>3487</v>
      </c>
      <c r="BG281" s="3">
        <v>1.875</v>
      </c>
      <c r="BH281" s="3">
        <v>10.58</v>
      </c>
      <c r="BI281" s="3">
        <v>10.35</v>
      </c>
      <c r="BJ281" s="3">
        <v>-2.516</v>
      </c>
      <c r="BK281" s="3">
        <v>-2.81</v>
      </c>
      <c r="BM281" s="17">
        <v>14.87</v>
      </c>
      <c r="BN281" s="17">
        <f t="shared" si="154"/>
        <v>30.037399999999998</v>
      </c>
      <c r="BO281" s="18">
        <f t="shared" si="164"/>
        <v>12.66</v>
      </c>
      <c r="BP281" s="18">
        <f t="shared" si="165"/>
        <v>25.43</v>
      </c>
      <c r="BR281" s="1">
        <f t="shared" si="166"/>
        <v>98.2</v>
      </c>
      <c r="BS281" s="1">
        <f t="shared" si="167"/>
        <v>76.099999999999994</v>
      </c>
      <c r="BT281" s="1">
        <f t="shared" si="168"/>
        <v>46.1</v>
      </c>
      <c r="BU281" s="60">
        <f t="shared" si="148"/>
        <v>0.44400000000000001</v>
      </c>
      <c r="BV281" s="60">
        <f t="shared" si="153"/>
        <v>0.51900000000000002</v>
      </c>
      <c r="BX281" s="1">
        <v>1.1000000000000001</v>
      </c>
      <c r="BZ281" s="1">
        <v>0</v>
      </c>
      <c r="CB281" s="17">
        <f t="shared" si="169"/>
        <v>12.66</v>
      </c>
      <c r="CC281" s="17">
        <f t="shared" si="170"/>
        <v>25.43</v>
      </c>
      <c r="CD281" s="3">
        <f t="shared" si="155"/>
        <v>1.6</v>
      </c>
      <c r="CE281" s="3">
        <f t="shared" si="171"/>
        <v>1.5</v>
      </c>
      <c r="CF281" s="3">
        <f t="shared" si="172"/>
        <v>1.4</v>
      </c>
      <c r="CG281" s="3">
        <f t="shared" si="173"/>
        <v>2.9</v>
      </c>
      <c r="CH281" s="3">
        <f t="shared" si="174"/>
        <v>5.8</v>
      </c>
      <c r="CI281" s="3">
        <f t="shared" si="175"/>
        <v>6.5</v>
      </c>
      <c r="CJ281" s="3">
        <f t="shared" si="176"/>
        <v>6.4</v>
      </c>
      <c r="CK281" s="27">
        <f t="shared" si="177"/>
        <v>76.099999999999994</v>
      </c>
      <c r="CL281" s="1">
        <f t="shared" si="156"/>
        <v>6.4</v>
      </c>
      <c r="CM281" s="1">
        <f t="shared" si="178"/>
        <v>9.4</v>
      </c>
      <c r="CN281" s="1">
        <f t="shared" si="179"/>
        <v>11.2</v>
      </c>
      <c r="CO281" s="1">
        <f t="shared" si="180"/>
        <v>11.5</v>
      </c>
      <c r="CP281" s="1">
        <f t="shared" si="181"/>
        <v>8.3000000000000007</v>
      </c>
      <c r="CQ281" s="1">
        <f t="shared" si="182"/>
        <v>7</v>
      </c>
      <c r="CR281" s="1">
        <f t="shared" si="183"/>
        <v>6.8</v>
      </c>
      <c r="CS281" s="2">
        <f t="shared" si="184"/>
        <v>98.2</v>
      </c>
      <c r="CT281" s="1">
        <f t="shared" si="157"/>
        <v>-2.1</v>
      </c>
      <c r="CU281" s="1">
        <f t="shared" si="185"/>
        <v>-2.9</v>
      </c>
      <c r="CV281" s="1">
        <f t="shared" si="186"/>
        <v>-3.4</v>
      </c>
      <c r="CW281" s="1">
        <f t="shared" si="187"/>
        <v>-1.3</v>
      </c>
      <c r="CX281" s="1">
        <f t="shared" si="188"/>
        <v>4.4000000000000004</v>
      </c>
      <c r="CY281" s="1">
        <f t="shared" si="189"/>
        <v>6</v>
      </c>
      <c r="CZ281" s="1">
        <f t="shared" si="190"/>
        <v>6</v>
      </c>
      <c r="DA281" s="2">
        <f t="shared" si="158"/>
        <v>46.1</v>
      </c>
      <c r="DB281" s="20">
        <f t="shared" si="159"/>
        <v>0</v>
      </c>
      <c r="DC281" s="1">
        <f>ROUND(PPTest!K281,1)</f>
        <v>1.2</v>
      </c>
      <c r="DD281" s="17" t="s">
        <v>218</v>
      </c>
      <c r="DE281" s="3">
        <f t="shared" si="191"/>
        <v>4.9000000000000004</v>
      </c>
      <c r="DF281" s="24">
        <f t="shared" si="160"/>
        <v>0.44400000000000001</v>
      </c>
      <c r="DG281" s="24">
        <f t="shared" si="161"/>
        <v>0.51900000000000002</v>
      </c>
      <c r="DH281" s="17">
        <f t="shared" si="163"/>
        <v>12.85</v>
      </c>
      <c r="DK281" s="1">
        <v>5.0999999999999996</v>
      </c>
      <c r="DL281" s="1">
        <v>9.1000003814697266</v>
      </c>
      <c r="DM281" s="1">
        <v>2.2000000476837158</v>
      </c>
      <c r="DN281" s="20">
        <v>79.916666666666671</v>
      </c>
      <c r="DO281" s="1">
        <v>50</v>
      </c>
      <c r="DQ281" s="1">
        <v>11.8</v>
      </c>
      <c r="DR281" s="1">
        <v>19.3</v>
      </c>
      <c r="DS281" s="1">
        <v>4.2</v>
      </c>
    </row>
    <row r="282" spans="1:123" x14ac:dyDescent="0.2">
      <c r="A282" s="15">
        <f t="shared" si="162"/>
        <v>36801</v>
      </c>
      <c r="B282" s="1">
        <v>276</v>
      </c>
      <c r="C282" s="3">
        <v>7.29</v>
      </c>
      <c r="D282" s="3">
        <v>13.24</v>
      </c>
      <c r="E282" s="3">
        <v>0.25700000000000001</v>
      </c>
      <c r="F282" s="3">
        <v>101.5</v>
      </c>
      <c r="G282" s="3">
        <v>0.159</v>
      </c>
      <c r="H282" s="3">
        <v>0.113</v>
      </c>
      <c r="I282" s="3">
        <v>1.9139999999999999</v>
      </c>
      <c r="L282" s="3">
        <v>4.774</v>
      </c>
      <c r="M282" s="3">
        <v>5.99</v>
      </c>
      <c r="N282" s="3">
        <v>6.367</v>
      </c>
      <c r="Q282" s="3"/>
      <c r="R282" s="3">
        <v>3.8759999999999999</v>
      </c>
      <c r="S282" s="3">
        <v>1311</v>
      </c>
      <c r="T282" s="3">
        <v>109.4</v>
      </c>
      <c r="U282" s="3">
        <v>2213</v>
      </c>
      <c r="V282" s="3">
        <v>6.7460000000000004</v>
      </c>
      <c r="W282" s="3">
        <v>8.91</v>
      </c>
      <c r="X282" s="3">
        <v>7.48</v>
      </c>
      <c r="Y282" s="3"/>
      <c r="AA282" s="3">
        <v>6.3949999999999996</v>
      </c>
      <c r="AB282" s="3">
        <v>6.3929999999999998</v>
      </c>
      <c r="AC282" s="3">
        <v>6.7530000000000001</v>
      </c>
      <c r="AD282" s="3">
        <v>4.4240000000000004</v>
      </c>
      <c r="AE282" s="3">
        <v>1349</v>
      </c>
      <c r="AF282" s="3">
        <v>-3.5449999999999999</v>
      </c>
      <c r="AG282" s="3">
        <v>0</v>
      </c>
      <c r="AH282" s="3">
        <v>75.400000000000006</v>
      </c>
      <c r="AI282" s="3">
        <v>1130</v>
      </c>
      <c r="AJ282" s="3">
        <v>-4.4749999999999996</v>
      </c>
      <c r="AK282" s="3">
        <v>-5.5960000000000001</v>
      </c>
      <c r="AL282" s="3">
        <v>-3.4239999999999999</v>
      </c>
      <c r="AO282" s="3">
        <v>3.5590000000000002</v>
      </c>
      <c r="AP282" s="3">
        <v>5.548</v>
      </c>
      <c r="AQ282" s="3">
        <v>6.0529999999999999</v>
      </c>
      <c r="AR282" s="3"/>
      <c r="AS282" s="3"/>
      <c r="AT282" s="3"/>
      <c r="AU282" s="3"/>
      <c r="AV282" s="3"/>
      <c r="AW282" s="3"/>
      <c r="AX282" s="3"/>
      <c r="AY282" s="3"/>
      <c r="AZ282" s="3">
        <v>0.57699999999999996</v>
      </c>
      <c r="BA282" s="3">
        <v>3492</v>
      </c>
      <c r="BB282" s="3">
        <v>12.84</v>
      </c>
      <c r="BC282" s="3">
        <v>2876</v>
      </c>
      <c r="BD282" s="3">
        <v>3493</v>
      </c>
      <c r="BE282" s="3">
        <v>3490</v>
      </c>
      <c r="BG282" s="3">
        <v>0.76500000000000001</v>
      </c>
      <c r="BH282" s="3">
        <v>6.5389999999999997</v>
      </c>
      <c r="BI282" s="3">
        <v>6.6639999999999997</v>
      </c>
      <c r="BJ282" s="3">
        <v>-4.6689999999999996</v>
      </c>
      <c r="BK282" s="3">
        <v>-5.2750000000000004</v>
      </c>
      <c r="BM282" s="17">
        <v>14.63</v>
      </c>
      <c r="BN282" s="17">
        <f t="shared" si="154"/>
        <v>29.552600000000002</v>
      </c>
      <c r="BO282" s="18">
        <f t="shared" si="164"/>
        <v>7.14</v>
      </c>
      <c r="BP282" s="18">
        <f t="shared" si="165"/>
        <v>14.56</v>
      </c>
      <c r="BR282" s="1">
        <f t="shared" si="166"/>
        <v>98.2</v>
      </c>
      <c r="BS282" s="1">
        <f t="shared" si="167"/>
        <v>85.7</v>
      </c>
      <c r="BT282" s="1">
        <f t="shared" si="168"/>
        <v>60.4</v>
      </c>
      <c r="BU282" s="60">
        <f t="shared" si="148"/>
        <v>0.48699999999999999</v>
      </c>
      <c r="BV282" s="60">
        <f t="shared" si="153"/>
        <v>0.31900000000000001</v>
      </c>
      <c r="BX282" s="1">
        <v>0.3</v>
      </c>
      <c r="BZ282" s="1">
        <v>0.30000000000000004</v>
      </c>
      <c r="CB282" s="17">
        <f t="shared" si="169"/>
        <v>7.14</v>
      </c>
      <c r="CC282" s="17">
        <f t="shared" si="170"/>
        <v>14.56</v>
      </c>
      <c r="CD282" s="3">
        <f t="shared" si="155"/>
        <v>0.3</v>
      </c>
      <c r="CE282" s="3">
        <f t="shared" si="171"/>
        <v>0.2</v>
      </c>
      <c r="CF282" s="3">
        <f t="shared" si="172"/>
        <v>0.1</v>
      </c>
      <c r="CG282" s="3">
        <f t="shared" si="173"/>
        <v>1.9</v>
      </c>
      <c r="CH282" s="3">
        <f t="shared" si="174"/>
        <v>4.8</v>
      </c>
      <c r="CI282" s="3">
        <f t="shared" si="175"/>
        <v>6</v>
      </c>
      <c r="CJ282" s="3">
        <f t="shared" si="176"/>
        <v>6.4</v>
      </c>
      <c r="CK282" s="27">
        <f t="shared" si="177"/>
        <v>85.7</v>
      </c>
      <c r="CL282" s="1">
        <f t="shared" si="156"/>
        <v>3.9</v>
      </c>
      <c r="CM282" s="1">
        <f t="shared" si="178"/>
        <v>6.7</v>
      </c>
      <c r="CN282" s="1">
        <f t="shared" si="179"/>
        <v>8.9</v>
      </c>
      <c r="CO282" s="1">
        <f t="shared" si="180"/>
        <v>7.5</v>
      </c>
      <c r="CP282" s="1">
        <f t="shared" si="181"/>
        <v>6.4</v>
      </c>
      <c r="CQ282" s="1">
        <f t="shared" si="182"/>
        <v>6.4</v>
      </c>
      <c r="CR282" s="1">
        <f t="shared" si="183"/>
        <v>6.8</v>
      </c>
      <c r="CS282" s="2">
        <f t="shared" si="184"/>
        <v>98.2</v>
      </c>
      <c r="CT282" s="1">
        <f t="shared" si="157"/>
        <v>-3.5</v>
      </c>
      <c r="CU282" s="1">
        <f t="shared" si="185"/>
        <v>-4.5</v>
      </c>
      <c r="CV282" s="1">
        <f t="shared" si="186"/>
        <v>-5.6</v>
      </c>
      <c r="CW282" s="1">
        <f t="shared" si="187"/>
        <v>-3.4</v>
      </c>
      <c r="CX282" s="1">
        <f t="shared" si="188"/>
        <v>3.6</v>
      </c>
      <c r="CY282" s="1">
        <f t="shared" si="189"/>
        <v>5.5</v>
      </c>
      <c r="CZ282" s="1">
        <f t="shared" si="190"/>
        <v>6.1</v>
      </c>
      <c r="DA282" s="2">
        <f t="shared" si="158"/>
        <v>60.4</v>
      </c>
      <c r="DB282" s="20">
        <f t="shared" si="159"/>
        <v>0</v>
      </c>
      <c r="DC282" s="1">
        <f>ROUND(PPTest!K282,1)</f>
        <v>0.3</v>
      </c>
      <c r="DD282" s="17" t="s">
        <v>218</v>
      </c>
      <c r="DE282" s="3">
        <f t="shared" si="191"/>
        <v>4.42</v>
      </c>
      <c r="DF282" s="24">
        <f t="shared" si="160"/>
        <v>0.48699999999999999</v>
      </c>
      <c r="DG282" s="24">
        <f t="shared" si="161"/>
        <v>0.31900000000000001</v>
      </c>
      <c r="DH282" s="17">
        <f t="shared" si="163"/>
        <v>12.84</v>
      </c>
      <c r="DK282" s="1">
        <v>2.6</v>
      </c>
      <c r="DL282" s="1">
        <v>6.8000001907348633</v>
      </c>
      <c r="DM282" s="1">
        <v>-0.20000000298023224</v>
      </c>
      <c r="DN282" s="20">
        <v>93.291666666666671</v>
      </c>
      <c r="DO282" s="1">
        <v>72</v>
      </c>
      <c r="DQ282" s="1">
        <v>9.6999999999999993</v>
      </c>
      <c r="DR282" s="1">
        <v>16.100000000000001</v>
      </c>
      <c r="DS282" s="1">
        <v>3.2</v>
      </c>
    </row>
    <row r="283" spans="1:123" x14ac:dyDescent="0.2">
      <c r="A283" s="15">
        <f t="shared" si="162"/>
        <v>36802</v>
      </c>
      <c r="B283" s="1">
        <v>277</v>
      </c>
      <c r="C283" s="3">
        <v>11.51</v>
      </c>
      <c r="D283" s="3">
        <v>20.51</v>
      </c>
      <c r="E283" s="3">
        <v>-0.95299999999999996</v>
      </c>
      <c r="F283" s="3">
        <v>91.2</v>
      </c>
      <c r="G283" s="3">
        <v>-1.1080000000000001</v>
      </c>
      <c r="H283" s="3">
        <v>-1.2310000000000001</v>
      </c>
      <c r="I283" s="3">
        <v>0.2</v>
      </c>
      <c r="L283" s="3">
        <v>3.7679999999999998</v>
      </c>
      <c r="M283" s="3">
        <v>5.3810000000000002</v>
      </c>
      <c r="N283" s="3">
        <v>6.2949999999999999</v>
      </c>
      <c r="Q283" s="3"/>
      <c r="R283" s="3">
        <v>4.0759999999999996</v>
      </c>
      <c r="S283" s="3">
        <v>1305</v>
      </c>
      <c r="T283" s="3">
        <v>109.3</v>
      </c>
      <c r="U283" s="3">
        <v>228</v>
      </c>
      <c r="V283" s="3">
        <v>8.06</v>
      </c>
      <c r="W283" s="3">
        <v>10.31</v>
      </c>
      <c r="X283" s="3">
        <v>5.9160000000000004</v>
      </c>
      <c r="Y283" s="3"/>
      <c r="AA283" s="3">
        <v>5.83</v>
      </c>
      <c r="AB283" s="3">
        <v>5.7949999999999999</v>
      </c>
      <c r="AC283" s="3">
        <v>6.7320000000000002</v>
      </c>
      <c r="AD283" s="3">
        <v>4.4240000000000004</v>
      </c>
      <c r="AE283" s="3">
        <v>1153</v>
      </c>
      <c r="AF283" s="3">
        <v>-6.2480000000000002</v>
      </c>
      <c r="AG283" s="3">
        <v>604</v>
      </c>
      <c r="AH283" s="3">
        <v>54.41</v>
      </c>
      <c r="AI283" s="3">
        <v>1203</v>
      </c>
      <c r="AJ283" s="3">
        <v>-7.11</v>
      </c>
      <c r="AK283" s="3">
        <v>-7.71</v>
      </c>
      <c r="AL283" s="3">
        <v>-5.077</v>
      </c>
      <c r="AO283" s="3">
        <v>2.42</v>
      </c>
      <c r="AP283" s="3">
        <v>4.843</v>
      </c>
      <c r="AQ283" s="3">
        <v>5.8689999999999998</v>
      </c>
      <c r="AR283" s="3"/>
      <c r="AS283" s="3"/>
      <c r="AT283" s="3"/>
      <c r="AU283" s="3"/>
      <c r="AV283" s="3"/>
      <c r="AW283" s="3"/>
      <c r="AX283" s="3"/>
      <c r="AY283" s="3"/>
      <c r="AZ283" s="3">
        <v>-1.06</v>
      </c>
      <c r="BA283" s="3">
        <v>3486</v>
      </c>
      <c r="BB283" s="3">
        <v>12.84</v>
      </c>
      <c r="BC283" s="3">
        <v>2876</v>
      </c>
      <c r="BD283" s="3">
        <v>3486</v>
      </c>
      <c r="BE283" s="3">
        <v>3485</v>
      </c>
      <c r="BG283" s="3">
        <v>-0.99099999999999999</v>
      </c>
      <c r="BH283" s="3">
        <v>8.76</v>
      </c>
      <c r="BI283" s="3">
        <v>8.81</v>
      </c>
      <c r="BJ283" s="3">
        <v>-7.37</v>
      </c>
      <c r="BK283" s="3">
        <v>-7.62</v>
      </c>
      <c r="BM283" s="17">
        <v>14.38</v>
      </c>
      <c r="BN283" s="17">
        <f t="shared" si="154"/>
        <v>29.047600000000003</v>
      </c>
      <c r="BO283" s="18">
        <f t="shared" si="164"/>
        <v>11.28</v>
      </c>
      <c r="BP283" s="18">
        <f t="shared" si="165"/>
        <v>22.56</v>
      </c>
      <c r="BR283" s="1">
        <f t="shared" si="166"/>
        <v>98.1</v>
      </c>
      <c r="BS283" s="1">
        <f t="shared" si="167"/>
        <v>74.3</v>
      </c>
      <c r="BT283" s="1">
        <f t="shared" si="168"/>
        <v>41.9</v>
      </c>
      <c r="BU283" s="60">
        <f t="shared" si="148"/>
        <v>0.34200000000000003</v>
      </c>
      <c r="BV283" s="60">
        <f t="shared" si="153"/>
        <v>0.47399999999999998</v>
      </c>
      <c r="BX283" s="1">
        <v>0.6</v>
      </c>
      <c r="BZ283" s="1">
        <v>0.19999999999999982</v>
      </c>
      <c r="CB283" s="17">
        <f t="shared" si="169"/>
        <v>11.28</v>
      </c>
      <c r="CC283" s="17">
        <f t="shared" si="170"/>
        <v>22.56</v>
      </c>
      <c r="CD283" s="3">
        <f t="shared" si="155"/>
        <v>-1</v>
      </c>
      <c r="CE283" s="3">
        <f t="shared" si="171"/>
        <v>-1.1000000000000001</v>
      </c>
      <c r="CF283" s="3">
        <f t="shared" si="172"/>
        <v>-1.2</v>
      </c>
      <c r="CG283" s="3">
        <f t="shared" si="173"/>
        <v>0.2</v>
      </c>
      <c r="CH283" s="3">
        <f t="shared" si="174"/>
        <v>3.8</v>
      </c>
      <c r="CI283" s="3">
        <f t="shared" si="175"/>
        <v>5.4</v>
      </c>
      <c r="CJ283" s="3">
        <f t="shared" si="176"/>
        <v>6.3</v>
      </c>
      <c r="CK283" s="27">
        <f t="shared" si="177"/>
        <v>74.3</v>
      </c>
      <c r="CL283" s="1">
        <f t="shared" si="156"/>
        <v>4.0999999999999996</v>
      </c>
      <c r="CM283" s="1">
        <f t="shared" si="178"/>
        <v>8.1</v>
      </c>
      <c r="CN283" s="1">
        <f t="shared" si="179"/>
        <v>10.3</v>
      </c>
      <c r="CO283" s="1">
        <f t="shared" si="180"/>
        <v>5.9</v>
      </c>
      <c r="CP283" s="1">
        <f t="shared" si="181"/>
        <v>5.8</v>
      </c>
      <c r="CQ283" s="1">
        <f t="shared" si="182"/>
        <v>5.8</v>
      </c>
      <c r="CR283" s="1">
        <f t="shared" si="183"/>
        <v>6.7</v>
      </c>
      <c r="CS283" s="2">
        <f t="shared" si="184"/>
        <v>98.1</v>
      </c>
      <c r="CT283" s="1">
        <f t="shared" si="157"/>
        <v>-6.2</v>
      </c>
      <c r="CU283" s="1">
        <f t="shared" si="185"/>
        <v>-7.1</v>
      </c>
      <c r="CV283" s="1">
        <f t="shared" si="186"/>
        <v>-7.7</v>
      </c>
      <c r="CW283" s="1">
        <f t="shared" si="187"/>
        <v>-5.0999999999999996</v>
      </c>
      <c r="CX283" s="1">
        <f t="shared" si="188"/>
        <v>2.4</v>
      </c>
      <c r="CY283" s="1">
        <f t="shared" si="189"/>
        <v>4.8</v>
      </c>
      <c r="CZ283" s="1">
        <f t="shared" si="190"/>
        <v>5.9</v>
      </c>
      <c r="DA283" s="2">
        <f t="shared" si="158"/>
        <v>41.9</v>
      </c>
      <c r="DB283" s="20">
        <f t="shared" si="159"/>
        <v>0</v>
      </c>
      <c r="DC283" s="1">
        <f>ROUND(PPTest!K283,1)</f>
        <v>0.6</v>
      </c>
      <c r="DD283" s="17" t="s">
        <v>218</v>
      </c>
      <c r="DE283" s="3">
        <f t="shared" si="191"/>
        <v>4.42</v>
      </c>
      <c r="DF283" s="24">
        <f t="shared" si="160"/>
        <v>0.34200000000000003</v>
      </c>
      <c r="DG283" s="24">
        <f t="shared" si="161"/>
        <v>0.47399999999999998</v>
      </c>
      <c r="DH283" s="17">
        <f t="shared" si="163"/>
        <v>12.84</v>
      </c>
      <c r="DK283" s="1">
        <v>2.2000000000000002</v>
      </c>
      <c r="DL283" s="1">
        <v>5.5</v>
      </c>
      <c r="DM283" s="1">
        <v>-2</v>
      </c>
      <c r="DN283" s="20">
        <v>86.291666666666671</v>
      </c>
      <c r="DO283" s="1">
        <v>69</v>
      </c>
      <c r="DQ283" s="1">
        <v>8.6</v>
      </c>
      <c r="DR283" s="1">
        <v>16</v>
      </c>
      <c r="DS283" s="1">
        <v>1.2</v>
      </c>
    </row>
    <row r="284" spans="1:123" x14ac:dyDescent="0.2">
      <c r="A284" s="15">
        <f t="shared" si="162"/>
        <v>36803</v>
      </c>
      <c r="B284" s="1">
        <v>278</v>
      </c>
      <c r="C284" s="3">
        <v>9.7200000000000006</v>
      </c>
      <c r="D284" s="3">
        <v>17.170000000000002</v>
      </c>
      <c r="E284" s="3">
        <v>-1.2250000000000001</v>
      </c>
      <c r="F284" s="3">
        <v>87.4</v>
      </c>
      <c r="G284" s="3">
        <v>-1.44</v>
      </c>
      <c r="H284" s="3">
        <v>-1.768</v>
      </c>
      <c r="I284" s="3">
        <v>-0.442</v>
      </c>
      <c r="L284" s="3">
        <v>3.4340000000000002</v>
      </c>
      <c r="M284" s="3">
        <v>4.9189999999999996</v>
      </c>
      <c r="N284" s="3">
        <v>6.0330000000000004</v>
      </c>
      <c r="Q284" s="3"/>
      <c r="R284" s="3">
        <v>2.2250000000000001</v>
      </c>
      <c r="S284" s="3">
        <v>1438</v>
      </c>
      <c r="T284" s="3">
        <v>108.4</v>
      </c>
      <c r="U284" s="3">
        <v>46</v>
      </c>
      <c r="V284" s="3">
        <v>5.7149999999999999</v>
      </c>
      <c r="W284" s="3">
        <v>7.85</v>
      </c>
      <c r="X284" s="3">
        <v>6.0949999999999998</v>
      </c>
      <c r="Y284" s="3"/>
      <c r="AA284" s="3">
        <v>4.9960000000000004</v>
      </c>
      <c r="AB284" s="3">
        <v>5.4249999999999998</v>
      </c>
      <c r="AC284" s="3">
        <v>6.6029999999999998</v>
      </c>
      <c r="AD284" s="3">
        <v>4.7300000000000004</v>
      </c>
      <c r="AE284" s="3">
        <v>900</v>
      </c>
      <c r="AF284" s="3">
        <v>-8.06</v>
      </c>
      <c r="AG284" s="3">
        <v>2355</v>
      </c>
      <c r="AH284" s="3">
        <v>53.55</v>
      </c>
      <c r="AI284" s="3">
        <v>1602</v>
      </c>
      <c r="AJ284" s="3">
        <v>-8.9700000000000006</v>
      </c>
      <c r="AK284" s="3">
        <v>-9.6</v>
      </c>
      <c r="AL284" s="3">
        <v>-6.1970000000000001</v>
      </c>
      <c r="AO284" s="3">
        <v>2.3319999999999999</v>
      </c>
      <c r="AP284" s="3">
        <v>4.5259999999999998</v>
      </c>
      <c r="AQ284" s="3">
        <v>5.6630000000000003</v>
      </c>
      <c r="AR284" s="3"/>
      <c r="AS284" s="3"/>
      <c r="AT284" s="3"/>
      <c r="AU284" s="3"/>
      <c r="AV284" s="3"/>
      <c r="AW284" s="3"/>
      <c r="AX284" s="3"/>
      <c r="AY284" s="3"/>
      <c r="AZ284" s="3">
        <v>-1.5740000000000001</v>
      </c>
      <c r="BA284" s="3">
        <v>3491</v>
      </c>
      <c r="BB284" s="3">
        <v>12.82</v>
      </c>
      <c r="BC284" s="3">
        <v>2876</v>
      </c>
      <c r="BD284" s="3">
        <v>3492</v>
      </c>
      <c r="BE284" s="3">
        <v>3487</v>
      </c>
      <c r="BG284" s="3">
        <v>-1.3</v>
      </c>
      <c r="BH284" s="3">
        <v>4.5179999999999998</v>
      </c>
      <c r="BI284" s="3">
        <v>4.9859999999999998</v>
      </c>
      <c r="BJ284" s="3">
        <v>-9.34</v>
      </c>
      <c r="BK284" s="3">
        <v>-9.75</v>
      </c>
      <c r="BM284" s="17">
        <v>14.15</v>
      </c>
      <c r="BN284" s="17">
        <f t="shared" si="154"/>
        <v>28.583000000000002</v>
      </c>
      <c r="BO284" s="18">
        <f t="shared" si="164"/>
        <v>9.5299999999999994</v>
      </c>
      <c r="BP284" s="18">
        <f t="shared" si="165"/>
        <v>18.89</v>
      </c>
      <c r="BR284" s="1">
        <f t="shared" si="166"/>
        <v>96.7</v>
      </c>
      <c r="BS284" s="1">
        <f t="shared" si="167"/>
        <v>70.900000000000006</v>
      </c>
      <c r="BT284" s="1">
        <f t="shared" si="168"/>
        <v>41.1</v>
      </c>
      <c r="BU284" s="60">
        <f t="shared" si="148"/>
        <v>0.29499999999999998</v>
      </c>
      <c r="BV284" s="60">
        <f t="shared" si="153"/>
        <v>0.42299999999999999</v>
      </c>
      <c r="BX284" s="1">
        <v>0</v>
      </c>
      <c r="BZ284" s="1">
        <v>0.59999999999999987</v>
      </c>
      <c r="CB284" s="17">
        <f t="shared" si="169"/>
        <v>9.5299999999999994</v>
      </c>
      <c r="CC284" s="17">
        <f t="shared" si="170"/>
        <v>18.89</v>
      </c>
      <c r="CD284" s="3">
        <f t="shared" si="155"/>
        <v>-1.2</v>
      </c>
      <c r="CE284" s="3">
        <f t="shared" si="171"/>
        <v>-1.4</v>
      </c>
      <c r="CF284" s="3">
        <f t="shared" si="172"/>
        <v>-1.8</v>
      </c>
      <c r="CG284" s="3">
        <f t="shared" si="173"/>
        <v>-0.4</v>
      </c>
      <c r="CH284" s="3">
        <f t="shared" si="174"/>
        <v>3.4</v>
      </c>
      <c r="CI284" s="3">
        <f t="shared" si="175"/>
        <v>4.9000000000000004</v>
      </c>
      <c r="CJ284" s="3">
        <f t="shared" si="176"/>
        <v>6</v>
      </c>
      <c r="CK284" s="27">
        <f t="shared" si="177"/>
        <v>70.900000000000006</v>
      </c>
      <c r="CL284" s="1">
        <f t="shared" si="156"/>
        <v>2.2000000000000002</v>
      </c>
      <c r="CM284" s="1">
        <f t="shared" si="178"/>
        <v>5.7</v>
      </c>
      <c r="CN284" s="1">
        <f t="shared" si="179"/>
        <v>7.9</v>
      </c>
      <c r="CO284" s="1">
        <f t="shared" si="180"/>
        <v>6.1</v>
      </c>
      <c r="CP284" s="1">
        <f t="shared" si="181"/>
        <v>5</v>
      </c>
      <c r="CQ284" s="1">
        <f t="shared" si="182"/>
        <v>5.4</v>
      </c>
      <c r="CR284" s="1">
        <f t="shared" si="183"/>
        <v>6.6</v>
      </c>
      <c r="CS284" s="2">
        <f t="shared" si="184"/>
        <v>96.7</v>
      </c>
      <c r="CT284" s="1">
        <f t="shared" si="157"/>
        <v>-8.1</v>
      </c>
      <c r="CU284" s="1">
        <f t="shared" si="185"/>
        <v>-9</v>
      </c>
      <c r="CV284" s="1">
        <f t="shared" si="186"/>
        <v>-9.6</v>
      </c>
      <c r="CW284" s="1">
        <f t="shared" si="187"/>
        <v>-6.2</v>
      </c>
      <c r="CX284" s="1">
        <f t="shared" si="188"/>
        <v>2.2999999999999998</v>
      </c>
      <c r="CY284" s="1">
        <f t="shared" si="189"/>
        <v>4.5</v>
      </c>
      <c r="CZ284" s="1">
        <f t="shared" si="190"/>
        <v>5.7</v>
      </c>
      <c r="DA284" s="2">
        <f t="shared" si="158"/>
        <v>41.1</v>
      </c>
      <c r="DB284" s="20">
        <f t="shared" si="159"/>
        <v>0</v>
      </c>
      <c r="DC284" s="1">
        <f>ROUND(PPTest!K284,1)</f>
        <v>0</v>
      </c>
      <c r="DD284" s="17" t="s">
        <v>218</v>
      </c>
      <c r="DE284" s="3">
        <f t="shared" si="191"/>
        <v>4.7300000000000004</v>
      </c>
      <c r="DF284" s="24">
        <f t="shared" si="160"/>
        <v>0.29499999999999998</v>
      </c>
      <c r="DG284" s="24">
        <f t="shared" si="161"/>
        <v>0.42299999999999999</v>
      </c>
      <c r="DH284" s="17">
        <f t="shared" si="163"/>
        <v>12.82</v>
      </c>
      <c r="DN284" s="20"/>
      <c r="DQ284" s="1">
        <v>6.3</v>
      </c>
      <c r="DR284" s="1">
        <v>15.1</v>
      </c>
      <c r="DS284" s="1">
        <v>-2.5</v>
      </c>
    </row>
    <row r="285" spans="1:123" x14ac:dyDescent="0.2">
      <c r="A285" s="15">
        <f t="shared" si="162"/>
        <v>36804</v>
      </c>
      <c r="B285" s="1">
        <v>279</v>
      </c>
      <c r="C285" s="3">
        <v>15.27</v>
      </c>
      <c r="D285" s="3">
        <v>25.96</v>
      </c>
      <c r="E285" s="3">
        <v>-4.0359999999999996</v>
      </c>
      <c r="F285" s="3">
        <v>77.900000000000006</v>
      </c>
      <c r="G285" s="3">
        <v>-4.24</v>
      </c>
      <c r="H285" s="3">
        <v>-4.4729999999999999</v>
      </c>
      <c r="I285" s="3">
        <v>-3.16</v>
      </c>
      <c r="L285" s="3">
        <v>1.98</v>
      </c>
      <c r="M285" s="3">
        <v>4.3449999999999998</v>
      </c>
      <c r="N285" s="3">
        <v>5.7949999999999999</v>
      </c>
      <c r="Q285" s="3"/>
      <c r="R285" s="3">
        <v>4.1059999999999999</v>
      </c>
      <c r="S285" s="3">
        <v>1559</v>
      </c>
      <c r="T285" s="3">
        <v>106.7</v>
      </c>
      <c r="U285" s="3">
        <v>457</v>
      </c>
      <c r="V285" s="3">
        <v>6.0279999999999996</v>
      </c>
      <c r="W285" s="3">
        <v>7.33</v>
      </c>
      <c r="X285" s="3">
        <v>4.03</v>
      </c>
      <c r="Y285" s="3"/>
      <c r="AA285" s="3">
        <v>3.0680000000000001</v>
      </c>
      <c r="AB285" s="3">
        <v>4.9610000000000003</v>
      </c>
      <c r="AC285" s="3">
        <v>6.3470000000000004</v>
      </c>
      <c r="AD285" s="3">
        <v>4.0380000000000003</v>
      </c>
      <c r="AE285" s="3">
        <v>1237</v>
      </c>
      <c r="AF285" s="3">
        <v>-10.25</v>
      </c>
      <c r="AG285" s="3">
        <v>603</v>
      </c>
      <c r="AH285" s="3">
        <v>33.93</v>
      </c>
      <c r="AI285" s="3">
        <v>1628</v>
      </c>
      <c r="AJ285" s="3">
        <v>-11</v>
      </c>
      <c r="AK285" s="3">
        <v>-11.48</v>
      </c>
      <c r="AL285" s="3">
        <v>-7.9</v>
      </c>
      <c r="AO285" s="3">
        <v>1.482</v>
      </c>
      <c r="AP285" s="3">
        <v>3.6440000000000001</v>
      </c>
      <c r="AQ285" s="3">
        <v>5.2889999999999997</v>
      </c>
      <c r="AR285" s="3"/>
      <c r="AS285" s="3"/>
      <c r="AT285" s="3"/>
      <c r="AU285" s="3"/>
      <c r="AV285" s="3"/>
      <c r="AW285" s="3"/>
      <c r="AX285" s="3"/>
      <c r="AY285" s="3"/>
      <c r="AZ285" s="3">
        <v>-4.4770000000000003</v>
      </c>
      <c r="BA285" s="3">
        <v>3492</v>
      </c>
      <c r="BB285" s="3">
        <v>12.82</v>
      </c>
      <c r="BC285" s="3">
        <v>2876</v>
      </c>
      <c r="BD285" s="3">
        <v>3492</v>
      </c>
      <c r="BE285" s="3">
        <v>3491</v>
      </c>
      <c r="BG285" s="3">
        <v>-4.2539999999999996</v>
      </c>
      <c r="BH285" s="3">
        <v>7.98</v>
      </c>
      <c r="BI285" s="3">
        <v>7.65</v>
      </c>
      <c r="BJ285" s="3">
        <v>-11.7</v>
      </c>
      <c r="BK285" s="3">
        <v>-11.97</v>
      </c>
      <c r="BM285" s="17">
        <v>13.9</v>
      </c>
      <c r="BN285" s="17">
        <f t="shared" si="154"/>
        <v>28.077999999999999</v>
      </c>
      <c r="BO285" s="18">
        <f t="shared" si="164"/>
        <v>14.96</v>
      </c>
      <c r="BP285" s="18">
        <f t="shared" si="165"/>
        <v>28.56</v>
      </c>
      <c r="BR285" s="1">
        <f t="shared" si="166"/>
        <v>94</v>
      </c>
      <c r="BS285" s="1">
        <f t="shared" si="167"/>
        <v>62.6</v>
      </c>
      <c r="BT285" s="1">
        <f t="shared" si="168"/>
        <v>23.9</v>
      </c>
      <c r="BU285" s="60">
        <f t="shared" si="148"/>
        <v>0.19600000000000001</v>
      </c>
      <c r="BV285" s="60">
        <f t="shared" si="153"/>
        <v>0.624</v>
      </c>
      <c r="BX285" s="1">
        <v>0</v>
      </c>
      <c r="BZ285" s="1">
        <v>0</v>
      </c>
      <c r="CB285" s="17">
        <f t="shared" si="169"/>
        <v>14.96</v>
      </c>
      <c r="CC285" s="17">
        <f t="shared" si="170"/>
        <v>28.56</v>
      </c>
      <c r="CD285" s="3">
        <f t="shared" si="155"/>
        <v>-4</v>
      </c>
      <c r="CE285" s="3">
        <f t="shared" si="171"/>
        <v>-4.2</v>
      </c>
      <c r="CF285" s="3">
        <f t="shared" si="172"/>
        <v>-4.5</v>
      </c>
      <c r="CG285" s="3">
        <f t="shared" si="173"/>
        <v>-3.2</v>
      </c>
      <c r="CH285" s="3">
        <f t="shared" si="174"/>
        <v>2</v>
      </c>
      <c r="CI285" s="3">
        <f t="shared" si="175"/>
        <v>4.3</v>
      </c>
      <c r="CJ285" s="3">
        <f t="shared" si="176"/>
        <v>5.8</v>
      </c>
      <c r="CK285" s="27">
        <f t="shared" si="177"/>
        <v>62.6</v>
      </c>
      <c r="CL285" s="1">
        <f t="shared" si="156"/>
        <v>4.0999999999999996</v>
      </c>
      <c r="CM285" s="1">
        <f t="shared" si="178"/>
        <v>6</v>
      </c>
      <c r="CN285" s="1">
        <f t="shared" si="179"/>
        <v>7.3</v>
      </c>
      <c r="CO285" s="1">
        <f t="shared" si="180"/>
        <v>4</v>
      </c>
      <c r="CP285" s="1">
        <f t="shared" si="181"/>
        <v>3.1</v>
      </c>
      <c r="CQ285" s="1">
        <f t="shared" si="182"/>
        <v>5</v>
      </c>
      <c r="CR285" s="1">
        <f t="shared" si="183"/>
        <v>6.3</v>
      </c>
      <c r="CS285" s="2">
        <f t="shared" si="184"/>
        <v>94</v>
      </c>
      <c r="CT285" s="1">
        <f t="shared" si="157"/>
        <v>-10.3</v>
      </c>
      <c r="CU285" s="1">
        <f t="shared" si="185"/>
        <v>-11</v>
      </c>
      <c r="CV285" s="1">
        <f t="shared" si="186"/>
        <v>-11.5</v>
      </c>
      <c r="CW285" s="1">
        <f t="shared" si="187"/>
        <v>-7.9</v>
      </c>
      <c r="CX285" s="1">
        <f t="shared" si="188"/>
        <v>1.5</v>
      </c>
      <c r="CY285" s="1">
        <f t="shared" si="189"/>
        <v>3.6</v>
      </c>
      <c r="CZ285" s="1">
        <f t="shared" si="190"/>
        <v>5.3</v>
      </c>
      <c r="DA285" s="2">
        <f t="shared" si="158"/>
        <v>23.9</v>
      </c>
      <c r="DB285" s="20">
        <f t="shared" si="159"/>
        <v>0</v>
      </c>
      <c r="DC285" s="1">
        <f>ROUND(PPTest!K285,1)</f>
        <v>0</v>
      </c>
      <c r="DD285" s="17" t="s">
        <v>218</v>
      </c>
      <c r="DE285" s="3">
        <f t="shared" si="191"/>
        <v>4.04</v>
      </c>
      <c r="DF285" s="24">
        <f t="shared" si="160"/>
        <v>0.19600000000000001</v>
      </c>
      <c r="DG285" s="24">
        <f t="shared" si="161"/>
        <v>0.624</v>
      </c>
      <c r="DH285" s="17">
        <f t="shared" si="163"/>
        <v>12.82</v>
      </c>
      <c r="DN285" s="20"/>
      <c r="DQ285" s="1">
        <v>4.5</v>
      </c>
      <c r="DR285" s="1">
        <v>14.4</v>
      </c>
      <c r="DS285" s="1">
        <v>-5.4</v>
      </c>
    </row>
    <row r="286" spans="1:123" x14ac:dyDescent="0.2">
      <c r="A286" s="15">
        <f t="shared" si="162"/>
        <v>36805</v>
      </c>
      <c r="B286" s="1">
        <v>280</v>
      </c>
      <c r="C286" s="3">
        <v>14.96</v>
      </c>
      <c r="D286" s="3">
        <v>26.17</v>
      </c>
      <c r="E286" s="3">
        <v>0.57899999999999996</v>
      </c>
      <c r="F286" s="3">
        <v>61.01</v>
      </c>
      <c r="G286" s="3">
        <v>0.308</v>
      </c>
      <c r="H286" s="3">
        <v>0.156</v>
      </c>
      <c r="I286" s="3">
        <v>-1.103</v>
      </c>
      <c r="L286" s="3">
        <v>2.2040000000000002</v>
      </c>
      <c r="M286" s="3">
        <v>3.891</v>
      </c>
      <c r="N286" s="3">
        <v>5.548</v>
      </c>
      <c r="Q286" s="3"/>
      <c r="R286" s="3">
        <v>12.36</v>
      </c>
      <c r="S286" s="3">
        <v>1532</v>
      </c>
      <c r="T286" s="3">
        <v>98.9</v>
      </c>
      <c r="U286" s="3">
        <v>616</v>
      </c>
      <c r="V286" s="3">
        <v>14.62</v>
      </c>
      <c r="W286" s="3">
        <v>16.89</v>
      </c>
      <c r="X286" s="3">
        <v>7.11</v>
      </c>
      <c r="Y286" s="3"/>
      <c r="AA286" s="3">
        <v>4.4320000000000004</v>
      </c>
      <c r="AB286" s="3">
        <v>4.5789999999999997</v>
      </c>
      <c r="AC286" s="3">
        <v>6.3120000000000003</v>
      </c>
      <c r="AD286" s="3">
        <v>3.9580000000000002</v>
      </c>
      <c r="AE286" s="3">
        <v>1227</v>
      </c>
      <c r="AF286" s="3">
        <v>-8.6199999999999992</v>
      </c>
      <c r="AG286" s="3">
        <v>310</v>
      </c>
      <c r="AH286" s="3">
        <v>17.98</v>
      </c>
      <c r="AI286" s="3">
        <v>1540</v>
      </c>
      <c r="AJ286" s="3">
        <v>-9.35</v>
      </c>
      <c r="AK286" s="3">
        <v>-9.86</v>
      </c>
      <c r="AL286" s="3">
        <v>-7.02</v>
      </c>
      <c r="AO286" s="3">
        <v>1.147</v>
      </c>
      <c r="AP286" s="3">
        <v>3.2010000000000001</v>
      </c>
      <c r="AQ286" s="3">
        <v>4.9450000000000003</v>
      </c>
      <c r="AR286" s="3"/>
      <c r="AS286" s="3"/>
      <c r="AT286" s="3"/>
      <c r="AU286" s="3"/>
      <c r="AV286" s="3"/>
      <c r="AW286" s="3"/>
      <c r="AX286" s="3"/>
      <c r="AY286" s="3"/>
      <c r="AZ286" s="3">
        <v>-0.151</v>
      </c>
      <c r="BA286" s="3">
        <v>3496</v>
      </c>
      <c r="BB286" s="3">
        <v>12.83</v>
      </c>
      <c r="BC286" s="3">
        <v>2876</v>
      </c>
      <c r="BD286" s="3">
        <v>3500</v>
      </c>
      <c r="BE286" s="3">
        <v>3489</v>
      </c>
      <c r="BG286" s="3">
        <v>-8.5000000000000006E-2</v>
      </c>
      <c r="BH286" s="3">
        <v>15.75</v>
      </c>
      <c r="BI286" s="3">
        <v>15.34</v>
      </c>
      <c r="BJ286" s="3">
        <v>-10.16</v>
      </c>
      <c r="BK286" s="3">
        <v>-10.39</v>
      </c>
      <c r="BM286" s="17">
        <v>13.67</v>
      </c>
      <c r="BN286" s="17">
        <f t="shared" si="154"/>
        <v>27.613399999999999</v>
      </c>
      <c r="BO286" s="18">
        <f t="shared" si="164"/>
        <v>14.66</v>
      </c>
      <c r="BP286" s="18">
        <f t="shared" si="165"/>
        <v>28.79</v>
      </c>
      <c r="BR286" s="1">
        <f t="shared" si="166"/>
        <v>81</v>
      </c>
      <c r="BS286" s="1">
        <f t="shared" si="167"/>
        <v>47.7</v>
      </c>
      <c r="BT286" s="48">
        <v>23.5</v>
      </c>
      <c r="BU286" s="60">
        <f t="shared" si="148"/>
        <v>0.33700000000000002</v>
      </c>
      <c r="BV286" s="60">
        <f t="shared" si="153"/>
        <v>1.097</v>
      </c>
      <c r="BX286" s="1">
        <v>0</v>
      </c>
      <c r="BZ286" s="1">
        <v>0</v>
      </c>
      <c r="CB286" s="17">
        <f t="shared" si="169"/>
        <v>14.66</v>
      </c>
      <c r="CC286" s="17">
        <f t="shared" si="170"/>
        <v>28.79</v>
      </c>
      <c r="CD286" s="3">
        <f t="shared" si="155"/>
        <v>0.6</v>
      </c>
      <c r="CE286" s="3">
        <f t="shared" si="171"/>
        <v>0.3</v>
      </c>
      <c r="CF286" s="3">
        <f t="shared" si="172"/>
        <v>0.2</v>
      </c>
      <c r="CG286" s="3">
        <f t="shared" si="173"/>
        <v>-1.1000000000000001</v>
      </c>
      <c r="CH286" s="3">
        <f t="shared" si="174"/>
        <v>2.2000000000000002</v>
      </c>
      <c r="CI286" s="3">
        <f t="shared" si="175"/>
        <v>3.9</v>
      </c>
      <c r="CJ286" s="3">
        <f t="shared" si="176"/>
        <v>5.5</v>
      </c>
      <c r="CK286" s="27">
        <f t="shared" si="177"/>
        <v>47.7</v>
      </c>
      <c r="CL286" s="1">
        <f t="shared" si="156"/>
        <v>12.4</v>
      </c>
      <c r="CM286" s="1">
        <f t="shared" si="178"/>
        <v>14.6</v>
      </c>
      <c r="CN286" s="1">
        <f t="shared" si="179"/>
        <v>16.899999999999999</v>
      </c>
      <c r="CO286" s="1">
        <f t="shared" si="180"/>
        <v>7.1</v>
      </c>
      <c r="CP286" s="1">
        <f t="shared" si="181"/>
        <v>4.4000000000000004</v>
      </c>
      <c r="CQ286" s="1">
        <f t="shared" si="182"/>
        <v>4.5999999999999996</v>
      </c>
      <c r="CR286" s="1">
        <f t="shared" si="183"/>
        <v>6.3</v>
      </c>
      <c r="CS286" s="2">
        <f t="shared" si="184"/>
        <v>81</v>
      </c>
      <c r="CT286" s="1">
        <f t="shared" si="157"/>
        <v>-8.6</v>
      </c>
      <c r="CU286" s="1">
        <f t="shared" si="185"/>
        <v>-9.4</v>
      </c>
      <c r="CV286" s="1">
        <f t="shared" si="186"/>
        <v>-9.9</v>
      </c>
      <c r="CW286" s="1">
        <f t="shared" si="187"/>
        <v>-7</v>
      </c>
      <c r="CX286" s="1">
        <f t="shared" si="188"/>
        <v>1.1000000000000001</v>
      </c>
      <c r="CY286" s="1">
        <f t="shared" si="189"/>
        <v>3.2</v>
      </c>
      <c r="CZ286" s="1">
        <f t="shared" si="190"/>
        <v>4.9000000000000004</v>
      </c>
      <c r="DA286" s="2">
        <f t="shared" si="158"/>
        <v>23.5</v>
      </c>
      <c r="DB286" s="20">
        <f t="shared" si="159"/>
        <v>0</v>
      </c>
      <c r="DC286" s="1">
        <f>ROUND(PPTest!K286,1)</f>
        <v>0</v>
      </c>
      <c r="DD286" s="17" t="s">
        <v>218</v>
      </c>
      <c r="DE286" s="3">
        <f t="shared" si="191"/>
        <v>3.96</v>
      </c>
      <c r="DF286" s="24">
        <f t="shared" si="160"/>
        <v>0.33700000000000002</v>
      </c>
      <c r="DG286" s="24">
        <f t="shared" si="161"/>
        <v>1.097</v>
      </c>
      <c r="DH286" s="17">
        <f t="shared" si="163"/>
        <v>12.83</v>
      </c>
      <c r="DK286" s="1">
        <v>4.2416667218009634</v>
      </c>
      <c r="DL286" s="1">
        <v>11.800000190734863</v>
      </c>
      <c r="DM286" s="1">
        <v>-2.2999999523162842</v>
      </c>
      <c r="DN286" s="20">
        <v>48.708333333333336</v>
      </c>
      <c r="DO286" s="1">
        <v>32</v>
      </c>
      <c r="DQ286" s="1">
        <v>5.2</v>
      </c>
      <c r="DR286" s="1">
        <v>16.100000000000001</v>
      </c>
      <c r="DS286" s="1">
        <v>-5.7</v>
      </c>
    </row>
    <row r="287" spans="1:123" x14ac:dyDescent="0.2">
      <c r="A287" s="15">
        <f t="shared" si="162"/>
        <v>36806</v>
      </c>
      <c r="B287" s="1">
        <v>281</v>
      </c>
      <c r="C287" s="3">
        <v>14.7</v>
      </c>
      <c r="D287" s="3">
        <v>26.14</v>
      </c>
      <c r="E287" s="3">
        <v>5.3360000000000003</v>
      </c>
      <c r="F287" s="3">
        <v>46.58</v>
      </c>
      <c r="G287" s="3">
        <v>4.8470000000000004</v>
      </c>
      <c r="H287" s="3">
        <v>4.681</v>
      </c>
      <c r="I287" s="3">
        <v>1.1779999999999999</v>
      </c>
      <c r="L287" s="3">
        <v>3.524</v>
      </c>
      <c r="M287" s="3">
        <v>3.9209999999999998</v>
      </c>
      <c r="N287" s="3">
        <v>5.2009999999999996</v>
      </c>
      <c r="Q287" s="3"/>
      <c r="R287" s="3">
        <v>15.86</v>
      </c>
      <c r="S287" s="3">
        <v>1257</v>
      </c>
      <c r="T287" s="3">
        <v>82</v>
      </c>
      <c r="U287" s="3">
        <v>611</v>
      </c>
      <c r="V287" s="3">
        <v>18.48</v>
      </c>
      <c r="W287" s="3">
        <v>21.35</v>
      </c>
      <c r="X287" s="3">
        <v>10.14</v>
      </c>
      <c r="Y287" s="3"/>
      <c r="AA287" s="3">
        <v>7.14</v>
      </c>
      <c r="AB287" s="3">
        <v>4.6970000000000001</v>
      </c>
      <c r="AC287" s="3">
        <v>6.2009999999999996</v>
      </c>
      <c r="AD287" s="3">
        <v>4.5970000000000004</v>
      </c>
      <c r="AE287" s="3">
        <v>1235</v>
      </c>
      <c r="AF287" s="3">
        <v>-3.0680000000000001</v>
      </c>
      <c r="AG287" s="3">
        <v>613</v>
      </c>
      <c r="AH287" s="3">
        <v>9.09</v>
      </c>
      <c r="AI287" s="3">
        <v>1126</v>
      </c>
      <c r="AJ287" s="3">
        <v>-4.3090000000000002</v>
      </c>
      <c r="AK287" s="3">
        <v>-4.6050000000000004</v>
      </c>
      <c r="AL287" s="3">
        <v>-4.2670000000000003</v>
      </c>
      <c r="AO287" s="3">
        <v>1.536</v>
      </c>
      <c r="AP287" s="3">
        <v>3.3809999999999998</v>
      </c>
      <c r="AQ287" s="3">
        <v>4.5049999999999999</v>
      </c>
      <c r="AR287" s="3"/>
      <c r="AS287" s="3"/>
      <c r="AT287" s="3"/>
      <c r="AU287" s="3"/>
      <c r="AV287" s="3"/>
      <c r="AW287" s="3"/>
      <c r="AX287" s="3"/>
      <c r="AY287" s="3"/>
      <c r="AZ287" s="3">
        <v>4.2009999999999996</v>
      </c>
      <c r="BA287" s="3">
        <v>3496</v>
      </c>
      <c r="BB287" s="3">
        <v>12.84</v>
      </c>
      <c r="BC287" s="3">
        <v>2876</v>
      </c>
      <c r="BD287" s="3">
        <v>3497</v>
      </c>
      <c r="BE287" s="3">
        <v>3494</v>
      </c>
      <c r="BG287" s="3">
        <v>4.3259999999999996</v>
      </c>
      <c r="BH287" s="3">
        <v>19.38</v>
      </c>
      <c r="BI287" s="3">
        <v>19.05</v>
      </c>
      <c r="BJ287" s="3">
        <v>-4.5220000000000002</v>
      </c>
      <c r="BK287" s="3">
        <v>-4.7190000000000003</v>
      </c>
      <c r="BM287" s="17">
        <v>13.43</v>
      </c>
      <c r="BN287" s="17">
        <f t="shared" si="154"/>
        <v>27.128599999999999</v>
      </c>
      <c r="BO287" s="18">
        <f t="shared" si="164"/>
        <v>14.41</v>
      </c>
      <c r="BP287" s="18">
        <f t="shared" si="165"/>
        <v>28.75</v>
      </c>
      <c r="BR287" s="1">
        <f t="shared" si="166"/>
        <v>66.2</v>
      </c>
      <c r="BS287" s="1">
        <f t="shared" si="167"/>
        <v>35</v>
      </c>
      <c r="BT287" s="48">
        <v>23.5</v>
      </c>
      <c r="BU287" s="60">
        <f t="shared" si="148"/>
        <v>0.42299999999999999</v>
      </c>
      <c r="BV287" s="60">
        <f t="shared" si="153"/>
        <v>1.377</v>
      </c>
      <c r="BX287" s="1">
        <v>0</v>
      </c>
      <c r="BZ287" s="1">
        <v>0.89999999999999991</v>
      </c>
      <c r="CB287" s="17">
        <f t="shared" si="169"/>
        <v>14.41</v>
      </c>
      <c r="CC287" s="17">
        <f t="shared" si="170"/>
        <v>28.75</v>
      </c>
      <c r="CD287" s="3">
        <f t="shared" si="155"/>
        <v>5.3</v>
      </c>
      <c r="CE287" s="3">
        <f t="shared" si="171"/>
        <v>4.8</v>
      </c>
      <c r="CF287" s="3">
        <f t="shared" si="172"/>
        <v>4.7</v>
      </c>
      <c r="CG287" s="3">
        <f t="shared" si="173"/>
        <v>1.2</v>
      </c>
      <c r="CH287" s="3">
        <f t="shared" si="174"/>
        <v>3.5</v>
      </c>
      <c r="CI287" s="3">
        <f t="shared" si="175"/>
        <v>3.9</v>
      </c>
      <c r="CJ287" s="3">
        <f t="shared" si="176"/>
        <v>5.2</v>
      </c>
      <c r="CK287" s="27">
        <f t="shared" si="177"/>
        <v>35</v>
      </c>
      <c r="CL287" s="1">
        <f t="shared" si="156"/>
        <v>15.9</v>
      </c>
      <c r="CM287" s="1">
        <f t="shared" si="178"/>
        <v>18.5</v>
      </c>
      <c r="CN287" s="1">
        <f t="shared" si="179"/>
        <v>21.4</v>
      </c>
      <c r="CO287" s="1">
        <f t="shared" si="180"/>
        <v>10.1</v>
      </c>
      <c r="CP287" s="1">
        <f t="shared" si="181"/>
        <v>7.1</v>
      </c>
      <c r="CQ287" s="1">
        <f t="shared" si="182"/>
        <v>4.7</v>
      </c>
      <c r="CR287" s="1">
        <f t="shared" si="183"/>
        <v>6.2</v>
      </c>
      <c r="CS287" s="2">
        <f t="shared" si="184"/>
        <v>66.2</v>
      </c>
      <c r="CT287" s="1">
        <f t="shared" si="157"/>
        <v>-3.1</v>
      </c>
      <c r="CU287" s="1">
        <f t="shared" si="185"/>
        <v>-4.3</v>
      </c>
      <c r="CV287" s="1">
        <f t="shared" si="186"/>
        <v>-4.5999999999999996</v>
      </c>
      <c r="CW287" s="1">
        <f t="shared" si="187"/>
        <v>-4.3</v>
      </c>
      <c r="CX287" s="1">
        <f t="shared" si="188"/>
        <v>1.5</v>
      </c>
      <c r="CY287" s="1">
        <f t="shared" si="189"/>
        <v>3.4</v>
      </c>
      <c r="CZ287" s="1">
        <f t="shared" si="190"/>
        <v>4.5</v>
      </c>
      <c r="DA287" s="2">
        <f t="shared" si="158"/>
        <v>23.5</v>
      </c>
      <c r="DB287" s="20">
        <f t="shared" si="159"/>
        <v>0</v>
      </c>
      <c r="DC287" s="1">
        <f>ROUND(PPTest!K287,1)</f>
        <v>0</v>
      </c>
      <c r="DD287" s="17" t="s">
        <v>218</v>
      </c>
      <c r="DE287" s="3">
        <f t="shared" si="191"/>
        <v>4.5999999999999996</v>
      </c>
      <c r="DF287" s="24">
        <f t="shared" si="160"/>
        <v>0.42299999999999999</v>
      </c>
      <c r="DG287" s="24">
        <f t="shared" si="161"/>
        <v>1.377</v>
      </c>
      <c r="DH287" s="17">
        <f t="shared" si="163"/>
        <v>12.84</v>
      </c>
      <c r="DK287" s="1">
        <v>8</v>
      </c>
      <c r="DL287" s="1">
        <v>14</v>
      </c>
      <c r="DM287" s="1">
        <v>3.5999999046325684</v>
      </c>
      <c r="DN287" s="20">
        <v>41.083333333333336</v>
      </c>
      <c r="DO287" s="1">
        <v>27</v>
      </c>
    </row>
    <row r="288" spans="1:123" x14ac:dyDescent="0.2">
      <c r="A288" s="15">
        <f t="shared" si="162"/>
        <v>36807</v>
      </c>
      <c r="B288" s="1">
        <v>282</v>
      </c>
      <c r="C288" s="3">
        <v>8.01</v>
      </c>
      <c r="D288" s="3">
        <v>15.11</v>
      </c>
      <c r="E288" s="3">
        <v>5.2750000000000004</v>
      </c>
      <c r="F288" s="3">
        <v>67.22</v>
      </c>
      <c r="G288" s="3">
        <v>4.7949999999999999</v>
      </c>
      <c r="H288" s="3">
        <v>4.5119999999999996</v>
      </c>
      <c r="I288" s="3">
        <v>2.8159999999999998</v>
      </c>
      <c r="L288" s="3">
        <v>3.9529999999999998</v>
      </c>
      <c r="M288" s="3">
        <v>4.2450000000000001</v>
      </c>
      <c r="N288" s="3">
        <v>5.0019999999999998</v>
      </c>
      <c r="Q288" s="3"/>
      <c r="R288" s="3">
        <v>14.53</v>
      </c>
      <c r="S288" s="3">
        <v>1418</v>
      </c>
      <c r="T288" s="3">
        <v>93</v>
      </c>
      <c r="U288" s="3">
        <v>2346</v>
      </c>
      <c r="V288" s="3">
        <v>17.28</v>
      </c>
      <c r="W288" s="3">
        <v>17.96</v>
      </c>
      <c r="X288" s="3">
        <v>12.54</v>
      </c>
      <c r="Y288" s="3"/>
      <c r="AA288" s="3">
        <v>6.3630000000000004</v>
      </c>
      <c r="AB288" s="3">
        <v>4.8170000000000002</v>
      </c>
      <c r="AC288" s="3">
        <v>5.7389999999999999</v>
      </c>
      <c r="AD288" s="3">
        <v>3.7719999999999998</v>
      </c>
      <c r="AE288" s="3">
        <v>1442</v>
      </c>
      <c r="AF288" s="3">
        <v>-2.2850000000000001</v>
      </c>
      <c r="AG288" s="3">
        <v>456</v>
      </c>
      <c r="AH288" s="3">
        <v>33.03</v>
      </c>
      <c r="AI288" s="3">
        <v>1204</v>
      </c>
      <c r="AJ288" s="3">
        <v>-3.8740000000000001</v>
      </c>
      <c r="AK288" s="3">
        <v>-4.5709999999999997</v>
      </c>
      <c r="AL288" s="3">
        <v>-3.5710000000000002</v>
      </c>
      <c r="AO288" s="3">
        <v>1.9550000000000001</v>
      </c>
      <c r="AP288" s="3">
        <v>3.89</v>
      </c>
      <c r="AQ288" s="3">
        <v>4.6550000000000002</v>
      </c>
      <c r="AR288" s="3"/>
      <c r="AS288" s="3"/>
      <c r="AT288" s="3"/>
      <c r="AU288" s="3"/>
      <c r="AV288" s="3"/>
      <c r="AW288" s="3"/>
      <c r="AX288" s="3"/>
      <c r="AY288" s="3"/>
      <c r="AZ288" s="3">
        <v>4.1689999999999996</v>
      </c>
      <c r="BA288" s="3">
        <v>3487</v>
      </c>
      <c r="BB288" s="3">
        <v>12.84</v>
      </c>
      <c r="BC288" s="3">
        <v>2876</v>
      </c>
      <c r="BD288" s="3">
        <v>3488</v>
      </c>
      <c r="BE288" s="3">
        <v>3487</v>
      </c>
      <c r="BG288" s="3">
        <v>4.1769999999999996</v>
      </c>
      <c r="BH288" s="3">
        <v>15.87</v>
      </c>
      <c r="BI288" s="3">
        <v>16.03</v>
      </c>
      <c r="BJ288" s="3">
        <v>-4.6890000000000001</v>
      </c>
      <c r="BK288" s="3">
        <v>-4.8780000000000001</v>
      </c>
      <c r="BM288" s="17">
        <v>13.2</v>
      </c>
      <c r="BN288" s="17">
        <f t="shared" si="154"/>
        <v>26.663999999999998</v>
      </c>
      <c r="BO288" s="18">
        <f t="shared" si="164"/>
        <v>7.85</v>
      </c>
      <c r="BP288" s="18">
        <f t="shared" si="165"/>
        <v>16.62</v>
      </c>
      <c r="BR288" s="1">
        <f t="shared" si="166"/>
        <v>75.8</v>
      </c>
      <c r="BS288" s="1">
        <f t="shared" si="167"/>
        <v>53.2</v>
      </c>
      <c r="BT288" s="1">
        <f t="shared" si="168"/>
        <v>23.1</v>
      </c>
      <c r="BU288" s="60">
        <f t="shared" si="148"/>
        <v>0.38200000000000001</v>
      </c>
      <c r="BV288" s="60">
        <f t="shared" si="153"/>
        <v>1.272</v>
      </c>
      <c r="BX288" s="1">
        <v>0</v>
      </c>
      <c r="CB288" s="17">
        <f t="shared" si="169"/>
        <v>7.85</v>
      </c>
      <c r="CC288" s="17">
        <f t="shared" si="170"/>
        <v>16.62</v>
      </c>
      <c r="CD288" s="3">
        <f t="shared" si="155"/>
        <v>5.3</v>
      </c>
      <c r="CE288" s="3">
        <f t="shared" si="171"/>
        <v>4.8</v>
      </c>
      <c r="CF288" s="3">
        <f t="shared" si="172"/>
        <v>4.5</v>
      </c>
      <c r="CG288" s="3">
        <f t="shared" si="173"/>
        <v>2.8</v>
      </c>
      <c r="CH288" s="3">
        <f t="shared" si="174"/>
        <v>4</v>
      </c>
      <c r="CI288" s="3">
        <f t="shared" si="175"/>
        <v>4.2</v>
      </c>
      <c r="CJ288" s="3">
        <f t="shared" si="176"/>
        <v>5</v>
      </c>
      <c r="CK288" s="27">
        <f t="shared" si="177"/>
        <v>53.2</v>
      </c>
      <c r="CL288" s="1">
        <f t="shared" si="156"/>
        <v>14.5</v>
      </c>
      <c r="CM288" s="1">
        <f t="shared" si="178"/>
        <v>17.3</v>
      </c>
      <c r="CN288" s="1">
        <f t="shared" si="179"/>
        <v>18</v>
      </c>
      <c r="CO288" s="1">
        <f t="shared" si="180"/>
        <v>12.5</v>
      </c>
      <c r="CP288" s="1">
        <f t="shared" si="181"/>
        <v>6.4</v>
      </c>
      <c r="CQ288" s="1">
        <f t="shared" si="182"/>
        <v>4.8</v>
      </c>
      <c r="CR288" s="1">
        <f t="shared" si="183"/>
        <v>5.7</v>
      </c>
      <c r="CS288" s="2">
        <f t="shared" si="184"/>
        <v>75.8</v>
      </c>
      <c r="CT288" s="1">
        <f t="shared" si="157"/>
        <v>-2.2999999999999998</v>
      </c>
      <c r="CU288" s="1">
        <f t="shared" si="185"/>
        <v>-3.9</v>
      </c>
      <c r="CV288" s="1">
        <f t="shared" si="186"/>
        <v>-4.5999999999999996</v>
      </c>
      <c r="CW288" s="1">
        <f t="shared" si="187"/>
        <v>-3.6</v>
      </c>
      <c r="CX288" s="1">
        <f t="shared" si="188"/>
        <v>2</v>
      </c>
      <c r="CY288" s="1">
        <f t="shared" si="189"/>
        <v>3.9</v>
      </c>
      <c r="CZ288" s="1">
        <f t="shared" si="190"/>
        <v>4.7</v>
      </c>
      <c r="DA288" s="2">
        <f t="shared" si="158"/>
        <v>23.1</v>
      </c>
      <c r="DB288" s="20">
        <f t="shared" si="159"/>
        <v>0</v>
      </c>
      <c r="DC288" s="1">
        <f>ROUND(PPTest!K288,1)</f>
        <v>0</v>
      </c>
      <c r="DD288" s="17" t="s">
        <v>218</v>
      </c>
      <c r="DE288" s="3">
        <f t="shared" si="191"/>
        <v>3.77</v>
      </c>
      <c r="DF288" s="24">
        <f t="shared" si="160"/>
        <v>0.38200000000000001</v>
      </c>
      <c r="DG288" s="24">
        <f t="shared" si="161"/>
        <v>1.272</v>
      </c>
      <c r="DH288" s="17">
        <f t="shared" si="163"/>
        <v>12.84</v>
      </c>
      <c r="DK288" s="1">
        <v>9.6999999999999993</v>
      </c>
      <c r="DL288" s="1">
        <v>13.5</v>
      </c>
      <c r="DM288" s="1">
        <v>4.8000001907348633</v>
      </c>
      <c r="DN288" s="20">
        <v>44.75</v>
      </c>
      <c r="DO288" s="1">
        <v>38</v>
      </c>
    </row>
    <row r="289" spans="1:119" x14ac:dyDescent="0.2">
      <c r="A289" s="15">
        <f t="shared" si="162"/>
        <v>36808</v>
      </c>
      <c r="B289" s="1">
        <v>283</v>
      </c>
      <c r="C289" s="3">
        <v>8.85</v>
      </c>
      <c r="D289" s="3">
        <v>16.64</v>
      </c>
      <c r="E289" s="3">
        <v>8.1</v>
      </c>
      <c r="F289" s="3">
        <v>67.22</v>
      </c>
      <c r="G289" s="3">
        <v>7.67</v>
      </c>
      <c r="H289" s="3">
        <v>7.54</v>
      </c>
      <c r="I289" s="3">
        <v>5.73</v>
      </c>
      <c r="L289" s="3">
        <v>5.2619999999999996</v>
      </c>
      <c r="M289" s="3">
        <v>4.6619999999999999</v>
      </c>
      <c r="N289" s="3">
        <v>4.8860000000000001</v>
      </c>
      <c r="Q289" s="3"/>
      <c r="R289" s="3">
        <v>13.7</v>
      </c>
      <c r="S289" s="3">
        <v>1348</v>
      </c>
      <c r="T289" s="3">
        <v>98.9</v>
      </c>
      <c r="U289" s="3">
        <v>219</v>
      </c>
      <c r="V289" s="3">
        <v>15.78</v>
      </c>
      <c r="W289" s="3">
        <v>16.579999999999998</v>
      </c>
      <c r="X289" s="3">
        <v>13.06</v>
      </c>
      <c r="Y289" s="3"/>
      <c r="AA289" s="3">
        <v>7.14</v>
      </c>
      <c r="AB289" s="3">
        <v>5.15</v>
      </c>
      <c r="AC289" s="3">
        <v>5.4669999999999996</v>
      </c>
      <c r="AD289" s="3">
        <v>4.2510000000000003</v>
      </c>
      <c r="AE289" s="3">
        <v>1453</v>
      </c>
      <c r="AF289" s="3">
        <v>1.984</v>
      </c>
      <c r="AG289" s="3">
        <v>4</v>
      </c>
      <c r="AH289" s="3">
        <v>40.46</v>
      </c>
      <c r="AI289" s="3">
        <v>1059</v>
      </c>
      <c r="AJ289" s="3">
        <v>1.403</v>
      </c>
      <c r="AK289" s="3">
        <v>1.1759999999999999</v>
      </c>
      <c r="AL289" s="3">
        <v>0.86399999999999999</v>
      </c>
      <c r="AO289" s="3">
        <v>3.5310000000000001</v>
      </c>
      <c r="AP289" s="3">
        <v>4.3049999999999997</v>
      </c>
      <c r="AQ289" s="3">
        <v>4.6479999999999997</v>
      </c>
      <c r="AR289" s="3"/>
      <c r="AS289" s="3"/>
      <c r="AT289" s="3"/>
      <c r="AU289" s="3"/>
      <c r="AV289" s="3"/>
      <c r="AW289" s="3"/>
      <c r="AX289" s="3"/>
      <c r="AY289" s="3"/>
      <c r="AZ289" s="3">
        <v>7.21</v>
      </c>
      <c r="BA289" s="3">
        <v>3490</v>
      </c>
      <c r="BB289" s="3">
        <v>12.84</v>
      </c>
      <c r="BC289" s="3">
        <v>2876</v>
      </c>
      <c r="BD289" s="3">
        <v>3492</v>
      </c>
      <c r="BE289" s="3">
        <v>3486</v>
      </c>
      <c r="BG289" s="3">
        <v>7.2</v>
      </c>
      <c r="BH289" s="3">
        <v>14.9</v>
      </c>
      <c r="BI289" s="3">
        <v>15</v>
      </c>
      <c r="BJ289" s="3">
        <v>0.69499999999999995</v>
      </c>
      <c r="BK289" s="3">
        <v>0.44500000000000001</v>
      </c>
      <c r="BM289" s="17">
        <v>12.96</v>
      </c>
      <c r="BN289" s="17">
        <f t="shared" si="154"/>
        <v>26.179200000000002</v>
      </c>
      <c r="BO289" s="18">
        <f t="shared" si="164"/>
        <v>8.67</v>
      </c>
      <c r="BP289" s="18">
        <f t="shared" si="165"/>
        <v>18.3</v>
      </c>
      <c r="BR289" s="1">
        <f t="shared" si="166"/>
        <v>81</v>
      </c>
      <c r="BS289" s="1">
        <f t="shared" si="167"/>
        <v>53.2</v>
      </c>
      <c r="BT289" s="1">
        <f t="shared" si="168"/>
        <v>29.6</v>
      </c>
      <c r="BU289" s="60">
        <f t="shared" si="148"/>
        <v>0.46400000000000002</v>
      </c>
      <c r="BV289" s="60">
        <f t="shared" si="153"/>
        <v>1.1040000000000001</v>
      </c>
      <c r="BX289" s="1">
        <v>0</v>
      </c>
      <c r="CB289" s="17">
        <f t="shared" si="169"/>
        <v>8.67</v>
      </c>
      <c r="CC289" s="17">
        <f t="shared" si="170"/>
        <v>18.3</v>
      </c>
      <c r="CD289" s="3">
        <f t="shared" si="155"/>
        <v>8.1</v>
      </c>
      <c r="CE289" s="3">
        <f t="shared" si="171"/>
        <v>7.7</v>
      </c>
      <c r="CF289" s="3">
        <f t="shared" si="172"/>
        <v>7.5</v>
      </c>
      <c r="CG289" s="3">
        <f t="shared" si="173"/>
        <v>5.7</v>
      </c>
      <c r="CH289" s="3">
        <f t="shared" si="174"/>
        <v>5.3</v>
      </c>
      <c r="CI289" s="3">
        <f t="shared" si="175"/>
        <v>4.7</v>
      </c>
      <c r="CJ289" s="3">
        <f t="shared" si="176"/>
        <v>4.9000000000000004</v>
      </c>
      <c r="CK289" s="27">
        <f t="shared" si="177"/>
        <v>53.2</v>
      </c>
      <c r="CL289" s="1">
        <f t="shared" si="156"/>
        <v>13.7</v>
      </c>
      <c r="CM289" s="1">
        <f t="shared" si="178"/>
        <v>15.8</v>
      </c>
      <c r="CN289" s="1">
        <f t="shared" si="179"/>
        <v>16.600000000000001</v>
      </c>
      <c r="CO289" s="1">
        <f t="shared" si="180"/>
        <v>13.1</v>
      </c>
      <c r="CP289" s="1">
        <f t="shared" si="181"/>
        <v>7.1</v>
      </c>
      <c r="CQ289" s="1">
        <f t="shared" si="182"/>
        <v>5.2</v>
      </c>
      <c r="CR289" s="1">
        <f t="shared" si="183"/>
        <v>5.5</v>
      </c>
      <c r="CS289" s="2">
        <f t="shared" si="184"/>
        <v>81</v>
      </c>
      <c r="CT289" s="1">
        <f t="shared" si="157"/>
        <v>2</v>
      </c>
      <c r="CU289" s="1">
        <f t="shared" si="185"/>
        <v>1.4</v>
      </c>
      <c r="CV289" s="1">
        <f t="shared" si="186"/>
        <v>1.2</v>
      </c>
      <c r="CW289" s="1">
        <f t="shared" si="187"/>
        <v>0.9</v>
      </c>
      <c r="CX289" s="1">
        <f t="shared" si="188"/>
        <v>3.5</v>
      </c>
      <c r="CY289" s="1">
        <f t="shared" si="189"/>
        <v>4.3</v>
      </c>
      <c r="CZ289" s="1">
        <f t="shared" si="190"/>
        <v>4.5999999999999996</v>
      </c>
      <c r="DA289" s="2">
        <f t="shared" si="158"/>
        <v>29.6</v>
      </c>
      <c r="DB289" s="20">
        <f t="shared" si="159"/>
        <v>0</v>
      </c>
      <c r="DC289" s="1">
        <f>ROUND(PPTest!K289,1)</f>
        <v>0</v>
      </c>
      <c r="DD289" s="17" t="s">
        <v>218</v>
      </c>
      <c r="DE289" s="3">
        <f t="shared" si="191"/>
        <v>4.25</v>
      </c>
      <c r="DF289" s="24">
        <f t="shared" si="160"/>
        <v>0.46400000000000002</v>
      </c>
      <c r="DG289" s="24">
        <f t="shared" si="161"/>
        <v>1.1040000000000001</v>
      </c>
      <c r="DH289" s="17">
        <f t="shared" si="163"/>
        <v>12.84</v>
      </c>
      <c r="DK289" s="1">
        <v>8.9</v>
      </c>
      <c r="DL289" s="1">
        <v>12.399999618530273</v>
      </c>
      <c r="DM289" s="1">
        <v>5.6999998092651367</v>
      </c>
      <c r="DN289" s="20">
        <v>66.958333333333329</v>
      </c>
      <c r="DO289" s="1">
        <v>50</v>
      </c>
    </row>
    <row r="290" spans="1:119" x14ac:dyDescent="0.2">
      <c r="A290" s="15">
        <f t="shared" si="162"/>
        <v>36809</v>
      </c>
      <c r="B290" s="1">
        <v>284</v>
      </c>
      <c r="C290" s="3">
        <v>8.0399999999999991</v>
      </c>
      <c r="D290" s="3">
        <v>15.44</v>
      </c>
      <c r="E290" s="3">
        <v>4.4260000000000002</v>
      </c>
      <c r="F290" s="3">
        <v>98.5</v>
      </c>
      <c r="G290" s="3">
        <v>4.2309999999999999</v>
      </c>
      <c r="H290" s="3">
        <v>4.13</v>
      </c>
      <c r="I290" s="3">
        <v>4.468</v>
      </c>
      <c r="L290" s="3">
        <v>5.1710000000000003</v>
      </c>
      <c r="M290" s="3">
        <v>4.944</v>
      </c>
      <c r="N290" s="3">
        <v>4.7809999999999997</v>
      </c>
      <c r="Q290" s="3"/>
      <c r="R290" s="3">
        <v>8.49</v>
      </c>
      <c r="S290" s="3">
        <v>1357</v>
      </c>
      <c r="T290" s="3">
        <v>109</v>
      </c>
      <c r="U290" s="3">
        <v>2355</v>
      </c>
      <c r="V290" s="3">
        <v>10.87</v>
      </c>
      <c r="W290" s="3">
        <v>12.18</v>
      </c>
      <c r="X290" s="3">
        <v>10.39</v>
      </c>
      <c r="Y290" s="3"/>
      <c r="AA290" s="3">
        <v>6.7619999999999996</v>
      </c>
      <c r="AB290" s="3">
        <v>5.4370000000000003</v>
      </c>
      <c r="AC290" s="3">
        <v>5.3360000000000003</v>
      </c>
      <c r="AD290" s="3">
        <v>4.3570000000000002</v>
      </c>
      <c r="AE290" s="3">
        <v>1210</v>
      </c>
      <c r="AF290" s="3">
        <v>-0.87</v>
      </c>
      <c r="AG290" s="3">
        <v>631</v>
      </c>
      <c r="AH290" s="3">
        <v>59.96</v>
      </c>
      <c r="AI290" s="3">
        <v>41</v>
      </c>
      <c r="AJ290" s="3">
        <v>-1.825</v>
      </c>
      <c r="AK290" s="3">
        <v>-2.246</v>
      </c>
      <c r="AL290" s="3">
        <v>-1.6220000000000001</v>
      </c>
      <c r="AO290" s="3">
        <v>3.448</v>
      </c>
      <c r="AP290" s="3">
        <v>4.6509999999999998</v>
      </c>
      <c r="AQ290" s="3">
        <v>4.4480000000000004</v>
      </c>
      <c r="AR290" s="3"/>
      <c r="AS290" s="3"/>
      <c r="AT290" s="3"/>
      <c r="AU290" s="3"/>
      <c r="AV290" s="3"/>
      <c r="AW290" s="3"/>
      <c r="AX290" s="3"/>
      <c r="AY290" s="3"/>
      <c r="AZ290" s="3">
        <v>4.4589999999999996</v>
      </c>
      <c r="BA290" s="3">
        <v>3485</v>
      </c>
      <c r="BB290" s="3">
        <v>12.83</v>
      </c>
      <c r="BC290" s="3">
        <v>2876</v>
      </c>
      <c r="BD290" s="3">
        <v>3485</v>
      </c>
      <c r="BE290" s="3">
        <v>3485</v>
      </c>
      <c r="BG290" s="3">
        <v>4.5890000000000004</v>
      </c>
      <c r="BH290" s="3">
        <v>10.29</v>
      </c>
      <c r="BI290" s="3">
        <v>10.199999999999999</v>
      </c>
      <c r="BJ290" s="3">
        <v>-1.9419999999999999</v>
      </c>
      <c r="BK290" s="3">
        <v>-2.133</v>
      </c>
      <c r="BM290" s="17">
        <v>12.74</v>
      </c>
      <c r="BN290" s="17">
        <f t="shared" si="154"/>
        <v>25.7348</v>
      </c>
      <c r="BO290" s="18">
        <f t="shared" si="164"/>
        <v>7.88</v>
      </c>
      <c r="BP290" s="18">
        <f t="shared" si="165"/>
        <v>16.98</v>
      </c>
      <c r="BR290" s="1">
        <f t="shared" si="166"/>
        <v>97.6</v>
      </c>
      <c r="BS290" s="1">
        <f t="shared" si="167"/>
        <v>80.7</v>
      </c>
      <c r="BT290" s="1">
        <f t="shared" si="168"/>
        <v>46.8</v>
      </c>
      <c r="BU290" s="60">
        <f t="shared" si="148"/>
        <v>0.51900000000000002</v>
      </c>
      <c r="BV290" s="60">
        <f t="shared" si="153"/>
        <v>0.59</v>
      </c>
      <c r="BX290" s="1">
        <v>0</v>
      </c>
      <c r="CB290" s="17">
        <f t="shared" si="169"/>
        <v>7.88</v>
      </c>
      <c r="CC290" s="17">
        <f t="shared" si="170"/>
        <v>16.98</v>
      </c>
      <c r="CD290" s="3">
        <f t="shared" si="155"/>
        <v>4.4000000000000004</v>
      </c>
      <c r="CE290" s="3">
        <f t="shared" si="171"/>
        <v>4.2</v>
      </c>
      <c r="CF290" s="3">
        <f t="shared" si="172"/>
        <v>4.0999999999999996</v>
      </c>
      <c r="CG290" s="3">
        <f t="shared" si="173"/>
        <v>4.5</v>
      </c>
      <c r="CH290" s="3">
        <f t="shared" si="174"/>
        <v>5.2</v>
      </c>
      <c r="CI290" s="3">
        <f t="shared" si="175"/>
        <v>4.9000000000000004</v>
      </c>
      <c r="CJ290" s="3">
        <f t="shared" si="176"/>
        <v>4.8</v>
      </c>
      <c r="CK290" s="27">
        <f t="shared" si="177"/>
        <v>80.7</v>
      </c>
      <c r="CL290" s="1">
        <f t="shared" si="156"/>
        <v>8.5</v>
      </c>
      <c r="CM290" s="1">
        <f t="shared" si="178"/>
        <v>10.9</v>
      </c>
      <c r="CN290" s="1">
        <f t="shared" si="179"/>
        <v>12.2</v>
      </c>
      <c r="CO290" s="1">
        <f t="shared" si="180"/>
        <v>10.4</v>
      </c>
      <c r="CP290" s="1">
        <f t="shared" si="181"/>
        <v>6.8</v>
      </c>
      <c r="CQ290" s="1">
        <f t="shared" si="182"/>
        <v>5.4</v>
      </c>
      <c r="CR290" s="1">
        <f t="shared" si="183"/>
        <v>5.3</v>
      </c>
      <c r="CS290" s="2">
        <f t="shared" si="184"/>
        <v>97.6</v>
      </c>
      <c r="CT290" s="1">
        <f t="shared" si="157"/>
        <v>-0.9</v>
      </c>
      <c r="CU290" s="1">
        <f t="shared" si="185"/>
        <v>-1.8</v>
      </c>
      <c r="CV290" s="1">
        <f t="shared" si="186"/>
        <v>-2.2000000000000002</v>
      </c>
      <c r="CW290" s="1">
        <f t="shared" si="187"/>
        <v>-1.6</v>
      </c>
      <c r="CX290" s="1">
        <f t="shared" si="188"/>
        <v>3.4</v>
      </c>
      <c r="CY290" s="1">
        <f t="shared" si="189"/>
        <v>4.7</v>
      </c>
      <c r="CZ290" s="1">
        <f t="shared" si="190"/>
        <v>4.4000000000000004</v>
      </c>
      <c r="DA290" s="2">
        <f t="shared" si="158"/>
        <v>46.8</v>
      </c>
      <c r="DB290" s="20">
        <f t="shared" si="159"/>
        <v>0</v>
      </c>
      <c r="DC290" s="1">
        <f>ROUND(PPTest!K290,1)</f>
        <v>0</v>
      </c>
      <c r="DD290" s="17" t="s">
        <v>218</v>
      </c>
      <c r="DE290" s="3">
        <f t="shared" si="191"/>
        <v>4.3600000000000003</v>
      </c>
      <c r="DF290" s="24">
        <f t="shared" si="160"/>
        <v>0.51900000000000002</v>
      </c>
      <c r="DG290" s="24">
        <f t="shared" si="161"/>
        <v>0.59</v>
      </c>
      <c r="DH290" s="17">
        <f t="shared" si="163"/>
        <v>12.83</v>
      </c>
      <c r="DK290" s="1">
        <v>5.8</v>
      </c>
      <c r="DL290" s="1">
        <v>8</v>
      </c>
      <c r="DM290" s="1">
        <v>5</v>
      </c>
      <c r="DN290" s="20">
        <v>98.291666666666671</v>
      </c>
      <c r="DO290" s="1">
        <v>91</v>
      </c>
    </row>
    <row r="291" spans="1:119" x14ac:dyDescent="0.2">
      <c r="A291" s="15">
        <f t="shared" si="162"/>
        <v>36810</v>
      </c>
      <c r="B291" s="1">
        <v>285</v>
      </c>
      <c r="C291" s="3">
        <v>3.0779999999999998</v>
      </c>
      <c r="D291" s="3">
        <v>6.06</v>
      </c>
      <c r="E291" s="3">
        <v>2.6040000000000001</v>
      </c>
      <c r="F291" s="3">
        <v>108.7</v>
      </c>
      <c r="G291" s="3">
        <v>2.6219999999999999</v>
      </c>
      <c r="H291" s="3">
        <v>2.766</v>
      </c>
      <c r="I291" s="3">
        <v>4.2910000000000004</v>
      </c>
      <c r="L291" s="3">
        <v>4.843</v>
      </c>
      <c r="M291" s="3">
        <v>4.99</v>
      </c>
      <c r="N291" s="3">
        <v>4.798</v>
      </c>
      <c r="Q291" s="3"/>
      <c r="R291" s="3">
        <v>4.25</v>
      </c>
      <c r="S291" s="3">
        <v>1149</v>
      </c>
      <c r="T291" s="3">
        <v>110.5</v>
      </c>
      <c r="U291" s="3">
        <v>2355</v>
      </c>
      <c r="V291" s="3">
        <v>5.6029999999999998</v>
      </c>
      <c r="W291" s="3">
        <v>5.9969999999999999</v>
      </c>
      <c r="X291" s="3">
        <v>7.12</v>
      </c>
      <c r="Y291" s="3"/>
      <c r="AA291" s="3">
        <v>5.4829999999999997</v>
      </c>
      <c r="AB291" s="3">
        <v>5.1929999999999996</v>
      </c>
      <c r="AC291" s="3">
        <v>5.0250000000000004</v>
      </c>
      <c r="AD291" s="3">
        <v>3.0009999999999999</v>
      </c>
      <c r="AE291" s="3">
        <v>1450</v>
      </c>
      <c r="AF291" s="3">
        <v>0.53700000000000003</v>
      </c>
      <c r="AG291" s="3">
        <v>2127</v>
      </c>
      <c r="AH291" s="3">
        <v>103.1</v>
      </c>
      <c r="AI291" s="3">
        <v>1149</v>
      </c>
      <c r="AJ291" s="3">
        <v>0.376</v>
      </c>
      <c r="AK291" s="3">
        <v>0.46</v>
      </c>
      <c r="AL291" s="3">
        <v>2.1429999999999998</v>
      </c>
      <c r="AO291" s="3">
        <v>4.1849999999999996</v>
      </c>
      <c r="AP291" s="3">
        <v>4.8810000000000002</v>
      </c>
      <c r="AQ291" s="3">
        <v>4.7080000000000002</v>
      </c>
      <c r="AR291" s="3"/>
      <c r="AS291" s="3"/>
      <c r="AT291" s="3"/>
      <c r="AU291" s="3"/>
      <c r="AV291" s="3"/>
      <c r="AW291" s="3"/>
      <c r="AX291" s="3"/>
      <c r="AY291" s="3"/>
      <c r="AZ291" s="3">
        <v>3.3290000000000002</v>
      </c>
      <c r="BA291" s="3">
        <v>3484</v>
      </c>
      <c r="BB291" s="3">
        <v>12.82</v>
      </c>
      <c r="BC291" s="3">
        <v>2876</v>
      </c>
      <c r="BD291" s="3">
        <v>3484</v>
      </c>
      <c r="BE291" s="3">
        <v>3484</v>
      </c>
      <c r="BG291" s="3">
        <v>3.4580000000000002</v>
      </c>
      <c r="BH291" s="3">
        <v>5.742</v>
      </c>
      <c r="BI291" s="3">
        <v>5.7160000000000002</v>
      </c>
      <c r="BJ291" s="3">
        <v>1.1080000000000001</v>
      </c>
      <c r="BK291" s="3">
        <v>0.99099999999999999</v>
      </c>
      <c r="BM291" s="17">
        <v>12.51</v>
      </c>
      <c r="BN291" s="17">
        <f t="shared" si="154"/>
        <v>25.270199999999999</v>
      </c>
      <c r="BO291" s="18">
        <f t="shared" si="164"/>
        <v>3.02</v>
      </c>
      <c r="BP291" s="18">
        <f t="shared" si="165"/>
        <v>6.67</v>
      </c>
      <c r="BR291" s="1">
        <f t="shared" si="166"/>
        <v>100</v>
      </c>
      <c r="BS291" s="1">
        <f t="shared" si="167"/>
        <v>97.1</v>
      </c>
      <c r="BT291" s="1">
        <f t="shared" si="168"/>
        <v>88.2</v>
      </c>
      <c r="BU291" s="60">
        <f t="shared" si="148"/>
        <v>0.73</v>
      </c>
      <c r="BV291" s="60">
        <f t="shared" si="153"/>
        <v>9.8000000000000004E-2</v>
      </c>
      <c r="BX291" s="1">
        <v>0</v>
      </c>
      <c r="CB291" s="17">
        <f t="shared" si="169"/>
        <v>3.02</v>
      </c>
      <c r="CC291" s="17">
        <f t="shared" si="170"/>
        <v>6.67</v>
      </c>
      <c r="CD291" s="3">
        <f t="shared" si="155"/>
        <v>2.6</v>
      </c>
      <c r="CE291" s="3">
        <f t="shared" si="171"/>
        <v>2.6</v>
      </c>
      <c r="CF291" s="3">
        <f t="shared" si="172"/>
        <v>2.8</v>
      </c>
      <c r="CG291" s="3">
        <f t="shared" si="173"/>
        <v>4.3</v>
      </c>
      <c r="CH291" s="3">
        <f t="shared" si="174"/>
        <v>4.8</v>
      </c>
      <c r="CI291" s="3">
        <f t="shared" si="175"/>
        <v>5</v>
      </c>
      <c r="CJ291" s="3">
        <f t="shared" si="176"/>
        <v>4.8</v>
      </c>
      <c r="CK291" s="27">
        <f t="shared" si="177"/>
        <v>97.1</v>
      </c>
      <c r="CL291" s="1">
        <f t="shared" si="156"/>
        <v>4.3</v>
      </c>
      <c r="CM291" s="1">
        <f t="shared" si="178"/>
        <v>5.6</v>
      </c>
      <c r="CN291" s="1">
        <f t="shared" si="179"/>
        <v>6</v>
      </c>
      <c r="CO291" s="1">
        <f t="shared" si="180"/>
        <v>7.1</v>
      </c>
      <c r="CP291" s="1">
        <f t="shared" si="181"/>
        <v>5.5</v>
      </c>
      <c r="CQ291" s="1">
        <f t="shared" si="182"/>
        <v>5.2</v>
      </c>
      <c r="CR291" s="1">
        <f t="shared" si="183"/>
        <v>5</v>
      </c>
      <c r="CS291" s="2">
        <f t="shared" si="184"/>
        <v>100</v>
      </c>
      <c r="CT291" s="1">
        <f t="shared" si="157"/>
        <v>0.5</v>
      </c>
      <c r="CU291" s="1">
        <f t="shared" si="185"/>
        <v>0.4</v>
      </c>
      <c r="CV291" s="1">
        <f t="shared" si="186"/>
        <v>0.5</v>
      </c>
      <c r="CW291" s="1">
        <f t="shared" si="187"/>
        <v>2.1</v>
      </c>
      <c r="CX291" s="1">
        <f t="shared" si="188"/>
        <v>4.2</v>
      </c>
      <c r="CY291" s="1">
        <f t="shared" si="189"/>
        <v>4.9000000000000004</v>
      </c>
      <c r="CZ291" s="1">
        <f t="shared" si="190"/>
        <v>4.7</v>
      </c>
      <c r="DA291" s="2">
        <f t="shared" si="158"/>
        <v>88.2</v>
      </c>
      <c r="DB291" s="20">
        <f t="shared" si="159"/>
        <v>0</v>
      </c>
      <c r="DC291" s="1">
        <f>ROUND(PPTest!K291,1)</f>
        <v>0</v>
      </c>
      <c r="DD291" s="17" t="s">
        <v>218</v>
      </c>
      <c r="DE291" s="3">
        <f t="shared" si="191"/>
        <v>3</v>
      </c>
      <c r="DF291" s="24">
        <f t="shared" si="160"/>
        <v>0.73</v>
      </c>
      <c r="DG291" s="24">
        <f t="shared" si="161"/>
        <v>9.8000000000000004E-2</v>
      </c>
      <c r="DH291" s="17">
        <f t="shared" si="163"/>
        <v>12.82</v>
      </c>
      <c r="DK291" s="1">
        <v>4.9000000000000004</v>
      </c>
      <c r="DL291" s="1">
        <v>5.8000001907348633</v>
      </c>
      <c r="DM291" s="1">
        <v>4.0999999046325684</v>
      </c>
      <c r="DN291" s="20">
        <v>97.333333333333329</v>
      </c>
      <c r="DO291" s="1">
        <v>92</v>
      </c>
    </row>
    <row r="292" spans="1:119" x14ac:dyDescent="0.2">
      <c r="A292" s="15">
        <f t="shared" si="162"/>
        <v>36811</v>
      </c>
      <c r="B292" s="1">
        <v>286</v>
      </c>
      <c r="C292" s="3">
        <v>12.36</v>
      </c>
      <c r="D292" s="3">
        <v>22.89</v>
      </c>
      <c r="E292" s="3">
        <v>2.8679999999999999</v>
      </c>
      <c r="F292" s="3">
        <v>98.4</v>
      </c>
      <c r="G292" s="3">
        <v>2.7290000000000001</v>
      </c>
      <c r="H292" s="3">
        <v>2.7639999999999998</v>
      </c>
      <c r="I292" s="3">
        <v>3.6150000000000002</v>
      </c>
      <c r="L292" s="3">
        <v>5.0919999999999996</v>
      </c>
      <c r="M292" s="3">
        <v>4.9109999999999996</v>
      </c>
      <c r="N292" s="3">
        <v>4.8250000000000002</v>
      </c>
      <c r="Q292" s="3"/>
      <c r="R292" s="3">
        <v>12.37</v>
      </c>
      <c r="S292" s="3">
        <v>1421</v>
      </c>
      <c r="T292" s="3">
        <v>110.9</v>
      </c>
      <c r="U292" s="3">
        <v>533</v>
      </c>
      <c r="V292" s="3">
        <v>14.62</v>
      </c>
      <c r="W292" s="3">
        <v>16.559999999999999</v>
      </c>
      <c r="X292" s="3">
        <v>11.56</v>
      </c>
      <c r="Y292" s="3"/>
      <c r="AA292" s="3">
        <v>8.01</v>
      </c>
      <c r="AB292" s="3">
        <v>5.3029999999999999</v>
      </c>
      <c r="AC292" s="3">
        <v>5.3360000000000003</v>
      </c>
      <c r="AD292" s="3">
        <v>3.2269999999999999</v>
      </c>
      <c r="AE292" s="3">
        <v>1110</v>
      </c>
      <c r="AF292" s="3">
        <v>-2.1859999999999999</v>
      </c>
      <c r="AG292" s="3">
        <v>2320</v>
      </c>
      <c r="AH292" s="3">
        <v>44.99</v>
      </c>
      <c r="AI292" s="3">
        <v>1414</v>
      </c>
      <c r="AJ292" s="3">
        <v>-2.9620000000000002</v>
      </c>
      <c r="AK292" s="3">
        <v>-3.6339999999999999</v>
      </c>
      <c r="AL292" s="3">
        <v>-2.6429999999999998</v>
      </c>
      <c r="AO292" s="3">
        <v>3.56</v>
      </c>
      <c r="AP292" s="3">
        <v>4.5270000000000001</v>
      </c>
      <c r="AQ292" s="3">
        <v>4.4029999999999996</v>
      </c>
      <c r="AR292" s="3"/>
      <c r="AS292" s="3"/>
      <c r="AT292" s="3"/>
      <c r="AU292" s="3"/>
      <c r="AV292" s="3"/>
      <c r="AW292" s="3"/>
      <c r="AX292" s="3"/>
      <c r="AY292" s="3"/>
      <c r="AZ292" s="3">
        <v>3.6850000000000001</v>
      </c>
      <c r="BA292" s="3">
        <v>3492</v>
      </c>
      <c r="BB292" s="3">
        <v>12.82</v>
      </c>
      <c r="BC292" s="3">
        <v>2876</v>
      </c>
      <c r="BD292" s="3">
        <v>3494</v>
      </c>
      <c r="BE292" s="3">
        <v>3491</v>
      </c>
      <c r="BG292" s="3">
        <v>3.9020000000000001</v>
      </c>
      <c r="BH292" s="3">
        <v>16.21</v>
      </c>
      <c r="BI292" s="3">
        <v>15.97</v>
      </c>
      <c r="BJ292" s="3">
        <v>-3.302</v>
      </c>
      <c r="BK292" s="3">
        <v>-3.6669999999999998</v>
      </c>
      <c r="BM292" s="17">
        <v>12.28</v>
      </c>
      <c r="BN292" s="17">
        <f t="shared" si="154"/>
        <v>24.805599999999998</v>
      </c>
      <c r="BO292" s="18">
        <f t="shared" si="164"/>
        <v>12.11</v>
      </c>
      <c r="BP292" s="18">
        <f t="shared" si="165"/>
        <v>25.18</v>
      </c>
      <c r="BR292" s="1">
        <f t="shared" si="166"/>
        <v>100</v>
      </c>
      <c r="BS292" s="1">
        <f t="shared" si="167"/>
        <v>80.599999999999994</v>
      </c>
      <c r="BT292" s="1">
        <f t="shared" si="168"/>
        <v>33.6</v>
      </c>
      <c r="BU292" s="60">
        <f t="shared" si="148"/>
        <v>0.48299999999999998</v>
      </c>
      <c r="BV292" s="60">
        <f t="shared" si="153"/>
        <v>0.95499999999999996</v>
      </c>
      <c r="BX292" s="1">
        <v>0</v>
      </c>
      <c r="CB292" s="17">
        <f t="shared" si="169"/>
        <v>12.11</v>
      </c>
      <c r="CC292" s="17">
        <f t="shared" si="170"/>
        <v>25.18</v>
      </c>
      <c r="CD292" s="3">
        <f t="shared" si="155"/>
        <v>2.9</v>
      </c>
      <c r="CE292" s="3">
        <f t="shared" si="171"/>
        <v>2.7</v>
      </c>
      <c r="CF292" s="3">
        <f t="shared" si="172"/>
        <v>2.8</v>
      </c>
      <c r="CG292" s="3">
        <f t="shared" si="173"/>
        <v>3.6</v>
      </c>
      <c r="CH292" s="3">
        <f t="shared" si="174"/>
        <v>5.0999999999999996</v>
      </c>
      <c r="CI292" s="3">
        <f t="shared" si="175"/>
        <v>4.9000000000000004</v>
      </c>
      <c r="CJ292" s="3">
        <f t="shared" si="176"/>
        <v>4.8</v>
      </c>
      <c r="CK292" s="27">
        <f t="shared" si="177"/>
        <v>80.599999999999994</v>
      </c>
      <c r="CL292" s="1">
        <f t="shared" si="156"/>
        <v>12.4</v>
      </c>
      <c r="CM292" s="1">
        <f t="shared" si="178"/>
        <v>14.6</v>
      </c>
      <c r="CN292" s="1">
        <f t="shared" si="179"/>
        <v>16.600000000000001</v>
      </c>
      <c r="CO292" s="1">
        <f t="shared" si="180"/>
        <v>11.6</v>
      </c>
      <c r="CP292" s="1">
        <f t="shared" si="181"/>
        <v>8</v>
      </c>
      <c r="CQ292" s="1">
        <f t="shared" si="182"/>
        <v>5.3</v>
      </c>
      <c r="CR292" s="1">
        <f t="shared" si="183"/>
        <v>5.3</v>
      </c>
      <c r="CS292" s="2">
        <f t="shared" si="184"/>
        <v>100</v>
      </c>
      <c r="CT292" s="1">
        <f t="shared" si="157"/>
        <v>-2.2000000000000002</v>
      </c>
      <c r="CU292" s="1">
        <f t="shared" si="185"/>
        <v>-3</v>
      </c>
      <c r="CV292" s="1">
        <f t="shared" si="186"/>
        <v>-3.6</v>
      </c>
      <c r="CW292" s="1">
        <f t="shared" si="187"/>
        <v>-2.6</v>
      </c>
      <c r="CX292" s="1">
        <f t="shared" si="188"/>
        <v>3.6</v>
      </c>
      <c r="CY292" s="1">
        <f t="shared" si="189"/>
        <v>4.5</v>
      </c>
      <c r="CZ292" s="1">
        <f t="shared" si="190"/>
        <v>4.4000000000000004</v>
      </c>
      <c r="DA292" s="2">
        <f t="shared" si="158"/>
        <v>33.6</v>
      </c>
      <c r="DB292" s="20">
        <f t="shared" si="159"/>
        <v>0</v>
      </c>
      <c r="DC292" s="1">
        <f>ROUND(PPTest!K292,1)</f>
        <v>0</v>
      </c>
      <c r="DD292" s="17" t="s">
        <v>218</v>
      </c>
      <c r="DE292" s="3">
        <f t="shared" si="191"/>
        <v>3.23</v>
      </c>
      <c r="DF292" s="24">
        <f t="shared" si="160"/>
        <v>0.48299999999999998</v>
      </c>
      <c r="DG292" s="24">
        <f t="shared" si="161"/>
        <v>0.95499999999999996</v>
      </c>
      <c r="DH292" s="17">
        <f t="shared" si="163"/>
        <v>12.82</v>
      </c>
      <c r="DK292" s="1">
        <v>4.4000000000000004</v>
      </c>
      <c r="DL292" s="1">
        <v>7.1999998092651367</v>
      </c>
      <c r="DM292" s="1">
        <v>3.0999999046325684</v>
      </c>
      <c r="DN292" s="20">
        <v>98</v>
      </c>
      <c r="DO292" s="1">
        <v>90</v>
      </c>
    </row>
    <row r="293" spans="1:119" x14ac:dyDescent="0.2">
      <c r="A293" s="15">
        <f t="shared" si="162"/>
        <v>36812</v>
      </c>
      <c r="B293" s="1">
        <v>287</v>
      </c>
      <c r="C293" s="3">
        <v>12.82</v>
      </c>
      <c r="D293" s="3">
        <v>23.56</v>
      </c>
      <c r="E293" s="3">
        <v>1.0680000000000001</v>
      </c>
      <c r="F293" s="3">
        <v>96</v>
      </c>
      <c r="G293" s="3">
        <v>0.88500000000000001</v>
      </c>
      <c r="H293" s="3">
        <v>0.67500000000000004</v>
      </c>
      <c r="I293" s="3">
        <v>0.64300000000000002</v>
      </c>
      <c r="L293" s="3">
        <v>3.9119999999999999</v>
      </c>
      <c r="M293" s="3">
        <v>4.7960000000000003</v>
      </c>
      <c r="N293" s="3">
        <v>4.8789999999999996</v>
      </c>
      <c r="Q293" s="3"/>
      <c r="R293" s="3">
        <v>8.48</v>
      </c>
      <c r="S293" s="3">
        <v>1323</v>
      </c>
      <c r="T293" s="3">
        <v>108.5</v>
      </c>
      <c r="U293" s="3">
        <v>559</v>
      </c>
      <c r="V293" s="3">
        <v>11.18</v>
      </c>
      <c r="W293" s="3">
        <v>12.99</v>
      </c>
      <c r="X293" s="3">
        <v>8.92</v>
      </c>
      <c r="Y293" s="3"/>
      <c r="AA293" s="3">
        <v>6.77</v>
      </c>
      <c r="AB293" s="3">
        <v>5.32</v>
      </c>
      <c r="AC293" s="3">
        <v>5.4660000000000002</v>
      </c>
      <c r="AD293" s="3">
        <v>4.37</v>
      </c>
      <c r="AE293" s="3">
        <v>1245</v>
      </c>
      <c r="AF293" s="3">
        <v>-4.1890000000000001</v>
      </c>
      <c r="AG293" s="3">
        <v>620</v>
      </c>
      <c r="AH293" s="3">
        <v>64.94</v>
      </c>
      <c r="AI293" s="3">
        <v>1324</v>
      </c>
      <c r="AJ293" s="3">
        <v>-4.95</v>
      </c>
      <c r="AK293" s="3">
        <v>-5.4859999999999998</v>
      </c>
      <c r="AL293" s="3">
        <v>-4.2759999999999998</v>
      </c>
      <c r="AO293" s="3">
        <v>2.2669999999999999</v>
      </c>
      <c r="AP293" s="3">
        <v>4.1890000000000001</v>
      </c>
      <c r="AQ293" s="3">
        <v>4.4089999999999998</v>
      </c>
      <c r="AR293" s="3"/>
      <c r="AS293" s="3"/>
      <c r="AT293" s="3"/>
      <c r="AU293" s="3"/>
      <c r="AV293" s="3"/>
      <c r="AW293" s="3"/>
      <c r="AX293" s="3"/>
      <c r="AY293" s="3"/>
      <c r="AZ293" s="3">
        <v>0.85899999999999999</v>
      </c>
      <c r="BA293" s="3">
        <v>3488</v>
      </c>
      <c r="BB293" s="3">
        <v>12.82</v>
      </c>
      <c r="BC293" s="3">
        <v>2876</v>
      </c>
      <c r="BD293" s="3">
        <v>3489</v>
      </c>
      <c r="BE293" s="3">
        <v>3488</v>
      </c>
      <c r="BG293" s="3">
        <v>1.004</v>
      </c>
      <c r="BH293" s="3">
        <v>13.02</v>
      </c>
      <c r="BI293" s="3">
        <v>12.63</v>
      </c>
      <c r="BJ293" s="3">
        <v>-5.633</v>
      </c>
      <c r="BK293" s="3">
        <v>-5.8040000000000003</v>
      </c>
      <c r="BM293" s="17">
        <v>12.06</v>
      </c>
      <c r="BN293" s="17">
        <f t="shared" si="154"/>
        <v>24.3612</v>
      </c>
      <c r="BO293" s="18">
        <f t="shared" si="164"/>
        <v>12.56</v>
      </c>
      <c r="BP293" s="18">
        <f t="shared" si="165"/>
        <v>25.92</v>
      </c>
      <c r="BR293" s="1">
        <f t="shared" si="166"/>
        <v>96.8</v>
      </c>
      <c r="BS293" s="1">
        <f t="shared" si="167"/>
        <v>78.5</v>
      </c>
      <c r="BT293" s="1">
        <f t="shared" si="168"/>
        <v>51.1</v>
      </c>
      <c r="BU293" s="60">
        <f t="shared" ref="BU293:BU356" si="192">ROUND(0.6105*(EXP((17.273*R293)/(R293+237.3)))*BT293/100, 3)</f>
        <v>0.56599999999999995</v>
      </c>
      <c r="BV293" s="60">
        <f t="shared" si="153"/>
        <v>0.54200000000000004</v>
      </c>
      <c r="BX293" s="1">
        <v>0.3</v>
      </c>
      <c r="CB293" s="17">
        <f t="shared" si="169"/>
        <v>12.56</v>
      </c>
      <c r="CC293" s="17">
        <f t="shared" si="170"/>
        <v>25.92</v>
      </c>
      <c r="CD293" s="3">
        <f t="shared" si="155"/>
        <v>1.1000000000000001</v>
      </c>
      <c r="CE293" s="3">
        <f t="shared" si="171"/>
        <v>0.9</v>
      </c>
      <c r="CF293" s="3">
        <f t="shared" si="172"/>
        <v>0.7</v>
      </c>
      <c r="CG293" s="3">
        <f t="shared" si="173"/>
        <v>0.6</v>
      </c>
      <c r="CH293" s="3">
        <f t="shared" si="174"/>
        <v>3.9</v>
      </c>
      <c r="CI293" s="3">
        <f t="shared" si="175"/>
        <v>4.8</v>
      </c>
      <c r="CJ293" s="3">
        <f t="shared" si="176"/>
        <v>4.9000000000000004</v>
      </c>
      <c r="CK293" s="27">
        <f t="shared" si="177"/>
        <v>78.5</v>
      </c>
      <c r="CL293" s="1">
        <f t="shared" si="156"/>
        <v>8.5</v>
      </c>
      <c r="CM293" s="1">
        <f t="shared" si="178"/>
        <v>11.2</v>
      </c>
      <c r="CN293" s="1">
        <f t="shared" si="179"/>
        <v>13</v>
      </c>
      <c r="CO293" s="1">
        <f t="shared" si="180"/>
        <v>8.9</v>
      </c>
      <c r="CP293" s="1">
        <f t="shared" si="181"/>
        <v>6.8</v>
      </c>
      <c r="CQ293" s="1">
        <f t="shared" si="182"/>
        <v>5.3</v>
      </c>
      <c r="CR293" s="1">
        <f t="shared" si="183"/>
        <v>5.5</v>
      </c>
      <c r="CS293" s="2">
        <f t="shared" si="184"/>
        <v>96.8</v>
      </c>
      <c r="CT293" s="1">
        <f t="shared" si="157"/>
        <v>-4.2</v>
      </c>
      <c r="CU293" s="1">
        <f t="shared" si="185"/>
        <v>-5</v>
      </c>
      <c r="CV293" s="1">
        <f t="shared" si="186"/>
        <v>-5.5</v>
      </c>
      <c r="CW293" s="1">
        <f t="shared" si="187"/>
        <v>-4.3</v>
      </c>
      <c r="CX293" s="1">
        <f t="shared" si="188"/>
        <v>2.2999999999999998</v>
      </c>
      <c r="CY293" s="1">
        <f t="shared" si="189"/>
        <v>4.2</v>
      </c>
      <c r="CZ293" s="1">
        <f t="shared" si="190"/>
        <v>4.4000000000000004</v>
      </c>
      <c r="DA293" s="2">
        <f t="shared" si="158"/>
        <v>51.1</v>
      </c>
      <c r="DB293" s="20">
        <f t="shared" si="159"/>
        <v>0</v>
      </c>
      <c r="DC293" s="1">
        <f>ROUND(PPTest!K293,1)</f>
        <v>0.3</v>
      </c>
      <c r="DD293" s="17" t="s">
        <v>218</v>
      </c>
      <c r="DE293" s="3">
        <f t="shared" si="191"/>
        <v>4.37</v>
      </c>
      <c r="DF293" s="24">
        <f t="shared" si="160"/>
        <v>0.56599999999999995</v>
      </c>
      <c r="DG293" s="24">
        <f t="shared" si="161"/>
        <v>0.54200000000000004</v>
      </c>
      <c r="DH293" s="17">
        <f t="shared" si="163"/>
        <v>12.82</v>
      </c>
      <c r="DK293" s="1">
        <v>5.4</v>
      </c>
      <c r="DL293" s="1">
        <v>9.5</v>
      </c>
      <c r="DM293" s="1">
        <v>1.7999999523162842</v>
      </c>
      <c r="DN293" s="20">
        <v>88.791666666666671</v>
      </c>
      <c r="DO293" s="1">
        <v>69</v>
      </c>
    </row>
    <row r="294" spans="1:119" x14ac:dyDescent="0.2">
      <c r="A294" s="15">
        <f t="shared" si="162"/>
        <v>36813</v>
      </c>
      <c r="B294" s="1">
        <v>288</v>
      </c>
      <c r="C294" s="3">
        <v>2.6909999999999998</v>
      </c>
      <c r="D294" s="3">
        <v>5.3109999999999999</v>
      </c>
      <c r="E294" s="3">
        <v>0.98</v>
      </c>
      <c r="F294" s="3">
        <v>108</v>
      </c>
      <c r="G294" s="3">
        <v>0.72699999999999998</v>
      </c>
      <c r="H294" s="3">
        <v>0.61699999999999999</v>
      </c>
      <c r="I294" s="3">
        <v>1.458</v>
      </c>
      <c r="L294" s="3">
        <v>3.4569999999999999</v>
      </c>
      <c r="M294" s="3">
        <v>4.5350000000000001</v>
      </c>
      <c r="N294" s="3">
        <v>4.8949999999999996</v>
      </c>
      <c r="Q294" s="3"/>
      <c r="R294" s="3">
        <v>3.71</v>
      </c>
      <c r="S294" s="3">
        <v>1508</v>
      </c>
      <c r="T294" s="3">
        <v>110.2</v>
      </c>
      <c r="U294" s="3">
        <v>2127</v>
      </c>
      <c r="V294" s="3">
        <v>3.9630000000000001</v>
      </c>
      <c r="W294" s="3">
        <v>4.9989999999999997</v>
      </c>
      <c r="X294" s="3">
        <v>5.0759999999999996</v>
      </c>
      <c r="Y294" s="3"/>
      <c r="AA294" s="3">
        <v>4.3600000000000003</v>
      </c>
      <c r="AB294" s="3">
        <v>4.8630000000000004</v>
      </c>
      <c r="AC294" s="3">
        <v>5.0650000000000004</v>
      </c>
      <c r="AD294" s="3">
        <v>3.5990000000000002</v>
      </c>
      <c r="AE294" s="3">
        <v>948</v>
      </c>
      <c r="AF294" s="3">
        <v>-1.71</v>
      </c>
      <c r="AG294" s="3">
        <v>3</v>
      </c>
      <c r="AH294" s="3">
        <v>99.7</v>
      </c>
      <c r="AI294" s="3">
        <v>809</v>
      </c>
      <c r="AJ294" s="3">
        <v>-2.8540000000000001</v>
      </c>
      <c r="AK294" s="3">
        <v>-3.2229999999999999</v>
      </c>
      <c r="AL294" s="3">
        <v>-1.9590000000000001</v>
      </c>
      <c r="AO294" s="3">
        <v>2.77</v>
      </c>
      <c r="AP294" s="3">
        <v>4.1550000000000002</v>
      </c>
      <c r="AQ294" s="3">
        <v>4.617</v>
      </c>
      <c r="AR294" s="3"/>
      <c r="AS294" s="3"/>
      <c r="AT294" s="3"/>
      <c r="AU294" s="3"/>
      <c r="AV294" s="3"/>
      <c r="AW294" s="3"/>
      <c r="AX294" s="3"/>
      <c r="AY294" s="3"/>
      <c r="AZ294" s="3">
        <v>0.57399999999999995</v>
      </c>
      <c r="BA294" s="3">
        <v>3492</v>
      </c>
      <c r="BB294" s="3">
        <v>12.82</v>
      </c>
      <c r="BC294" s="3">
        <v>2876</v>
      </c>
      <c r="BD294" s="3">
        <v>3493</v>
      </c>
      <c r="BE294" s="3">
        <v>3492</v>
      </c>
      <c r="BG294" s="3">
        <v>0.622</v>
      </c>
      <c r="BH294" s="3">
        <v>4.1020000000000003</v>
      </c>
      <c r="BI294" s="3">
        <v>4.1230000000000002</v>
      </c>
      <c r="BJ294" s="3">
        <v>-3.0129999999999999</v>
      </c>
      <c r="BK294" s="3">
        <v>-2.9390000000000001</v>
      </c>
      <c r="BM294" s="17">
        <v>11.84</v>
      </c>
      <c r="BN294" s="17">
        <f t="shared" si="154"/>
        <v>23.916799999999999</v>
      </c>
      <c r="BO294" s="18">
        <f t="shared" si="164"/>
        <v>2.64</v>
      </c>
      <c r="BP294" s="18">
        <f t="shared" si="165"/>
        <v>5.84</v>
      </c>
      <c r="BR294" s="1">
        <f t="shared" si="166"/>
        <v>100</v>
      </c>
      <c r="BS294" s="1">
        <f t="shared" si="167"/>
        <v>96</v>
      </c>
      <c r="BT294" s="1">
        <f t="shared" si="168"/>
        <v>82.8</v>
      </c>
      <c r="BU294" s="60">
        <f t="shared" si="192"/>
        <v>0.65900000000000003</v>
      </c>
      <c r="BV294" s="60">
        <f t="shared" si="153"/>
        <v>0.13700000000000001</v>
      </c>
      <c r="BX294" s="1">
        <v>2.1</v>
      </c>
      <c r="CB294" s="17">
        <f t="shared" si="169"/>
        <v>2.64</v>
      </c>
      <c r="CC294" s="17">
        <f t="shared" si="170"/>
        <v>5.84</v>
      </c>
      <c r="CD294" s="3">
        <f t="shared" si="155"/>
        <v>1</v>
      </c>
      <c r="CE294" s="3">
        <f t="shared" si="171"/>
        <v>0.7</v>
      </c>
      <c r="CF294" s="3">
        <f t="shared" si="172"/>
        <v>0.6</v>
      </c>
      <c r="CG294" s="3">
        <f t="shared" si="173"/>
        <v>1.5</v>
      </c>
      <c r="CH294" s="3">
        <f t="shared" si="174"/>
        <v>3.5</v>
      </c>
      <c r="CI294" s="3">
        <f t="shared" si="175"/>
        <v>4.5</v>
      </c>
      <c r="CJ294" s="3">
        <f t="shared" si="176"/>
        <v>4.9000000000000004</v>
      </c>
      <c r="CK294" s="27">
        <f t="shared" si="177"/>
        <v>96</v>
      </c>
      <c r="CL294" s="1">
        <f t="shared" si="156"/>
        <v>3.7</v>
      </c>
      <c r="CM294" s="1">
        <f t="shared" si="178"/>
        <v>4</v>
      </c>
      <c r="CN294" s="1">
        <f t="shared" si="179"/>
        <v>5</v>
      </c>
      <c r="CO294" s="1">
        <f t="shared" si="180"/>
        <v>5.0999999999999996</v>
      </c>
      <c r="CP294" s="1">
        <f t="shared" si="181"/>
        <v>4.4000000000000004</v>
      </c>
      <c r="CQ294" s="1">
        <f t="shared" si="182"/>
        <v>4.9000000000000004</v>
      </c>
      <c r="CR294" s="1">
        <f t="shared" si="183"/>
        <v>5.0999999999999996</v>
      </c>
      <c r="CS294" s="2">
        <f t="shared" si="184"/>
        <v>100</v>
      </c>
      <c r="CT294" s="1">
        <f t="shared" si="157"/>
        <v>-1.7</v>
      </c>
      <c r="CU294" s="1">
        <f t="shared" si="185"/>
        <v>-2.9</v>
      </c>
      <c r="CV294" s="1">
        <f t="shared" si="186"/>
        <v>-3.2</v>
      </c>
      <c r="CW294" s="1">
        <f t="shared" si="187"/>
        <v>-2</v>
      </c>
      <c r="CX294" s="1">
        <f t="shared" si="188"/>
        <v>2.8</v>
      </c>
      <c r="CY294" s="1">
        <f t="shared" si="189"/>
        <v>4.2</v>
      </c>
      <c r="CZ294" s="1">
        <f t="shared" si="190"/>
        <v>4.5999999999999996</v>
      </c>
      <c r="DA294" s="2">
        <f t="shared" si="158"/>
        <v>82.8</v>
      </c>
      <c r="DB294" s="20">
        <f t="shared" si="159"/>
        <v>0</v>
      </c>
      <c r="DC294" s="1">
        <f>ROUND(PPTest!K294,1)</f>
        <v>2.2000000000000002</v>
      </c>
      <c r="DD294" s="17" t="s">
        <v>218</v>
      </c>
      <c r="DE294" s="3">
        <f t="shared" si="191"/>
        <v>3.6</v>
      </c>
      <c r="DF294" s="24">
        <f t="shared" si="160"/>
        <v>0.65900000000000003</v>
      </c>
      <c r="DG294" s="24">
        <f t="shared" si="161"/>
        <v>0.13700000000000001</v>
      </c>
      <c r="DH294" s="17">
        <f t="shared" si="163"/>
        <v>12.82</v>
      </c>
      <c r="DK294" s="1">
        <v>4.0999999999999996</v>
      </c>
      <c r="DL294" s="1">
        <v>6.5</v>
      </c>
      <c r="DM294" s="1">
        <v>1.5</v>
      </c>
      <c r="DN294" s="20">
        <v>96.416666666666671</v>
      </c>
      <c r="DO294" s="1">
        <v>79</v>
      </c>
    </row>
    <row r="295" spans="1:119" x14ac:dyDescent="0.2">
      <c r="A295" s="15">
        <f t="shared" si="162"/>
        <v>36814</v>
      </c>
      <c r="B295" s="1">
        <v>289</v>
      </c>
      <c r="C295" s="3">
        <v>7.93</v>
      </c>
      <c r="D295" s="3">
        <v>14.91</v>
      </c>
      <c r="E295" s="3">
        <v>0.85199999999999998</v>
      </c>
      <c r="F295" s="3">
        <v>95.1</v>
      </c>
      <c r="G295" s="3">
        <v>0.55700000000000005</v>
      </c>
      <c r="H295" s="3">
        <v>0.23699999999999999</v>
      </c>
      <c r="I295" s="3">
        <v>0.497</v>
      </c>
      <c r="L295" s="3">
        <v>2.919</v>
      </c>
      <c r="M295" s="3">
        <v>4.17</v>
      </c>
      <c r="N295" s="3">
        <v>4.8499999999999996</v>
      </c>
      <c r="Q295" s="3"/>
      <c r="R295" s="3">
        <v>6.242</v>
      </c>
      <c r="S295" s="3">
        <v>1224</v>
      </c>
      <c r="T295" s="3">
        <v>109.9</v>
      </c>
      <c r="U295" s="3">
        <v>27</v>
      </c>
      <c r="V295" s="3">
        <v>8.8000000000000007</v>
      </c>
      <c r="W295" s="3">
        <v>10.55</v>
      </c>
      <c r="X295" s="3">
        <v>6.3869999999999996</v>
      </c>
      <c r="Y295" s="3"/>
      <c r="AA295" s="3">
        <v>4.3899999999999997</v>
      </c>
      <c r="AB295" s="3">
        <v>4.5190000000000001</v>
      </c>
      <c r="AC295" s="3">
        <v>5.2510000000000003</v>
      </c>
      <c r="AD295" s="3">
        <v>4.41</v>
      </c>
      <c r="AE295" s="3">
        <v>1139</v>
      </c>
      <c r="AF295" s="3">
        <v>-4.4059999999999997</v>
      </c>
      <c r="AG295" s="3">
        <v>430</v>
      </c>
      <c r="AH295" s="3">
        <v>70.7</v>
      </c>
      <c r="AI295" s="3">
        <v>1219</v>
      </c>
      <c r="AJ295" s="3">
        <v>-5.2229999999999999</v>
      </c>
      <c r="AK295" s="3">
        <v>-5.7709999999999999</v>
      </c>
      <c r="AL295" s="3">
        <v>-3.5979999999999999</v>
      </c>
      <c r="AO295" s="3">
        <v>2.0009999999999999</v>
      </c>
      <c r="AP295" s="3">
        <v>3.8330000000000002</v>
      </c>
      <c r="AQ295" s="3">
        <v>4.6429999999999998</v>
      </c>
      <c r="AR295" s="3"/>
      <c r="AS295" s="3"/>
      <c r="AT295" s="3"/>
      <c r="AU295" s="3"/>
      <c r="AV295" s="3"/>
      <c r="AW295" s="3"/>
      <c r="AX295" s="3"/>
      <c r="AY295" s="3"/>
      <c r="AZ295" s="3">
        <v>-2.5999999999999999E-2</v>
      </c>
      <c r="BA295" s="3">
        <v>3485</v>
      </c>
      <c r="BB295" s="3">
        <v>12.82</v>
      </c>
      <c r="BC295" s="3">
        <v>2876</v>
      </c>
      <c r="BD295" s="3">
        <v>3488</v>
      </c>
      <c r="BE295" s="3">
        <v>3481</v>
      </c>
      <c r="BG295" s="3">
        <v>4.5999999999999999E-2</v>
      </c>
      <c r="BH295" s="3">
        <v>7.06</v>
      </c>
      <c r="BI295" s="3">
        <v>7.33</v>
      </c>
      <c r="BJ295" s="3">
        <v>-5.633</v>
      </c>
      <c r="BK295" s="3">
        <v>-5.8520000000000003</v>
      </c>
      <c r="BM295" s="17">
        <v>11.62</v>
      </c>
      <c r="BN295" s="17">
        <f t="shared" si="154"/>
        <v>23.4724</v>
      </c>
      <c r="BO295" s="18">
        <f t="shared" si="164"/>
        <v>7.77</v>
      </c>
      <c r="BP295" s="18">
        <f t="shared" si="165"/>
        <v>16.399999999999999</v>
      </c>
      <c r="BR295" s="1">
        <f t="shared" si="166"/>
        <v>99</v>
      </c>
      <c r="BS295" s="1">
        <f t="shared" si="167"/>
        <v>77.7</v>
      </c>
      <c r="BT295" s="1">
        <f t="shared" si="168"/>
        <v>56.2</v>
      </c>
      <c r="BU295" s="60">
        <f t="shared" si="192"/>
        <v>0.53400000000000003</v>
      </c>
      <c r="BV295" s="60">
        <f t="shared" si="153"/>
        <v>0.41599999999999998</v>
      </c>
      <c r="BX295" s="1">
        <v>0.3</v>
      </c>
      <c r="CB295" s="17">
        <f t="shared" si="169"/>
        <v>7.77</v>
      </c>
      <c r="CC295" s="17">
        <f t="shared" si="170"/>
        <v>16.399999999999999</v>
      </c>
      <c r="CD295" s="3">
        <f t="shared" si="155"/>
        <v>0.9</v>
      </c>
      <c r="CE295" s="3">
        <f t="shared" si="171"/>
        <v>0.6</v>
      </c>
      <c r="CF295" s="3">
        <f t="shared" si="172"/>
        <v>0.2</v>
      </c>
      <c r="CG295" s="3">
        <f t="shared" si="173"/>
        <v>0.5</v>
      </c>
      <c r="CH295" s="3">
        <f t="shared" si="174"/>
        <v>2.9</v>
      </c>
      <c r="CI295" s="3">
        <f t="shared" si="175"/>
        <v>4.2</v>
      </c>
      <c r="CJ295" s="3">
        <f t="shared" si="176"/>
        <v>4.9000000000000004</v>
      </c>
      <c r="CK295" s="27">
        <f t="shared" si="177"/>
        <v>77.7</v>
      </c>
      <c r="CL295" s="1">
        <f t="shared" si="156"/>
        <v>6.2</v>
      </c>
      <c r="CM295" s="1">
        <f t="shared" si="178"/>
        <v>8.8000000000000007</v>
      </c>
      <c r="CN295" s="1">
        <f t="shared" si="179"/>
        <v>10.6</v>
      </c>
      <c r="CO295" s="1">
        <f t="shared" si="180"/>
        <v>6.4</v>
      </c>
      <c r="CP295" s="1">
        <f t="shared" si="181"/>
        <v>4.4000000000000004</v>
      </c>
      <c r="CQ295" s="1">
        <f t="shared" si="182"/>
        <v>4.5</v>
      </c>
      <c r="CR295" s="1">
        <f t="shared" si="183"/>
        <v>5.3</v>
      </c>
      <c r="CS295" s="2">
        <f t="shared" si="184"/>
        <v>99</v>
      </c>
      <c r="CT295" s="1">
        <f t="shared" si="157"/>
        <v>-4.4000000000000004</v>
      </c>
      <c r="CU295" s="1">
        <f t="shared" si="185"/>
        <v>-5.2</v>
      </c>
      <c r="CV295" s="1">
        <f t="shared" si="186"/>
        <v>-5.8</v>
      </c>
      <c r="CW295" s="1">
        <f t="shared" si="187"/>
        <v>-3.6</v>
      </c>
      <c r="CX295" s="1">
        <f t="shared" si="188"/>
        <v>2</v>
      </c>
      <c r="CY295" s="1">
        <f t="shared" si="189"/>
        <v>3.8</v>
      </c>
      <c r="CZ295" s="1">
        <f t="shared" si="190"/>
        <v>4.5999999999999996</v>
      </c>
      <c r="DA295" s="2">
        <f t="shared" si="158"/>
        <v>56.2</v>
      </c>
      <c r="DB295" s="20">
        <f t="shared" si="159"/>
        <v>0</v>
      </c>
      <c r="DC295" s="1">
        <f>ROUND(PPTest!K295,1)</f>
        <v>0.3</v>
      </c>
      <c r="DD295" s="17" t="s">
        <v>218</v>
      </c>
      <c r="DE295" s="3">
        <f t="shared" si="191"/>
        <v>4.41</v>
      </c>
      <c r="DF295" s="24">
        <f t="shared" si="160"/>
        <v>0.53400000000000003</v>
      </c>
      <c r="DG295" s="24">
        <f t="shared" si="161"/>
        <v>0.41599999999999998</v>
      </c>
      <c r="DH295" s="17">
        <f t="shared" si="163"/>
        <v>12.82</v>
      </c>
      <c r="DK295" s="1">
        <v>1.5</v>
      </c>
      <c r="DL295" s="1">
        <v>5.4000000953674316</v>
      </c>
      <c r="DM295" s="1">
        <v>-15.199999809265137</v>
      </c>
      <c r="DN295" s="20">
        <v>87.125</v>
      </c>
      <c r="DO295" s="1">
        <v>24</v>
      </c>
    </row>
    <row r="296" spans="1:119" x14ac:dyDescent="0.2">
      <c r="A296" s="15">
        <f t="shared" si="162"/>
        <v>36815</v>
      </c>
      <c r="B296" s="1">
        <v>290</v>
      </c>
      <c r="C296" s="3">
        <v>2.5</v>
      </c>
      <c r="D296" s="3">
        <v>4.8979999999999997</v>
      </c>
      <c r="E296" s="3">
        <v>1.343</v>
      </c>
      <c r="F296" s="3">
        <v>105</v>
      </c>
      <c r="G296" s="3">
        <v>1.147</v>
      </c>
      <c r="H296" s="3">
        <v>1.0680000000000001</v>
      </c>
      <c r="I296" s="3">
        <v>1.5069999999999999</v>
      </c>
      <c r="L296" s="3">
        <v>3.0739999999999998</v>
      </c>
      <c r="M296" s="3">
        <v>4.0380000000000003</v>
      </c>
      <c r="N296" s="3">
        <v>4.758</v>
      </c>
      <c r="Q296" s="3"/>
      <c r="R296" s="3">
        <v>3.4420000000000002</v>
      </c>
      <c r="S296" s="3">
        <v>1338</v>
      </c>
      <c r="T296" s="3">
        <v>110.1</v>
      </c>
      <c r="U296" s="3">
        <v>2306</v>
      </c>
      <c r="V296" s="3">
        <v>5.1230000000000002</v>
      </c>
      <c r="W296" s="3">
        <v>4.9539999999999997</v>
      </c>
      <c r="X296" s="3">
        <v>4.0279999999999996</v>
      </c>
      <c r="Y296" s="3"/>
      <c r="AA296" s="3">
        <v>3.7559999999999998</v>
      </c>
      <c r="AB296" s="3">
        <v>4.2960000000000003</v>
      </c>
      <c r="AC296" s="3">
        <v>5.0620000000000003</v>
      </c>
      <c r="AD296" s="3">
        <v>3.1469999999999998</v>
      </c>
      <c r="AE296" s="3">
        <v>1326</v>
      </c>
      <c r="AF296" s="3">
        <v>-1.6E-2</v>
      </c>
      <c r="AG296" s="3">
        <v>717</v>
      </c>
      <c r="AH296" s="3">
        <v>78.099999999999994</v>
      </c>
      <c r="AI296" s="3">
        <v>124</v>
      </c>
      <c r="AJ296" s="3">
        <v>-0.187</v>
      </c>
      <c r="AK296" s="3">
        <v>-0.318</v>
      </c>
      <c r="AL296" s="3">
        <v>0.34899999999999998</v>
      </c>
      <c r="AO296" s="3">
        <v>2.5739999999999998</v>
      </c>
      <c r="AP296" s="3">
        <v>3.9340000000000002</v>
      </c>
      <c r="AQ296" s="3">
        <v>4.6459999999999999</v>
      </c>
      <c r="AR296" s="3"/>
      <c r="AS296" s="3"/>
      <c r="AT296" s="3"/>
      <c r="AU296" s="3"/>
      <c r="AV296" s="3"/>
      <c r="AW296" s="3"/>
      <c r="AX296" s="3"/>
      <c r="AY296" s="3"/>
      <c r="AZ296" s="3">
        <v>1.155</v>
      </c>
      <c r="BA296" s="3">
        <v>3432</v>
      </c>
      <c r="BB296" s="3">
        <v>12.81</v>
      </c>
      <c r="BC296" s="3">
        <v>2876</v>
      </c>
      <c r="BD296" s="3">
        <v>3444</v>
      </c>
      <c r="BE296" s="3">
        <v>3414</v>
      </c>
      <c r="BG296" s="3">
        <v>1.1850000000000001</v>
      </c>
      <c r="BH296" s="3">
        <v>3.2919999999999998</v>
      </c>
      <c r="BI296" s="3">
        <v>3.524</v>
      </c>
      <c r="BJ296" s="3">
        <v>-0.82899999999999996</v>
      </c>
      <c r="BK296" s="3">
        <v>-0.437</v>
      </c>
      <c r="BM296" s="17">
        <v>11.41</v>
      </c>
      <c r="BN296" s="17">
        <f t="shared" si="154"/>
        <v>23.048200000000001</v>
      </c>
      <c r="BO296" s="18">
        <f t="shared" si="164"/>
        <v>2.4500000000000002</v>
      </c>
      <c r="BP296" s="18">
        <f t="shared" si="165"/>
        <v>5.39</v>
      </c>
      <c r="BR296" s="1">
        <f t="shared" si="166"/>
        <v>100</v>
      </c>
      <c r="BS296" s="1">
        <f t="shared" si="167"/>
        <v>91.3</v>
      </c>
      <c r="BT296" s="1">
        <f t="shared" si="168"/>
        <v>62.7</v>
      </c>
      <c r="BU296" s="60">
        <f t="shared" si="192"/>
        <v>0.49</v>
      </c>
      <c r="BV296" s="60">
        <f t="shared" si="153"/>
        <v>0.29099999999999998</v>
      </c>
      <c r="BX296" s="1">
        <v>14.7</v>
      </c>
      <c r="CB296" s="17">
        <f t="shared" si="169"/>
        <v>2.4500000000000002</v>
      </c>
      <c r="CC296" s="17">
        <f t="shared" si="170"/>
        <v>5.39</v>
      </c>
      <c r="CD296" s="3">
        <f t="shared" si="155"/>
        <v>1.3</v>
      </c>
      <c r="CE296" s="3">
        <f t="shared" si="171"/>
        <v>1.1000000000000001</v>
      </c>
      <c r="CF296" s="3">
        <f t="shared" si="172"/>
        <v>1.1000000000000001</v>
      </c>
      <c r="CG296" s="3">
        <f t="shared" si="173"/>
        <v>1.5</v>
      </c>
      <c r="CH296" s="3">
        <f t="shared" si="174"/>
        <v>3.1</v>
      </c>
      <c r="CI296" s="3">
        <f t="shared" si="175"/>
        <v>4</v>
      </c>
      <c r="CJ296" s="3">
        <f t="shared" si="176"/>
        <v>4.8</v>
      </c>
      <c r="CK296" s="27">
        <f t="shared" si="177"/>
        <v>91.3</v>
      </c>
      <c r="CL296" s="1">
        <f t="shared" si="156"/>
        <v>3.4</v>
      </c>
      <c r="CM296" s="1">
        <f t="shared" si="178"/>
        <v>5.0999999999999996</v>
      </c>
      <c r="CN296" s="1">
        <f t="shared" si="179"/>
        <v>5</v>
      </c>
      <c r="CO296" s="1">
        <f t="shared" si="180"/>
        <v>4</v>
      </c>
      <c r="CP296" s="1">
        <f t="shared" si="181"/>
        <v>3.8</v>
      </c>
      <c r="CQ296" s="1">
        <f t="shared" si="182"/>
        <v>4.3</v>
      </c>
      <c r="CR296" s="1">
        <f t="shared" si="183"/>
        <v>5.0999999999999996</v>
      </c>
      <c r="CS296" s="2">
        <f t="shared" si="184"/>
        <v>100</v>
      </c>
      <c r="CT296" s="1">
        <f t="shared" si="157"/>
        <v>0</v>
      </c>
      <c r="CU296" s="1">
        <f t="shared" si="185"/>
        <v>-0.2</v>
      </c>
      <c r="CV296" s="1">
        <f t="shared" si="186"/>
        <v>-0.3</v>
      </c>
      <c r="CW296" s="1">
        <f t="shared" si="187"/>
        <v>0.3</v>
      </c>
      <c r="CX296" s="1">
        <f t="shared" si="188"/>
        <v>2.6</v>
      </c>
      <c r="CY296" s="1">
        <f t="shared" si="189"/>
        <v>3.9</v>
      </c>
      <c r="CZ296" s="1">
        <f t="shared" si="190"/>
        <v>4.5999999999999996</v>
      </c>
      <c r="DA296" s="2">
        <f t="shared" si="158"/>
        <v>62.7</v>
      </c>
      <c r="DB296" s="20">
        <f t="shared" si="159"/>
        <v>0</v>
      </c>
      <c r="DC296" s="1">
        <f>ROUND(PPTest!K296,1)</f>
        <v>15.4</v>
      </c>
      <c r="DD296" s="17" t="s">
        <v>218</v>
      </c>
      <c r="DE296" s="3">
        <f t="shared" si="191"/>
        <v>3.15</v>
      </c>
      <c r="DF296" s="24">
        <f t="shared" si="160"/>
        <v>0.49</v>
      </c>
      <c r="DG296" s="24">
        <f t="shared" si="161"/>
        <v>0.29099999999999998</v>
      </c>
      <c r="DH296" s="17">
        <f t="shared" si="163"/>
        <v>12.81</v>
      </c>
      <c r="DK296" s="1">
        <v>2.9</v>
      </c>
      <c r="DL296" s="1">
        <v>4</v>
      </c>
      <c r="DM296" s="1">
        <v>1.5</v>
      </c>
      <c r="DN296" s="20">
        <v>96.041666666666671</v>
      </c>
      <c r="DO296" s="1">
        <v>24</v>
      </c>
    </row>
    <row r="297" spans="1:119" x14ac:dyDescent="0.2">
      <c r="A297" s="15">
        <f t="shared" si="162"/>
        <v>36816</v>
      </c>
      <c r="B297" s="1">
        <v>291</v>
      </c>
      <c r="C297" s="3">
        <v>4.8250000000000002</v>
      </c>
      <c r="D297" s="3">
        <v>8.94</v>
      </c>
      <c r="E297" s="3">
        <v>5.7080000000000002</v>
      </c>
      <c r="F297" s="3">
        <v>88.7</v>
      </c>
      <c r="G297" s="3">
        <v>5.5570000000000004</v>
      </c>
      <c r="H297" s="3">
        <v>5.3979999999999997</v>
      </c>
      <c r="I297" s="3">
        <v>4.2699999999999996</v>
      </c>
      <c r="L297" s="3">
        <v>4.0590000000000002</v>
      </c>
      <c r="M297" s="3">
        <v>4.1050000000000004</v>
      </c>
      <c r="N297" s="3">
        <v>4.7460000000000004</v>
      </c>
      <c r="Q297" s="3"/>
      <c r="R297" s="3">
        <v>8.83</v>
      </c>
      <c r="S297" s="3">
        <v>1930</v>
      </c>
      <c r="T297" s="3">
        <v>109.9</v>
      </c>
      <c r="U297" s="3">
        <v>354</v>
      </c>
      <c r="V297" s="3">
        <v>9.3800000000000008</v>
      </c>
      <c r="W297" s="3">
        <v>9.7200000000000006</v>
      </c>
      <c r="X297" s="3">
        <v>9.35</v>
      </c>
      <c r="Y297" s="3"/>
      <c r="AA297" s="3">
        <v>5.3620000000000001</v>
      </c>
      <c r="AB297" s="3">
        <v>4.3959999999999999</v>
      </c>
      <c r="AC297" s="3">
        <v>5.0579999999999998</v>
      </c>
      <c r="AD297" s="3">
        <v>5.4740000000000002</v>
      </c>
      <c r="AE297" s="3">
        <v>1929</v>
      </c>
      <c r="AF297" s="3">
        <v>0.308</v>
      </c>
      <c r="AG297" s="3">
        <v>208</v>
      </c>
      <c r="AH297" s="3">
        <v>68.38</v>
      </c>
      <c r="AI297" s="3">
        <v>1531</v>
      </c>
      <c r="AJ297" s="3">
        <v>6.4000000000000001E-2</v>
      </c>
      <c r="AK297" s="3">
        <v>-5.6000000000000001E-2</v>
      </c>
      <c r="AL297" s="3">
        <v>0.53900000000000003</v>
      </c>
      <c r="AO297" s="3">
        <v>2.649</v>
      </c>
      <c r="AP297" s="3">
        <v>3.91</v>
      </c>
      <c r="AQ297" s="3">
        <v>4.6150000000000002</v>
      </c>
      <c r="AR297" s="3"/>
      <c r="AS297" s="3"/>
      <c r="AT297" s="3"/>
      <c r="AU297" s="3"/>
      <c r="AV297" s="3"/>
      <c r="AW297" s="3"/>
      <c r="AX297" s="3"/>
      <c r="AY297" s="3"/>
      <c r="AZ297" s="3">
        <v>4.9470000000000001</v>
      </c>
      <c r="BA297" s="3">
        <v>3485</v>
      </c>
      <c r="BB297" s="3">
        <v>12.82</v>
      </c>
      <c r="BC297" s="3">
        <v>2876</v>
      </c>
      <c r="BD297" s="3">
        <v>3486</v>
      </c>
      <c r="BE297" s="3">
        <v>3481</v>
      </c>
      <c r="BG297" s="3">
        <v>4.8929999999999998</v>
      </c>
      <c r="BH297" s="3">
        <v>8.59</v>
      </c>
      <c r="BI297" s="3">
        <v>8.68</v>
      </c>
      <c r="BJ297" s="3">
        <v>0.30399999999999999</v>
      </c>
      <c r="BK297" s="3">
        <v>0.24299999999999999</v>
      </c>
      <c r="BM297" s="17">
        <v>11.19</v>
      </c>
      <c r="BN297" s="17">
        <f t="shared" si="154"/>
        <v>22.6038</v>
      </c>
      <c r="BO297" s="18">
        <f t="shared" si="164"/>
        <v>4.7300000000000004</v>
      </c>
      <c r="BP297" s="18">
        <f t="shared" si="165"/>
        <v>9.83</v>
      </c>
      <c r="BR297" s="1">
        <f t="shared" si="166"/>
        <v>99</v>
      </c>
      <c r="BS297" s="1">
        <f t="shared" si="167"/>
        <v>72.099999999999994</v>
      </c>
      <c r="BT297" s="1">
        <f t="shared" si="168"/>
        <v>54.2</v>
      </c>
      <c r="BU297" s="60">
        <f t="shared" si="192"/>
        <v>0.61499999999999999</v>
      </c>
      <c r="BV297" s="60">
        <f t="shared" si="153"/>
        <v>0.52</v>
      </c>
      <c r="BX297" s="1">
        <v>8.1</v>
      </c>
      <c r="CB297" s="17">
        <f t="shared" si="169"/>
        <v>4.7300000000000004</v>
      </c>
      <c r="CC297" s="17">
        <f t="shared" si="170"/>
        <v>9.83</v>
      </c>
      <c r="CD297" s="3">
        <f t="shared" si="155"/>
        <v>5.7</v>
      </c>
      <c r="CE297" s="3">
        <f t="shared" si="171"/>
        <v>5.6</v>
      </c>
      <c r="CF297" s="3">
        <f t="shared" si="172"/>
        <v>5.4</v>
      </c>
      <c r="CG297" s="3">
        <f t="shared" si="173"/>
        <v>4.3</v>
      </c>
      <c r="CH297" s="3">
        <f t="shared" si="174"/>
        <v>4.0999999999999996</v>
      </c>
      <c r="CI297" s="3">
        <f t="shared" si="175"/>
        <v>4.0999999999999996</v>
      </c>
      <c r="CJ297" s="3">
        <f t="shared" si="176"/>
        <v>4.7</v>
      </c>
      <c r="CK297" s="27">
        <f t="shared" si="177"/>
        <v>72.099999999999994</v>
      </c>
      <c r="CL297" s="1">
        <f t="shared" si="156"/>
        <v>8.8000000000000007</v>
      </c>
      <c r="CM297" s="1">
        <f t="shared" si="178"/>
        <v>9.4</v>
      </c>
      <c r="CN297" s="1">
        <f t="shared" si="179"/>
        <v>9.6999999999999993</v>
      </c>
      <c r="CO297" s="1">
        <f t="shared" si="180"/>
        <v>9.4</v>
      </c>
      <c r="CP297" s="1">
        <f t="shared" si="181"/>
        <v>5.4</v>
      </c>
      <c r="CQ297" s="1">
        <f t="shared" si="182"/>
        <v>4.4000000000000004</v>
      </c>
      <c r="CR297" s="1">
        <f t="shared" si="183"/>
        <v>5.0999999999999996</v>
      </c>
      <c r="CS297" s="2">
        <f t="shared" si="184"/>
        <v>99</v>
      </c>
      <c r="CT297" s="1">
        <f t="shared" si="157"/>
        <v>0.3</v>
      </c>
      <c r="CU297" s="1">
        <f t="shared" si="185"/>
        <v>0.1</v>
      </c>
      <c r="CV297" s="1">
        <f t="shared" si="186"/>
        <v>-0.1</v>
      </c>
      <c r="CW297" s="1">
        <f t="shared" si="187"/>
        <v>0.5</v>
      </c>
      <c r="CX297" s="1">
        <f t="shared" si="188"/>
        <v>2.6</v>
      </c>
      <c r="CY297" s="1">
        <f t="shared" si="189"/>
        <v>3.9</v>
      </c>
      <c r="CZ297" s="1">
        <f t="shared" si="190"/>
        <v>4.5999999999999996</v>
      </c>
      <c r="DA297" s="2">
        <f t="shared" si="158"/>
        <v>54.2</v>
      </c>
      <c r="DB297" s="20">
        <f t="shared" si="159"/>
        <v>0</v>
      </c>
      <c r="DC297" s="1">
        <f>ROUND(PPTest!K297,1)</f>
        <v>8.5</v>
      </c>
      <c r="DD297" s="17" t="s">
        <v>218</v>
      </c>
      <c r="DE297" s="3">
        <f t="shared" si="191"/>
        <v>5.47</v>
      </c>
      <c r="DF297" s="24">
        <f t="shared" si="160"/>
        <v>0.61499999999999999</v>
      </c>
      <c r="DG297" s="24">
        <f t="shared" si="161"/>
        <v>0.52</v>
      </c>
      <c r="DH297" s="17">
        <f t="shared" si="163"/>
        <v>12.82</v>
      </c>
      <c r="DK297" s="1">
        <v>6</v>
      </c>
      <c r="DL297" s="1">
        <v>9.1000003814697266</v>
      </c>
      <c r="DM297" s="1">
        <v>2.7000000476837158</v>
      </c>
      <c r="DN297" s="20">
        <v>91.333333333333329</v>
      </c>
      <c r="DO297" s="1">
        <v>75</v>
      </c>
    </row>
    <row r="298" spans="1:119" x14ac:dyDescent="0.2">
      <c r="A298" s="15">
        <f t="shared" si="162"/>
        <v>36817</v>
      </c>
      <c r="B298" s="1">
        <v>292</v>
      </c>
      <c r="C298" s="3">
        <v>5.8849999999999998</v>
      </c>
      <c r="D298" s="3">
        <v>10.53</v>
      </c>
      <c r="E298" s="3">
        <v>3.9940000000000002</v>
      </c>
      <c r="F298" s="3">
        <v>85.7</v>
      </c>
      <c r="G298" s="3">
        <v>3.5819999999999999</v>
      </c>
      <c r="H298" s="3">
        <v>3.3239999999999998</v>
      </c>
      <c r="I298" s="3">
        <v>2.9119999999999999</v>
      </c>
      <c r="L298" s="3">
        <v>4.3029999999999999</v>
      </c>
      <c r="M298" s="3">
        <v>4.3339999999999996</v>
      </c>
      <c r="N298" s="3">
        <v>4.548</v>
      </c>
      <c r="Q298" s="3"/>
      <c r="R298" s="3">
        <v>8.6199999999999992</v>
      </c>
      <c r="S298" s="3">
        <v>2</v>
      </c>
      <c r="T298" s="3">
        <v>108.8</v>
      </c>
      <c r="U298" s="3">
        <v>448</v>
      </c>
      <c r="V298" s="3">
        <v>10.08</v>
      </c>
      <c r="W298" s="3">
        <v>9.5</v>
      </c>
      <c r="X298" s="3">
        <v>9.82</v>
      </c>
      <c r="Y298" s="3"/>
      <c r="AA298" s="3">
        <v>5.3360000000000003</v>
      </c>
      <c r="AB298" s="3">
        <v>4.84</v>
      </c>
      <c r="AC298" s="3">
        <v>5.0869999999999997</v>
      </c>
      <c r="AD298" s="3">
        <v>6.7110000000000003</v>
      </c>
      <c r="AE298" s="3">
        <v>451</v>
      </c>
      <c r="AF298" s="3">
        <v>-2.3149999999999999</v>
      </c>
      <c r="AG298" s="3">
        <v>0</v>
      </c>
      <c r="AH298" s="3">
        <v>68.45</v>
      </c>
      <c r="AI298" s="3">
        <v>129</v>
      </c>
      <c r="AJ298" s="3">
        <v>-3.7909999999999999</v>
      </c>
      <c r="AK298" s="3">
        <v>-4.6790000000000003</v>
      </c>
      <c r="AL298" s="3">
        <v>-3.0350000000000001</v>
      </c>
      <c r="AO298" s="3">
        <v>2.7040000000000002</v>
      </c>
      <c r="AP298" s="3">
        <v>4.1360000000000001</v>
      </c>
      <c r="AQ298" s="3">
        <v>4.28</v>
      </c>
      <c r="AR298" s="3"/>
      <c r="AS298" s="3"/>
      <c r="AT298" s="3"/>
      <c r="AU298" s="3"/>
      <c r="AV298" s="3"/>
      <c r="AW298" s="3"/>
      <c r="AX298" s="3"/>
      <c r="AY298" s="3"/>
      <c r="AZ298" s="3">
        <v>3.3570000000000002</v>
      </c>
      <c r="BA298" s="3">
        <v>3497</v>
      </c>
      <c r="BB298" s="3">
        <v>12.81</v>
      </c>
      <c r="BC298" s="3">
        <v>2876</v>
      </c>
      <c r="BD298" s="3">
        <v>3498</v>
      </c>
      <c r="BE298" s="3">
        <v>3497</v>
      </c>
      <c r="BG298" s="3">
        <v>3.64</v>
      </c>
      <c r="BH298" s="3">
        <v>7.58</v>
      </c>
      <c r="BI298" s="3">
        <v>7.99</v>
      </c>
      <c r="BJ298" s="3">
        <v>-2.972</v>
      </c>
      <c r="BK298" s="3">
        <v>-3.7440000000000002</v>
      </c>
      <c r="BM298" s="17">
        <v>10.98</v>
      </c>
      <c r="BN298" s="17">
        <f t="shared" si="154"/>
        <v>22.179600000000001</v>
      </c>
      <c r="BO298" s="18">
        <f t="shared" si="164"/>
        <v>5.77</v>
      </c>
      <c r="BP298" s="18">
        <f t="shared" si="165"/>
        <v>11.58</v>
      </c>
      <c r="BR298" s="1">
        <f t="shared" si="166"/>
        <v>97.3</v>
      </c>
      <c r="BS298" s="1">
        <f t="shared" si="167"/>
        <v>69.400000000000006</v>
      </c>
      <c r="BT298" s="1">
        <f t="shared" si="168"/>
        <v>54.2</v>
      </c>
      <c r="BU298" s="60">
        <f t="shared" si="192"/>
        <v>0.60599999999999998</v>
      </c>
      <c r="BV298" s="60">
        <f t="shared" si="153"/>
        <v>0.51200000000000001</v>
      </c>
      <c r="BX298" s="1">
        <v>1.3</v>
      </c>
      <c r="CB298" s="17">
        <f t="shared" si="169"/>
        <v>5.77</v>
      </c>
      <c r="CC298" s="17">
        <f t="shared" si="170"/>
        <v>11.58</v>
      </c>
      <c r="CD298" s="3">
        <f t="shared" si="155"/>
        <v>4</v>
      </c>
      <c r="CE298" s="3">
        <f t="shared" si="171"/>
        <v>3.6</v>
      </c>
      <c r="CF298" s="3">
        <f t="shared" si="172"/>
        <v>3.3</v>
      </c>
      <c r="CG298" s="3">
        <f t="shared" si="173"/>
        <v>2.9</v>
      </c>
      <c r="CH298" s="3">
        <f t="shared" si="174"/>
        <v>4.3</v>
      </c>
      <c r="CI298" s="3">
        <f t="shared" si="175"/>
        <v>4.3</v>
      </c>
      <c r="CJ298" s="3">
        <f t="shared" si="176"/>
        <v>4.5</v>
      </c>
      <c r="CK298" s="27">
        <f t="shared" si="177"/>
        <v>69.400000000000006</v>
      </c>
      <c r="CL298" s="1">
        <f t="shared" si="156"/>
        <v>8.6</v>
      </c>
      <c r="CM298" s="1">
        <f t="shared" si="178"/>
        <v>10.1</v>
      </c>
      <c r="CN298" s="1">
        <f t="shared" si="179"/>
        <v>9.5</v>
      </c>
      <c r="CO298" s="1">
        <f t="shared" si="180"/>
        <v>9.8000000000000007</v>
      </c>
      <c r="CP298" s="1">
        <f t="shared" si="181"/>
        <v>5.3</v>
      </c>
      <c r="CQ298" s="1">
        <f t="shared" si="182"/>
        <v>4.8</v>
      </c>
      <c r="CR298" s="1">
        <f t="shared" si="183"/>
        <v>5.0999999999999996</v>
      </c>
      <c r="CS298" s="2">
        <f t="shared" si="184"/>
        <v>97.3</v>
      </c>
      <c r="CT298" s="1">
        <f t="shared" si="157"/>
        <v>-2.2999999999999998</v>
      </c>
      <c r="CU298" s="1">
        <f t="shared" si="185"/>
        <v>-3.8</v>
      </c>
      <c r="CV298" s="1">
        <f t="shared" si="186"/>
        <v>-4.7</v>
      </c>
      <c r="CW298" s="1">
        <f t="shared" si="187"/>
        <v>-3</v>
      </c>
      <c r="CX298" s="1">
        <f t="shared" si="188"/>
        <v>2.7</v>
      </c>
      <c r="CY298" s="1">
        <f t="shared" si="189"/>
        <v>4.0999999999999996</v>
      </c>
      <c r="CZ298" s="1">
        <f t="shared" si="190"/>
        <v>4.3</v>
      </c>
      <c r="DA298" s="2">
        <f t="shared" si="158"/>
        <v>54.2</v>
      </c>
      <c r="DB298" s="20">
        <f t="shared" si="159"/>
        <v>0</v>
      </c>
      <c r="DC298" s="1">
        <f>ROUND(PPTest!K298,1)</f>
        <v>1.4</v>
      </c>
      <c r="DD298" s="17" t="s">
        <v>218</v>
      </c>
      <c r="DE298" s="3">
        <f t="shared" si="191"/>
        <v>6.71</v>
      </c>
      <c r="DF298" s="24">
        <f t="shared" si="160"/>
        <v>0.60599999999999998</v>
      </c>
      <c r="DG298" s="24">
        <f t="shared" si="161"/>
        <v>0.51200000000000001</v>
      </c>
      <c r="DH298" s="17">
        <f t="shared" si="163"/>
        <v>12.81</v>
      </c>
      <c r="DK298" s="1">
        <v>6</v>
      </c>
      <c r="DL298" s="1">
        <v>8.5</v>
      </c>
      <c r="DM298" s="1">
        <v>0.69999998807907104</v>
      </c>
      <c r="DN298" s="20">
        <v>80.791666666666671</v>
      </c>
      <c r="DO298" s="1">
        <v>68</v>
      </c>
    </row>
    <row r="299" spans="1:119" x14ac:dyDescent="0.2">
      <c r="A299" s="15">
        <f t="shared" si="162"/>
        <v>36818</v>
      </c>
      <c r="B299" s="1">
        <v>293</v>
      </c>
      <c r="C299" s="3">
        <v>6.9249999999999998</v>
      </c>
      <c r="D299" s="3">
        <v>12.33</v>
      </c>
      <c r="E299" s="3">
        <v>-5.7000000000000002E-2</v>
      </c>
      <c r="F299" s="3">
        <v>92</v>
      </c>
      <c r="G299" s="3">
        <v>-0.29699999999999999</v>
      </c>
      <c r="H299" s="3">
        <v>-0.40100000000000002</v>
      </c>
      <c r="I299" s="3">
        <v>-0.126</v>
      </c>
      <c r="L299" s="3">
        <v>2.4649999999999999</v>
      </c>
      <c r="M299" s="3">
        <v>3.96</v>
      </c>
      <c r="N299" s="3">
        <v>4.5179999999999998</v>
      </c>
      <c r="Q299" s="3"/>
      <c r="R299" s="3">
        <v>3.9889999999999999</v>
      </c>
      <c r="S299" s="3">
        <v>1441</v>
      </c>
      <c r="T299" s="3">
        <v>109.4</v>
      </c>
      <c r="U299" s="3">
        <v>2132</v>
      </c>
      <c r="V299" s="3">
        <v>5.3440000000000003</v>
      </c>
      <c r="W299" s="3">
        <v>6.5590000000000002</v>
      </c>
      <c r="X299" s="3">
        <v>3.2</v>
      </c>
      <c r="Y299" s="3"/>
      <c r="AA299" s="3">
        <v>3.2679999999999998</v>
      </c>
      <c r="AB299" s="3">
        <v>4.41</v>
      </c>
      <c r="AC299" s="3">
        <v>4.9059999999999997</v>
      </c>
      <c r="AD299" s="3">
        <v>4.6360000000000001</v>
      </c>
      <c r="AE299" s="3">
        <v>1625</v>
      </c>
      <c r="AF299" s="3">
        <v>-5.2889999999999997</v>
      </c>
      <c r="AG299" s="3">
        <v>636</v>
      </c>
      <c r="AH299" s="3">
        <v>51.47</v>
      </c>
      <c r="AI299" s="3">
        <v>1439</v>
      </c>
      <c r="AJ299" s="3">
        <v>-5.9329999999999998</v>
      </c>
      <c r="AK299" s="3">
        <v>-6.6459999999999999</v>
      </c>
      <c r="AL299" s="3">
        <v>-4.6109999999999998</v>
      </c>
      <c r="AO299" s="3">
        <v>1.897</v>
      </c>
      <c r="AP299" s="3">
        <v>3.6259999999999999</v>
      </c>
      <c r="AQ299" s="3">
        <v>4.2910000000000004</v>
      </c>
      <c r="AR299" s="3"/>
      <c r="AS299" s="3"/>
      <c r="AT299" s="3"/>
      <c r="AU299" s="3"/>
      <c r="AV299" s="3"/>
      <c r="AW299" s="3"/>
      <c r="AX299" s="3"/>
      <c r="AY299" s="3"/>
      <c r="AZ299" s="3">
        <v>-0.67900000000000005</v>
      </c>
      <c r="BA299" s="3">
        <v>3436</v>
      </c>
      <c r="BB299" s="3">
        <v>12.81</v>
      </c>
      <c r="BC299" s="3">
        <v>2876</v>
      </c>
      <c r="BD299" s="3">
        <v>3439</v>
      </c>
      <c r="BE299" s="3">
        <v>3433</v>
      </c>
      <c r="BG299" s="3">
        <v>-0.64100000000000001</v>
      </c>
      <c r="BH299" s="3">
        <v>5.1429999999999998</v>
      </c>
      <c r="BI299" s="3">
        <v>5.24</v>
      </c>
      <c r="BJ299" s="3">
        <v>-6.7759999999999998</v>
      </c>
      <c r="BK299" s="3">
        <v>-6.9589999999999996</v>
      </c>
      <c r="BM299" s="17">
        <v>10.77</v>
      </c>
      <c r="BN299" s="17">
        <f t="shared" si="154"/>
        <v>21.755399999999998</v>
      </c>
      <c r="BO299" s="18">
        <f t="shared" si="164"/>
        <v>6.79</v>
      </c>
      <c r="BP299" s="18">
        <f t="shared" si="165"/>
        <v>13.56</v>
      </c>
      <c r="BR299" s="1">
        <f t="shared" si="166"/>
        <v>98.2</v>
      </c>
      <c r="BS299" s="1">
        <f t="shared" si="167"/>
        <v>75</v>
      </c>
      <c r="BT299" s="1">
        <f t="shared" si="168"/>
        <v>39.299999999999997</v>
      </c>
      <c r="BU299" s="60">
        <f t="shared" si="192"/>
        <v>0.31900000000000001</v>
      </c>
      <c r="BV299" s="60">
        <f t="shared" si="153"/>
        <v>0.49299999999999999</v>
      </c>
      <c r="BX299" s="1">
        <v>6.6</v>
      </c>
      <c r="CB299" s="17">
        <f t="shared" si="169"/>
        <v>6.79</v>
      </c>
      <c r="CC299" s="17">
        <f t="shared" si="170"/>
        <v>13.56</v>
      </c>
      <c r="CD299" s="3">
        <f t="shared" si="155"/>
        <v>-0.1</v>
      </c>
      <c r="CE299" s="3">
        <f t="shared" si="171"/>
        <v>-0.3</v>
      </c>
      <c r="CF299" s="3">
        <f t="shared" si="172"/>
        <v>-0.4</v>
      </c>
      <c r="CG299" s="3">
        <f t="shared" si="173"/>
        <v>-0.1</v>
      </c>
      <c r="CH299" s="3">
        <f t="shared" si="174"/>
        <v>2.5</v>
      </c>
      <c r="CI299" s="3">
        <f t="shared" si="175"/>
        <v>4</v>
      </c>
      <c r="CJ299" s="3">
        <f t="shared" si="176"/>
        <v>4.5</v>
      </c>
      <c r="CK299" s="27">
        <f t="shared" si="177"/>
        <v>75</v>
      </c>
      <c r="CL299" s="1">
        <f t="shared" si="156"/>
        <v>4</v>
      </c>
      <c r="CM299" s="1">
        <f t="shared" si="178"/>
        <v>5.3</v>
      </c>
      <c r="CN299" s="1">
        <f t="shared" si="179"/>
        <v>6.6</v>
      </c>
      <c r="CO299" s="1">
        <f t="shared" si="180"/>
        <v>3.2</v>
      </c>
      <c r="CP299" s="1">
        <f t="shared" si="181"/>
        <v>3.3</v>
      </c>
      <c r="CQ299" s="1">
        <f t="shared" si="182"/>
        <v>4.4000000000000004</v>
      </c>
      <c r="CR299" s="1">
        <f t="shared" si="183"/>
        <v>4.9000000000000004</v>
      </c>
      <c r="CS299" s="2">
        <f t="shared" si="184"/>
        <v>98.2</v>
      </c>
      <c r="CT299" s="1">
        <f t="shared" si="157"/>
        <v>-5.3</v>
      </c>
      <c r="CU299" s="1">
        <f t="shared" si="185"/>
        <v>-5.9</v>
      </c>
      <c r="CV299" s="1">
        <f t="shared" si="186"/>
        <v>-6.6</v>
      </c>
      <c r="CW299" s="1">
        <f t="shared" si="187"/>
        <v>-4.5999999999999996</v>
      </c>
      <c r="CX299" s="1">
        <f t="shared" si="188"/>
        <v>1.9</v>
      </c>
      <c r="CY299" s="1">
        <f t="shared" si="189"/>
        <v>3.6</v>
      </c>
      <c r="CZ299" s="1">
        <f t="shared" si="190"/>
        <v>4.3</v>
      </c>
      <c r="DA299" s="2">
        <f t="shared" si="158"/>
        <v>39.299999999999997</v>
      </c>
      <c r="DB299" s="20">
        <f t="shared" si="159"/>
        <v>0</v>
      </c>
      <c r="DC299" s="1">
        <f>ROUND(PPTest!K299,1)</f>
        <v>6.9</v>
      </c>
      <c r="DD299" s="17" t="s">
        <v>218</v>
      </c>
      <c r="DE299" s="3">
        <f t="shared" si="191"/>
        <v>4.6399999999999997</v>
      </c>
      <c r="DF299" s="24">
        <f t="shared" si="160"/>
        <v>0.31900000000000001</v>
      </c>
      <c r="DG299" s="24">
        <f t="shared" si="161"/>
        <v>0.49299999999999999</v>
      </c>
      <c r="DH299" s="17">
        <f t="shared" si="163"/>
        <v>12.81</v>
      </c>
      <c r="DK299" s="1">
        <v>3.2</v>
      </c>
      <c r="DL299" s="1">
        <v>5.5999999046325684</v>
      </c>
      <c r="DM299" s="1">
        <v>-0.10000000149011612</v>
      </c>
      <c r="DN299" s="20">
        <v>80.791666666666671</v>
      </c>
      <c r="DO299" s="1">
        <v>59</v>
      </c>
    </row>
    <row r="300" spans="1:119" x14ac:dyDescent="0.2">
      <c r="A300" s="15">
        <f t="shared" si="162"/>
        <v>36819</v>
      </c>
      <c r="B300" s="1">
        <v>294</v>
      </c>
      <c r="C300" s="3">
        <v>4.2359999999999998</v>
      </c>
      <c r="D300" s="3">
        <v>7.89</v>
      </c>
      <c r="E300" s="3">
        <v>3.2410000000000001</v>
      </c>
      <c r="F300" s="3">
        <v>101.9</v>
      </c>
      <c r="G300" s="3">
        <v>3.06</v>
      </c>
      <c r="H300" s="3">
        <v>2.92</v>
      </c>
      <c r="I300" s="3">
        <v>2.7109999999999999</v>
      </c>
      <c r="L300" s="3">
        <v>3.379</v>
      </c>
      <c r="M300" s="3">
        <v>3.738</v>
      </c>
      <c r="N300" s="3">
        <v>4.4989999999999997</v>
      </c>
      <c r="Q300" s="3"/>
      <c r="R300" s="3">
        <v>6.57</v>
      </c>
      <c r="S300" s="3">
        <v>1120</v>
      </c>
      <c r="T300" s="3">
        <v>110.1</v>
      </c>
      <c r="U300" s="3">
        <v>2327</v>
      </c>
      <c r="V300" s="3">
        <v>7.62</v>
      </c>
      <c r="W300" s="3">
        <v>7.83</v>
      </c>
      <c r="X300" s="3">
        <v>7.7</v>
      </c>
      <c r="Y300" s="3"/>
      <c r="AA300" s="3">
        <v>4.8079999999999998</v>
      </c>
      <c r="AB300" s="3">
        <v>3.89</v>
      </c>
      <c r="AC300" s="3">
        <v>4.7789999999999999</v>
      </c>
      <c r="AD300" s="3">
        <v>6.2320000000000002</v>
      </c>
      <c r="AE300" s="3">
        <v>2134</v>
      </c>
      <c r="AF300" s="3">
        <v>-1.2390000000000001</v>
      </c>
      <c r="AG300" s="3">
        <v>2358</v>
      </c>
      <c r="AH300" s="3">
        <v>92.6</v>
      </c>
      <c r="AI300" s="3">
        <v>1121</v>
      </c>
      <c r="AJ300" s="3">
        <v>-1.4370000000000001</v>
      </c>
      <c r="AK300" s="3">
        <v>-1.357</v>
      </c>
      <c r="AL300" s="3">
        <v>0.19800000000000001</v>
      </c>
      <c r="AO300" s="3">
        <v>2.274</v>
      </c>
      <c r="AP300" s="3">
        <v>3.629</v>
      </c>
      <c r="AQ300" s="3">
        <v>4.2949999999999999</v>
      </c>
      <c r="AR300" s="3"/>
      <c r="AS300" s="3"/>
      <c r="AT300" s="3"/>
      <c r="AU300" s="3"/>
      <c r="AV300" s="3"/>
      <c r="AW300" s="3"/>
      <c r="AX300" s="3"/>
      <c r="AY300" s="3"/>
      <c r="AZ300" s="3">
        <v>2.9140000000000001</v>
      </c>
      <c r="BA300" s="3">
        <v>3449</v>
      </c>
      <c r="BB300" s="3">
        <v>12.81</v>
      </c>
      <c r="BC300" s="3">
        <v>2876</v>
      </c>
      <c r="BD300" s="3">
        <v>3456</v>
      </c>
      <c r="BE300" s="3">
        <v>3445</v>
      </c>
      <c r="BG300" s="3">
        <v>2.976</v>
      </c>
      <c r="BH300" s="3">
        <v>6.8319999999999999</v>
      </c>
      <c r="BI300" s="3">
        <v>6.9660000000000002</v>
      </c>
      <c r="BJ300" s="3">
        <v>-0.46</v>
      </c>
      <c r="BK300" s="3">
        <v>-0.69099999999999995</v>
      </c>
      <c r="BM300" s="17">
        <v>10.57</v>
      </c>
      <c r="BN300" s="17">
        <f t="shared" si="154"/>
        <v>21.351400000000002</v>
      </c>
      <c r="BO300" s="18">
        <f t="shared" si="164"/>
        <v>4.1500000000000004</v>
      </c>
      <c r="BP300" s="18">
        <f t="shared" si="165"/>
        <v>8.68</v>
      </c>
      <c r="BR300" s="1">
        <f t="shared" si="166"/>
        <v>100</v>
      </c>
      <c r="BS300" s="1">
        <f t="shared" si="167"/>
        <v>86.3</v>
      </c>
      <c r="BT300" s="1">
        <f t="shared" si="168"/>
        <v>75.5</v>
      </c>
      <c r="BU300" s="60">
        <f t="shared" si="192"/>
        <v>0.73399999999999999</v>
      </c>
      <c r="BV300" s="60">
        <f t="shared" si="153"/>
        <v>0.23799999999999999</v>
      </c>
      <c r="BX300" s="1">
        <v>6</v>
      </c>
      <c r="CB300" s="17">
        <f t="shared" si="169"/>
        <v>4.1500000000000004</v>
      </c>
      <c r="CC300" s="17">
        <f t="shared" si="170"/>
        <v>8.68</v>
      </c>
      <c r="CD300" s="3">
        <f t="shared" si="155"/>
        <v>3.2</v>
      </c>
      <c r="CE300" s="3">
        <f t="shared" si="171"/>
        <v>3.1</v>
      </c>
      <c r="CF300" s="3">
        <f t="shared" si="172"/>
        <v>2.9</v>
      </c>
      <c r="CG300" s="3">
        <f t="shared" si="173"/>
        <v>2.7</v>
      </c>
      <c r="CH300" s="3">
        <f t="shared" si="174"/>
        <v>3.4</v>
      </c>
      <c r="CI300" s="3">
        <f t="shared" si="175"/>
        <v>3.7</v>
      </c>
      <c r="CJ300" s="3">
        <f t="shared" si="176"/>
        <v>4.5</v>
      </c>
      <c r="CK300" s="27">
        <f t="shared" si="177"/>
        <v>86.3</v>
      </c>
      <c r="CL300" s="1">
        <f t="shared" si="156"/>
        <v>6.6</v>
      </c>
      <c r="CM300" s="1">
        <f t="shared" si="178"/>
        <v>7.6</v>
      </c>
      <c r="CN300" s="1">
        <f t="shared" si="179"/>
        <v>7.8</v>
      </c>
      <c r="CO300" s="1">
        <f t="shared" si="180"/>
        <v>7.7</v>
      </c>
      <c r="CP300" s="1">
        <f t="shared" si="181"/>
        <v>4.8</v>
      </c>
      <c r="CQ300" s="1">
        <f t="shared" si="182"/>
        <v>3.9</v>
      </c>
      <c r="CR300" s="1">
        <f t="shared" si="183"/>
        <v>4.8</v>
      </c>
      <c r="CS300" s="2">
        <f t="shared" si="184"/>
        <v>100</v>
      </c>
      <c r="CT300" s="1">
        <f t="shared" si="157"/>
        <v>-1.2</v>
      </c>
      <c r="CU300" s="1">
        <f t="shared" si="185"/>
        <v>-1.4</v>
      </c>
      <c r="CV300" s="1">
        <f t="shared" si="186"/>
        <v>-1.4</v>
      </c>
      <c r="CW300" s="1">
        <f t="shared" si="187"/>
        <v>0.2</v>
      </c>
      <c r="CX300" s="1">
        <f t="shared" si="188"/>
        <v>2.2999999999999998</v>
      </c>
      <c r="CY300" s="1">
        <f t="shared" si="189"/>
        <v>3.6</v>
      </c>
      <c r="CZ300" s="1">
        <f t="shared" si="190"/>
        <v>4.3</v>
      </c>
      <c r="DA300" s="2">
        <f t="shared" si="158"/>
        <v>75.5</v>
      </c>
      <c r="DB300" s="20">
        <f t="shared" si="159"/>
        <v>0</v>
      </c>
      <c r="DC300" s="1">
        <f>ROUND(PPTest!K300,1)</f>
        <v>6.3</v>
      </c>
      <c r="DD300" s="17" t="s">
        <v>218</v>
      </c>
      <c r="DE300" s="3">
        <f t="shared" si="191"/>
        <v>6.23</v>
      </c>
      <c r="DF300" s="24">
        <f t="shared" si="160"/>
        <v>0.73399999999999999</v>
      </c>
      <c r="DG300" s="24">
        <f t="shared" si="161"/>
        <v>0.23799999999999999</v>
      </c>
      <c r="DH300" s="17">
        <f t="shared" si="163"/>
        <v>12.81</v>
      </c>
      <c r="DK300" s="1">
        <v>4.3</v>
      </c>
      <c r="DL300" s="1">
        <v>7</v>
      </c>
      <c r="DM300" s="1">
        <v>1</v>
      </c>
      <c r="DN300" s="20">
        <v>98.583333333333329</v>
      </c>
      <c r="DO300" s="1">
        <v>93</v>
      </c>
    </row>
    <row r="301" spans="1:119" x14ac:dyDescent="0.2">
      <c r="A301" s="15">
        <f t="shared" si="162"/>
        <v>36820</v>
      </c>
      <c r="B301" s="1">
        <v>295</v>
      </c>
      <c r="C301" s="3">
        <v>6.5659999999999998</v>
      </c>
      <c r="D301" s="3">
        <v>11.49</v>
      </c>
      <c r="E301" s="3">
        <v>-3.3460000000000001</v>
      </c>
      <c r="F301" s="3">
        <v>105.4</v>
      </c>
      <c r="G301" s="3">
        <v>-3.3679999999999999</v>
      </c>
      <c r="H301" s="3">
        <v>-3.544</v>
      </c>
      <c r="I301" s="3">
        <v>-0.62</v>
      </c>
      <c r="L301" s="3">
        <v>2.2490000000000001</v>
      </c>
      <c r="M301" s="3">
        <v>3.5350000000000001</v>
      </c>
      <c r="N301" s="3">
        <v>4.2409999999999997</v>
      </c>
      <c r="Q301" s="3"/>
      <c r="R301" s="3">
        <v>-0.193</v>
      </c>
      <c r="S301" s="3">
        <v>1244</v>
      </c>
      <c r="T301" s="3">
        <v>110</v>
      </c>
      <c r="U301" s="3">
        <v>3</v>
      </c>
      <c r="V301" s="3">
        <v>2.42</v>
      </c>
      <c r="W301" s="3">
        <v>3.91</v>
      </c>
      <c r="X301" s="3">
        <v>1.788</v>
      </c>
      <c r="Y301" s="3"/>
      <c r="AA301" s="3">
        <v>2.8090000000000002</v>
      </c>
      <c r="AB301" s="3">
        <v>3.915</v>
      </c>
      <c r="AC301" s="3">
        <v>4.5970000000000004</v>
      </c>
      <c r="AD301" s="3">
        <v>5.6740000000000004</v>
      </c>
      <c r="AE301" s="3">
        <v>1246</v>
      </c>
      <c r="AF301" s="3">
        <v>-8.4</v>
      </c>
      <c r="AG301" s="3">
        <v>2336</v>
      </c>
      <c r="AH301" s="3">
        <v>81.5</v>
      </c>
      <c r="AI301" s="3">
        <v>1515</v>
      </c>
      <c r="AJ301" s="3">
        <v>-8.9600000000000009</v>
      </c>
      <c r="AK301" s="3">
        <v>-9.39</v>
      </c>
      <c r="AL301" s="3">
        <v>-4.7770000000000001</v>
      </c>
      <c r="AO301" s="3">
        <v>1.581</v>
      </c>
      <c r="AP301" s="3">
        <v>3.2040000000000002</v>
      </c>
      <c r="AQ301" s="3">
        <v>3.9950000000000001</v>
      </c>
      <c r="AR301" s="3"/>
      <c r="AS301" s="3"/>
      <c r="AT301" s="3"/>
      <c r="AU301" s="3"/>
      <c r="AV301" s="3"/>
      <c r="AW301" s="3"/>
      <c r="AX301" s="3"/>
      <c r="AY301" s="3"/>
      <c r="AZ301" s="3">
        <v>-3.1219999999999999</v>
      </c>
      <c r="BA301" s="3">
        <v>3413</v>
      </c>
      <c r="BB301" s="3">
        <v>12.79</v>
      </c>
      <c r="BC301" s="3">
        <v>2876</v>
      </c>
      <c r="BD301" s="3">
        <v>3416</v>
      </c>
      <c r="BE301" s="3">
        <v>3410</v>
      </c>
      <c r="BG301" s="3">
        <v>-2.8769999999999998</v>
      </c>
      <c r="BH301" s="3">
        <v>1.85</v>
      </c>
      <c r="BI301" s="3">
        <v>2.08</v>
      </c>
      <c r="BJ301" s="3">
        <v>-9.4700000000000006</v>
      </c>
      <c r="BK301" s="3">
        <v>-9.7100000000000009</v>
      </c>
      <c r="BM301" s="17">
        <v>10.36</v>
      </c>
      <c r="BN301" s="17">
        <f t="shared" si="154"/>
        <v>20.927199999999999</v>
      </c>
      <c r="BO301" s="18">
        <f t="shared" ref="BO301:BO332" si="193">ROUND(C301*BO$2,2)</f>
        <v>6.43</v>
      </c>
      <c r="BP301" s="18">
        <f t="shared" ref="BP301:BP332" si="194">ROUND(D301*BP$2,2)</f>
        <v>12.64</v>
      </c>
      <c r="BR301" s="1">
        <f t="shared" ref="BR301:BR332" si="195">ROUND(IF(T301&gt;BR$2,100,IF(T301&gt;BR$3,BS$1*T301+BS$2, T301*BS$3+BS$4)),1)</f>
        <v>99.2</v>
      </c>
      <c r="BS301" s="1">
        <f t="shared" ref="BS301:BS332" si="196">ROUND(IF(F301&gt;BR$2,100, IF(F301&gt;BR$3,BS$1*F301+BS$2, F301*BS$3+BS$4)),1)</f>
        <v>91.9</v>
      </c>
      <c r="BT301" s="1">
        <f t="shared" ref="BT301:BT332" si="197">ROUND(IF(AH301&gt;BR$2,100,IF(AH301&gt;BR$3,BS$1*AH301+BS$2, AH301*BS$3+BS$4)),1)</f>
        <v>65.7</v>
      </c>
      <c r="BU301" s="60">
        <f t="shared" si="192"/>
        <v>0.39500000000000002</v>
      </c>
      <c r="BV301" s="60">
        <f t="shared" si="153"/>
        <v>0.20599999999999999</v>
      </c>
      <c r="BX301" s="1">
        <v>0.3</v>
      </c>
      <c r="CB301" s="17">
        <f t="shared" si="169"/>
        <v>6.43</v>
      </c>
      <c r="CC301" s="17">
        <f t="shared" si="170"/>
        <v>12.64</v>
      </c>
      <c r="CD301" s="3">
        <f t="shared" si="155"/>
        <v>-3.3</v>
      </c>
      <c r="CE301" s="3">
        <f t="shared" si="171"/>
        <v>-3.4</v>
      </c>
      <c r="CF301" s="3">
        <f t="shared" si="172"/>
        <v>-3.5</v>
      </c>
      <c r="CG301" s="3">
        <f t="shared" si="173"/>
        <v>-0.6</v>
      </c>
      <c r="CH301" s="3">
        <f t="shared" si="174"/>
        <v>2.2000000000000002</v>
      </c>
      <c r="CI301" s="3">
        <f t="shared" si="175"/>
        <v>3.5</v>
      </c>
      <c r="CJ301" s="3">
        <f t="shared" si="176"/>
        <v>4.2</v>
      </c>
      <c r="CK301" s="27">
        <f t="shared" si="177"/>
        <v>91.9</v>
      </c>
      <c r="CL301" s="1">
        <f t="shared" si="156"/>
        <v>-0.2</v>
      </c>
      <c r="CM301" s="1">
        <f t="shared" si="178"/>
        <v>2.4</v>
      </c>
      <c r="CN301" s="1">
        <f t="shared" si="179"/>
        <v>3.9</v>
      </c>
      <c r="CO301" s="1">
        <f t="shared" si="180"/>
        <v>1.8</v>
      </c>
      <c r="CP301" s="1">
        <f t="shared" si="181"/>
        <v>2.8</v>
      </c>
      <c r="CQ301" s="1">
        <f t="shared" si="182"/>
        <v>3.9</v>
      </c>
      <c r="CR301" s="1">
        <f t="shared" si="183"/>
        <v>4.5999999999999996</v>
      </c>
      <c r="CS301" s="2">
        <f t="shared" si="184"/>
        <v>99.2</v>
      </c>
      <c r="CT301" s="1">
        <f t="shared" si="157"/>
        <v>-8.4</v>
      </c>
      <c r="CU301" s="1">
        <f t="shared" si="185"/>
        <v>-9</v>
      </c>
      <c r="CV301" s="1">
        <f t="shared" si="186"/>
        <v>-9.4</v>
      </c>
      <c r="CW301" s="1">
        <f t="shared" si="187"/>
        <v>-4.8</v>
      </c>
      <c r="CX301" s="1">
        <f t="shared" si="188"/>
        <v>1.6</v>
      </c>
      <c r="CY301" s="1">
        <f t="shared" si="189"/>
        <v>3.2</v>
      </c>
      <c r="CZ301" s="1">
        <f t="shared" si="190"/>
        <v>4</v>
      </c>
      <c r="DA301" s="2">
        <f t="shared" si="158"/>
        <v>65.7</v>
      </c>
      <c r="DB301" s="20">
        <f t="shared" si="159"/>
        <v>0</v>
      </c>
      <c r="DC301" s="1">
        <f>ROUND(PPTest!K301,1)</f>
        <v>0.3</v>
      </c>
      <c r="DD301" s="17" t="s">
        <v>218</v>
      </c>
      <c r="DE301" s="3">
        <f t="shared" si="191"/>
        <v>5.67</v>
      </c>
      <c r="DF301" s="24">
        <f t="shared" si="160"/>
        <v>0.39500000000000002</v>
      </c>
      <c r="DG301" s="24">
        <f t="shared" si="161"/>
        <v>0.20599999999999999</v>
      </c>
      <c r="DH301" s="17">
        <f t="shared" si="163"/>
        <v>12.79</v>
      </c>
      <c r="DK301" s="1">
        <v>0.5</v>
      </c>
      <c r="DL301" s="1">
        <v>3.2000000476837158</v>
      </c>
      <c r="DM301" s="1">
        <v>-1.8999999761581421</v>
      </c>
      <c r="DN301" s="20">
        <v>84.958333333333329</v>
      </c>
      <c r="DO301" s="1">
        <v>58</v>
      </c>
    </row>
    <row r="302" spans="1:119" x14ac:dyDescent="0.2">
      <c r="A302" s="15">
        <f t="shared" si="162"/>
        <v>36821</v>
      </c>
      <c r="B302" s="1">
        <v>296</v>
      </c>
      <c r="C302" s="3">
        <v>5.37</v>
      </c>
      <c r="D302" s="3">
        <v>9.7799999999999994</v>
      </c>
      <c r="E302" s="3">
        <v>-1.53</v>
      </c>
      <c r="F302" s="3">
        <v>98.3</v>
      </c>
      <c r="G302" s="3">
        <v>-1.526</v>
      </c>
      <c r="H302" s="3">
        <v>-1.6679999999999999</v>
      </c>
      <c r="I302" s="3">
        <v>-0.85099999999999998</v>
      </c>
      <c r="L302" s="3">
        <v>1.3080000000000001</v>
      </c>
      <c r="M302" s="3">
        <v>3.0830000000000002</v>
      </c>
      <c r="N302" s="3">
        <v>4.2210000000000001</v>
      </c>
      <c r="Q302" s="3"/>
      <c r="R302" s="3">
        <v>1.9830000000000001</v>
      </c>
      <c r="S302" s="3">
        <v>1621</v>
      </c>
      <c r="T302" s="3">
        <v>108.4</v>
      </c>
      <c r="U302" s="3">
        <v>523</v>
      </c>
      <c r="V302" s="3">
        <v>3.27</v>
      </c>
      <c r="W302" s="3">
        <v>4.915</v>
      </c>
      <c r="X302" s="3">
        <v>1.133</v>
      </c>
      <c r="Y302" s="3"/>
      <c r="AA302" s="3">
        <v>1.6990000000000001</v>
      </c>
      <c r="AB302" s="3">
        <v>3.577</v>
      </c>
      <c r="AC302" s="3">
        <v>4.6369999999999996</v>
      </c>
      <c r="AD302" s="3">
        <v>3.2</v>
      </c>
      <c r="AE302" s="3">
        <v>1407</v>
      </c>
      <c r="AF302" s="3">
        <v>-8.16</v>
      </c>
      <c r="AG302" s="3">
        <v>1</v>
      </c>
      <c r="AH302" s="3">
        <v>77.3</v>
      </c>
      <c r="AI302" s="3">
        <v>835</v>
      </c>
      <c r="AJ302" s="3">
        <v>-8.42</v>
      </c>
      <c r="AK302" s="3">
        <v>-8.8000000000000007</v>
      </c>
      <c r="AL302" s="3">
        <v>-4.4950000000000001</v>
      </c>
      <c r="AO302" s="3">
        <v>1.1160000000000001</v>
      </c>
      <c r="AP302" s="3">
        <v>2.78</v>
      </c>
      <c r="AQ302" s="3">
        <v>4.09</v>
      </c>
      <c r="AR302" s="3"/>
      <c r="AS302" s="3"/>
      <c r="AT302" s="3"/>
      <c r="AU302" s="3"/>
      <c r="AV302" s="3"/>
      <c r="AW302" s="3"/>
      <c r="AX302" s="3"/>
      <c r="AY302" s="3"/>
      <c r="AZ302" s="3">
        <v>-2.1389999999999998</v>
      </c>
      <c r="BA302" s="3">
        <v>3463</v>
      </c>
      <c r="BB302" s="3">
        <v>12.8</v>
      </c>
      <c r="BC302" s="3">
        <v>2876</v>
      </c>
      <c r="BD302" s="3">
        <v>3467</v>
      </c>
      <c r="BE302" s="3">
        <v>3460</v>
      </c>
      <c r="BG302" s="3">
        <v>-2.2360000000000002</v>
      </c>
      <c r="BH302" s="3">
        <v>2.3239999999999998</v>
      </c>
      <c r="BI302" s="3">
        <v>2.3639999999999999</v>
      </c>
      <c r="BJ302" s="3">
        <v>-9.5</v>
      </c>
      <c r="BK302" s="3">
        <v>-9.65</v>
      </c>
      <c r="BM302" s="17">
        <v>10.17</v>
      </c>
      <c r="BN302" s="17">
        <f t="shared" si="154"/>
        <v>20.543399999999998</v>
      </c>
      <c r="BO302" s="18">
        <f t="shared" si="193"/>
        <v>5.26</v>
      </c>
      <c r="BP302" s="18">
        <f t="shared" si="194"/>
        <v>10.76</v>
      </c>
      <c r="BR302" s="1">
        <f t="shared" si="195"/>
        <v>96.7</v>
      </c>
      <c r="BS302" s="1">
        <f t="shared" si="196"/>
        <v>80.5</v>
      </c>
      <c r="BT302" s="1">
        <f t="shared" si="197"/>
        <v>62</v>
      </c>
      <c r="BU302" s="60">
        <f t="shared" si="192"/>
        <v>0.437</v>
      </c>
      <c r="BV302" s="60">
        <f t="shared" si="153"/>
        <v>0.26800000000000002</v>
      </c>
      <c r="BX302" s="1">
        <v>0</v>
      </c>
      <c r="CB302" s="17">
        <f t="shared" si="169"/>
        <v>5.26</v>
      </c>
      <c r="CC302" s="17">
        <f t="shared" si="170"/>
        <v>10.76</v>
      </c>
      <c r="CD302" s="3">
        <f t="shared" si="155"/>
        <v>-1.5</v>
      </c>
      <c r="CE302" s="3">
        <f t="shared" si="171"/>
        <v>-1.5</v>
      </c>
      <c r="CF302" s="3">
        <f t="shared" si="172"/>
        <v>-1.7</v>
      </c>
      <c r="CG302" s="3">
        <f t="shared" si="173"/>
        <v>-0.9</v>
      </c>
      <c r="CH302" s="3">
        <f t="shared" si="174"/>
        <v>1.3</v>
      </c>
      <c r="CI302" s="3">
        <f t="shared" si="175"/>
        <v>3.1</v>
      </c>
      <c r="CJ302" s="3">
        <f t="shared" si="176"/>
        <v>4.2</v>
      </c>
      <c r="CK302" s="27">
        <f t="shared" si="177"/>
        <v>80.5</v>
      </c>
      <c r="CL302" s="1">
        <f t="shared" si="156"/>
        <v>2</v>
      </c>
      <c r="CM302" s="1">
        <f t="shared" si="178"/>
        <v>3.3</v>
      </c>
      <c r="CN302" s="1">
        <f t="shared" si="179"/>
        <v>4.9000000000000004</v>
      </c>
      <c r="CO302" s="1">
        <f t="shared" si="180"/>
        <v>1.1000000000000001</v>
      </c>
      <c r="CP302" s="1">
        <f t="shared" si="181"/>
        <v>1.7</v>
      </c>
      <c r="CQ302" s="1">
        <f t="shared" si="182"/>
        <v>3.6</v>
      </c>
      <c r="CR302" s="1">
        <f t="shared" si="183"/>
        <v>4.5999999999999996</v>
      </c>
      <c r="CS302" s="2">
        <f t="shared" si="184"/>
        <v>96.7</v>
      </c>
      <c r="CT302" s="1">
        <f t="shared" si="157"/>
        <v>-8.1999999999999993</v>
      </c>
      <c r="CU302" s="1">
        <f t="shared" si="185"/>
        <v>-8.4</v>
      </c>
      <c r="CV302" s="1">
        <f t="shared" si="186"/>
        <v>-8.8000000000000007</v>
      </c>
      <c r="CW302" s="1">
        <f t="shared" si="187"/>
        <v>-4.5</v>
      </c>
      <c r="CX302" s="1">
        <f t="shared" si="188"/>
        <v>1.1000000000000001</v>
      </c>
      <c r="CY302" s="1">
        <f t="shared" si="189"/>
        <v>2.8</v>
      </c>
      <c r="CZ302" s="1">
        <f t="shared" si="190"/>
        <v>4.0999999999999996</v>
      </c>
      <c r="DA302" s="2">
        <f t="shared" si="158"/>
        <v>62</v>
      </c>
      <c r="DB302" s="20">
        <f t="shared" si="159"/>
        <v>0</v>
      </c>
      <c r="DC302" s="1">
        <f>ROUND(PPTest!K302,1)</f>
        <v>0</v>
      </c>
      <c r="DD302" s="17" t="s">
        <v>218</v>
      </c>
      <c r="DE302" s="3">
        <f t="shared" si="191"/>
        <v>3.2</v>
      </c>
      <c r="DF302" s="24">
        <f t="shared" si="160"/>
        <v>0.437</v>
      </c>
      <c r="DG302" s="24">
        <f t="shared" si="161"/>
        <v>0.26800000000000002</v>
      </c>
      <c r="DH302" s="17">
        <f t="shared" si="163"/>
        <v>12.8</v>
      </c>
      <c r="DK302" s="1">
        <v>1.4</v>
      </c>
      <c r="DL302" s="1">
        <v>3.4000000953674316</v>
      </c>
      <c r="DM302" s="1">
        <v>-1.1000000238418579</v>
      </c>
      <c r="DN302" s="20">
        <v>82.625</v>
      </c>
      <c r="DO302" s="1">
        <v>73</v>
      </c>
    </row>
    <row r="303" spans="1:119" x14ac:dyDescent="0.2">
      <c r="A303" s="15">
        <f t="shared" si="162"/>
        <v>36822</v>
      </c>
      <c r="B303" s="1">
        <v>297</v>
      </c>
      <c r="C303" s="3">
        <v>11.2</v>
      </c>
      <c r="D303" s="3">
        <v>19.350000000000001</v>
      </c>
      <c r="E303" s="3">
        <v>2.5499999999999998</v>
      </c>
      <c r="F303" s="3">
        <v>92.1</v>
      </c>
      <c r="G303" s="3">
        <v>2.33</v>
      </c>
      <c r="H303" s="3">
        <v>2.335</v>
      </c>
      <c r="I303" s="3">
        <v>2.2090000000000001</v>
      </c>
      <c r="L303" s="3">
        <v>2.9020000000000001</v>
      </c>
      <c r="M303" s="3">
        <v>2.89</v>
      </c>
      <c r="N303" s="3">
        <v>4.0449999999999999</v>
      </c>
      <c r="Q303" s="3"/>
      <c r="R303" s="3">
        <v>11.56</v>
      </c>
      <c r="S303" s="3">
        <v>1436</v>
      </c>
      <c r="T303" s="3">
        <v>107.6</v>
      </c>
      <c r="U303" s="3">
        <v>307</v>
      </c>
      <c r="V303" s="3">
        <v>12.51</v>
      </c>
      <c r="W303" s="3">
        <v>15.66</v>
      </c>
      <c r="X303" s="3">
        <v>9.41</v>
      </c>
      <c r="Y303" s="3"/>
      <c r="AA303" s="3">
        <v>5.8570000000000002</v>
      </c>
      <c r="AB303" s="3">
        <v>3.3210000000000002</v>
      </c>
      <c r="AC303" s="3">
        <v>4.5629999999999997</v>
      </c>
      <c r="AD303" s="3">
        <v>3.3460000000000001</v>
      </c>
      <c r="AE303" s="3">
        <v>1115</v>
      </c>
      <c r="AF303" s="3">
        <v>-1.827</v>
      </c>
      <c r="AG303" s="3">
        <v>304</v>
      </c>
      <c r="AH303" s="3">
        <v>54.9</v>
      </c>
      <c r="AI303" s="3">
        <v>1435</v>
      </c>
      <c r="AJ303" s="3">
        <v>-2.3519999999999999</v>
      </c>
      <c r="AK303" s="3">
        <v>-2.7480000000000002</v>
      </c>
      <c r="AL303" s="3">
        <v>-0.95499999999999996</v>
      </c>
      <c r="AO303" s="3">
        <v>1.089</v>
      </c>
      <c r="AP303" s="3">
        <v>2.496</v>
      </c>
      <c r="AQ303" s="3">
        <v>3.5579999999999998</v>
      </c>
      <c r="AR303" s="3"/>
      <c r="AS303" s="3"/>
      <c r="AT303" s="3"/>
      <c r="AU303" s="3"/>
      <c r="AV303" s="3"/>
      <c r="AW303" s="3"/>
      <c r="AX303" s="3"/>
      <c r="AY303" s="3"/>
      <c r="AZ303" s="3">
        <v>2.8109999999999999</v>
      </c>
      <c r="BA303" s="3">
        <v>3429</v>
      </c>
      <c r="BB303" s="3">
        <v>12.81</v>
      </c>
      <c r="BC303" s="3">
        <v>2876</v>
      </c>
      <c r="BD303" s="3">
        <v>3442</v>
      </c>
      <c r="BE303" s="3">
        <v>3419</v>
      </c>
      <c r="BG303" s="3">
        <v>2.9390000000000001</v>
      </c>
      <c r="BH303" s="3">
        <v>13.5</v>
      </c>
      <c r="BI303" s="3">
        <v>13.27</v>
      </c>
      <c r="BJ303" s="3">
        <v>-2.1030000000000002</v>
      </c>
      <c r="BK303" s="3">
        <v>-2.302</v>
      </c>
      <c r="BM303" s="17">
        <v>9.9700000000000006</v>
      </c>
      <c r="BN303" s="17">
        <f t="shared" si="154"/>
        <v>20.139400000000002</v>
      </c>
      <c r="BO303" s="18">
        <f t="shared" si="193"/>
        <v>10.98</v>
      </c>
      <c r="BP303" s="18">
        <f t="shared" si="194"/>
        <v>21.29</v>
      </c>
      <c r="BR303" s="1">
        <f t="shared" si="195"/>
        <v>95.4</v>
      </c>
      <c r="BS303" s="1">
        <f t="shared" si="196"/>
        <v>75</v>
      </c>
      <c r="BT303" s="1">
        <f t="shared" si="197"/>
        <v>42.3</v>
      </c>
      <c r="BU303" s="60">
        <f t="shared" si="192"/>
        <v>0.57599999999999996</v>
      </c>
      <c r="BV303" s="60">
        <f t="shared" si="153"/>
        <v>0.78600000000000003</v>
      </c>
      <c r="BX303" s="1">
        <v>0</v>
      </c>
      <c r="CB303" s="17">
        <f t="shared" si="169"/>
        <v>10.98</v>
      </c>
      <c r="CC303" s="17">
        <f t="shared" si="170"/>
        <v>21.29</v>
      </c>
      <c r="CD303" s="3">
        <f t="shared" si="155"/>
        <v>2.6</v>
      </c>
      <c r="CE303" s="3">
        <f t="shared" si="171"/>
        <v>2.2999999999999998</v>
      </c>
      <c r="CF303" s="3">
        <f t="shared" si="172"/>
        <v>2.2999999999999998</v>
      </c>
      <c r="CG303" s="3">
        <f t="shared" si="173"/>
        <v>2.2000000000000002</v>
      </c>
      <c r="CH303" s="3">
        <f t="shared" si="174"/>
        <v>2.9</v>
      </c>
      <c r="CI303" s="3">
        <f t="shared" si="175"/>
        <v>2.9</v>
      </c>
      <c r="CJ303" s="3">
        <f t="shared" si="176"/>
        <v>4</v>
      </c>
      <c r="CK303" s="27">
        <f t="shared" si="177"/>
        <v>75</v>
      </c>
      <c r="CL303" s="1">
        <f t="shared" si="156"/>
        <v>11.6</v>
      </c>
      <c r="CM303" s="1">
        <f t="shared" si="178"/>
        <v>12.5</v>
      </c>
      <c r="CN303" s="1">
        <f t="shared" si="179"/>
        <v>15.7</v>
      </c>
      <c r="CO303" s="1">
        <f t="shared" si="180"/>
        <v>9.4</v>
      </c>
      <c r="CP303" s="1">
        <f t="shared" si="181"/>
        <v>5.9</v>
      </c>
      <c r="CQ303" s="1">
        <f t="shared" si="182"/>
        <v>3.3</v>
      </c>
      <c r="CR303" s="1">
        <f t="shared" si="183"/>
        <v>4.5999999999999996</v>
      </c>
      <c r="CS303" s="2">
        <f t="shared" si="184"/>
        <v>95.4</v>
      </c>
      <c r="CT303" s="1">
        <f t="shared" si="157"/>
        <v>-1.8</v>
      </c>
      <c r="CU303" s="1">
        <f t="shared" si="185"/>
        <v>-2.4</v>
      </c>
      <c r="CV303" s="1">
        <f t="shared" si="186"/>
        <v>-2.7</v>
      </c>
      <c r="CW303" s="1">
        <f t="shared" si="187"/>
        <v>-1</v>
      </c>
      <c r="CX303" s="1">
        <f t="shared" si="188"/>
        <v>1.1000000000000001</v>
      </c>
      <c r="CY303" s="1">
        <f t="shared" si="189"/>
        <v>2.5</v>
      </c>
      <c r="CZ303" s="1">
        <f t="shared" si="190"/>
        <v>3.6</v>
      </c>
      <c r="DA303" s="2">
        <f t="shared" si="158"/>
        <v>42.3</v>
      </c>
      <c r="DB303" s="20">
        <f t="shared" si="159"/>
        <v>0</v>
      </c>
      <c r="DC303" s="1">
        <f>ROUND(PPTest!K303,1)</f>
        <v>0</v>
      </c>
      <c r="DD303" s="17" t="s">
        <v>218</v>
      </c>
      <c r="DE303" s="3">
        <f t="shared" si="191"/>
        <v>3.35</v>
      </c>
      <c r="DF303" s="24">
        <f t="shared" si="160"/>
        <v>0.57599999999999996</v>
      </c>
      <c r="DG303" s="24">
        <f t="shared" si="161"/>
        <v>0.78600000000000003</v>
      </c>
      <c r="DH303" s="17">
        <f t="shared" si="163"/>
        <v>12.81</v>
      </c>
      <c r="DK303" s="1">
        <v>4</v>
      </c>
      <c r="DL303" s="1">
        <v>7.5999999046325684</v>
      </c>
      <c r="DM303" s="1">
        <v>1.5</v>
      </c>
      <c r="DN303" s="20">
        <v>82.291666666666671</v>
      </c>
      <c r="DO303" s="1">
        <v>70</v>
      </c>
    </row>
    <row r="304" spans="1:119" x14ac:dyDescent="0.2">
      <c r="A304" s="15">
        <f t="shared" si="162"/>
        <v>36823</v>
      </c>
      <c r="B304" s="1">
        <v>298</v>
      </c>
      <c r="C304" s="3">
        <v>7</v>
      </c>
      <c r="D304" s="3">
        <v>12.34</v>
      </c>
      <c r="E304" s="3">
        <v>1.986</v>
      </c>
      <c r="F304" s="3">
        <v>92.7</v>
      </c>
      <c r="G304" s="3">
        <v>1.6459999999999999</v>
      </c>
      <c r="H304" s="3">
        <v>1.546</v>
      </c>
      <c r="I304" s="3">
        <v>1.7729999999999999</v>
      </c>
      <c r="L304" s="3">
        <v>3.0529999999999999</v>
      </c>
      <c r="M304" s="3">
        <v>3.24</v>
      </c>
      <c r="N304" s="3">
        <v>3.8719999999999999</v>
      </c>
      <c r="Q304" s="3"/>
      <c r="R304" s="3">
        <v>9.86</v>
      </c>
      <c r="S304" s="3">
        <v>1238</v>
      </c>
      <c r="T304" s="3">
        <v>106.9</v>
      </c>
      <c r="U304" s="3">
        <v>358</v>
      </c>
      <c r="V304" s="3">
        <v>11.39</v>
      </c>
      <c r="W304" s="3">
        <v>14.55</v>
      </c>
      <c r="X304" s="3">
        <v>8.7100000000000009</v>
      </c>
      <c r="Y304" s="3"/>
      <c r="AA304" s="3">
        <v>5.093</v>
      </c>
      <c r="AB304" s="3">
        <v>3.8610000000000002</v>
      </c>
      <c r="AC304" s="3">
        <v>4.5839999999999996</v>
      </c>
      <c r="AD304" s="3">
        <v>3.7450000000000001</v>
      </c>
      <c r="AE304" s="3">
        <v>1135</v>
      </c>
      <c r="AF304" s="3">
        <v>-2.343</v>
      </c>
      <c r="AG304" s="3">
        <v>2336</v>
      </c>
      <c r="AH304" s="3">
        <v>52.18</v>
      </c>
      <c r="AI304" s="3">
        <v>1241</v>
      </c>
      <c r="AJ304" s="3">
        <v>-3.1829999999999998</v>
      </c>
      <c r="AK304" s="3">
        <v>-3.5139999999999998</v>
      </c>
      <c r="AL304" s="3">
        <v>-1.5660000000000001</v>
      </c>
      <c r="AO304" s="3">
        <v>1.7969999999999999</v>
      </c>
      <c r="AP304" s="3">
        <v>2.931</v>
      </c>
      <c r="AQ304" s="3">
        <v>3.5979999999999999</v>
      </c>
      <c r="AR304" s="3"/>
      <c r="AS304" s="3"/>
      <c r="AT304" s="3"/>
      <c r="AU304" s="3"/>
      <c r="AV304" s="3"/>
      <c r="AW304" s="3"/>
      <c r="AX304" s="3"/>
      <c r="AY304" s="3"/>
      <c r="AZ304" s="3">
        <v>1.5620000000000001</v>
      </c>
      <c r="BA304" s="3">
        <v>3379</v>
      </c>
      <c r="BB304" s="3">
        <v>12.81</v>
      </c>
      <c r="BC304" s="3">
        <v>2876</v>
      </c>
      <c r="BD304" s="3">
        <v>3393</v>
      </c>
      <c r="BE304" s="3">
        <v>3367</v>
      </c>
      <c r="BG304" s="3">
        <v>1.6950000000000001</v>
      </c>
      <c r="BH304" s="3">
        <v>11.08</v>
      </c>
      <c r="BI304" s="3">
        <v>10.9</v>
      </c>
      <c r="BJ304" s="3">
        <v>-3.3860000000000001</v>
      </c>
      <c r="BK304" s="3">
        <v>-3.62</v>
      </c>
      <c r="BM304" s="17">
        <v>9.7799999999999994</v>
      </c>
      <c r="BN304" s="17">
        <f t="shared" si="154"/>
        <v>19.755599999999998</v>
      </c>
      <c r="BO304" s="18">
        <f t="shared" si="193"/>
        <v>6.86</v>
      </c>
      <c r="BP304" s="18">
        <f t="shared" si="194"/>
        <v>13.57</v>
      </c>
      <c r="BR304" s="1">
        <f t="shared" si="195"/>
        <v>94.3</v>
      </c>
      <c r="BS304" s="1">
        <f t="shared" si="196"/>
        <v>75.599999999999994</v>
      </c>
      <c r="BT304" s="1">
        <f t="shared" si="197"/>
        <v>39.9</v>
      </c>
      <c r="BU304" s="60">
        <f t="shared" si="192"/>
        <v>0.48499999999999999</v>
      </c>
      <c r="BV304" s="60">
        <f t="shared" si="153"/>
        <v>0.73099999999999998</v>
      </c>
      <c r="BX304" s="1">
        <v>0</v>
      </c>
      <c r="CB304" s="17">
        <f t="shared" si="169"/>
        <v>6.86</v>
      </c>
      <c r="CC304" s="17">
        <f t="shared" si="170"/>
        <v>13.57</v>
      </c>
      <c r="CD304" s="3">
        <f t="shared" si="155"/>
        <v>2</v>
      </c>
      <c r="CE304" s="3">
        <f t="shared" si="171"/>
        <v>1.6</v>
      </c>
      <c r="CF304" s="3">
        <f t="shared" si="172"/>
        <v>1.5</v>
      </c>
      <c r="CG304" s="3">
        <f t="shared" si="173"/>
        <v>1.8</v>
      </c>
      <c r="CH304" s="3">
        <f t="shared" si="174"/>
        <v>3.1</v>
      </c>
      <c r="CI304" s="3">
        <f t="shared" si="175"/>
        <v>3.2</v>
      </c>
      <c r="CJ304" s="3">
        <f t="shared" si="176"/>
        <v>3.9</v>
      </c>
      <c r="CK304" s="27">
        <f t="shared" si="177"/>
        <v>75.599999999999994</v>
      </c>
      <c r="CL304" s="1">
        <f t="shared" si="156"/>
        <v>9.9</v>
      </c>
      <c r="CM304" s="1">
        <f t="shared" si="178"/>
        <v>11.4</v>
      </c>
      <c r="CN304" s="1">
        <f t="shared" si="179"/>
        <v>14.6</v>
      </c>
      <c r="CO304" s="1">
        <f t="shared" si="180"/>
        <v>8.6999999999999993</v>
      </c>
      <c r="CP304" s="1">
        <f t="shared" si="181"/>
        <v>5.0999999999999996</v>
      </c>
      <c r="CQ304" s="1">
        <f t="shared" si="182"/>
        <v>3.9</v>
      </c>
      <c r="CR304" s="1">
        <f t="shared" si="183"/>
        <v>4.5999999999999996</v>
      </c>
      <c r="CS304" s="2">
        <f t="shared" si="184"/>
        <v>94.3</v>
      </c>
      <c r="CT304" s="1">
        <f t="shared" si="157"/>
        <v>-2.2999999999999998</v>
      </c>
      <c r="CU304" s="1">
        <f t="shared" si="185"/>
        <v>-3.2</v>
      </c>
      <c r="CV304" s="1">
        <f t="shared" si="186"/>
        <v>-3.5</v>
      </c>
      <c r="CW304" s="1">
        <f t="shared" si="187"/>
        <v>-1.6</v>
      </c>
      <c r="CX304" s="1">
        <f t="shared" si="188"/>
        <v>1.8</v>
      </c>
      <c r="CY304" s="1">
        <f t="shared" si="189"/>
        <v>2.9</v>
      </c>
      <c r="CZ304" s="1">
        <f t="shared" si="190"/>
        <v>3.6</v>
      </c>
      <c r="DA304" s="2">
        <f t="shared" si="158"/>
        <v>39.9</v>
      </c>
      <c r="DB304" s="20">
        <f t="shared" si="159"/>
        <v>0</v>
      </c>
      <c r="DC304" s="1">
        <f>ROUND(PPTest!K304,1)</f>
        <v>0</v>
      </c>
      <c r="DD304" s="17" t="s">
        <v>218</v>
      </c>
      <c r="DE304" s="3">
        <f t="shared" si="191"/>
        <v>3.75</v>
      </c>
      <c r="DF304" s="24">
        <f t="shared" si="160"/>
        <v>0.48499999999999999</v>
      </c>
      <c r="DG304" s="24">
        <f t="shared" si="161"/>
        <v>0.73099999999999998</v>
      </c>
      <c r="DH304" s="17">
        <f t="shared" si="163"/>
        <v>12.81</v>
      </c>
      <c r="DK304" s="1">
        <v>5</v>
      </c>
      <c r="DL304" s="1">
        <v>8.6999998092651367</v>
      </c>
      <c r="DM304" s="1">
        <v>2.4000000953674316</v>
      </c>
      <c r="DN304" s="20">
        <v>85.083333333333329</v>
      </c>
      <c r="DO304" s="1">
        <v>70</v>
      </c>
    </row>
    <row r="305" spans="1:119" x14ac:dyDescent="0.2">
      <c r="A305" s="15">
        <f t="shared" si="162"/>
        <v>36824</v>
      </c>
      <c r="B305" s="1">
        <v>299</v>
      </c>
      <c r="C305" s="3">
        <v>8.83</v>
      </c>
      <c r="D305" s="3">
        <v>15.12</v>
      </c>
      <c r="E305" s="3">
        <v>0.83599999999999997</v>
      </c>
      <c r="F305" s="3">
        <v>94.9</v>
      </c>
      <c r="G305" s="3">
        <v>0.48699999999999999</v>
      </c>
      <c r="H305" s="3">
        <v>0.44900000000000001</v>
      </c>
      <c r="I305" s="3">
        <v>0.41699999999999998</v>
      </c>
      <c r="L305" s="3">
        <v>2.601</v>
      </c>
      <c r="M305" s="3">
        <v>3.2189999999999999</v>
      </c>
      <c r="N305" s="3">
        <v>3.758</v>
      </c>
      <c r="Q305" s="3"/>
      <c r="R305" s="3">
        <v>9.6300000000000008</v>
      </c>
      <c r="S305" s="3">
        <v>1220</v>
      </c>
      <c r="T305" s="3">
        <v>108.1</v>
      </c>
      <c r="U305" s="3">
        <v>615</v>
      </c>
      <c r="V305" s="3">
        <v>11.45</v>
      </c>
      <c r="W305" s="3">
        <v>15.24</v>
      </c>
      <c r="X305" s="3">
        <v>6.5529999999999999</v>
      </c>
      <c r="Y305" s="3"/>
      <c r="AA305" s="3">
        <v>4.88</v>
      </c>
      <c r="AB305" s="3">
        <v>3.7290000000000001</v>
      </c>
      <c r="AC305" s="3">
        <v>4.3719999999999999</v>
      </c>
      <c r="AD305" s="3">
        <v>3.1469999999999998</v>
      </c>
      <c r="AE305" s="3">
        <v>1258</v>
      </c>
      <c r="AF305" s="3">
        <v>-3.8170000000000002</v>
      </c>
      <c r="AG305" s="3">
        <v>650</v>
      </c>
      <c r="AH305" s="3">
        <v>52.65</v>
      </c>
      <c r="AI305" s="3">
        <v>1219</v>
      </c>
      <c r="AJ305" s="3">
        <v>-4.4470000000000001</v>
      </c>
      <c r="AK305" s="3">
        <v>-4.82</v>
      </c>
      <c r="AL305" s="3">
        <v>-2.7210000000000001</v>
      </c>
      <c r="AO305" s="3">
        <v>1.5569999999999999</v>
      </c>
      <c r="AP305" s="3">
        <v>2.66</v>
      </c>
      <c r="AQ305" s="3">
        <v>3.3029999999999999</v>
      </c>
      <c r="AR305" s="3"/>
      <c r="AS305" s="3"/>
      <c r="AT305" s="3"/>
      <c r="AU305" s="3"/>
      <c r="AV305" s="3"/>
      <c r="AW305" s="3"/>
      <c r="AX305" s="3"/>
      <c r="AY305" s="3"/>
      <c r="AZ305" s="3">
        <v>0.24399999999999999</v>
      </c>
      <c r="BA305" s="3">
        <v>3392</v>
      </c>
      <c r="BB305" s="3">
        <v>12.8</v>
      </c>
      <c r="BC305" s="3">
        <v>2876</v>
      </c>
      <c r="BD305" s="3">
        <v>3446</v>
      </c>
      <c r="BE305" s="3">
        <v>3376</v>
      </c>
      <c r="BG305" s="3">
        <v>0.379</v>
      </c>
      <c r="BH305" s="3">
        <v>11.85</v>
      </c>
      <c r="BI305" s="3">
        <v>11.83</v>
      </c>
      <c r="BJ305" s="3">
        <v>-4.92</v>
      </c>
      <c r="BK305" s="3">
        <v>-5.069</v>
      </c>
      <c r="BM305" s="17">
        <v>9.59</v>
      </c>
      <c r="BN305" s="17">
        <f t="shared" si="154"/>
        <v>19.3718</v>
      </c>
      <c r="BO305" s="18">
        <f t="shared" si="193"/>
        <v>8.65</v>
      </c>
      <c r="BP305" s="18">
        <f t="shared" si="194"/>
        <v>16.63</v>
      </c>
      <c r="BR305" s="1">
        <f t="shared" si="195"/>
        <v>96.2</v>
      </c>
      <c r="BS305" s="1">
        <f t="shared" si="196"/>
        <v>77.5</v>
      </c>
      <c r="BT305" s="1">
        <f t="shared" si="197"/>
        <v>40.299999999999997</v>
      </c>
      <c r="BU305" s="60">
        <f t="shared" si="192"/>
        <v>0.48299999999999998</v>
      </c>
      <c r="BV305" s="60">
        <f t="shared" si="153"/>
        <v>0.71599999999999997</v>
      </c>
      <c r="BX305" s="1">
        <v>0</v>
      </c>
      <c r="CB305" s="17">
        <f t="shared" si="169"/>
        <v>8.65</v>
      </c>
      <c r="CC305" s="17">
        <f t="shared" si="170"/>
        <v>16.63</v>
      </c>
      <c r="CD305" s="3">
        <f t="shared" si="155"/>
        <v>0.8</v>
      </c>
      <c r="CE305" s="3">
        <f t="shared" si="171"/>
        <v>0.5</v>
      </c>
      <c r="CF305" s="3">
        <f t="shared" si="172"/>
        <v>0.4</v>
      </c>
      <c r="CG305" s="3">
        <f t="shared" si="173"/>
        <v>0.4</v>
      </c>
      <c r="CH305" s="3">
        <f t="shared" si="174"/>
        <v>2.6</v>
      </c>
      <c r="CI305" s="3">
        <f t="shared" si="175"/>
        <v>3.2</v>
      </c>
      <c r="CJ305" s="3">
        <f t="shared" si="176"/>
        <v>3.8</v>
      </c>
      <c r="CK305" s="27">
        <f t="shared" si="177"/>
        <v>77.5</v>
      </c>
      <c r="CL305" s="1">
        <f t="shared" si="156"/>
        <v>9.6</v>
      </c>
      <c r="CM305" s="1">
        <f t="shared" si="178"/>
        <v>11.5</v>
      </c>
      <c r="CN305" s="1">
        <f t="shared" si="179"/>
        <v>15.2</v>
      </c>
      <c r="CO305" s="1">
        <f t="shared" si="180"/>
        <v>6.6</v>
      </c>
      <c r="CP305" s="1">
        <f t="shared" si="181"/>
        <v>4.9000000000000004</v>
      </c>
      <c r="CQ305" s="1">
        <f t="shared" si="182"/>
        <v>3.7</v>
      </c>
      <c r="CR305" s="1">
        <f t="shared" si="183"/>
        <v>4.4000000000000004</v>
      </c>
      <c r="CS305" s="2">
        <f t="shared" si="184"/>
        <v>96.2</v>
      </c>
      <c r="CT305" s="1">
        <f t="shared" si="157"/>
        <v>-3.8</v>
      </c>
      <c r="CU305" s="1">
        <f t="shared" si="185"/>
        <v>-4.4000000000000004</v>
      </c>
      <c r="CV305" s="1">
        <f t="shared" si="186"/>
        <v>-4.8</v>
      </c>
      <c r="CW305" s="1">
        <f t="shared" si="187"/>
        <v>-2.7</v>
      </c>
      <c r="CX305" s="1">
        <f t="shared" si="188"/>
        <v>1.6</v>
      </c>
      <c r="CY305" s="1">
        <f t="shared" si="189"/>
        <v>2.7</v>
      </c>
      <c r="CZ305" s="1">
        <f t="shared" si="190"/>
        <v>3.3</v>
      </c>
      <c r="DA305" s="2">
        <f t="shared" si="158"/>
        <v>40.299999999999997</v>
      </c>
      <c r="DB305" s="20">
        <f t="shared" si="159"/>
        <v>0</v>
      </c>
      <c r="DC305" s="1">
        <f>ROUND(PPTest!K305,1)</f>
        <v>0</v>
      </c>
      <c r="DD305" s="17" t="s">
        <v>218</v>
      </c>
      <c r="DE305" s="3">
        <f t="shared" si="191"/>
        <v>3.15</v>
      </c>
      <c r="DF305" s="24">
        <f t="shared" si="160"/>
        <v>0.48299999999999998</v>
      </c>
      <c r="DG305" s="24">
        <f t="shared" si="161"/>
        <v>0.71599999999999997</v>
      </c>
      <c r="DH305" s="17">
        <f t="shared" si="163"/>
        <v>12.8</v>
      </c>
      <c r="DK305" s="1">
        <v>4.0999999999999996</v>
      </c>
      <c r="DL305" s="1">
        <v>8.1000003814697266</v>
      </c>
      <c r="DM305" s="1">
        <v>1.2000000476837158</v>
      </c>
      <c r="DN305" s="20">
        <v>88.083333333333329</v>
      </c>
      <c r="DO305" s="1">
        <v>62</v>
      </c>
    </row>
    <row r="306" spans="1:119" x14ac:dyDescent="0.2">
      <c r="A306" s="15">
        <f t="shared" si="162"/>
        <v>36825</v>
      </c>
      <c r="B306" s="1">
        <v>300</v>
      </c>
      <c r="C306" s="3">
        <v>9.5500000000000007</v>
      </c>
      <c r="D306" s="3">
        <v>16.61</v>
      </c>
      <c r="E306" s="3">
        <v>2.5640000000000001</v>
      </c>
      <c r="F306" s="3">
        <v>90</v>
      </c>
      <c r="G306" s="3">
        <v>2.254</v>
      </c>
      <c r="H306" s="3">
        <v>2.173</v>
      </c>
      <c r="I306" s="3">
        <v>1.2250000000000001</v>
      </c>
      <c r="L306" s="3">
        <v>2.698</v>
      </c>
      <c r="M306" s="3">
        <v>3.1760000000000002</v>
      </c>
      <c r="N306" s="3">
        <v>3.73</v>
      </c>
      <c r="Q306" s="3"/>
      <c r="R306" s="3">
        <v>12</v>
      </c>
      <c r="S306" s="3">
        <v>1416</v>
      </c>
      <c r="T306" s="3">
        <v>108.7</v>
      </c>
      <c r="U306" s="3">
        <v>445</v>
      </c>
      <c r="V306" s="3">
        <v>14.04</v>
      </c>
      <c r="W306" s="3">
        <v>16.97</v>
      </c>
      <c r="X306" s="3">
        <v>8.43</v>
      </c>
      <c r="Y306" s="3"/>
      <c r="AA306" s="3">
        <v>5.1719999999999997</v>
      </c>
      <c r="AB306" s="3">
        <v>3.714</v>
      </c>
      <c r="AC306" s="3">
        <v>4.3789999999999996</v>
      </c>
      <c r="AD306" s="3">
        <v>4.0910000000000002</v>
      </c>
      <c r="AE306" s="3">
        <v>1338</v>
      </c>
      <c r="AF306" s="3">
        <v>-3.657</v>
      </c>
      <c r="AG306" s="3">
        <v>528</v>
      </c>
      <c r="AH306" s="3">
        <v>51.35</v>
      </c>
      <c r="AI306" s="3">
        <v>1413</v>
      </c>
      <c r="AJ306" s="3">
        <v>-4.4210000000000003</v>
      </c>
      <c r="AK306" s="3">
        <v>-4.843</v>
      </c>
      <c r="AL306" s="3">
        <v>-3.06</v>
      </c>
      <c r="AO306" s="3">
        <v>1.3440000000000001</v>
      </c>
      <c r="AP306" s="3">
        <v>2.7080000000000002</v>
      </c>
      <c r="AQ306" s="3">
        <v>3.3380000000000001</v>
      </c>
      <c r="AR306" s="3"/>
      <c r="AS306" s="3"/>
      <c r="AT306" s="3"/>
      <c r="AU306" s="3"/>
      <c r="AV306" s="3"/>
      <c r="AW306" s="3"/>
      <c r="AX306" s="3"/>
      <c r="AY306" s="3"/>
      <c r="AZ306" s="3">
        <v>1.911</v>
      </c>
      <c r="BA306" s="3">
        <v>3439</v>
      </c>
      <c r="BB306" s="3">
        <v>12.81</v>
      </c>
      <c r="BC306" s="3">
        <v>2876</v>
      </c>
      <c r="BD306" s="3">
        <v>3445</v>
      </c>
      <c r="BE306" s="3">
        <v>3431</v>
      </c>
      <c r="BG306" s="3">
        <v>1.927</v>
      </c>
      <c r="BH306" s="3">
        <v>14.05</v>
      </c>
      <c r="BI306" s="3">
        <v>13.88</v>
      </c>
      <c r="BJ306" s="3">
        <v>-4.899</v>
      </c>
      <c r="BK306" s="3">
        <v>-5.04</v>
      </c>
      <c r="BM306" s="17">
        <v>9.4</v>
      </c>
      <c r="BN306" s="17">
        <f t="shared" si="154"/>
        <v>18.988</v>
      </c>
      <c r="BO306" s="18">
        <f t="shared" si="193"/>
        <v>9.36</v>
      </c>
      <c r="BP306" s="18">
        <f t="shared" si="194"/>
        <v>18.27</v>
      </c>
      <c r="BR306" s="1">
        <f t="shared" si="195"/>
        <v>97.1</v>
      </c>
      <c r="BS306" s="1">
        <f t="shared" si="196"/>
        <v>73.2</v>
      </c>
      <c r="BT306" s="1">
        <f t="shared" si="197"/>
        <v>39.200000000000003</v>
      </c>
      <c r="BU306" s="60">
        <f t="shared" si="192"/>
        <v>0.55000000000000004</v>
      </c>
      <c r="BV306" s="60">
        <f t="shared" si="153"/>
        <v>0.85299999999999998</v>
      </c>
      <c r="BX306" s="1">
        <v>0.3</v>
      </c>
      <c r="CB306" s="17">
        <f t="shared" si="169"/>
        <v>9.36</v>
      </c>
      <c r="CC306" s="17">
        <f t="shared" si="170"/>
        <v>18.27</v>
      </c>
      <c r="CD306" s="3">
        <f t="shared" si="155"/>
        <v>2.6</v>
      </c>
      <c r="CE306" s="3">
        <f t="shared" si="171"/>
        <v>2.2999999999999998</v>
      </c>
      <c r="CF306" s="3">
        <f t="shared" si="172"/>
        <v>2.2000000000000002</v>
      </c>
      <c r="CG306" s="3">
        <f t="shared" si="173"/>
        <v>1.2</v>
      </c>
      <c r="CH306" s="3">
        <f t="shared" si="174"/>
        <v>2.7</v>
      </c>
      <c r="CI306" s="3">
        <f t="shared" si="175"/>
        <v>3.2</v>
      </c>
      <c r="CJ306" s="3">
        <f t="shared" si="176"/>
        <v>3.7</v>
      </c>
      <c r="CK306" s="27">
        <f t="shared" si="177"/>
        <v>73.2</v>
      </c>
      <c r="CL306" s="1">
        <f t="shared" si="156"/>
        <v>12</v>
      </c>
      <c r="CM306" s="1">
        <f t="shared" si="178"/>
        <v>14</v>
      </c>
      <c r="CN306" s="1">
        <f t="shared" si="179"/>
        <v>17</v>
      </c>
      <c r="CO306" s="1">
        <f t="shared" si="180"/>
        <v>8.4</v>
      </c>
      <c r="CP306" s="1">
        <f t="shared" si="181"/>
        <v>5.2</v>
      </c>
      <c r="CQ306" s="1">
        <f t="shared" si="182"/>
        <v>3.7</v>
      </c>
      <c r="CR306" s="1">
        <f t="shared" si="183"/>
        <v>4.4000000000000004</v>
      </c>
      <c r="CS306" s="2">
        <f t="shared" si="184"/>
        <v>97.1</v>
      </c>
      <c r="CT306" s="1">
        <f t="shared" si="157"/>
        <v>-3.7</v>
      </c>
      <c r="CU306" s="1">
        <f t="shared" si="185"/>
        <v>-4.4000000000000004</v>
      </c>
      <c r="CV306" s="1">
        <f t="shared" si="186"/>
        <v>-4.8</v>
      </c>
      <c r="CW306" s="1">
        <f t="shared" si="187"/>
        <v>-3.1</v>
      </c>
      <c r="CX306" s="1">
        <f t="shared" si="188"/>
        <v>1.3</v>
      </c>
      <c r="CY306" s="1">
        <f t="shared" si="189"/>
        <v>2.7</v>
      </c>
      <c r="CZ306" s="1">
        <f t="shared" si="190"/>
        <v>3.3</v>
      </c>
      <c r="DA306" s="2">
        <f t="shared" si="158"/>
        <v>39.200000000000003</v>
      </c>
      <c r="DB306" s="20">
        <f t="shared" si="159"/>
        <v>0</v>
      </c>
      <c r="DC306" s="1">
        <f>ROUND(PPTest!K306,1)</f>
        <v>0.3</v>
      </c>
      <c r="DD306" s="17" t="s">
        <v>218</v>
      </c>
      <c r="DE306" s="3">
        <f t="shared" si="191"/>
        <v>4.09</v>
      </c>
      <c r="DF306" s="24">
        <f t="shared" si="160"/>
        <v>0.55000000000000004</v>
      </c>
      <c r="DG306" s="24">
        <f t="shared" si="161"/>
        <v>0.85299999999999998</v>
      </c>
      <c r="DH306" s="17">
        <f t="shared" si="163"/>
        <v>12.81</v>
      </c>
      <c r="DK306" s="1">
        <v>3.3</v>
      </c>
      <c r="DL306" s="1">
        <v>6.5</v>
      </c>
      <c r="DM306" s="1">
        <v>-0.80000001192092896</v>
      </c>
      <c r="DN306" s="20">
        <v>96.666666666666671</v>
      </c>
      <c r="DO306" s="1">
        <v>90</v>
      </c>
    </row>
    <row r="307" spans="1:119" x14ac:dyDescent="0.2">
      <c r="A307" s="15">
        <f t="shared" si="162"/>
        <v>36826</v>
      </c>
      <c r="B307" s="1">
        <v>301</v>
      </c>
      <c r="C307" s="3">
        <v>1.2549999999999999</v>
      </c>
      <c r="D307" s="3">
        <v>2.4489999999999998</v>
      </c>
      <c r="E307" s="3">
        <v>3.367</v>
      </c>
      <c r="F307" s="3">
        <v>100.3</v>
      </c>
      <c r="G307" s="3">
        <v>2.9910000000000001</v>
      </c>
      <c r="H307" s="3">
        <v>2.7879999999999998</v>
      </c>
      <c r="I307" s="3">
        <v>2.5190000000000001</v>
      </c>
      <c r="L307" s="3">
        <v>3.1070000000000002</v>
      </c>
      <c r="M307" s="3">
        <v>3.3460000000000001</v>
      </c>
      <c r="N307" s="3">
        <v>3.669</v>
      </c>
      <c r="Q307" s="3"/>
      <c r="R307" s="3">
        <v>5.3550000000000004</v>
      </c>
      <c r="S307" s="3">
        <v>713</v>
      </c>
      <c r="T307" s="3">
        <v>107.2</v>
      </c>
      <c r="U307" s="3">
        <v>842</v>
      </c>
      <c r="V307" s="3">
        <v>5.383</v>
      </c>
      <c r="W307" s="3">
        <v>5.2510000000000003</v>
      </c>
      <c r="X307" s="3">
        <v>4.6559999999999997</v>
      </c>
      <c r="Y307" s="3"/>
      <c r="AA307" s="3">
        <v>3.617</v>
      </c>
      <c r="AB307" s="3">
        <v>3.4409999999999998</v>
      </c>
      <c r="AC307" s="3">
        <v>3.802</v>
      </c>
      <c r="AD307" s="3">
        <v>4.9690000000000003</v>
      </c>
      <c r="AE307" s="3">
        <v>1424</v>
      </c>
      <c r="AF307" s="3">
        <v>1.7330000000000001</v>
      </c>
      <c r="AG307" s="3">
        <v>2354</v>
      </c>
      <c r="AH307" s="3">
        <v>92.4</v>
      </c>
      <c r="AI307" s="3">
        <v>728</v>
      </c>
      <c r="AJ307" s="3">
        <v>0.32300000000000001</v>
      </c>
      <c r="AK307" s="3">
        <v>0.77500000000000002</v>
      </c>
      <c r="AL307" s="3">
        <v>0.53800000000000003</v>
      </c>
      <c r="AO307" s="3">
        <v>2.67</v>
      </c>
      <c r="AP307" s="3">
        <v>3.262</v>
      </c>
      <c r="AQ307" s="3">
        <v>3.5379999999999998</v>
      </c>
      <c r="AR307" s="3"/>
      <c r="AS307" s="3"/>
      <c r="AT307" s="3"/>
      <c r="AU307" s="3"/>
      <c r="AV307" s="3"/>
      <c r="AW307" s="3"/>
      <c r="AX307" s="3"/>
      <c r="AY307" s="3"/>
      <c r="AZ307" s="3">
        <v>2.6030000000000002</v>
      </c>
      <c r="BA307" s="3">
        <v>3479</v>
      </c>
      <c r="BB307" s="3">
        <v>12.8</v>
      </c>
      <c r="BC307" s="3">
        <v>2876</v>
      </c>
      <c r="BD307" s="3">
        <v>3491</v>
      </c>
      <c r="BE307" s="3">
        <v>3456</v>
      </c>
      <c r="BG307" s="3">
        <v>2.6640000000000001</v>
      </c>
      <c r="BH307" s="3">
        <v>4.3099999999999996</v>
      </c>
      <c r="BI307" s="3">
        <v>4.298</v>
      </c>
      <c r="BJ307" s="3">
        <v>1.2929999999999999</v>
      </c>
      <c r="BK307" s="3">
        <v>1.4359999999999999</v>
      </c>
      <c r="BM307" s="17">
        <v>9.2200000000000006</v>
      </c>
      <c r="BN307" s="17">
        <f t="shared" si="154"/>
        <v>18.624400000000001</v>
      </c>
      <c r="BO307" s="18">
        <f t="shared" si="193"/>
        <v>1.23</v>
      </c>
      <c r="BP307" s="18">
        <f t="shared" si="194"/>
        <v>2.69</v>
      </c>
      <c r="BR307" s="1">
        <f t="shared" si="195"/>
        <v>94.7</v>
      </c>
      <c r="BS307" s="1">
        <f t="shared" si="196"/>
        <v>83.8</v>
      </c>
      <c r="BT307" s="1">
        <f t="shared" si="197"/>
        <v>75.3</v>
      </c>
      <c r="BU307" s="60">
        <f t="shared" si="192"/>
        <v>0.67300000000000004</v>
      </c>
      <c r="BV307" s="60">
        <f t="shared" si="153"/>
        <v>0.221</v>
      </c>
      <c r="BX307" s="1">
        <v>1.2</v>
      </c>
      <c r="CB307" s="17">
        <f t="shared" si="169"/>
        <v>1.23</v>
      </c>
      <c r="CC307" s="17">
        <f t="shared" si="170"/>
        <v>2.69</v>
      </c>
      <c r="CD307" s="3">
        <f t="shared" si="155"/>
        <v>3.4</v>
      </c>
      <c r="CE307" s="3">
        <f t="shared" si="171"/>
        <v>3</v>
      </c>
      <c r="CF307" s="3">
        <f t="shared" si="172"/>
        <v>2.8</v>
      </c>
      <c r="CG307" s="3">
        <f t="shared" si="173"/>
        <v>2.5</v>
      </c>
      <c r="CH307" s="3">
        <f t="shared" si="174"/>
        <v>3.1</v>
      </c>
      <c r="CI307" s="3">
        <f t="shared" si="175"/>
        <v>3.3</v>
      </c>
      <c r="CJ307" s="3">
        <f t="shared" si="176"/>
        <v>3.7</v>
      </c>
      <c r="CK307" s="27">
        <f t="shared" si="177"/>
        <v>83.8</v>
      </c>
      <c r="CL307" s="1">
        <f t="shared" si="156"/>
        <v>5.4</v>
      </c>
      <c r="CM307" s="1">
        <f t="shared" si="178"/>
        <v>5.4</v>
      </c>
      <c r="CN307" s="1">
        <f t="shared" si="179"/>
        <v>5.3</v>
      </c>
      <c r="CO307" s="1">
        <f t="shared" si="180"/>
        <v>4.7</v>
      </c>
      <c r="CP307" s="1">
        <f t="shared" si="181"/>
        <v>3.6</v>
      </c>
      <c r="CQ307" s="1">
        <f t="shared" si="182"/>
        <v>3.4</v>
      </c>
      <c r="CR307" s="1">
        <f t="shared" si="183"/>
        <v>3.8</v>
      </c>
      <c r="CS307" s="2">
        <f t="shared" si="184"/>
        <v>94.7</v>
      </c>
      <c r="CT307" s="1">
        <f t="shared" si="157"/>
        <v>1.7</v>
      </c>
      <c r="CU307" s="1">
        <f t="shared" si="185"/>
        <v>0.3</v>
      </c>
      <c r="CV307" s="1">
        <f t="shared" si="186"/>
        <v>0.8</v>
      </c>
      <c r="CW307" s="1">
        <f t="shared" si="187"/>
        <v>0.5</v>
      </c>
      <c r="CX307" s="1">
        <f t="shared" si="188"/>
        <v>2.7</v>
      </c>
      <c r="CY307" s="1">
        <f t="shared" si="189"/>
        <v>3.3</v>
      </c>
      <c r="CZ307" s="1">
        <f t="shared" si="190"/>
        <v>3.5</v>
      </c>
      <c r="DA307" s="2">
        <f t="shared" si="158"/>
        <v>75.3</v>
      </c>
      <c r="DB307" s="20">
        <f t="shared" si="159"/>
        <v>0</v>
      </c>
      <c r="DC307" s="1">
        <f>ROUND(PPTest!K307,1)</f>
        <v>1.3</v>
      </c>
      <c r="DD307" s="17" t="s">
        <v>218</v>
      </c>
      <c r="DE307" s="3">
        <f t="shared" si="191"/>
        <v>4.97</v>
      </c>
      <c r="DF307" s="24">
        <f t="shared" si="160"/>
        <v>0.67300000000000004</v>
      </c>
      <c r="DG307" s="24">
        <f t="shared" si="161"/>
        <v>0.221</v>
      </c>
      <c r="DH307" s="17">
        <f t="shared" si="163"/>
        <v>12.8</v>
      </c>
      <c r="DK307" s="1">
        <v>4</v>
      </c>
      <c r="DL307" s="1">
        <v>5.0999999046325684</v>
      </c>
      <c r="DM307" s="1">
        <v>2.7999999523162842</v>
      </c>
      <c r="DN307" s="20">
        <v>97.125</v>
      </c>
      <c r="DO307" s="1">
        <v>84</v>
      </c>
    </row>
    <row r="308" spans="1:119" x14ac:dyDescent="0.2">
      <c r="A308" s="15">
        <f t="shared" si="162"/>
        <v>36827</v>
      </c>
      <c r="B308" s="1">
        <v>302</v>
      </c>
      <c r="C308" s="3">
        <v>1.9159999999999999</v>
      </c>
      <c r="D308" s="3">
        <v>3.7490000000000001</v>
      </c>
      <c r="E308" s="3">
        <v>1.2430000000000001</v>
      </c>
      <c r="F308" s="3">
        <v>105.3</v>
      </c>
      <c r="G308" s="3">
        <v>0.67100000000000004</v>
      </c>
      <c r="H308" s="3">
        <v>0.501</v>
      </c>
      <c r="I308" s="3">
        <v>1.3049999999999999</v>
      </c>
      <c r="L308" s="3">
        <v>2.5960000000000001</v>
      </c>
      <c r="M308" s="3">
        <v>3.2029999999999998</v>
      </c>
      <c r="N308" s="3">
        <v>3.556</v>
      </c>
      <c r="Q308" s="3"/>
      <c r="R308" s="3">
        <v>3.47</v>
      </c>
      <c r="S308" s="3">
        <v>839</v>
      </c>
      <c r="T308" s="3">
        <v>110.3</v>
      </c>
      <c r="U308" s="3">
        <v>1800</v>
      </c>
      <c r="V308" s="3">
        <v>3.7269999999999999</v>
      </c>
      <c r="W308" s="3">
        <v>3.4889999999999999</v>
      </c>
      <c r="X308" s="3">
        <v>3.6619999999999999</v>
      </c>
      <c r="Y308" s="3"/>
      <c r="AA308" s="3">
        <v>3.2490000000000001</v>
      </c>
      <c r="AB308" s="3">
        <v>3.3570000000000002</v>
      </c>
      <c r="AC308" s="3">
        <v>3.6829999999999998</v>
      </c>
      <c r="AD308" s="3">
        <v>4.7030000000000003</v>
      </c>
      <c r="AE308" s="3">
        <v>658</v>
      </c>
      <c r="AF308" s="3">
        <v>-3.6269999999999998</v>
      </c>
      <c r="AG308" s="3">
        <v>0</v>
      </c>
      <c r="AH308" s="3">
        <v>97.9</v>
      </c>
      <c r="AI308" s="3">
        <v>855</v>
      </c>
      <c r="AJ308" s="3">
        <v>-5.4420000000000002</v>
      </c>
      <c r="AK308" s="3">
        <v>-6.14</v>
      </c>
      <c r="AL308" s="3">
        <v>-2.7</v>
      </c>
      <c r="AO308" s="3">
        <v>1.867</v>
      </c>
      <c r="AP308" s="3">
        <v>2.9319999999999999</v>
      </c>
      <c r="AQ308" s="3">
        <v>3.327</v>
      </c>
      <c r="AR308" s="3"/>
      <c r="AS308" s="3"/>
      <c r="AT308" s="3"/>
      <c r="AU308" s="3"/>
      <c r="AV308" s="3"/>
      <c r="AW308" s="3"/>
      <c r="AX308" s="3"/>
      <c r="AY308" s="3"/>
      <c r="AZ308" s="3">
        <v>0.63200000000000001</v>
      </c>
      <c r="BA308" s="3">
        <v>3488</v>
      </c>
      <c r="BB308" s="3">
        <v>12.8</v>
      </c>
      <c r="BC308" s="3">
        <v>2876</v>
      </c>
      <c r="BD308" s="3">
        <v>3499</v>
      </c>
      <c r="BE308" s="3">
        <v>3481</v>
      </c>
      <c r="BG308" s="3">
        <v>0.85599999999999998</v>
      </c>
      <c r="BH308" s="3">
        <v>2.798</v>
      </c>
      <c r="BI308" s="3">
        <v>2.734</v>
      </c>
      <c r="BJ308" s="3">
        <v>-5.444</v>
      </c>
      <c r="BK308" s="3">
        <v>-5.9</v>
      </c>
      <c r="BM308" s="17">
        <v>9.0399999999999991</v>
      </c>
      <c r="BN308" s="17">
        <f t="shared" si="154"/>
        <v>18.2608</v>
      </c>
      <c r="BO308" s="18">
        <f t="shared" si="193"/>
        <v>1.88</v>
      </c>
      <c r="BP308" s="18">
        <f t="shared" si="194"/>
        <v>4.12</v>
      </c>
      <c r="BR308" s="1">
        <f t="shared" si="195"/>
        <v>100</v>
      </c>
      <c r="BS308" s="1">
        <f t="shared" si="196"/>
        <v>91.7</v>
      </c>
      <c r="BT308" s="1">
        <f t="shared" si="197"/>
        <v>80.2</v>
      </c>
      <c r="BU308" s="60">
        <f t="shared" si="192"/>
        <v>0.628</v>
      </c>
      <c r="BV308" s="60">
        <f t="shared" si="153"/>
        <v>0.155</v>
      </c>
      <c r="BX308" s="1">
        <v>6.3</v>
      </c>
      <c r="CB308" s="17">
        <f t="shared" si="169"/>
        <v>1.88</v>
      </c>
      <c r="CC308" s="17">
        <f t="shared" si="170"/>
        <v>4.12</v>
      </c>
      <c r="CD308" s="3">
        <f t="shared" si="155"/>
        <v>1.2</v>
      </c>
      <c r="CE308" s="3">
        <f t="shared" si="171"/>
        <v>0.7</v>
      </c>
      <c r="CF308" s="3">
        <f t="shared" si="172"/>
        <v>0.5</v>
      </c>
      <c r="CG308" s="3">
        <f t="shared" si="173"/>
        <v>1.3</v>
      </c>
      <c r="CH308" s="3">
        <f t="shared" si="174"/>
        <v>2.6</v>
      </c>
      <c r="CI308" s="3">
        <f t="shared" si="175"/>
        <v>3.2</v>
      </c>
      <c r="CJ308" s="3">
        <f t="shared" si="176"/>
        <v>3.6</v>
      </c>
      <c r="CK308" s="27">
        <f t="shared" si="177"/>
        <v>91.7</v>
      </c>
      <c r="CL308" s="1">
        <f t="shared" si="156"/>
        <v>3.5</v>
      </c>
      <c r="CM308" s="1">
        <f t="shared" si="178"/>
        <v>3.7</v>
      </c>
      <c r="CN308" s="1">
        <f t="shared" si="179"/>
        <v>3.5</v>
      </c>
      <c r="CO308" s="1">
        <f t="shared" si="180"/>
        <v>3.7</v>
      </c>
      <c r="CP308" s="1">
        <f t="shared" si="181"/>
        <v>3.2</v>
      </c>
      <c r="CQ308" s="1">
        <f t="shared" si="182"/>
        <v>3.4</v>
      </c>
      <c r="CR308" s="1">
        <f t="shared" si="183"/>
        <v>3.7</v>
      </c>
      <c r="CS308" s="2">
        <f t="shared" si="184"/>
        <v>100</v>
      </c>
      <c r="CT308" s="1">
        <f t="shared" si="157"/>
        <v>-3.6</v>
      </c>
      <c r="CU308" s="1">
        <f t="shared" si="185"/>
        <v>-5.4</v>
      </c>
      <c r="CV308" s="1">
        <f t="shared" si="186"/>
        <v>-6.1</v>
      </c>
      <c r="CW308" s="1">
        <f t="shared" si="187"/>
        <v>-2.7</v>
      </c>
      <c r="CX308" s="1">
        <f t="shared" si="188"/>
        <v>1.9</v>
      </c>
      <c r="CY308" s="1">
        <f t="shared" si="189"/>
        <v>2.9</v>
      </c>
      <c r="CZ308" s="1">
        <f t="shared" si="190"/>
        <v>3.3</v>
      </c>
      <c r="DA308" s="2">
        <f t="shared" si="158"/>
        <v>80.2</v>
      </c>
      <c r="DB308" s="20">
        <f t="shared" si="159"/>
        <v>0</v>
      </c>
      <c r="DC308" s="1">
        <f>ROUND(PPTest!K308,1)</f>
        <v>6.6</v>
      </c>
      <c r="DD308" s="17" t="s">
        <v>218</v>
      </c>
      <c r="DE308" s="3">
        <f t="shared" si="191"/>
        <v>4.7</v>
      </c>
      <c r="DF308" s="24">
        <f t="shared" si="160"/>
        <v>0.628</v>
      </c>
      <c r="DG308" s="24">
        <f t="shared" si="161"/>
        <v>0.155</v>
      </c>
      <c r="DH308" s="17">
        <f t="shared" si="163"/>
        <v>12.8</v>
      </c>
      <c r="DK308" s="1">
        <v>3.2</v>
      </c>
      <c r="DL308" s="1">
        <v>6.5</v>
      </c>
      <c r="DM308" s="1">
        <v>0.10000000149011612</v>
      </c>
      <c r="DN308" s="20">
        <v>94.708333333333329</v>
      </c>
      <c r="DO308" s="1">
        <v>79</v>
      </c>
    </row>
    <row r="309" spans="1:119" x14ac:dyDescent="0.2">
      <c r="A309" s="15">
        <f t="shared" si="162"/>
        <v>36828</v>
      </c>
      <c r="B309" s="1">
        <v>303</v>
      </c>
      <c r="C309" s="3">
        <v>3.593</v>
      </c>
      <c r="D309" s="3">
        <v>6.8529999999999998</v>
      </c>
      <c r="E309" s="3">
        <v>-1.056</v>
      </c>
      <c r="F309" s="3">
        <v>108.8</v>
      </c>
      <c r="G309" s="3">
        <v>-1.4139999999999999</v>
      </c>
      <c r="H309" s="3">
        <v>-1.48</v>
      </c>
      <c r="I309" s="3">
        <v>-0.16700000000000001</v>
      </c>
      <c r="L309" s="3">
        <v>1.661</v>
      </c>
      <c r="M309" s="3">
        <v>2.855</v>
      </c>
      <c r="N309" s="3">
        <v>3.5329999999999999</v>
      </c>
      <c r="Q309" s="3"/>
      <c r="R309" s="3">
        <v>1.3169999999999999</v>
      </c>
      <c r="S309" s="3">
        <v>1152</v>
      </c>
      <c r="T309" s="3">
        <v>110.3</v>
      </c>
      <c r="U309" s="3">
        <v>1758</v>
      </c>
      <c r="V309" s="3">
        <v>1.857</v>
      </c>
      <c r="W309" s="3">
        <v>2.6549999999999998</v>
      </c>
      <c r="X309" s="3">
        <v>2.0209999999999999</v>
      </c>
      <c r="Y309" s="3"/>
      <c r="AA309" s="3">
        <v>1.917</v>
      </c>
      <c r="AB309" s="3">
        <v>3.1240000000000001</v>
      </c>
      <c r="AC309" s="3">
        <v>3.714</v>
      </c>
      <c r="AD309" s="3">
        <v>2.375</v>
      </c>
      <c r="AE309" s="3">
        <v>1222</v>
      </c>
      <c r="AF309" s="3">
        <v>-4.2789999999999999</v>
      </c>
      <c r="AG309" s="3">
        <v>249</v>
      </c>
      <c r="AH309" s="3">
        <v>102.6</v>
      </c>
      <c r="AI309" s="3">
        <v>1143</v>
      </c>
      <c r="AJ309" s="3">
        <v>-5.6779999999999999</v>
      </c>
      <c r="AK309" s="3">
        <v>-6.2370000000000001</v>
      </c>
      <c r="AL309" s="3">
        <v>-3.238</v>
      </c>
      <c r="AO309" s="3">
        <v>1.4870000000000001</v>
      </c>
      <c r="AP309" s="3">
        <v>2.54</v>
      </c>
      <c r="AQ309" s="3">
        <v>3.3959999999999999</v>
      </c>
      <c r="AR309" s="3"/>
      <c r="AS309" s="3"/>
      <c r="AT309" s="3"/>
      <c r="AU309" s="3"/>
      <c r="AV309" s="3"/>
      <c r="AW309" s="3"/>
      <c r="AX309" s="3"/>
      <c r="AY309" s="3"/>
      <c r="AZ309" s="3">
        <v>-1.61</v>
      </c>
      <c r="BA309" s="3">
        <v>3486</v>
      </c>
      <c r="BB309" s="3">
        <v>12.79</v>
      </c>
      <c r="BC309" s="3">
        <v>2876</v>
      </c>
      <c r="BD309" s="3">
        <v>3487</v>
      </c>
      <c r="BE309" s="3">
        <v>3486</v>
      </c>
      <c r="BF309" s="1">
        <f t="shared" ref="BF309:BF334" si="198">$BF$1-BA309</f>
        <v>7</v>
      </c>
      <c r="BG309" s="3">
        <v>-1.623</v>
      </c>
      <c r="BH309" s="3">
        <v>2.3239999999999998</v>
      </c>
      <c r="BI309" s="3">
        <v>2.512</v>
      </c>
      <c r="BJ309" s="3">
        <v>-6.1609999999999996</v>
      </c>
      <c r="BK309" s="3">
        <v>-6.3630000000000004</v>
      </c>
      <c r="BM309" s="17">
        <v>8.86</v>
      </c>
      <c r="BN309" s="17">
        <f t="shared" si="154"/>
        <v>17.897199999999998</v>
      </c>
      <c r="BO309" s="18">
        <f t="shared" si="193"/>
        <v>3.52</v>
      </c>
      <c r="BP309" s="18">
        <f t="shared" si="194"/>
        <v>7.54</v>
      </c>
      <c r="BR309" s="1">
        <f t="shared" si="195"/>
        <v>100</v>
      </c>
      <c r="BS309" s="1">
        <f t="shared" si="196"/>
        <v>97.3</v>
      </c>
      <c r="BT309" s="1">
        <f t="shared" si="197"/>
        <v>87.4</v>
      </c>
      <c r="BU309" s="60">
        <f t="shared" si="192"/>
        <v>0.58699999999999997</v>
      </c>
      <c r="BV309" s="60">
        <f t="shared" si="153"/>
        <v>8.5000000000000006E-2</v>
      </c>
      <c r="BX309" s="1">
        <v>6.5</v>
      </c>
      <c r="CB309" s="17">
        <f t="shared" si="169"/>
        <v>3.52</v>
      </c>
      <c r="CC309" s="17">
        <f t="shared" si="170"/>
        <v>7.54</v>
      </c>
      <c r="CD309" s="3">
        <f t="shared" si="155"/>
        <v>-1.1000000000000001</v>
      </c>
      <c r="CE309" s="3">
        <f t="shared" si="171"/>
        <v>-1.4</v>
      </c>
      <c r="CF309" s="3">
        <f t="shared" si="172"/>
        <v>-1.5</v>
      </c>
      <c r="CG309" s="3">
        <f t="shared" si="173"/>
        <v>-0.2</v>
      </c>
      <c r="CH309" s="3">
        <f t="shared" si="174"/>
        <v>1.7</v>
      </c>
      <c r="CI309" s="3">
        <f t="shared" si="175"/>
        <v>2.9</v>
      </c>
      <c r="CJ309" s="3">
        <f t="shared" si="176"/>
        <v>3.5</v>
      </c>
      <c r="CK309" s="27">
        <f t="shared" si="177"/>
        <v>97.3</v>
      </c>
      <c r="CL309" s="1">
        <f t="shared" si="156"/>
        <v>1.3</v>
      </c>
      <c r="CM309" s="1">
        <f t="shared" si="178"/>
        <v>1.9</v>
      </c>
      <c r="CN309" s="1">
        <f t="shared" si="179"/>
        <v>2.7</v>
      </c>
      <c r="CO309" s="1">
        <f t="shared" si="180"/>
        <v>2</v>
      </c>
      <c r="CP309" s="1">
        <f t="shared" si="181"/>
        <v>1.9</v>
      </c>
      <c r="CQ309" s="1">
        <f t="shared" si="182"/>
        <v>3.1</v>
      </c>
      <c r="CR309" s="1">
        <f t="shared" si="183"/>
        <v>3.7</v>
      </c>
      <c r="CS309" s="2">
        <f t="shared" si="184"/>
        <v>100</v>
      </c>
      <c r="CT309" s="1">
        <f t="shared" si="157"/>
        <v>-4.3</v>
      </c>
      <c r="CU309" s="1">
        <f t="shared" si="185"/>
        <v>-5.7</v>
      </c>
      <c r="CV309" s="1">
        <f t="shared" si="186"/>
        <v>-6.2</v>
      </c>
      <c r="CW309" s="1">
        <f t="shared" si="187"/>
        <v>-3.2</v>
      </c>
      <c r="CX309" s="1">
        <f t="shared" si="188"/>
        <v>1.5</v>
      </c>
      <c r="CY309" s="1">
        <f t="shared" si="189"/>
        <v>2.5</v>
      </c>
      <c r="CZ309" s="1">
        <f t="shared" si="190"/>
        <v>3.4</v>
      </c>
      <c r="DA309" s="2">
        <f t="shared" si="158"/>
        <v>87.4</v>
      </c>
      <c r="DB309" s="20">
        <f t="shared" si="159"/>
        <v>7</v>
      </c>
      <c r="DC309" s="1">
        <f>ROUND(PPTest!K309,1)</f>
        <v>6.8</v>
      </c>
      <c r="DD309" s="17" t="s">
        <v>218</v>
      </c>
      <c r="DE309" s="3">
        <f t="shared" si="191"/>
        <v>2.38</v>
      </c>
      <c r="DF309" s="24">
        <f t="shared" si="160"/>
        <v>0.58699999999999997</v>
      </c>
      <c r="DG309" s="24">
        <f t="shared" si="161"/>
        <v>8.5000000000000006E-2</v>
      </c>
      <c r="DH309" s="17">
        <f t="shared" si="163"/>
        <v>12.79</v>
      </c>
      <c r="DK309" s="1">
        <v>1.7</v>
      </c>
      <c r="DL309" s="1">
        <v>3.4000000953674316</v>
      </c>
      <c r="DM309" s="1">
        <v>-0.30000001192092896</v>
      </c>
      <c r="DN309" s="20">
        <v>99</v>
      </c>
      <c r="DO309" s="1">
        <v>93</v>
      </c>
    </row>
    <row r="310" spans="1:119" x14ac:dyDescent="0.2">
      <c r="A310" s="15">
        <f t="shared" si="162"/>
        <v>36829</v>
      </c>
      <c r="B310" s="1">
        <v>304</v>
      </c>
      <c r="C310" s="3">
        <v>3.2160000000000002</v>
      </c>
      <c r="D310" s="3">
        <v>7.09</v>
      </c>
      <c r="E310" s="3">
        <v>-0.65400000000000003</v>
      </c>
      <c r="F310" s="3">
        <v>107.1</v>
      </c>
      <c r="G310" s="3">
        <v>-1.115</v>
      </c>
      <c r="H310" s="3">
        <v>-1.0049999999999999</v>
      </c>
      <c r="I310" s="3">
        <v>0.48699999999999999</v>
      </c>
      <c r="L310" s="3">
        <v>1.8939999999999999</v>
      </c>
      <c r="M310" s="3">
        <v>2.5529999999999999</v>
      </c>
      <c r="N310" s="3">
        <v>3.423</v>
      </c>
      <c r="Q310" s="3"/>
      <c r="R310" s="3">
        <v>2.1480000000000001</v>
      </c>
      <c r="S310" s="3">
        <v>1446</v>
      </c>
      <c r="T310" s="3">
        <v>110.1</v>
      </c>
      <c r="U310" s="3">
        <v>1734</v>
      </c>
      <c r="V310" s="3">
        <v>2.2749999999999999</v>
      </c>
      <c r="W310" s="3">
        <v>4.0519999999999996</v>
      </c>
      <c r="X310" s="3">
        <v>3.8820000000000001</v>
      </c>
      <c r="Y310" s="3"/>
      <c r="AA310" s="3">
        <v>2.9689999999999999</v>
      </c>
      <c r="AB310" s="3">
        <v>2.7189999999999999</v>
      </c>
      <c r="AC310" s="3">
        <v>3.6259999999999999</v>
      </c>
      <c r="AD310" s="3">
        <v>2.3490000000000002</v>
      </c>
      <c r="AE310" s="3">
        <v>1201</v>
      </c>
      <c r="AF310" s="3">
        <v>-2.7730000000000001</v>
      </c>
      <c r="AG310" s="3">
        <v>1916</v>
      </c>
      <c r="AH310" s="3">
        <v>95.3</v>
      </c>
      <c r="AI310" s="3">
        <v>900</v>
      </c>
      <c r="AJ310" s="3">
        <v>-3.6869999999999998</v>
      </c>
      <c r="AK310" s="3">
        <v>-4.2389999999999999</v>
      </c>
      <c r="AL310" s="3">
        <v>-2.4940000000000002</v>
      </c>
      <c r="AO310" s="3">
        <v>1.3839999999999999</v>
      </c>
      <c r="AP310" s="3">
        <v>2.2490000000000001</v>
      </c>
      <c r="AQ310" s="3">
        <v>3.14</v>
      </c>
      <c r="AR310" s="3"/>
      <c r="AS310" s="3"/>
      <c r="AT310" s="3"/>
      <c r="AU310" s="3"/>
      <c r="AV310" s="3"/>
      <c r="AW310" s="3"/>
      <c r="AX310" s="3"/>
      <c r="AY310" s="3"/>
      <c r="AZ310" s="3">
        <v>-0.84599999999999997</v>
      </c>
      <c r="BA310" s="3">
        <v>3477</v>
      </c>
      <c r="BB310" s="3">
        <v>12.79</v>
      </c>
      <c r="BC310" s="3">
        <v>2876</v>
      </c>
      <c r="BD310" s="3">
        <v>3480</v>
      </c>
      <c r="BE310" s="3">
        <v>3474</v>
      </c>
      <c r="BF310" s="1">
        <f t="shared" si="198"/>
        <v>16</v>
      </c>
      <c r="BG310" s="3">
        <v>-0.74199999999999999</v>
      </c>
      <c r="BH310" s="3">
        <v>2.778</v>
      </c>
      <c r="BI310" s="3">
        <v>2.6419999999999999</v>
      </c>
      <c r="BJ310" s="3">
        <v>-3.532</v>
      </c>
      <c r="BK310" s="3">
        <v>-3.8650000000000002</v>
      </c>
      <c r="BM310" s="17">
        <v>8.68</v>
      </c>
      <c r="BN310" s="17">
        <f t="shared" si="154"/>
        <v>17.5336</v>
      </c>
      <c r="BO310" s="18">
        <f t="shared" si="193"/>
        <v>3.15</v>
      </c>
      <c r="BP310" s="18">
        <f t="shared" si="194"/>
        <v>7.8</v>
      </c>
      <c r="BR310" s="1">
        <f t="shared" si="195"/>
        <v>100</v>
      </c>
      <c r="BS310" s="1">
        <f t="shared" si="196"/>
        <v>94.6</v>
      </c>
      <c r="BT310" s="1">
        <f t="shared" si="197"/>
        <v>77.900000000000006</v>
      </c>
      <c r="BU310" s="60">
        <f t="shared" si="192"/>
        <v>0.55500000000000005</v>
      </c>
      <c r="BV310" s="60">
        <f t="shared" si="153"/>
        <v>0.157</v>
      </c>
      <c r="BX310" s="1">
        <v>0.3</v>
      </c>
      <c r="CB310" s="17">
        <f t="shared" si="169"/>
        <v>3.15</v>
      </c>
      <c r="CC310" s="17">
        <f t="shared" si="170"/>
        <v>7.8</v>
      </c>
      <c r="CD310" s="3">
        <f t="shared" si="155"/>
        <v>-0.7</v>
      </c>
      <c r="CE310" s="3">
        <f t="shared" si="171"/>
        <v>-1.1000000000000001</v>
      </c>
      <c r="CF310" s="3">
        <f t="shared" si="172"/>
        <v>-1</v>
      </c>
      <c r="CG310" s="3">
        <f t="shared" si="173"/>
        <v>0.5</v>
      </c>
      <c r="CH310" s="3">
        <f t="shared" si="174"/>
        <v>1.9</v>
      </c>
      <c r="CI310" s="3">
        <f t="shared" si="175"/>
        <v>2.6</v>
      </c>
      <c r="CJ310" s="3">
        <f t="shared" si="176"/>
        <v>3.4</v>
      </c>
      <c r="CK310" s="27">
        <f t="shared" si="177"/>
        <v>94.6</v>
      </c>
      <c r="CL310" s="1">
        <f t="shared" si="156"/>
        <v>2.1</v>
      </c>
      <c r="CM310" s="1">
        <f t="shared" si="178"/>
        <v>2.2999999999999998</v>
      </c>
      <c r="CN310" s="1">
        <f t="shared" si="179"/>
        <v>4.0999999999999996</v>
      </c>
      <c r="CO310" s="1">
        <f t="shared" si="180"/>
        <v>3.9</v>
      </c>
      <c r="CP310" s="1">
        <f t="shared" si="181"/>
        <v>3</v>
      </c>
      <c r="CQ310" s="1">
        <f t="shared" si="182"/>
        <v>2.7</v>
      </c>
      <c r="CR310" s="1">
        <f t="shared" si="183"/>
        <v>3.6</v>
      </c>
      <c r="CS310" s="2">
        <f t="shared" si="184"/>
        <v>100</v>
      </c>
      <c r="CT310" s="1">
        <f t="shared" si="157"/>
        <v>-2.8</v>
      </c>
      <c r="CU310" s="1">
        <f t="shared" si="185"/>
        <v>-3.7</v>
      </c>
      <c r="CV310" s="1">
        <f t="shared" si="186"/>
        <v>-4.2</v>
      </c>
      <c r="CW310" s="1">
        <f t="shared" si="187"/>
        <v>-2.5</v>
      </c>
      <c r="CX310" s="1">
        <f t="shared" si="188"/>
        <v>1.4</v>
      </c>
      <c r="CY310" s="1">
        <f t="shared" si="189"/>
        <v>2.2000000000000002</v>
      </c>
      <c r="CZ310" s="1">
        <f t="shared" si="190"/>
        <v>3.1</v>
      </c>
      <c r="DA310" s="2">
        <f t="shared" si="158"/>
        <v>77.900000000000006</v>
      </c>
      <c r="DB310" s="20">
        <f t="shared" si="159"/>
        <v>16</v>
      </c>
      <c r="DC310" s="1">
        <f>ROUND(PPTest!K310,1)</f>
        <v>0.3</v>
      </c>
      <c r="DD310" s="17" t="s">
        <v>218</v>
      </c>
      <c r="DE310" s="3">
        <f t="shared" si="191"/>
        <v>2.35</v>
      </c>
      <c r="DF310" s="24">
        <f t="shared" si="160"/>
        <v>0.55500000000000005</v>
      </c>
      <c r="DG310" s="24">
        <f t="shared" si="161"/>
        <v>0.157</v>
      </c>
      <c r="DH310" s="17">
        <f t="shared" si="163"/>
        <v>12.79</v>
      </c>
      <c r="DK310" s="1">
        <v>1.6</v>
      </c>
      <c r="DL310" s="1">
        <v>3.5</v>
      </c>
      <c r="DM310" s="1">
        <v>0.20000000298023224</v>
      </c>
      <c r="DN310" s="20">
        <v>99.541666666666671</v>
      </c>
      <c r="DO310" s="1">
        <v>95</v>
      </c>
    </row>
    <row r="311" spans="1:119" x14ac:dyDescent="0.2">
      <c r="A311" s="15">
        <f t="shared" si="162"/>
        <v>36830</v>
      </c>
      <c r="B311" s="1">
        <v>305</v>
      </c>
      <c r="C311" s="3">
        <v>0.48899999999999999</v>
      </c>
      <c r="D311" s="3">
        <v>1.2030000000000001</v>
      </c>
      <c r="E311" s="3">
        <v>-1.0049999999999999</v>
      </c>
      <c r="F311" s="3">
        <v>108.2</v>
      </c>
      <c r="G311" s="3">
        <v>-1.266</v>
      </c>
      <c r="H311" s="3">
        <v>-1.2629999999999999</v>
      </c>
      <c r="I311" s="3">
        <v>-0.02</v>
      </c>
      <c r="L311" s="3">
        <v>1.246</v>
      </c>
      <c r="M311" s="3">
        <v>2.4119999999999999</v>
      </c>
      <c r="N311" s="3">
        <v>3.302</v>
      </c>
      <c r="Q311" s="3"/>
      <c r="R311" s="3">
        <v>-0.16200000000000001</v>
      </c>
      <c r="S311" s="3">
        <v>526</v>
      </c>
      <c r="T311" s="3">
        <v>110.2</v>
      </c>
      <c r="U311" s="3">
        <v>1757</v>
      </c>
      <c r="V311" s="3">
        <v>-0.17799999999999999</v>
      </c>
      <c r="W311" s="3">
        <v>-3.5000000000000003E-2</v>
      </c>
      <c r="X311" s="3">
        <v>0.60799999999999998</v>
      </c>
      <c r="Y311" s="3"/>
      <c r="AA311" s="3">
        <v>1.581</v>
      </c>
      <c r="AB311" s="3">
        <v>2.6419999999999999</v>
      </c>
      <c r="AC311" s="3">
        <v>3.4</v>
      </c>
      <c r="AD311" s="3">
        <v>3.9319999999999999</v>
      </c>
      <c r="AE311" s="3">
        <v>524</v>
      </c>
      <c r="AF311" s="3">
        <v>-2.0129999999999999</v>
      </c>
      <c r="AG311" s="3">
        <v>2355</v>
      </c>
      <c r="AH311" s="3">
        <v>96</v>
      </c>
      <c r="AI311" s="3">
        <v>525</v>
      </c>
      <c r="AJ311" s="3">
        <v>-2.8220000000000001</v>
      </c>
      <c r="AK311" s="3">
        <v>-2.73</v>
      </c>
      <c r="AL311" s="3">
        <v>-2.294</v>
      </c>
      <c r="AO311" s="3">
        <v>1.1559999999999999</v>
      </c>
      <c r="AP311" s="3">
        <v>2.2360000000000002</v>
      </c>
      <c r="AQ311" s="3">
        <v>3.2109999999999999</v>
      </c>
      <c r="AR311" s="3"/>
      <c r="AS311" s="3"/>
      <c r="AT311" s="3"/>
      <c r="AU311" s="3"/>
      <c r="AV311" s="3"/>
      <c r="AW311" s="3"/>
      <c r="AX311" s="3"/>
      <c r="AY311" s="3"/>
      <c r="AZ311" s="3">
        <v>-1.304</v>
      </c>
      <c r="BA311" s="3">
        <v>3482</v>
      </c>
      <c r="BB311" s="3">
        <v>12.79</v>
      </c>
      <c r="BC311" s="3">
        <v>2876</v>
      </c>
      <c r="BD311" s="3">
        <v>3490</v>
      </c>
      <c r="BE311" s="3">
        <v>3476</v>
      </c>
      <c r="BF311" s="1">
        <f t="shared" si="198"/>
        <v>11</v>
      </c>
      <c r="BG311" s="3">
        <v>-1.248</v>
      </c>
      <c r="BH311" s="3">
        <v>-4.7E-2</v>
      </c>
      <c r="BI311" s="3">
        <v>-6.9000000000000006E-2</v>
      </c>
      <c r="BJ311" s="3">
        <v>-2.6819999999999999</v>
      </c>
      <c r="BK311" s="3">
        <v>-2.8290000000000002</v>
      </c>
      <c r="BM311" s="17">
        <v>8.51</v>
      </c>
      <c r="BN311" s="17">
        <f t="shared" si="154"/>
        <v>17.190200000000001</v>
      </c>
      <c r="BO311" s="18">
        <f t="shared" si="193"/>
        <v>0.48</v>
      </c>
      <c r="BP311" s="18">
        <f t="shared" si="194"/>
        <v>1.32</v>
      </c>
      <c r="BR311" s="1">
        <f t="shared" si="195"/>
        <v>100</v>
      </c>
      <c r="BS311" s="1">
        <f t="shared" si="196"/>
        <v>96.3</v>
      </c>
      <c r="BT311" s="1">
        <f t="shared" si="197"/>
        <v>78.5</v>
      </c>
      <c r="BU311" s="60">
        <f t="shared" si="192"/>
        <v>0.47399999999999998</v>
      </c>
      <c r="BV311" s="60">
        <f t="shared" si="153"/>
        <v>0.13</v>
      </c>
      <c r="BX311" s="1">
        <v>4.8</v>
      </c>
      <c r="CB311" s="17">
        <f t="shared" si="169"/>
        <v>0.48</v>
      </c>
      <c r="CC311" s="17">
        <f t="shared" si="170"/>
        <v>1.32</v>
      </c>
      <c r="CD311" s="3">
        <f t="shared" si="155"/>
        <v>-1</v>
      </c>
      <c r="CE311" s="3">
        <f t="shared" si="171"/>
        <v>-1.3</v>
      </c>
      <c r="CF311" s="3">
        <f t="shared" si="172"/>
        <v>-1.3</v>
      </c>
      <c r="CG311" s="3">
        <f t="shared" si="173"/>
        <v>0</v>
      </c>
      <c r="CH311" s="3">
        <f t="shared" si="174"/>
        <v>1.2</v>
      </c>
      <c r="CI311" s="3">
        <f t="shared" si="175"/>
        <v>2.4</v>
      </c>
      <c r="CJ311" s="3">
        <f t="shared" si="176"/>
        <v>3.3</v>
      </c>
      <c r="CK311" s="27">
        <f t="shared" si="177"/>
        <v>96.3</v>
      </c>
      <c r="CL311" s="1">
        <f t="shared" si="156"/>
        <v>-0.2</v>
      </c>
      <c r="CM311" s="1">
        <f t="shared" si="178"/>
        <v>-0.2</v>
      </c>
      <c r="CN311" s="1">
        <f t="shared" si="179"/>
        <v>0</v>
      </c>
      <c r="CO311" s="1">
        <f t="shared" si="180"/>
        <v>0.6</v>
      </c>
      <c r="CP311" s="1">
        <f t="shared" si="181"/>
        <v>1.6</v>
      </c>
      <c r="CQ311" s="1">
        <f t="shared" si="182"/>
        <v>2.6</v>
      </c>
      <c r="CR311" s="1">
        <f t="shared" si="183"/>
        <v>3.4</v>
      </c>
      <c r="CS311" s="2">
        <f t="shared" si="184"/>
        <v>100</v>
      </c>
      <c r="CT311" s="1">
        <f t="shared" si="157"/>
        <v>-2</v>
      </c>
      <c r="CU311" s="1">
        <f t="shared" si="185"/>
        <v>-2.8</v>
      </c>
      <c r="CV311" s="1">
        <f t="shared" si="186"/>
        <v>-2.7</v>
      </c>
      <c r="CW311" s="1">
        <f t="shared" si="187"/>
        <v>-2.2999999999999998</v>
      </c>
      <c r="CX311" s="1">
        <f t="shared" si="188"/>
        <v>1.2</v>
      </c>
      <c r="CY311" s="1">
        <f t="shared" si="189"/>
        <v>2.2000000000000002</v>
      </c>
      <c r="CZ311" s="1">
        <f t="shared" si="190"/>
        <v>3.2</v>
      </c>
      <c r="DA311" s="2">
        <f t="shared" si="158"/>
        <v>78.5</v>
      </c>
      <c r="DB311" s="20">
        <f t="shared" si="159"/>
        <v>11</v>
      </c>
      <c r="DC311" s="1">
        <f>ROUND(PPTest!K311,1)</f>
        <v>5</v>
      </c>
      <c r="DD311" s="17" t="s">
        <v>218</v>
      </c>
      <c r="DE311" s="3">
        <f t="shared" si="191"/>
        <v>3.93</v>
      </c>
      <c r="DF311" s="24">
        <f t="shared" si="160"/>
        <v>0.47399999999999998</v>
      </c>
      <c r="DG311" s="24">
        <f t="shared" si="161"/>
        <v>0.13</v>
      </c>
      <c r="DH311" s="17">
        <f t="shared" si="163"/>
        <v>12.79</v>
      </c>
    </row>
    <row r="312" spans="1:119" x14ac:dyDescent="0.2">
      <c r="A312" s="15">
        <f t="shared" si="162"/>
        <v>36831</v>
      </c>
      <c r="B312" s="1">
        <v>306</v>
      </c>
      <c r="C312" s="3">
        <v>2.9</v>
      </c>
      <c r="D312" s="3">
        <v>2.9580000000000002</v>
      </c>
      <c r="E312" s="3">
        <v>-4.2510000000000003</v>
      </c>
      <c r="F312" s="3">
        <v>105.7</v>
      </c>
      <c r="G312" s="3">
        <v>-5.0039999999999996</v>
      </c>
      <c r="H312" s="3">
        <v>-5.1239999999999997</v>
      </c>
      <c r="I312" s="3">
        <v>-0.88900000000000001</v>
      </c>
      <c r="L312" s="3">
        <v>1.042</v>
      </c>
      <c r="M312" s="3">
        <v>2.1230000000000002</v>
      </c>
      <c r="N312" s="3">
        <v>3.1320000000000001</v>
      </c>
      <c r="Q312" s="3"/>
      <c r="R312" s="3">
        <v>0.84</v>
      </c>
      <c r="S312" s="3">
        <v>1013</v>
      </c>
      <c r="T312" s="3">
        <v>109.7</v>
      </c>
      <c r="U312" s="3">
        <v>39</v>
      </c>
      <c r="V312" s="3">
        <v>0.35099999999999998</v>
      </c>
      <c r="W312" s="3">
        <v>1.3580000000000001</v>
      </c>
      <c r="X312" s="3">
        <v>0.61199999999999999</v>
      </c>
      <c r="Y312" s="3"/>
      <c r="AA312" s="3">
        <v>1.4330000000000001</v>
      </c>
      <c r="AB312" s="3">
        <v>2.5169999999999999</v>
      </c>
      <c r="AC312" s="3">
        <v>3.4910000000000001</v>
      </c>
      <c r="AD312" s="3">
        <v>2.8540000000000001</v>
      </c>
      <c r="AE312" s="3">
        <v>37</v>
      </c>
      <c r="AF312" s="3">
        <v>-9.7799999999999994</v>
      </c>
      <c r="AG312" s="3">
        <v>2344</v>
      </c>
      <c r="AH312" s="3">
        <v>92.2</v>
      </c>
      <c r="AI312" s="3">
        <v>1016</v>
      </c>
      <c r="AJ312" s="3">
        <v>-10.74</v>
      </c>
      <c r="AK312" s="3">
        <v>-10.98</v>
      </c>
      <c r="AL312" s="3">
        <v>-3.8460000000000001</v>
      </c>
      <c r="AO312" s="3">
        <v>0.81599999999999995</v>
      </c>
      <c r="AP312" s="3">
        <v>1.835</v>
      </c>
      <c r="AQ312" s="3">
        <v>2.8969999999999998</v>
      </c>
      <c r="AR312" s="3"/>
      <c r="AS312" s="3"/>
      <c r="AT312" s="3"/>
      <c r="AU312" s="3"/>
      <c r="AV312" s="3"/>
      <c r="AW312" s="3"/>
      <c r="AX312" s="3"/>
      <c r="AY312" s="3"/>
      <c r="AZ312" s="3">
        <v>-4.9640000000000004</v>
      </c>
      <c r="BA312" s="3">
        <v>3439</v>
      </c>
      <c r="BB312" s="3">
        <v>12.78</v>
      </c>
      <c r="BC312" s="3">
        <v>2876</v>
      </c>
      <c r="BD312" s="3">
        <v>3443</v>
      </c>
      <c r="BE312" s="3">
        <v>3437</v>
      </c>
      <c r="BF312" s="1">
        <f t="shared" si="198"/>
        <v>54</v>
      </c>
      <c r="BG312" s="3">
        <v>-4.7229999999999999</v>
      </c>
      <c r="BH312" s="3">
        <v>-0.109</v>
      </c>
      <c r="BI312" s="3">
        <v>-0.126</v>
      </c>
      <c r="BJ312" s="3">
        <v>-11.08</v>
      </c>
      <c r="BK312" s="3">
        <v>-11.3</v>
      </c>
      <c r="BM312" s="17">
        <v>8.34</v>
      </c>
      <c r="BN312" s="17">
        <f t="shared" si="154"/>
        <v>16.846799999999998</v>
      </c>
      <c r="BO312" s="18">
        <f t="shared" si="193"/>
        <v>2.84</v>
      </c>
      <c r="BP312" s="18">
        <f t="shared" si="194"/>
        <v>3.25</v>
      </c>
      <c r="BR312" s="1">
        <f t="shared" si="195"/>
        <v>98.7</v>
      </c>
      <c r="BS312" s="1">
        <f t="shared" si="196"/>
        <v>92.4</v>
      </c>
      <c r="BT312" s="1">
        <f t="shared" si="197"/>
        <v>75.099999999999994</v>
      </c>
      <c r="BU312" s="60">
        <f t="shared" si="192"/>
        <v>0.48699999999999999</v>
      </c>
      <c r="BV312" s="60">
        <f t="shared" si="153"/>
        <v>0.161</v>
      </c>
      <c r="BX312" s="1">
        <v>0.8</v>
      </c>
      <c r="CB312" s="17">
        <f t="shared" si="169"/>
        <v>2.84</v>
      </c>
      <c r="CC312" s="17">
        <f t="shared" si="170"/>
        <v>3.25</v>
      </c>
      <c r="CD312" s="3">
        <f t="shared" si="155"/>
        <v>-4.3</v>
      </c>
      <c r="CE312" s="3">
        <f t="shared" si="171"/>
        <v>-5</v>
      </c>
      <c r="CF312" s="3">
        <f t="shared" si="172"/>
        <v>-5.0999999999999996</v>
      </c>
      <c r="CG312" s="3">
        <f t="shared" si="173"/>
        <v>-0.9</v>
      </c>
      <c r="CH312" s="3">
        <f t="shared" si="174"/>
        <v>1</v>
      </c>
      <c r="CI312" s="3">
        <f t="shared" si="175"/>
        <v>2.1</v>
      </c>
      <c r="CJ312" s="3">
        <f t="shared" si="176"/>
        <v>3.1</v>
      </c>
      <c r="CK312" s="27">
        <f t="shared" si="177"/>
        <v>92.4</v>
      </c>
      <c r="CL312" s="1">
        <f t="shared" si="156"/>
        <v>0.8</v>
      </c>
      <c r="CM312" s="1">
        <f t="shared" si="178"/>
        <v>0.4</v>
      </c>
      <c r="CN312" s="1">
        <f t="shared" si="179"/>
        <v>1.4</v>
      </c>
      <c r="CO312" s="1">
        <f t="shared" si="180"/>
        <v>0.6</v>
      </c>
      <c r="CP312" s="1">
        <f t="shared" si="181"/>
        <v>1.4</v>
      </c>
      <c r="CQ312" s="1">
        <f t="shared" si="182"/>
        <v>2.5</v>
      </c>
      <c r="CR312" s="1">
        <f t="shared" si="183"/>
        <v>3.5</v>
      </c>
      <c r="CS312" s="2">
        <f t="shared" si="184"/>
        <v>98.7</v>
      </c>
      <c r="CT312" s="1">
        <f t="shared" si="157"/>
        <v>-9.8000000000000007</v>
      </c>
      <c r="CU312" s="1">
        <f t="shared" si="185"/>
        <v>-10.7</v>
      </c>
      <c r="CV312" s="1">
        <f t="shared" si="186"/>
        <v>-11</v>
      </c>
      <c r="CW312" s="1">
        <f t="shared" si="187"/>
        <v>-3.8</v>
      </c>
      <c r="CX312" s="1">
        <f t="shared" si="188"/>
        <v>0.8</v>
      </c>
      <c r="CY312" s="1">
        <f t="shared" si="189"/>
        <v>1.8</v>
      </c>
      <c r="CZ312" s="1">
        <f t="shared" si="190"/>
        <v>2.9</v>
      </c>
      <c r="DA312" s="2">
        <f t="shared" si="158"/>
        <v>75.099999999999994</v>
      </c>
      <c r="DB312" s="20">
        <f t="shared" si="159"/>
        <v>54</v>
      </c>
      <c r="DC312" s="1">
        <f>ROUND(PPTest!K312,1)</f>
        <v>5.6</v>
      </c>
      <c r="DD312" s="17" t="s">
        <v>218</v>
      </c>
      <c r="DE312" s="3">
        <f t="shared" si="191"/>
        <v>2.85</v>
      </c>
      <c r="DF312" s="24">
        <f t="shared" si="160"/>
        <v>0.48699999999999999</v>
      </c>
      <c r="DG312" s="24">
        <f t="shared" si="161"/>
        <v>0.161</v>
      </c>
      <c r="DH312" s="17">
        <f t="shared" si="163"/>
        <v>12.78</v>
      </c>
    </row>
    <row r="313" spans="1:119" x14ac:dyDescent="0.2">
      <c r="A313" s="15">
        <f t="shared" si="162"/>
        <v>36832</v>
      </c>
      <c r="B313" s="1">
        <v>307</v>
      </c>
      <c r="C313" s="3">
        <v>5.79</v>
      </c>
      <c r="D313" s="3">
        <v>6.8940000000000001</v>
      </c>
      <c r="E313" s="3">
        <v>-4.0970000000000004</v>
      </c>
      <c r="F313" s="3">
        <v>103.6</v>
      </c>
      <c r="G313" s="3">
        <v>-4.4829999999999997</v>
      </c>
      <c r="H313" s="3">
        <v>-4.508</v>
      </c>
      <c r="I313" s="3">
        <v>-1.6779999999999999</v>
      </c>
      <c r="L313" s="3">
        <v>0.77</v>
      </c>
      <c r="M313" s="3">
        <v>1.9690000000000001</v>
      </c>
      <c r="N313" s="3">
        <v>3.0779999999999998</v>
      </c>
      <c r="Q313" s="3"/>
      <c r="R313" s="3">
        <v>2.625</v>
      </c>
      <c r="S313" s="3">
        <v>1217</v>
      </c>
      <c r="T313" s="3">
        <v>108.9</v>
      </c>
      <c r="U313" s="3">
        <v>1755</v>
      </c>
      <c r="V313" s="3">
        <v>3.746</v>
      </c>
      <c r="W313" s="3">
        <v>4.4790000000000001</v>
      </c>
      <c r="X313" s="3">
        <v>0.1</v>
      </c>
      <c r="Y313" s="3"/>
      <c r="AA313" s="3">
        <v>1.216</v>
      </c>
      <c r="AB313" s="3">
        <v>2.4169999999999998</v>
      </c>
      <c r="AC313" s="3">
        <v>3.5030000000000001</v>
      </c>
      <c r="AD313" s="3">
        <v>2.9740000000000002</v>
      </c>
      <c r="AE313" s="3">
        <v>1403</v>
      </c>
      <c r="AF313" s="3">
        <v>-9.69</v>
      </c>
      <c r="AG313" s="3">
        <v>46</v>
      </c>
      <c r="AH313" s="3">
        <v>79.3</v>
      </c>
      <c r="AI313" s="3">
        <v>1154</v>
      </c>
      <c r="AJ313" s="3">
        <v>-10.8</v>
      </c>
      <c r="AK313" s="3">
        <v>-10.92</v>
      </c>
      <c r="AL313" s="3">
        <v>-4.2409999999999997</v>
      </c>
      <c r="AO313" s="3">
        <v>0.45700000000000002</v>
      </c>
      <c r="AP313" s="3">
        <v>1.675</v>
      </c>
      <c r="AQ313" s="3">
        <v>2.8279999999999998</v>
      </c>
      <c r="AR313" s="3"/>
      <c r="AS313" s="3"/>
      <c r="AT313" s="3"/>
      <c r="AU313" s="3"/>
      <c r="AV313" s="3"/>
      <c r="AW313" s="3"/>
      <c r="AX313" s="3"/>
      <c r="AY313" s="3"/>
      <c r="AZ313" s="3">
        <v>-4.96</v>
      </c>
      <c r="BA313" s="3">
        <v>3452</v>
      </c>
      <c r="BB313" s="3">
        <v>12.78</v>
      </c>
      <c r="BC313" s="3">
        <v>2876</v>
      </c>
      <c r="BD313" s="3">
        <v>3460</v>
      </c>
      <c r="BE313" s="3">
        <v>3442</v>
      </c>
      <c r="BF313" s="1">
        <f t="shared" si="198"/>
        <v>41</v>
      </c>
      <c r="BG313" s="3">
        <v>-4.9930000000000003</v>
      </c>
      <c r="BH313" s="3">
        <v>3.0070000000000001</v>
      </c>
      <c r="BI313" s="3">
        <v>3.0489999999999999</v>
      </c>
      <c r="BJ313" s="3">
        <v>-11.1</v>
      </c>
      <c r="BK313" s="3">
        <v>-11.26</v>
      </c>
      <c r="BM313" s="17">
        <v>8.18</v>
      </c>
      <c r="BN313" s="17">
        <f t="shared" si="154"/>
        <v>16.523599999999998</v>
      </c>
      <c r="BO313" s="18">
        <f t="shared" si="193"/>
        <v>5.67</v>
      </c>
      <c r="BP313" s="18">
        <f t="shared" si="194"/>
        <v>7.58</v>
      </c>
      <c r="BR313" s="1">
        <f t="shared" si="195"/>
        <v>97.5</v>
      </c>
      <c r="BS313" s="1">
        <f t="shared" si="196"/>
        <v>89</v>
      </c>
      <c r="BT313" s="1">
        <f t="shared" si="197"/>
        <v>63.8</v>
      </c>
      <c r="BU313" s="60">
        <f t="shared" si="192"/>
        <v>0.47099999999999997</v>
      </c>
      <c r="BV313" s="60">
        <f t="shared" si="153"/>
        <v>0.26700000000000002</v>
      </c>
      <c r="BX313" s="1">
        <v>0.6</v>
      </c>
      <c r="CB313" s="17">
        <f t="shared" si="169"/>
        <v>5.67</v>
      </c>
      <c r="CC313" s="17">
        <f t="shared" si="170"/>
        <v>7.58</v>
      </c>
      <c r="CD313" s="3">
        <f t="shared" si="155"/>
        <v>-4.0999999999999996</v>
      </c>
      <c r="CE313" s="3">
        <f t="shared" si="171"/>
        <v>-4.5</v>
      </c>
      <c r="CF313" s="3">
        <f t="shared" si="172"/>
        <v>-4.5</v>
      </c>
      <c r="CG313" s="3">
        <f t="shared" si="173"/>
        <v>-1.7</v>
      </c>
      <c r="CH313" s="3">
        <f t="shared" si="174"/>
        <v>0.8</v>
      </c>
      <c r="CI313" s="3">
        <f t="shared" si="175"/>
        <v>2</v>
      </c>
      <c r="CJ313" s="3">
        <f t="shared" si="176"/>
        <v>3.1</v>
      </c>
      <c r="CK313" s="27">
        <f t="shared" si="177"/>
        <v>89</v>
      </c>
      <c r="CL313" s="1">
        <f t="shared" si="156"/>
        <v>2.6</v>
      </c>
      <c r="CM313" s="1">
        <f t="shared" si="178"/>
        <v>3.7</v>
      </c>
      <c r="CN313" s="1">
        <f t="shared" si="179"/>
        <v>4.5</v>
      </c>
      <c r="CO313" s="1">
        <f t="shared" si="180"/>
        <v>0.1</v>
      </c>
      <c r="CP313" s="1">
        <f t="shared" si="181"/>
        <v>1.2</v>
      </c>
      <c r="CQ313" s="1">
        <f t="shared" si="182"/>
        <v>2.4</v>
      </c>
      <c r="CR313" s="1">
        <f t="shared" si="183"/>
        <v>3.5</v>
      </c>
      <c r="CS313" s="2">
        <f t="shared" si="184"/>
        <v>97.5</v>
      </c>
      <c r="CT313" s="1">
        <f t="shared" si="157"/>
        <v>-9.6999999999999993</v>
      </c>
      <c r="CU313" s="1">
        <f t="shared" si="185"/>
        <v>-10.8</v>
      </c>
      <c r="CV313" s="1">
        <f t="shared" si="186"/>
        <v>-10.9</v>
      </c>
      <c r="CW313" s="1">
        <f t="shared" si="187"/>
        <v>-4.2</v>
      </c>
      <c r="CX313" s="1">
        <f t="shared" si="188"/>
        <v>0.5</v>
      </c>
      <c r="CY313" s="1">
        <f t="shared" si="189"/>
        <v>1.7</v>
      </c>
      <c r="CZ313" s="1">
        <f t="shared" si="190"/>
        <v>2.8</v>
      </c>
      <c r="DA313" s="2">
        <f t="shared" si="158"/>
        <v>63.8</v>
      </c>
      <c r="DB313" s="20">
        <f t="shared" si="159"/>
        <v>41</v>
      </c>
      <c r="DC313" s="1">
        <f>ROUND(PPTest!K313,1)</f>
        <v>0</v>
      </c>
      <c r="DD313" s="17" t="s">
        <v>218</v>
      </c>
      <c r="DE313" s="3">
        <f t="shared" si="191"/>
        <v>2.97</v>
      </c>
      <c r="DF313" s="24">
        <f t="shared" si="160"/>
        <v>0.47099999999999997</v>
      </c>
      <c r="DG313" s="24">
        <f t="shared" si="161"/>
        <v>0.26700000000000002</v>
      </c>
      <c r="DH313" s="17">
        <f t="shared" si="163"/>
        <v>12.78</v>
      </c>
    </row>
    <row r="314" spans="1:119" x14ac:dyDescent="0.2">
      <c r="A314" s="15">
        <f t="shared" si="162"/>
        <v>36833</v>
      </c>
      <c r="B314" s="1">
        <v>308</v>
      </c>
      <c r="C314" s="3">
        <v>2.6110000000000002</v>
      </c>
      <c r="D314" s="3">
        <v>4.8650000000000002</v>
      </c>
      <c r="E314" s="3">
        <v>-0.36099999999999999</v>
      </c>
      <c r="F314" s="3">
        <v>106.5</v>
      </c>
      <c r="G314" s="3">
        <v>-0.51800000000000002</v>
      </c>
      <c r="H314" s="3">
        <v>-0.59299999999999997</v>
      </c>
      <c r="I314" s="3">
        <v>-0.498</v>
      </c>
      <c r="L314" s="3">
        <v>0.75800000000000001</v>
      </c>
      <c r="M314" s="3">
        <v>1.8149999999999999</v>
      </c>
      <c r="N314" s="3">
        <v>2.972</v>
      </c>
      <c r="Q314" s="3"/>
      <c r="R314" s="3">
        <v>3.081</v>
      </c>
      <c r="S314" s="3">
        <v>0</v>
      </c>
      <c r="T314" s="3">
        <v>108.6</v>
      </c>
      <c r="U314" s="3">
        <v>2006</v>
      </c>
      <c r="V314" s="3">
        <v>3.5990000000000002</v>
      </c>
      <c r="W314" s="3">
        <v>3.08</v>
      </c>
      <c r="X314" s="3">
        <v>0.20300000000000001</v>
      </c>
      <c r="Y314" s="3"/>
      <c r="AA314" s="3">
        <v>0.91600000000000004</v>
      </c>
      <c r="AB314" s="3">
        <v>1.944</v>
      </c>
      <c r="AC314" s="3">
        <v>3.1349999999999998</v>
      </c>
      <c r="AD314" s="3">
        <v>4.0510000000000002</v>
      </c>
      <c r="AE314" s="3">
        <v>1216</v>
      </c>
      <c r="AF314" s="3">
        <v>-4.6150000000000002</v>
      </c>
      <c r="AG314" s="3">
        <v>151</v>
      </c>
      <c r="AH314" s="3">
        <v>100.2</v>
      </c>
      <c r="AI314" s="3">
        <v>1202</v>
      </c>
      <c r="AJ314" s="3">
        <v>-5.2149999999999999</v>
      </c>
      <c r="AK314" s="3">
        <v>-5.633</v>
      </c>
      <c r="AL314" s="3">
        <v>-2.5680000000000001</v>
      </c>
      <c r="AO314" s="3">
        <v>0.61199999999999999</v>
      </c>
      <c r="AP314" s="3">
        <v>1.712</v>
      </c>
      <c r="AQ314" s="3">
        <v>2.8650000000000002</v>
      </c>
      <c r="AR314" s="3"/>
      <c r="AS314" s="3"/>
      <c r="AT314" s="3"/>
      <c r="AU314" s="3"/>
      <c r="AV314" s="3"/>
      <c r="AW314" s="3"/>
      <c r="AX314" s="3"/>
      <c r="AY314" s="3"/>
      <c r="AZ314" s="3">
        <v>-0.79100000000000004</v>
      </c>
      <c r="BA314" s="3">
        <v>3448</v>
      </c>
      <c r="BB314" s="3">
        <v>12.79</v>
      </c>
      <c r="BC314" s="3">
        <v>2876</v>
      </c>
      <c r="BD314" s="3">
        <v>3450</v>
      </c>
      <c r="BE314" s="3">
        <v>3448</v>
      </c>
      <c r="BF314" s="1">
        <f t="shared" si="198"/>
        <v>45</v>
      </c>
      <c r="BG314" s="3">
        <v>-0.84199999999999997</v>
      </c>
      <c r="BH314" s="3">
        <v>1.726</v>
      </c>
      <c r="BI314" s="3">
        <v>1.835</v>
      </c>
      <c r="BJ314" s="3">
        <v>-5.234</v>
      </c>
      <c r="BK314" s="3">
        <v>-5.39</v>
      </c>
      <c r="BM314" s="17">
        <v>8.02</v>
      </c>
      <c r="BN314" s="17">
        <f t="shared" si="154"/>
        <v>16.200399999999998</v>
      </c>
      <c r="BO314" s="18">
        <f t="shared" si="193"/>
        <v>2.56</v>
      </c>
      <c r="BP314" s="18">
        <f t="shared" si="194"/>
        <v>5.35</v>
      </c>
      <c r="BR314" s="1">
        <f t="shared" si="195"/>
        <v>97</v>
      </c>
      <c r="BS314" s="1">
        <f t="shared" si="196"/>
        <v>93.6</v>
      </c>
      <c r="BT314" s="1">
        <f t="shared" si="197"/>
        <v>83.6</v>
      </c>
      <c r="BU314" s="60">
        <f t="shared" si="192"/>
        <v>0.63700000000000001</v>
      </c>
      <c r="BV314" s="60">
        <f t="shared" si="153"/>
        <v>0.125</v>
      </c>
      <c r="CB314" s="17">
        <f t="shared" si="169"/>
        <v>2.56</v>
      </c>
      <c r="CC314" s="17">
        <f t="shared" si="170"/>
        <v>5.35</v>
      </c>
      <c r="CD314" s="3">
        <f t="shared" si="155"/>
        <v>-0.4</v>
      </c>
      <c r="CE314" s="3">
        <f t="shared" si="171"/>
        <v>-0.5</v>
      </c>
      <c r="CF314" s="3">
        <f t="shared" si="172"/>
        <v>-0.6</v>
      </c>
      <c r="CG314" s="3">
        <f t="shared" si="173"/>
        <v>-0.5</v>
      </c>
      <c r="CH314" s="3">
        <f t="shared" si="174"/>
        <v>0.8</v>
      </c>
      <c r="CI314" s="3">
        <f t="shared" si="175"/>
        <v>1.8</v>
      </c>
      <c r="CJ314" s="3">
        <f t="shared" si="176"/>
        <v>3</v>
      </c>
      <c r="CK314" s="27">
        <f t="shared" si="177"/>
        <v>93.6</v>
      </c>
      <c r="CL314" s="1">
        <f t="shared" si="156"/>
        <v>3.1</v>
      </c>
      <c r="CM314" s="1">
        <f t="shared" si="178"/>
        <v>3.6</v>
      </c>
      <c r="CN314" s="1">
        <f t="shared" si="179"/>
        <v>3.1</v>
      </c>
      <c r="CO314" s="1">
        <f t="shared" si="180"/>
        <v>0.2</v>
      </c>
      <c r="CP314" s="1">
        <f t="shared" si="181"/>
        <v>0.9</v>
      </c>
      <c r="CQ314" s="1">
        <f t="shared" si="182"/>
        <v>1.9</v>
      </c>
      <c r="CR314" s="1">
        <f t="shared" si="183"/>
        <v>3.1</v>
      </c>
      <c r="CS314" s="2">
        <f t="shared" si="184"/>
        <v>97</v>
      </c>
      <c r="CT314" s="1">
        <f t="shared" si="157"/>
        <v>-4.5999999999999996</v>
      </c>
      <c r="CU314" s="1">
        <f t="shared" si="185"/>
        <v>-5.2</v>
      </c>
      <c r="CV314" s="1">
        <f t="shared" si="186"/>
        <v>-5.6</v>
      </c>
      <c r="CW314" s="1">
        <f t="shared" si="187"/>
        <v>-2.6</v>
      </c>
      <c r="CX314" s="1">
        <f t="shared" si="188"/>
        <v>0.6</v>
      </c>
      <c r="CY314" s="1">
        <f t="shared" si="189"/>
        <v>1.7</v>
      </c>
      <c r="CZ314" s="1">
        <f t="shared" si="190"/>
        <v>2.9</v>
      </c>
      <c r="DA314" s="2">
        <f t="shared" si="158"/>
        <v>83.6</v>
      </c>
      <c r="DB314" s="20">
        <f t="shared" si="159"/>
        <v>45</v>
      </c>
      <c r="DC314" s="1">
        <f>ROUND(PPTest!K314,1)</f>
        <v>0.5</v>
      </c>
      <c r="DD314" s="17" t="s">
        <v>218</v>
      </c>
      <c r="DE314" s="3">
        <f t="shared" si="191"/>
        <v>4.05</v>
      </c>
      <c r="DF314" s="24">
        <f t="shared" si="160"/>
        <v>0.63700000000000001</v>
      </c>
      <c r="DG314" s="24">
        <f t="shared" si="161"/>
        <v>0.125</v>
      </c>
      <c r="DH314" s="17">
        <f t="shared" si="163"/>
        <v>12.79</v>
      </c>
    </row>
    <row r="315" spans="1:119" x14ac:dyDescent="0.2">
      <c r="A315" s="15">
        <f t="shared" si="162"/>
        <v>36834</v>
      </c>
      <c r="B315" s="1">
        <v>309</v>
      </c>
      <c r="C315" s="3">
        <v>0.69599999999999995</v>
      </c>
      <c r="D315" s="3">
        <v>1.3959999999999999</v>
      </c>
      <c r="E315" s="3">
        <v>-0.48399999999999999</v>
      </c>
      <c r="F315" s="3">
        <v>107.8</v>
      </c>
      <c r="G315" s="3">
        <v>-0.73799999999999999</v>
      </c>
      <c r="H315" s="3">
        <v>-0.72399999999999998</v>
      </c>
      <c r="I315" s="3">
        <v>9.2999999999999999E-2</v>
      </c>
      <c r="L315" s="3">
        <v>0.76700000000000002</v>
      </c>
      <c r="M315" s="3">
        <v>1.6870000000000001</v>
      </c>
      <c r="N315" s="3">
        <v>2.8079999999999998</v>
      </c>
      <c r="Q315" s="3"/>
      <c r="R315" s="3">
        <v>2.9790000000000001</v>
      </c>
      <c r="S315" s="3">
        <v>1</v>
      </c>
      <c r="T315" s="3">
        <v>109.8</v>
      </c>
      <c r="U315" s="3">
        <v>1439</v>
      </c>
      <c r="V315" s="3">
        <v>3.1739999999999999</v>
      </c>
      <c r="W315" s="3">
        <v>2.9369999999999998</v>
      </c>
      <c r="X315" s="3">
        <v>0.27</v>
      </c>
      <c r="Y315" s="3"/>
      <c r="AA315" s="3">
        <v>0.84399999999999997</v>
      </c>
      <c r="AB315" s="3">
        <v>1.8169999999999999</v>
      </c>
      <c r="AC315" s="3">
        <v>2.972</v>
      </c>
      <c r="AD315" s="3">
        <v>4.0910000000000002</v>
      </c>
      <c r="AE315" s="3">
        <v>306</v>
      </c>
      <c r="AF315" s="3">
        <v>-3.22</v>
      </c>
      <c r="AG315" s="3">
        <v>2347</v>
      </c>
      <c r="AH315" s="3">
        <v>100.5</v>
      </c>
      <c r="AI315" s="3">
        <v>401</v>
      </c>
      <c r="AJ315" s="3">
        <v>-3.746</v>
      </c>
      <c r="AK315" s="3">
        <v>-3.4849999999999999</v>
      </c>
      <c r="AL315" s="3">
        <v>-0.11799999999999999</v>
      </c>
      <c r="AO315" s="3">
        <v>0.69399999999999995</v>
      </c>
      <c r="AP315" s="3">
        <v>1.573</v>
      </c>
      <c r="AQ315" s="3">
        <v>2.6619999999999999</v>
      </c>
      <c r="AR315" s="3"/>
      <c r="AS315" s="3"/>
      <c r="AT315" s="3"/>
      <c r="AU315" s="3"/>
      <c r="AV315" s="3"/>
      <c r="AW315" s="3"/>
      <c r="AX315" s="3"/>
      <c r="AY315" s="3"/>
      <c r="AZ315" s="3">
        <v>-0.50700000000000001</v>
      </c>
      <c r="BA315" s="3">
        <v>3363</v>
      </c>
      <c r="BB315" s="3">
        <v>12.78</v>
      </c>
      <c r="BC315" s="3">
        <v>2876</v>
      </c>
      <c r="BD315" s="3">
        <v>3390</v>
      </c>
      <c r="BE315" s="3">
        <v>3352</v>
      </c>
      <c r="BF315" s="1">
        <f t="shared" si="198"/>
        <v>130</v>
      </c>
      <c r="BG315" s="3">
        <v>-0.39800000000000002</v>
      </c>
      <c r="BH315" s="3">
        <v>1.006</v>
      </c>
      <c r="BI315" s="3">
        <v>1.038</v>
      </c>
      <c r="BJ315" s="3">
        <v>-2.847</v>
      </c>
      <c r="BK315" s="3">
        <v>-3.0819999999999999</v>
      </c>
      <c r="BM315" s="17">
        <v>7.86</v>
      </c>
      <c r="BN315" s="17">
        <f t="shared" si="154"/>
        <v>15.8772</v>
      </c>
      <c r="BO315" s="18">
        <f t="shared" si="193"/>
        <v>0.68</v>
      </c>
      <c r="BP315" s="18">
        <f t="shared" si="194"/>
        <v>1.54</v>
      </c>
      <c r="BR315" s="1">
        <f t="shared" si="195"/>
        <v>98.9</v>
      </c>
      <c r="BS315" s="1">
        <f t="shared" si="196"/>
        <v>95.7</v>
      </c>
      <c r="BT315" s="1">
        <f t="shared" si="197"/>
        <v>84.1</v>
      </c>
      <c r="BU315" s="60">
        <f t="shared" si="192"/>
        <v>0.63600000000000001</v>
      </c>
      <c r="BV315" s="60">
        <f t="shared" si="153"/>
        <v>0.12</v>
      </c>
      <c r="CB315" s="17">
        <f t="shared" si="169"/>
        <v>0.68</v>
      </c>
      <c r="CC315" s="17">
        <f t="shared" si="170"/>
        <v>1.54</v>
      </c>
      <c r="CD315" s="3">
        <f t="shared" si="155"/>
        <v>-0.5</v>
      </c>
      <c r="CE315" s="3">
        <f t="shared" si="171"/>
        <v>-0.7</v>
      </c>
      <c r="CF315" s="3">
        <f t="shared" si="172"/>
        <v>-0.7</v>
      </c>
      <c r="CG315" s="3">
        <f t="shared" si="173"/>
        <v>0.1</v>
      </c>
      <c r="CH315" s="3">
        <f t="shared" si="174"/>
        <v>0.8</v>
      </c>
      <c r="CI315" s="3">
        <f t="shared" si="175"/>
        <v>1.7</v>
      </c>
      <c r="CJ315" s="3">
        <f t="shared" si="176"/>
        <v>2.8</v>
      </c>
      <c r="CK315" s="27">
        <f t="shared" si="177"/>
        <v>95.7</v>
      </c>
      <c r="CL315" s="1">
        <f t="shared" si="156"/>
        <v>3</v>
      </c>
      <c r="CM315" s="1">
        <f t="shared" si="178"/>
        <v>3.2</v>
      </c>
      <c r="CN315" s="1">
        <f t="shared" si="179"/>
        <v>2.9</v>
      </c>
      <c r="CO315" s="1">
        <f t="shared" si="180"/>
        <v>0.3</v>
      </c>
      <c r="CP315" s="1">
        <f t="shared" si="181"/>
        <v>0.8</v>
      </c>
      <c r="CQ315" s="1">
        <f t="shared" si="182"/>
        <v>1.8</v>
      </c>
      <c r="CR315" s="1">
        <f t="shared" si="183"/>
        <v>3</v>
      </c>
      <c r="CS315" s="2">
        <f t="shared" si="184"/>
        <v>98.9</v>
      </c>
      <c r="CT315" s="1">
        <f t="shared" si="157"/>
        <v>-3.2</v>
      </c>
      <c r="CU315" s="1">
        <f t="shared" si="185"/>
        <v>-3.7</v>
      </c>
      <c r="CV315" s="1">
        <f t="shared" si="186"/>
        <v>-3.5</v>
      </c>
      <c r="CW315" s="1">
        <f t="shared" si="187"/>
        <v>-0.1</v>
      </c>
      <c r="CX315" s="1">
        <f t="shared" si="188"/>
        <v>0.7</v>
      </c>
      <c r="CY315" s="1">
        <f t="shared" si="189"/>
        <v>1.6</v>
      </c>
      <c r="CZ315" s="1">
        <f t="shared" si="190"/>
        <v>2.7</v>
      </c>
      <c r="DA315" s="2">
        <f t="shared" si="158"/>
        <v>84.1</v>
      </c>
      <c r="DB315" s="20">
        <f t="shared" si="159"/>
        <v>130</v>
      </c>
      <c r="DC315" s="1">
        <f>ROUND(PPTest!K315,1)</f>
        <v>11.1</v>
      </c>
      <c r="DD315" s="17" t="s">
        <v>218</v>
      </c>
      <c r="DE315" s="3">
        <f t="shared" si="191"/>
        <v>4.09</v>
      </c>
      <c r="DF315" s="24">
        <f t="shared" si="160"/>
        <v>0.63600000000000001</v>
      </c>
      <c r="DG315" s="24">
        <f t="shared" si="161"/>
        <v>0.12</v>
      </c>
      <c r="DH315" s="17">
        <f t="shared" si="163"/>
        <v>12.78</v>
      </c>
    </row>
    <row r="316" spans="1:119" x14ac:dyDescent="0.2">
      <c r="A316" s="15">
        <f t="shared" si="162"/>
        <v>36835</v>
      </c>
      <c r="B316" s="1">
        <v>310</v>
      </c>
      <c r="C316" s="3">
        <v>4.3540000000000001</v>
      </c>
      <c r="D316" s="3">
        <v>9.34</v>
      </c>
      <c r="E316" s="3">
        <v>-5.69</v>
      </c>
      <c r="F316" s="3">
        <v>107.2</v>
      </c>
      <c r="G316" s="3">
        <v>-6.3470000000000004</v>
      </c>
      <c r="H316" s="3">
        <v>-6.2839999999999998</v>
      </c>
      <c r="I316" s="3">
        <v>-0.88300000000000001</v>
      </c>
      <c r="L316" s="3">
        <v>0.72</v>
      </c>
      <c r="M316" s="3">
        <v>1.573</v>
      </c>
      <c r="N316" s="3">
        <v>2.605</v>
      </c>
      <c r="Q316" s="3"/>
      <c r="R316" s="3">
        <v>-0.69399999999999995</v>
      </c>
      <c r="S316" s="3">
        <v>928</v>
      </c>
      <c r="T316" s="3">
        <v>109</v>
      </c>
      <c r="U316" s="3">
        <v>37</v>
      </c>
      <c r="V316" s="3">
        <v>-1.4430000000000001</v>
      </c>
      <c r="W316" s="3">
        <v>3.306</v>
      </c>
      <c r="X316" s="3">
        <v>0.34599999999999997</v>
      </c>
      <c r="Y316" s="3"/>
      <c r="AA316" s="3">
        <v>1.07</v>
      </c>
      <c r="AB316" s="3">
        <v>1.861</v>
      </c>
      <c r="AC316" s="3">
        <v>2.883</v>
      </c>
      <c r="AD316" s="3">
        <v>3.3730000000000002</v>
      </c>
      <c r="AE316" s="3">
        <v>1108</v>
      </c>
      <c r="AF316" s="3">
        <v>-12.17</v>
      </c>
      <c r="AG316" s="3">
        <v>2303</v>
      </c>
      <c r="AH316" s="3">
        <v>104.3</v>
      </c>
      <c r="AI316" s="3">
        <v>943</v>
      </c>
      <c r="AJ316" s="3">
        <v>-13.24</v>
      </c>
      <c r="AK316" s="3">
        <v>-13.54</v>
      </c>
      <c r="AL316" s="3">
        <v>-3.6709999999999998</v>
      </c>
      <c r="AO316" s="3">
        <v>0.42299999999999999</v>
      </c>
      <c r="AP316" s="3">
        <v>1.2949999999999999</v>
      </c>
      <c r="AQ316" s="3">
        <v>2.3029999999999999</v>
      </c>
      <c r="AR316" s="3"/>
      <c r="AS316" s="3"/>
      <c r="AT316" s="3"/>
      <c r="AU316" s="3"/>
      <c r="AV316" s="3"/>
      <c r="AW316" s="3"/>
      <c r="AX316" s="3"/>
      <c r="AY316" s="3"/>
      <c r="AZ316" s="3">
        <v>-6.1159999999999997</v>
      </c>
      <c r="BA316" s="3">
        <v>3370</v>
      </c>
      <c r="BB316" s="3">
        <v>12.77</v>
      </c>
      <c r="BC316" s="3">
        <v>2876</v>
      </c>
      <c r="BD316" s="3">
        <v>3372</v>
      </c>
      <c r="BE316" s="3">
        <v>3369</v>
      </c>
      <c r="BF316" s="1">
        <f t="shared" si="198"/>
        <v>123</v>
      </c>
      <c r="BG316" s="3">
        <v>-5.8630000000000004</v>
      </c>
      <c r="BH316" s="3">
        <v>-1.218</v>
      </c>
      <c r="BI316" s="3">
        <v>-1.258</v>
      </c>
      <c r="BJ316" s="3">
        <v>-13.28</v>
      </c>
      <c r="BK316" s="3">
        <v>-13.45</v>
      </c>
      <c r="BM316" s="17">
        <v>7.71</v>
      </c>
      <c r="BN316" s="17">
        <f t="shared" si="154"/>
        <v>15.574199999999999</v>
      </c>
      <c r="BO316" s="18">
        <f t="shared" si="193"/>
        <v>4.2699999999999996</v>
      </c>
      <c r="BP316" s="18">
        <f t="shared" si="194"/>
        <v>10.27</v>
      </c>
      <c r="BR316" s="1">
        <f t="shared" si="195"/>
        <v>97.6</v>
      </c>
      <c r="BS316" s="1">
        <f t="shared" si="196"/>
        <v>94.7</v>
      </c>
      <c r="BT316" s="1">
        <f t="shared" si="197"/>
        <v>90.1</v>
      </c>
      <c r="BU316" s="60">
        <f t="shared" si="192"/>
        <v>0.52300000000000002</v>
      </c>
      <c r="BV316" s="60">
        <f t="shared" si="153"/>
        <v>5.7000000000000002E-2</v>
      </c>
      <c r="CB316" s="17">
        <f t="shared" si="169"/>
        <v>4.2699999999999996</v>
      </c>
      <c r="CC316" s="17">
        <f t="shared" si="170"/>
        <v>10.27</v>
      </c>
      <c r="CD316" s="3">
        <f t="shared" si="155"/>
        <v>-5.7</v>
      </c>
      <c r="CE316" s="3">
        <f t="shared" si="171"/>
        <v>-6.3</v>
      </c>
      <c r="CF316" s="3">
        <f t="shared" si="172"/>
        <v>-6.3</v>
      </c>
      <c r="CG316" s="3">
        <f t="shared" si="173"/>
        <v>-0.9</v>
      </c>
      <c r="CH316" s="3">
        <f t="shared" si="174"/>
        <v>0.7</v>
      </c>
      <c r="CI316" s="3">
        <f t="shared" si="175"/>
        <v>1.6</v>
      </c>
      <c r="CJ316" s="3">
        <f t="shared" si="176"/>
        <v>2.6</v>
      </c>
      <c r="CK316" s="27">
        <f t="shared" si="177"/>
        <v>94.7</v>
      </c>
      <c r="CL316" s="1">
        <f t="shared" si="156"/>
        <v>-0.7</v>
      </c>
      <c r="CM316" s="1">
        <f t="shared" si="178"/>
        <v>-1.4</v>
      </c>
      <c r="CN316" s="1">
        <f t="shared" si="179"/>
        <v>3.3</v>
      </c>
      <c r="CO316" s="1">
        <f t="shared" si="180"/>
        <v>0.3</v>
      </c>
      <c r="CP316" s="1">
        <f t="shared" si="181"/>
        <v>1.1000000000000001</v>
      </c>
      <c r="CQ316" s="1">
        <f t="shared" si="182"/>
        <v>1.9</v>
      </c>
      <c r="CR316" s="1">
        <f t="shared" si="183"/>
        <v>2.9</v>
      </c>
      <c r="CS316" s="2">
        <f t="shared" si="184"/>
        <v>97.6</v>
      </c>
      <c r="CT316" s="1">
        <f t="shared" si="157"/>
        <v>-12.2</v>
      </c>
      <c r="CU316" s="1">
        <f t="shared" si="185"/>
        <v>-13.2</v>
      </c>
      <c r="CV316" s="1">
        <f t="shared" si="186"/>
        <v>-13.5</v>
      </c>
      <c r="CW316" s="1">
        <f t="shared" si="187"/>
        <v>-3.7</v>
      </c>
      <c r="CX316" s="1">
        <f t="shared" si="188"/>
        <v>0.4</v>
      </c>
      <c r="CY316" s="1">
        <f t="shared" si="189"/>
        <v>1.3</v>
      </c>
      <c r="CZ316" s="1">
        <f t="shared" si="190"/>
        <v>2.2999999999999998</v>
      </c>
      <c r="DA316" s="2">
        <f t="shared" si="158"/>
        <v>90.1</v>
      </c>
      <c r="DB316" s="20">
        <f t="shared" si="159"/>
        <v>123</v>
      </c>
      <c r="DC316" s="1">
        <f>ROUND(PPTest!K316,1)</f>
        <v>0</v>
      </c>
      <c r="DD316" s="17" t="s">
        <v>218</v>
      </c>
      <c r="DE316" s="3">
        <f t="shared" si="191"/>
        <v>3.37</v>
      </c>
      <c r="DF316" s="24">
        <f t="shared" si="160"/>
        <v>0.52300000000000002</v>
      </c>
      <c r="DG316" s="24">
        <f t="shared" si="161"/>
        <v>5.7000000000000002E-2</v>
      </c>
      <c r="DH316" s="17">
        <f t="shared" si="163"/>
        <v>12.77</v>
      </c>
    </row>
    <row r="317" spans="1:119" x14ac:dyDescent="0.2">
      <c r="A317" s="15">
        <f t="shared" si="162"/>
        <v>36836</v>
      </c>
      <c r="B317" s="1">
        <v>311</v>
      </c>
      <c r="C317" s="3">
        <v>4.2140000000000004</v>
      </c>
      <c r="D317" s="3">
        <v>8.2200000000000006</v>
      </c>
      <c r="E317" s="3">
        <v>-6.2809999999999997</v>
      </c>
      <c r="F317" s="3">
        <v>106</v>
      </c>
      <c r="G317" s="3">
        <v>-6.4189999999999996</v>
      </c>
      <c r="H317" s="3">
        <v>-6.327</v>
      </c>
      <c r="I317" s="3">
        <v>-1.857</v>
      </c>
      <c r="L317" s="3">
        <v>0.62</v>
      </c>
      <c r="M317" s="3">
        <v>1.583</v>
      </c>
      <c r="N317" s="3">
        <v>2.593</v>
      </c>
      <c r="Q317" s="3"/>
      <c r="R317" s="3">
        <v>-2.625</v>
      </c>
      <c r="S317" s="3">
        <v>1149</v>
      </c>
      <c r="T317" s="3">
        <v>108.1</v>
      </c>
      <c r="U317" s="3">
        <v>1857</v>
      </c>
      <c r="V317" s="3">
        <v>-0.86</v>
      </c>
      <c r="W317" s="3">
        <v>3.036</v>
      </c>
      <c r="X317" s="3">
        <v>-0.46500000000000002</v>
      </c>
      <c r="Y317" s="3"/>
      <c r="AA317" s="3">
        <v>1.38</v>
      </c>
      <c r="AB317" s="3">
        <v>2.2789999999999999</v>
      </c>
      <c r="AC317" s="3">
        <v>3.26</v>
      </c>
      <c r="AD317" s="3">
        <v>2.8679999999999999</v>
      </c>
      <c r="AE317" s="3">
        <v>1021</v>
      </c>
      <c r="AF317" s="3">
        <v>-12.12</v>
      </c>
      <c r="AG317" s="3">
        <v>719</v>
      </c>
      <c r="AH317" s="3">
        <v>102.7</v>
      </c>
      <c r="AI317" s="3">
        <v>1155</v>
      </c>
      <c r="AJ317" s="3">
        <v>-13.13</v>
      </c>
      <c r="AK317" s="3">
        <v>-13.48</v>
      </c>
      <c r="AL317" s="3">
        <v>-4.1680000000000001</v>
      </c>
      <c r="AO317" s="3">
        <v>0.436</v>
      </c>
      <c r="AP317" s="3">
        <v>1.423</v>
      </c>
      <c r="AQ317" s="3">
        <v>2.4329999999999998</v>
      </c>
      <c r="AR317" s="3"/>
      <c r="AS317" s="3"/>
      <c r="AT317" s="3"/>
      <c r="AU317" s="3"/>
      <c r="AV317" s="3"/>
      <c r="AW317" s="3"/>
      <c r="AX317" s="3"/>
      <c r="AY317" s="3"/>
      <c r="AZ317" s="3">
        <v>-6.6639999999999997</v>
      </c>
      <c r="BA317" s="3">
        <v>3371</v>
      </c>
      <c r="BB317" s="3">
        <v>12.78</v>
      </c>
      <c r="BC317" s="3">
        <v>2876</v>
      </c>
      <c r="BD317" s="3">
        <v>3371</v>
      </c>
      <c r="BE317" s="3">
        <v>3370</v>
      </c>
      <c r="BF317" s="1">
        <f t="shared" si="198"/>
        <v>122</v>
      </c>
      <c r="BG317" s="3">
        <v>-6.7560000000000002</v>
      </c>
      <c r="BH317" s="3">
        <v>-1.383</v>
      </c>
      <c r="BI317" s="3">
        <v>-1.371</v>
      </c>
      <c r="BJ317" s="3">
        <v>-13.26</v>
      </c>
      <c r="BK317" s="3">
        <v>-13.39</v>
      </c>
      <c r="BM317" s="17">
        <v>7.55</v>
      </c>
      <c r="BN317" s="17">
        <f t="shared" si="154"/>
        <v>15.250999999999999</v>
      </c>
      <c r="BO317" s="18">
        <f t="shared" si="193"/>
        <v>4.13</v>
      </c>
      <c r="BP317" s="18">
        <f t="shared" si="194"/>
        <v>9.0399999999999991</v>
      </c>
      <c r="BR317" s="1">
        <f t="shared" si="195"/>
        <v>96.2</v>
      </c>
      <c r="BS317" s="1">
        <f t="shared" si="196"/>
        <v>92.8</v>
      </c>
      <c r="BT317" s="1">
        <f t="shared" si="197"/>
        <v>87.6</v>
      </c>
      <c r="BU317" s="60">
        <f t="shared" si="192"/>
        <v>0.441</v>
      </c>
      <c r="BV317" s="60">
        <f t="shared" si="153"/>
        <v>6.2E-2</v>
      </c>
      <c r="CB317" s="17">
        <f t="shared" si="169"/>
        <v>4.13</v>
      </c>
      <c r="CC317" s="17">
        <f t="shared" si="170"/>
        <v>9.0399999999999991</v>
      </c>
      <c r="CD317" s="3">
        <f t="shared" si="155"/>
        <v>-6.3</v>
      </c>
      <c r="CE317" s="3">
        <f t="shared" si="171"/>
        <v>-6.4</v>
      </c>
      <c r="CF317" s="3">
        <f t="shared" si="172"/>
        <v>-6.3</v>
      </c>
      <c r="CG317" s="3">
        <f t="shared" si="173"/>
        <v>-1.9</v>
      </c>
      <c r="CH317" s="3">
        <f t="shared" si="174"/>
        <v>0.6</v>
      </c>
      <c r="CI317" s="3">
        <f t="shared" si="175"/>
        <v>1.6</v>
      </c>
      <c r="CJ317" s="3">
        <f t="shared" si="176"/>
        <v>2.6</v>
      </c>
      <c r="CK317" s="27">
        <f t="shared" si="177"/>
        <v>92.8</v>
      </c>
      <c r="CL317" s="1">
        <f t="shared" si="156"/>
        <v>-2.6</v>
      </c>
      <c r="CM317" s="1">
        <f t="shared" si="178"/>
        <v>-0.9</v>
      </c>
      <c r="CN317" s="1">
        <f t="shared" si="179"/>
        <v>3</v>
      </c>
      <c r="CO317" s="1">
        <f t="shared" si="180"/>
        <v>-0.5</v>
      </c>
      <c r="CP317" s="1">
        <f t="shared" si="181"/>
        <v>1.4</v>
      </c>
      <c r="CQ317" s="1">
        <f t="shared" si="182"/>
        <v>2.2999999999999998</v>
      </c>
      <c r="CR317" s="1">
        <f t="shared" si="183"/>
        <v>3.3</v>
      </c>
      <c r="CS317" s="2">
        <f t="shared" si="184"/>
        <v>96.2</v>
      </c>
      <c r="CT317" s="1">
        <f t="shared" si="157"/>
        <v>-12.1</v>
      </c>
      <c r="CU317" s="1">
        <f t="shared" si="185"/>
        <v>-13.1</v>
      </c>
      <c r="CV317" s="1">
        <f t="shared" si="186"/>
        <v>-13.5</v>
      </c>
      <c r="CW317" s="1">
        <f t="shared" si="187"/>
        <v>-4.2</v>
      </c>
      <c r="CX317" s="1">
        <f t="shared" si="188"/>
        <v>0.4</v>
      </c>
      <c r="CY317" s="1">
        <f t="shared" si="189"/>
        <v>1.4</v>
      </c>
      <c r="CZ317" s="1">
        <f t="shared" si="190"/>
        <v>2.4</v>
      </c>
      <c r="DA317" s="2">
        <f t="shared" si="158"/>
        <v>87.6</v>
      </c>
      <c r="DB317" s="20">
        <f t="shared" si="159"/>
        <v>122</v>
      </c>
      <c r="DC317" s="1">
        <f>ROUND(PPTest!K317,1)</f>
        <v>0</v>
      </c>
      <c r="DD317" s="17" t="s">
        <v>218</v>
      </c>
      <c r="DE317" s="3">
        <f t="shared" si="191"/>
        <v>2.87</v>
      </c>
      <c r="DF317" s="24">
        <f t="shared" si="160"/>
        <v>0.441</v>
      </c>
      <c r="DG317" s="24">
        <f t="shared" si="161"/>
        <v>6.2E-2</v>
      </c>
      <c r="DH317" s="17">
        <f t="shared" si="163"/>
        <v>12.78</v>
      </c>
    </row>
    <row r="318" spans="1:119" x14ac:dyDescent="0.2">
      <c r="A318" s="15">
        <f t="shared" si="162"/>
        <v>36837</v>
      </c>
      <c r="B318" s="1">
        <v>312</v>
      </c>
      <c r="C318" s="3">
        <v>1.861</v>
      </c>
      <c r="D318" s="3">
        <v>3.391</v>
      </c>
      <c r="E318" s="3">
        <v>-4.0209999999999999</v>
      </c>
      <c r="F318" s="3">
        <v>105.5</v>
      </c>
      <c r="G318" s="3">
        <v>-4.0620000000000003</v>
      </c>
      <c r="H318" s="3">
        <v>-4.2069999999999999</v>
      </c>
      <c r="I318" s="3">
        <v>-1.099</v>
      </c>
      <c r="L318" s="3">
        <v>0.50900000000000001</v>
      </c>
      <c r="M318" s="3">
        <v>1.4490000000000001</v>
      </c>
      <c r="N318" s="3">
        <v>2.4820000000000002</v>
      </c>
      <c r="Q318" s="3"/>
      <c r="R318" s="3">
        <v>-2.5880000000000001</v>
      </c>
      <c r="S318" s="3">
        <v>1236</v>
      </c>
      <c r="T318" s="3">
        <v>107.9</v>
      </c>
      <c r="U318" s="3">
        <v>2029</v>
      </c>
      <c r="V318" s="3">
        <v>-1.9359999999999999</v>
      </c>
      <c r="W318" s="3">
        <v>-1.306</v>
      </c>
      <c r="X318" s="3">
        <v>-0.39100000000000001</v>
      </c>
      <c r="Y318" s="3"/>
      <c r="AA318" s="3">
        <v>0.627</v>
      </c>
      <c r="AB318" s="3">
        <v>1.5580000000000001</v>
      </c>
      <c r="AC318" s="3">
        <v>2.5920000000000001</v>
      </c>
      <c r="AD318" s="3">
        <v>2.8809999999999998</v>
      </c>
      <c r="AE318" s="3">
        <v>2207</v>
      </c>
      <c r="AF318" s="3">
        <v>-5.4809999999999999</v>
      </c>
      <c r="AG318" s="3">
        <v>119</v>
      </c>
      <c r="AH318" s="3">
        <v>99.6</v>
      </c>
      <c r="AI318" s="3">
        <v>916</v>
      </c>
      <c r="AJ318" s="3">
        <v>-5.7809999999999997</v>
      </c>
      <c r="AK318" s="3">
        <v>-5.9770000000000003</v>
      </c>
      <c r="AL318" s="3">
        <v>-1.7230000000000001</v>
      </c>
      <c r="AO318" s="3">
        <v>0.312</v>
      </c>
      <c r="AP318" s="3">
        <v>1.2609999999999999</v>
      </c>
      <c r="AQ318" s="3">
        <v>2.29</v>
      </c>
      <c r="AR318" s="3"/>
      <c r="AS318" s="3"/>
      <c r="AT318" s="3"/>
      <c r="AU318" s="3"/>
      <c r="AV318" s="3"/>
      <c r="AW318" s="3"/>
      <c r="AX318" s="3"/>
      <c r="AY318" s="3"/>
      <c r="AZ318" s="3">
        <v>-4.2039999999999997</v>
      </c>
      <c r="BA318" s="3">
        <v>3369</v>
      </c>
      <c r="BB318" s="3">
        <v>12.78</v>
      </c>
      <c r="BC318" s="3">
        <v>2876</v>
      </c>
      <c r="BD318" s="3">
        <v>3369</v>
      </c>
      <c r="BE318" s="3">
        <v>3368</v>
      </c>
      <c r="BF318" s="1">
        <f t="shared" si="198"/>
        <v>124</v>
      </c>
      <c r="BG318" s="3">
        <v>-4.1689999999999996</v>
      </c>
      <c r="BH318" s="3">
        <v>-1.6890000000000001</v>
      </c>
      <c r="BI318" s="3">
        <v>-1.696</v>
      </c>
      <c r="BJ318" s="3">
        <v>-5.8019999999999996</v>
      </c>
      <c r="BK318" s="3">
        <v>-5.891</v>
      </c>
      <c r="BM318" s="17">
        <v>7.41</v>
      </c>
      <c r="BN318" s="17">
        <f t="shared" si="154"/>
        <v>14.968200000000001</v>
      </c>
      <c r="BO318" s="18">
        <f t="shared" si="193"/>
        <v>1.82</v>
      </c>
      <c r="BP318" s="18">
        <f t="shared" si="194"/>
        <v>3.73</v>
      </c>
      <c r="BR318" s="1">
        <f t="shared" si="195"/>
        <v>95.9</v>
      </c>
      <c r="BS318" s="1">
        <f t="shared" si="196"/>
        <v>92</v>
      </c>
      <c r="BT318" s="1">
        <f t="shared" si="197"/>
        <v>82.7</v>
      </c>
      <c r="BU318" s="60">
        <f t="shared" si="192"/>
        <v>0.41699999999999998</v>
      </c>
      <c r="BV318" s="60">
        <f t="shared" si="153"/>
        <v>8.6999999999999994E-2</v>
      </c>
      <c r="CB318" s="17">
        <f t="shared" si="169"/>
        <v>1.82</v>
      </c>
      <c r="CC318" s="17">
        <f t="shared" si="170"/>
        <v>3.73</v>
      </c>
      <c r="CD318" s="3">
        <f t="shared" si="155"/>
        <v>-4</v>
      </c>
      <c r="CE318" s="3">
        <f t="shared" si="171"/>
        <v>-4.0999999999999996</v>
      </c>
      <c r="CF318" s="3">
        <f t="shared" si="172"/>
        <v>-4.2</v>
      </c>
      <c r="CG318" s="3">
        <f t="shared" si="173"/>
        <v>-1.1000000000000001</v>
      </c>
      <c r="CH318" s="3">
        <f t="shared" si="174"/>
        <v>0.5</v>
      </c>
      <c r="CI318" s="3">
        <f t="shared" si="175"/>
        <v>1.4</v>
      </c>
      <c r="CJ318" s="3">
        <f t="shared" si="176"/>
        <v>2.5</v>
      </c>
      <c r="CK318" s="27">
        <f t="shared" si="177"/>
        <v>92</v>
      </c>
      <c r="CL318" s="1">
        <f t="shared" si="156"/>
        <v>-2.6</v>
      </c>
      <c r="CM318" s="1">
        <f t="shared" si="178"/>
        <v>-1.9</v>
      </c>
      <c r="CN318" s="1">
        <f t="shared" si="179"/>
        <v>-1.3</v>
      </c>
      <c r="CO318" s="1">
        <f t="shared" si="180"/>
        <v>-0.4</v>
      </c>
      <c r="CP318" s="1">
        <f t="shared" si="181"/>
        <v>0.6</v>
      </c>
      <c r="CQ318" s="1">
        <f t="shared" si="182"/>
        <v>1.6</v>
      </c>
      <c r="CR318" s="1">
        <f t="shared" si="183"/>
        <v>2.6</v>
      </c>
      <c r="CS318" s="2">
        <f t="shared" si="184"/>
        <v>95.9</v>
      </c>
      <c r="CT318" s="1">
        <f t="shared" si="157"/>
        <v>-5.5</v>
      </c>
      <c r="CU318" s="1">
        <f t="shared" si="185"/>
        <v>-5.8</v>
      </c>
      <c r="CV318" s="1">
        <f t="shared" si="186"/>
        <v>-6</v>
      </c>
      <c r="CW318" s="1">
        <f t="shared" si="187"/>
        <v>-1.7</v>
      </c>
      <c r="CX318" s="1">
        <f t="shared" si="188"/>
        <v>0.3</v>
      </c>
      <c r="CY318" s="1">
        <f t="shared" si="189"/>
        <v>1.3</v>
      </c>
      <c r="CZ318" s="1">
        <f t="shared" si="190"/>
        <v>2.2999999999999998</v>
      </c>
      <c r="DA318" s="2">
        <f t="shared" si="158"/>
        <v>82.7</v>
      </c>
      <c r="DB318" s="20">
        <f t="shared" si="159"/>
        <v>124</v>
      </c>
      <c r="DC318" s="1">
        <f>ROUND(PPTest!K318,1)</f>
        <v>0.3</v>
      </c>
      <c r="DD318" s="17" t="s">
        <v>218</v>
      </c>
      <c r="DE318" s="3">
        <f t="shared" si="191"/>
        <v>2.88</v>
      </c>
      <c r="DF318" s="24">
        <f t="shared" si="160"/>
        <v>0.41699999999999998</v>
      </c>
      <c r="DG318" s="24">
        <f t="shared" si="161"/>
        <v>8.6999999999999994E-2</v>
      </c>
      <c r="DH318" s="17">
        <f t="shared" si="163"/>
        <v>12.78</v>
      </c>
    </row>
    <row r="319" spans="1:119" x14ac:dyDescent="0.2">
      <c r="A319" s="15">
        <f t="shared" si="162"/>
        <v>36838</v>
      </c>
      <c r="B319" s="1">
        <v>313</v>
      </c>
      <c r="C319" s="3">
        <v>4.0960000000000001</v>
      </c>
      <c r="D319" s="3">
        <v>7.12</v>
      </c>
      <c r="E319" s="3">
        <v>-3.7930000000000001</v>
      </c>
      <c r="F319" s="3">
        <v>99.8</v>
      </c>
      <c r="G319" s="3">
        <v>-3.988</v>
      </c>
      <c r="H319" s="3">
        <v>-4.282</v>
      </c>
      <c r="I319" s="3">
        <v>-1.32</v>
      </c>
      <c r="L319" s="3">
        <v>0.46100000000000002</v>
      </c>
      <c r="M319" s="3">
        <v>1.36</v>
      </c>
      <c r="N319" s="3">
        <v>2.3820000000000001</v>
      </c>
      <c r="Q319" s="3"/>
      <c r="R319" s="3">
        <v>-1.5109999999999999</v>
      </c>
      <c r="S319" s="3">
        <v>1201</v>
      </c>
      <c r="T319" s="3">
        <v>106.3</v>
      </c>
      <c r="U319" s="3">
        <v>1809</v>
      </c>
      <c r="V319" s="3">
        <v>-1.1080000000000001</v>
      </c>
      <c r="W319" s="3">
        <v>-3.0000000000000001E-3</v>
      </c>
      <c r="X319" s="3">
        <v>-0.78800000000000003</v>
      </c>
      <c r="Y319" s="3"/>
      <c r="AA319" s="3">
        <v>0.56299999999999994</v>
      </c>
      <c r="AB319" s="3">
        <v>1.4750000000000001</v>
      </c>
      <c r="AC319" s="3">
        <v>2.4830000000000001</v>
      </c>
      <c r="AD319" s="3">
        <v>3.0539999999999998</v>
      </c>
      <c r="AE319" s="3">
        <v>1207</v>
      </c>
      <c r="AF319" s="3">
        <v>-6.431</v>
      </c>
      <c r="AG319" s="3">
        <v>1905</v>
      </c>
      <c r="AH319" s="3">
        <v>83.6</v>
      </c>
      <c r="AI319" s="3">
        <v>1255</v>
      </c>
      <c r="AJ319" s="3">
        <v>-7.09</v>
      </c>
      <c r="AK319" s="3">
        <v>-7.78</v>
      </c>
      <c r="AL319" s="3">
        <v>-2.2519999999999998</v>
      </c>
      <c r="AO319" s="3">
        <v>0.29199999999999998</v>
      </c>
      <c r="AP319" s="3">
        <v>1.19</v>
      </c>
      <c r="AQ319" s="3">
        <v>2.2090000000000001</v>
      </c>
      <c r="AR319" s="3"/>
      <c r="AS319" s="3"/>
      <c r="AT319" s="3"/>
      <c r="AU319" s="3"/>
      <c r="AV319" s="3"/>
      <c r="AW319" s="3"/>
      <c r="AX319" s="3"/>
      <c r="AY319" s="3"/>
      <c r="AZ319" s="3">
        <v>-4.1680000000000001</v>
      </c>
      <c r="BA319" s="3">
        <v>3370</v>
      </c>
      <c r="BB319" s="3">
        <v>12.77</v>
      </c>
      <c r="BC319" s="3">
        <v>2876</v>
      </c>
      <c r="BD319" s="3">
        <v>3370</v>
      </c>
      <c r="BE319" s="3">
        <v>3370</v>
      </c>
      <c r="BF319" s="1">
        <f t="shared" si="198"/>
        <v>123</v>
      </c>
      <c r="BG319" s="3">
        <v>-4.0430000000000001</v>
      </c>
      <c r="BH319" s="3">
        <v>-1.0129999999999999</v>
      </c>
      <c r="BI319" s="3">
        <v>-1.107</v>
      </c>
      <c r="BJ319" s="3">
        <v>-7.3</v>
      </c>
      <c r="BK319" s="3">
        <v>-7.45</v>
      </c>
      <c r="BM319" s="17">
        <v>7.26</v>
      </c>
      <c r="BN319" s="17">
        <f t="shared" si="154"/>
        <v>14.6652</v>
      </c>
      <c r="BO319" s="18">
        <f t="shared" si="193"/>
        <v>4.01</v>
      </c>
      <c r="BP319" s="18">
        <f t="shared" si="194"/>
        <v>7.83</v>
      </c>
      <c r="BR319" s="1">
        <f t="shared" si="195"/>
        <v>93.3</v>
      </c>
      <c r="BS319" s="1">
        <f t="shared" si="196"/>
        <v>83</v>
      </c>
      <c r="BT319" s="1">
        <f t="shared" si="197"/>
        <v>67.599999999999994</v>
      </c>
      <c r="BU319" s="60">
        <f t="shared" si="192"/>
        <v>0.36899999999999999</v>
      </c>
      <c r="BV319" s="60">
        <f t="shared" si="153"/>
        <v>0.17699999999999999</v>
      </c>
      <c r="CB319" s="17">
        <f t="shared" si="169"/>
        <v>4.01</v>
      </c>
      <c r="CC319" s="17">
        <f t="shared" si="170"/>
        <v>7.83</v>
      </c>
      <c r="CD319" s="3">
        <f t="shared" si="155"/>
        <v>-3.8</v>
      </c>
      <c r="CE319" s="3">
        <f t="shared" si="171"/>
        <v>-4</v>
      </c>
      <c r="CF319" s="3">
        <f t="shared" si="172"/>
        <v>-4.3</v>
      </c>
      <c r="CG319" s="3">
        <f t="shared" si="173"/>
        <v>-1.3</v>
      </c>
      <c r="CH319" s="3">
        <f t="shared" si="174"/>
        <v>0.5</v>
      </c>
      <c r="CI319" s="3">
        <f t="shared" si="175"/>
        <v>1.4</v>
      </c>
      <c r="CJ319" s="3">
        <f t="shared" si="176"/>
        <v>2.4</v>
      </c>
      <c r="CK319" s="27">
        <f t="shared" si="177"/>
        <v>83</v>
      </c>
      <c r="CL319" s="1">
        <f t="shared" si="156"/>
        <v>-1.5</v>
      </c>
      <c r="CM319" s="1">
        <f t="shared" si="178"/>
        <v>-1.1000000000000001</v>
      </c>
      <c r="CN319" s="1">
        <f t="shared" si="179"/>
        <v>0</v>
      </c>
      <c r="CO319" s="1">
        <f t="shared" si="180"/>
        <v>-0.8</v>
      </c>
      <c r="CP319" s="1">
        <f t="shared" si="181"/>
        <v>0.6</v>
      </c>
      <c r="CQ319" s="1">
        <f t="shared" si="182"/>
        <v>1.5</v>
      </c>
      <c r="CR319" s="1">
        <f t="shared" si="183"/>
        <v>2.5</v>
      </c>
      <c r="CS319" s="2">
        <f t="shared" si="184"/>
        <v>93.3</v>
      </c>
      <c r="CT319" s="1">
        <f t="shared" si="157"/>
        <v>-6.4</v>
      </c>
      <c r="CU319" s="1">
        <f t="shared" si="185"/>
        <v>-7.1</v>
      </c>
      <c r="CV319" s="1">
        <f t="shared" si="186"/>
        <v>-7.8</v>
      </c>
      <c r="CW319" s="1">
        <f t="shared" si="187"/>
        <v>-2.2999999999999998</v>
      </c>
      <c r="CX319" s="1">
        <f t="shared" si="188"/>
        <v>0.3</v>
      </c>
      <c r="CY319" s="1">
        <f t="shared" si="189"/>
        <v>1.2</v>
      </c>
      <c r="CZ319" s="1">
        <f t="shared" si="190"/>
        <v>2.2000000000000002</v>
      </c>
      <c r="DA319" s="2">
        <f t="shared" si="158"/>
        <v>67.599999999999994</v>
      </c>
      <c r="DB319" s="20">
        <f t="shared" si="159"/>
        <v>123</v>
      </c>
      <c r="DC319" s="1">
        <f>ROUND(PPTest!K319,1)</f>
        <v>0</v>
      </c>
      <c r="DD319" s="17" t="s">
        <v>218</v>
      </c>
      <c r="DE319" s="3">
        <f t="shared" si="191"/>
        <v>3.05</v>
      </c>
      <c r="DF319" s="24">
        <f t="shared" si="160"/>
        <v>0.36899999999999999</v>
      </c>
      <c r="DG319" s="24">
        <f t="shared" si="161"/>
        <v>0.17699999999999999</v>
      </c>
      <c r="DH319" s="17">
        <f t="shared" si="163"/>
        <v>12.77</v>
      </c>
    </row>
    <row r="320" spans="1:119" x14ac:dyDescent="0.2">
      <c r="A320" s="15">
        <f t="shared" si="162"/>
        <v>36839</v>
      </c>
      <c r="B320" s="1">
        <v>314</v>
      </c>
      <c r="C320" s="3">
        <v>4.6580000000000004</v>
      </c>
      <c r="D320" s="3">
        <v>7.99</v>
      </c>
      <c r="E320" s="3">
        <v>-5.7140000000000004</v>
      </c>
      <c r="F320" s="3">
        <v>93.1</v>
      </c>
      <c r="G320" s="3">
        <v>-6.1390000000000002</v>
      </c>
      <c r="H320" s="3">
        <v>-6.4809999999999999</v>
      </c>
      <c r="I320" s="3">
        <v>-2.2690000000000001</v>
      </c>
      <c r="L320" s="3">
        <v>0.36699999999999999</v>
      </c>
      <c r="M320" s="3">
        <v>1.28</v>
      </c>
      <c r="N320" s="3">
        <v>2.2930000000000001</v>
      </c>
      <c r="Q320" s="3"/>
      <c r="R320" s="3">
        <v>-2.2749999999999999</v>
      </c>
      <c r="S320" s="3">
        <v>1033</v>
      </c>
      <c r="T320" s="3">
        <v>106.2</v>
      </c>
      <c r="U320" s="3">
        <v>150</v>
      </c>
      <c r="V320" s="3">
        <v>-1.5409999999999999</v>
      </c>
      <c r="W320" s="3">
        <v>-0.73199999999999998</v>
      </c>
      <c r="X320" s="3">
        <v>-1.5029999999999999</v>
      </c>
      <c r="Y320" s="3"/>
      <c r="AA320" s="3">
        <v>0.64900000000000002</v>
      </c>
      <c r="AB320" s="3">
        <v>1.534</v>
      </c>
      <c r="AC320" s="3">
        <v>2.552</v>
      </c>
      <c r="AD320" s="3">
        <v>3.8119999999999998</v>
      </c>
      <c r="AE320" s="3">
        <v>923</v>
      </c>
      <c r="AF320" s="3">
        <v>-12.36</v>
      </c>
      <c r="AG320" s="3">
        <v>2355</v>
      </c>
      <c r="AH320" s="3">
        <v>64.59</v>
      </c>
      <c r="AI320" s="3">
        <v>1028</v>
      </c>
      <c r="AJ320" s="3">
        <v>-13.51</v>
      </c>
      <c r="AK320" s="3">
        <v>-14.07</v>
      </c>
      <c r="AL320" s="3">
        <v>-4.9240000000000004</v>
      </c>
      <c r="AO320" s="3">
        <v>0.13</v>
      </c>
      <c r="AP320" s="3">
        <v>1.0720000000000001</v>
      </c>
      <c r="AQ320" s="3">
        <v>2.0920000000000001</v>
      </c>
      <c r="AR320" s="3"/>
      <c r="AS320" s="3"/>
      <c r="AT320" s="3"/>
      <c r="AU320" s="3"/>
      <c r="AV320" s="3"/>
      <c r="AW320" s="3"/>
      <c r="AX320" s="3"/>
      <c r="AY320" s="3"/>
      <c r="AZ320" s="3">
        <v>-6.4240000000000004</v>
      </c>
      <c r="BA320" s="3">
        <v>3371</v>
      </c>
      <c r="BB320" s="3">
        <v>12.77</v>
      </c>
      <c r="BC320" s="3">
        <v>2876</v>
      </c>
      <c r="BD320" s="3">
        <v>3374</v>
      </c>
      <c r="BE320" s="3">
        <v>3369</v>
      </c>
      <c r="BF320" s="1">
        <f t="shared" si="198"/>
        <v>122</v>
      </c>
      <c r="BG320" s="3">
        <v>-6.2279999999999998</v>
      </c>
      <c r="BH320" s="3">
        <v>-2.3919999999999999</v>
      </c>
      <c r="BI320" s="3">
        <v>-2.4390000000000001</v>
      </c>
      <c r="BJ320" s="3">
        <v>-12.9</v>
      </c>
      <c r="BK320" s="3">
        <v>-13.51</v>
      </c>
      <c r="BM320" s="17">
        <v>7.12</v>
      </c>
      <c r="BN320" s="17">
        <f t="shared" si="154"/>
        <v>14.382400000000001</v>
      </c>
      <c r="BO320" s="18">
        <f t="shared" si="193"/>
        <v>4.5599999999999996</v>
      </c>
      <c r="BP320" s="18">
        <f t="shared" si="194"/>
        <v>8.7899999999999991</v>
      </c>
      <c r="BR320" s="1">
        <f t="shared" si="195"/>
        <v>93.2</v>
      </c>
      <c r="BS320" s="1">
        <f t="shared" si="196"/>
        <v>75.900000000000006</v>
      </c>
      <c r="BT320" s="1">
        <f t="shared" si="197"/>
        <v>50.8</v>
      </c>
      <c r="BU320" s="60">
        <f t="shared" si="192"/>
        <v>0.26200000000000001</v>
      </c>
      <c r="BV320" s="60">
        <f t="shared" si="153"/>
        <v>0.254</v>
      </c>
      <c r="CB320" s="17">
        <f t="shared" si="169"/>
        <v>4.5599999999999996</v>
      </c>
      <c r="CC320" s="17">
        <f t="shared" si="170"/>
        <v>8.7899999999999991</v>
      </c>
      <c r="CD320" s="3">
        <f t="shared" si="155"/>
        <v>-5.7</v>
      </c>
      <c r="CE320" s="3">
        <f t="shared" si="171"/>
        <v>-6.1</v>
      </c>
      <c r="CF320" s="3">
        <f t="shared" si="172"/>
        <v>-6.5</v>
      </c>
      <c r="CG320" s="3">
        <f t="shared" si="173"/>
        <v>-2.2999999999999998</v>
      </c>
      <c r="CH320" s="3">
        <f t="shared" si="174"/>
        <v>0.4</v>
      </c>
      <c r="CI320" s="3">
        <f t="shared" si="175"/>
        <v>1.3</v>
      </c>
      <c r="CJ320" s="3">
        <f t="shared" si="176"/>
        <v>2.2999999999999998</v>
      </c>
      <c r="CK320" s="27">
        <f t="shared" si="177"/>
        <v>75.900000000000006</v>
      </c>
      <c r="CL320" s="1">
        <f t="shared" si="156"/>
        <v>-2.2999999999999998</v>
      </c>
      <c r="CM320" s="1">
        <f t="shared" si="178"/>
        <v>-1.5</v>
      </c>
      <c r="CN320" s="1">
        <f t="shared" si="179"/>
        <v>-0.7</v>
      </c>
      <c r="CO320" s="1">
        <f t="shared" si="180"/>
        <v>-1.5</v>
      </c>
      <c r="CP320" s="1">
        <f t="shared" si="181"/>
        <v>0.6</v>
      </c>
      <c r="CQ320" s="1">
        <f t="shared" si="182"/>
        <v>1.5</v>
      </c>
      <c r="CR320" s="1">
        <f t="shared" si="183"/>
        <v>2.6</v>
      </c>
      <c r="CS320" s="2">
        <f t="shared" si="184"/>
        <v>93.2</v>
      </c>
      <c r="CT320" s="1">
        <f t="shared" si="157"/>
        <v>-12.4</v>
      </c>
      <c r="CU320" s="1">
        <f t="shared" si="185"/>
        <v>-13.5</v>
      </c>
      <c r="CV320" s="1">
        <f t="shared" si="186"/>
        <v>-14.1</v>
      </c>
      <c r="CW320" s="1">
        <f t="shared" si="187"/>
        <v>-4.9000000000000004</v>
      </c>
      <c r="CX320" s="1">
        <f t="shared" si="188"/>
        <v>0.1</v>
      </c>
      <c r="CY320" s="1">
        <f t="shared" si="189"/>
        <v>1.1000000000000001</v>
      </c>
      <c r="CZ320" s="1">
        <f t="shared" si="190"/>
        <v>2.1</v>
      </c>
      <c r="DA320" s="2">
        <f t="shared" si="158"/>
        <v>50.8</v>
      </c>
      <c r="DB320" s="20">
        <f t="shared" si="159"/>
        <v>122</v>
      </c>
      <c r="DC320" s="1">
        <f>ROUND(PPTest!K320,1)</f>
        <v>0</v>
      </c>
      <c r="DD320" s="17" t="s">
        <v>218</v>
      </c>
      <c r="DE320" s="3">
        <f t="shared" si="191"/>
        <v>3.81</v>
      </c>
      <c r="DF320" s="24">
        <f t="shared" si="160"/>
        <v>0.26200000000000001</v>
      </c>
      <c r="DG320" s="24">
        <f t="shared" si="161"/>
        <v>0.254</v>
      </c>
      <c r="DH320" s="17">
        <f t="shared" si="163"/>
        <v>12.77</v>
      </c>
    </row>
    <row r="321" spans="1:112" x14ac:dyDescent="0.2">
      <c r="A321" s="15">
        <f t="shared" si="162"/>
        <v>36840</v>
      </c>
      <c r="B321" s="1">
        <v>315</v>
      </c>
      <c r="C321" s="3">
        <v>3.262</v>
      </c>
      <c r="D321" s="3">
        <v>5.7169999999999996</v>
      </c>
      <c r="E321" s="3">
        <v>-9.57</v>
      </c>
      <c r="F321" s="3">
        <v>104.1</v>
      </c>
      <c r="G321" s="3">
        <v>-9.76</v>
      </c>
      <c r="H321" s="3">
        <v>-9.65</v>
      </c>
      <c r="I321" s="3">
        <v>-3.0640000000000001</v>
      </c>
      <c r="L321" s="3">
        <v>0.251</v>
      </c>
      <c r="M321" s="3">
        <v>1.2430000000000001</v>
      </c>
      <c r="N321" s="3">
        <v>2.2810000000000001</v>
      </c>
      <c r="Q321" s="3"/>
      <c r="R321" s="3">
        <v>-6.6779999999999999</v>
      </c>
      <c r="S321" s="3">
        <v>930</v>
      </c>
      <c r="T321" s="3">
        <v>107.8</v>
      </c>
      <c r="U321" s="3">
        <v>1100</v>
      </c>
      <c r="V321" s="3">
        <v>-5.8840000000000003</v>
      </c>
      <c r="W321" s="3">
        <v>-3.6429999999999998</v>
      </c>
      <c r="X321" s="3">
        <v>-1.4630000000000001</v>
      </c>
      <c r="Y321" s="3"/>
      <c r="AA321" s="3">
        <v>0.65600000000000003</v>
      </c>
      <c r="AB321" s="3">
        <v>1.609</v>
      </c>
      <c r="AC321" s="3">
        <v>2.64</v>
      </c>
      <c r="AD321" s="3">
        <v>2.8809999999999998</v>
      </c>
      <c r="AE321" s="3">
        <v>1506</v>
      </c>
      <c r="AF321" s="3">
        <v>-14.56</v>
      </c>
      <c r="AG321" s="3">
        <v>246</v>
      </c>
      <c r="AH321" s="3">
        <v>87.6</v>
      </c>
      <c r="AI321" s="3">
        <v>931</v>
      </c>
      <c r="AJ321" s="3">
        <v>-15.36</v>
      </c>
      <c r="AK321" s="3">
        <v>-15.92</v>
      </c>
      <c r="AL321" s="3">
        <v>-5.681</v>
      </c>
      <c r="AO321" s="3">
        <v>0.09</v>
      </c>
      <c r="AP321" s="3">
        <v>1.107</v>
      </c>
      <c r="AQ321" s="3">
        <v>2.1509999999999998</v>
      </c>
      <c r="AR321" s="3"/>
      <c r="AS321" s="3"/>
      <c r="AT321" s="3"/>
      <c r="AU321" s="3"/>
      <c r="AV321" s="3"/>
      <c r="AW321" s="3"/>
      <c r="AX321" s="3"/>
      <c r="AY321" s="3"/>
      <c r="AZ321" s="3">
        <v>-9.85</v>
      </c>
      <c r="BA321" s="3">
        <v>3365</v>
      </c>
      <c r="BB321" s="3">
        <v>12.76</v>
      </c>
      <c r="BC321" s="3">
        <v>2876</v>
      </c>
      <c r="BD321" s="3">
        <v>3367</v>
      </c>
      <c r="BE321" s="3">
        <v>3353</v>
      </c>
      <c r="BF321" s="1">
        <f t="shared" si="198"/>
        <v>128</v>
      </c>
      <c r="BG321" s="3">
        <v>-9.85</v>
      </c>
      <c r="BH321" s="3">
        <v>-5.7169999999999996</v>
      </c>
      <c r="BI321" s="3">
        <v>-5.7649999999999997</v>
      </c>
      <c r="BJ321" s="3">
        <v>-15.54</v>
      </c>
      <c r="BK321" s="3">
        <v>-15.78</v>
      </c>
      <c r="BM321" s="17">
        <v>6.99</v>
      </c>
      <c r="BN321" s="17">
        <f t="shared" si="154"/>
        <v>14.1198</v>
      </c>
      <c r="BO321" s="18">
        <f t="shared" si="193"/>
        <v>3.2</v>
      </c>
      <c r="BP321" s="18">
        <f t="shared" si="194"/>
        <v>6.29</v>
      </c>
      <c r="BR321" s="1">
        <f t="shared" si="195"/>
        <v>95.7</v>
      </c>
      <c r="BS321" s="1">
        <f t="shared" si="196"/>
        <v>89.8</v>
      </c>
      <c r="BT321" s="1">
        <f t="shared" si="197"/>
        <v>71.099999999999994</v>
      </c>
      <c r="BU321" s="60">
        <f t="shared" si="192"/>
        <v>0.26300000000000001</v>
      </c>
      <c r="BV321" s="60">
        <f t="shared" si="153"/>
        <v>0.107</v>
      </c>
      <c r="CB321" s="17">
        <f t="shared" si="169"/>
        <v>3.2</v>
      </c>
      <c r="CC321" s="17">
        <f t="shared" si="170"/>
        <v>6.29</v>
      </c>
      <c r="CD321" s="3">
        <f t="shared" si="155"/>
        <v>-9.6</v>
      </c>
      <c r="CE321" s="3">
        <f t="shared" si="171"/>
        <v>-9.8000000000000007</v>
      </c>
      <c r="CF321" s="3">
        <f t="shared" si="172"/>
        <v>-9.6999999999999993</v>
      </c>
      <c r="CG321" s="3">
        <f t="shared" si="173"/>
        <v>-3.1</v>
      </c>
      <c r="CH321" s="3">
        <f t="shared" si="174"/>
        <v>0.3</v>
      </c>
      <c r="CI321" s="3">
        <f t="shared" si="175"/>
        <v>1.2</v>
      </c>
      <c r="CJ321" s="3">
        <f t="shared" si="176"/>
        <v>2.2999999999999998</v>
      </c>
      <c r="CK321" s="27">
        <f t="shared" si="177"/>
        <v>89.8</v>
      </c>
      <c r="CL321" s="1">
        <f t="shared" si="156"/>
        <v>-6.7</v>
      </c>
      <c r="CM321" s="1">
        <f t="shared" si="178"/>
        <v>-5.9</v>
      </c>
      <c r="CN321" s="1">
        <f t="shared" si="179"/>
        <v>-3.6</v>
      </c>
      <c r="CO321" s="1">
        <f t="shared" si="180"/>
        <v>-1.5</v>
      </c>
      <c r="CP321" s="1">
        <f t="shared" si="181"/>
        <v>0.7</v>
      </c>
      <c r="CQ321" s="1">
        <f t="shared" si="182"/>
        <v>1.6</v>
      </c>
      <c r="CR321" s="1">
        <f t="shared" si="183"/>
        <v>2.6</v>
      </c>
      <c r="CS321" s="2">
        <f t="shared" si="184"/>
        <v>95.7</v>
      </c>
      <c r="CT321" s="1">
        <f t="shared" si="157"/>
        <v>-14.6</v>
      </c>
      <c r="CU321" s="1">
        <f t="shared" si="185"/>
        <v>-15.4</v>
      </c>
      <c r="CV321" s="1">
        <f t="shared" si="186"/>
        <v>-15.9</v>
      </c>
      <c r="CW321" s="1">
        <f t="shared" si="187"/>
        <v>-5.7</v>
      </c>
      <c r="CX321" s="1">
        <f t="shared" si="188"/>
        <v>0.1</v>
      </c>
      <c r="CY321" s="1">
        <f t="shared" si="189"/>
        <v>1.1000000000000001</v>
      </c>
      <c r="CZ321" s="1">
        <f t="shared" si="190"/>
        <v>2.2000000000000002</v>
      </c>
      <c r="DA321" s="2">
        <f t="shared" si="158"/>
        <v>71.099999999999994</v>
      </c>
      <c r="DB321" s="20">
        <f t="shared" si="159"/>
        <v>128</v>
      </c>
      <c r="DC321" s="1">
        <f>ROUND(PPTest!K321,1)</f>
        <v>0.8</v>
      </c>
      <c r="DD321" s="17" t="s">
        <v>218</v>
      </c>
      <c r="DE321" s="3">
        <f t="shared" si="191"/>
        <v>2.88</v>
      </c>
      <c r="DF321" s="24">
        <f t="shared" si="160"/>
        <v>0.26300000000000001</v>
      </c>
      <c r="DG321" s="24">
        <f t="shared" si="161"/>
        <v>0.107</v>
      </c>
      <c r="DH321" s="17">
        <f t="shared" si="163"/>
        <v>12.76</v>
      </c>
    </row>
    <row r="322" spans="1:112" x14ac:dyDescent="0.2">
      <c r="A322" s="15">
        <f t="shared" si="162"/>
        <v>36841</v>
      </c>
      <c r="B322" s="1">
        <v>316</v>
      </c>
      <c r="C322" s="3">
        <v>2.8039999999999998</v>
      </c>
      <c r="D322" s="3">
        <v>4.9409999999999998</v>
      </c>
      <c r="E322" s="3">
        <v>-9.6199999999999992</v>
      </c>
      <c r="F322" s="3">
        <v>105.7</v>
      </c>
      <c r="G322" s="3">
        <v>-9.74</v>
      </c>
      <c r="H322" s="3">
        <v>-9.5299999999999994</v>
      </c>
      <c r="I322" s="3">
        <v>-2.4</v>
      </c>
      <c r="L322" s="3">
        <v>7.2999999999999995E-2</v>
      </c>
      <c r="M322" s="3">
        <v>1.1120000000000001</v>
      </c>
      <c r="N322" s="3">
        <v>2.2010000000000001</v>
      </c>
      <c r="Q322" s="3"/>
      <c r="R322" s="3">
        <v>-8.7200000000000006</v>
      </c>
      <c r="S322" s="3">
        <v>1115</v>
      </c>
      <c r="T322" s="3">
        <v>106.5</v>
      </c>
      <c r="U322" s="3">
        <v>28</v>
      </c>
      <c r="V322" s="3">
        <v>-8.08</v>
      </c>
      <c r="W322" s="3">
        <v>-6.0839999999999996</v>
      </c>
      <c r="X322" s="3">
        <v>-1.573</v>
      </c>
      <c r="Y322" s="3"/>
      <c r="AA322" s="3">
        <v>0.26300000000000001</v>
      </c>
      <c r="AB322" s="3">
        <v>1.284</v>
      </c>
      <c r="AC322" s="3">
        <v>2.3660000000000001</v>
      </c>
      <c r="AD322" s="3">
        <v>2.7480000000000002</v>
      </c>
      <c r="AE322" s="3">
        <v>1226</v>
      </c>
      <c r="AF322" s="3">
        <v>-11.21</v>
      </c>
      <c r="AG322" s="3">
        <v>2037</v>
      </c>
      <c r="AH322" s="3">
        <v>104.5</v>
      </c>
      <c r="AI322" s="3">
        <v>1247</v>
      </c>
      <c r="AJ322" s="3">
        <v>-12.76</v>
      </c>
      <c r="AK322" s="3">
        <v>-13.51</v>
      </c>
      <c r="AL322" s="3">
        <v>-3.5049999999999999</v>
      </c>
      <c r="AO322" s="3">
        <v>-0.184</v>
      </c>
      <c r="AP322" s="3">
        <v>0.88400000000000001</v>
      </c>
      <c r="AQ322" s="3">
        <v>1.996</v>
      </c>
      <c r="AR322" s="3"/>
      <c r="AS322" s="3"/>
      <c r="AT322" s="3"/>
      <c r="AU322" s="3"/>
      <c r="AV322" s="3"/>
      <c r="AW322" s="3"/>
      <c r="AX322" s="3"/>
      <c r="AY322" s="3"/>
      <c r="AZ322" s="3">
        <v>-9.24</v>
      </c>
      <c r="BA322" s="3">
        <v>3327</v>
      </c>
      <c r="BB322" s="3">
        <v>12.75</v>
      </c>
      <c r="BC322" s="3">
        <v>2876</v>
      </c>
      <c r="BD322" s="3">
        <v>3327</v>
      </c>
      <c r="BE322" s="3">
        <v>3327</v>
      </c>
      <c r="BF322" s="1">
        <f t="shared" si="198"/>
        <v>166</v>
      </c>
      <c r="BG322" s="3">
        <v>-9.15</v>
      </c>
      <c r="BH322" s="3">
        <v>-7.52</v>
      </c>
      <c r="BI322" s="3">
        <v>-7.42</v>
      </c>
      <c r="BJ322" s="3">
        <v>-11.29</v>
      </c>
      <c r="BK322" s="3">
        <v>-11.6</v>
      </c>
      <c r="BM322" s="17">
        <v>6.85</v>
      </c>
      <c r="BN322" s="17">
        <f t="shared" si="154"/>
        <v>13.837</v>
      </c>
      <c r="BO322" s="18">
        <f t="shared" si="193"/>
        <v>2.75</v>
      </c>
      <c r="BP322" s="18">
        <f t="shared" si="194"/>
        <v>5.44</v>
      </c>
      <c r="BR322" s="1">
        <f t="shared" si="195"/>
        <v>93.6</v>
      </c>
      <c r="BS322" s="1">
        <f t="shared" si="196"/>
        <v>92.4</v>
      </c>
      <c r="BT322" s="1">
        <f t="shared" si="197"/>
        <v>90.5</v>
      </c>
      <c r="BU322" s="60">
        <f t="shared" si="192"/>
        <v>0.28599999999999998</v>
      </c>
      <c r="BV322" s="60">
        <f t="shared" si="153"/>
        <v>0.03</v>
      </c>
      <c r="CB322" s="17">
        <f t="shared" si="169"/>
        <v>2.75</v>
      </c>
      <c r="CC322" s="17">
        <f t="shared" si="170"/>
        <v>5.44</v>
      </c>
      <c r="CD322" s="3">
        <f t="shared" si="155"/>
        <v>-9.6</v>
      </c>
      <c r="CE322" s="3">
        <f t="shared" si="171"/>
        <v>-9.6999999999999993</v>
      </c>
      <c r="CF322" s="3">
        <f t="shared" si="172"/>
        <v>-9.5</v>
      </c>
      <c r="CG322" s="3">
        <f t="shared" si="173"/>
        <v>-2.4</v>
      </c>
      <c r="CH322" s="3">
        <f t="shared" si="174"/>
        <v>0.1</v>
      </c>
      <c r="CI322" s="3">
        <f t="shared" si="175"/>
        <v>1.1000000000000001</v>
      </c>
      <c r="CJ322" s="3">
        <f t="shared" si="176"/>
        <v>2.2000000000000002</v>
      </c>
      <c r="CK322" s="27">
        <f t="shared" si="177"/>
        <v>92.4</v>
      </c>
      <c r="CL322" s="1">
        <f t="shared" si="156"/>
        <v>-8.6999999999999993</v>
      </c>
      <c r="CM322" s="1">
        <f t="shared" si="178"/>
        <v>-8.1</v>
      </c>
      <c r="CN322" s="1">
        <f t="shared" si="179"/>
        <v>-6.1</v>
      </c>
      <c r="CO322" s="1">
        <f t="shared" si="180"/>
        <v>-1.6</v>
      </c>
      <c r="CP322" s="1">
        <f t="shared" si="181"/>
        <v>0.3</v>
      </c>
      <c r="CQ322" s="1">
        <f t="shared" si="182"/>
        <v>1.3</v>
      </c>
      <c r="CR322" s="1">
        <f t="shared" si="183"/>
        <v>2.4</v>
      </c>
      <c r="CS322" s="2">
        <f t="shared" si="184"/>
        <v>93.6</v>
      </c>
      <c r="CT322" s="1">
        <f t="shared" si="157"/>
        <v>-11.2</v>
      </c>
      <c r="CU322" s="1">
        <f t="shared" si="185"/>
        <v>-12.8</v>
      </c>
      <c r="CV322" s="1">
        <f t="shared" si="186"/>
        <v>-13.5</v>
      </c>
      <c r="CW322" s="1">
        <f t="shared" si="187"/>
        <v>-3.5</v>
      </c>
      <c r="CX322" s="1">
        <f t="shared" si="188"/>
        <v>-0.2</v>
      </c>
      <c r="CY322" s="1">
        <f t="shared" si="189"/>
        <v>0.9</v>
      </c>
      <c r="CZ322" s="1">
        <f t="shared" si="190"/>
        <v>2</v>
      </c>
      <c r="DA322" s="2">
        <f t="shared" si="158"/>
        <v>90.5</v>
      </c>
      <c r="DB322" s="20">
        <f t="shared" si="159"/>
        <v>166</v>
      </c>
      <c r="DC322" s="1">
        <f>ROUND(PPTest!K322,1)</f>
        <v>4.9000000000000004</v>
      </c>
      <c r="DD322" s="17" t="s">
        <v>218</v>
      </c>
      <c r="DE322" s="3">
        <f t="shared" si="191"/>
        <v>2.75</v>
      </c>
      <c r="DF322" s="24">
        <f t="shared" si="160"/>
        <v>0.28599999999999998</v>
      </c>
      <c r="DG322" s="24">
        <f t="shared" si="161"/>
        <v>0.03</v>
      </c>
      <c r="DH322" s="17">
        <f t="shared" si="163"/>
        <v>12.75</v>
      </c>
    </row>
    <row r="323" spans="1:112" x14ac:dyDescent="0.2">
      <c r="A323" s="15">
        <f t="shared" si="162"/>
        <v>36842</v>
      </c>
      <c r="B323" s="1">
        <v>317</v>
      </c>
      <c r="C323" s="3">
        <v>4.0069999999999997</v>
      </c>
      <c r="D323" s="3">
        <v>7.43</v>
      </c>
      <c r="E323" s="3">
        <v>-7.85</v>
      </c>
      <c r="F323" s="3">
        <v>106.3</v>
      </c>
      <c r="G323" s="3">
        <v>-7.99</v>
      </c>
      <c r="H323" s="3">
        <v>-7.76</v>
      </c>
      <c r="I323" s="3">
        <v>-2.21</v>
      </c>
      <c r="L323" s="3">
        <v>-1.6E-2</v>
      </c>
      <c r="M323" s="3">
        <v>1.018</v>
      </c>
      <c r="N323" s="3">
        <v>2.1419999999999999</v>
      </c>
      <c r="Q323" s="3"/>
      <c r="R323" s="3">
        <v>-4.6440000000000001</v>
      </c>
      <c r="S323" s="3">
        <v>1437</v>
      </c>
      <c r="T323" s="3">
        <v>107.3</v>
      </c>
      <c r="U323" s="3">
        <v>1604</v>
      </c>
      <c r="V323" s="3">
        <v>-4.2359999999999998</v>
      </c>
      <c r="W323" s="3">
        <v>-0.76600000000000001</v>
      </c>
      <c r="X323" s="3">
        <v>-1.0620000000000001</v>
      </c>
      <c r="Y323" s="3"/>
      <c r="AA323" s="3">
        <v>0.15</v>
      </c>
      <c r="AB323" s="3">
        <v>1.181</v>
      </c>
      <c r="AC323" s="3">
        <v>2.302</v>
      </c>
      <c r="AD323" s="3">
        <v>2.548</v>
      </c>
      <c r="AE323" s="3">
        <v>1441</v>
      </c>
      <c r="AF323" s="3">
        <v>-9.43</v>
      </c>
      <c r="AG323" s="3">
        <v>1</v>
      </c>
      <c r="AH323" s="3">
        <v>102.5</v>
      </c>
      <c r="AI323" s="3">
        <v>1441</v>
      </c>
      <c r="AJ323" s="3">
        <v>-10.130000000000001</v>
      </c>
      <c r="AK323" s="3">
        <v>-10.34</v>
      </c>
      <c r="AL323" s="3">
        <v>-2.9430000000000001</v>
      </c>
      <c r="AO323" s="3">
        <v>-0.312</v>
      </c>
      <c r="AP323" s="3">
        <v>0.73199999999999998</v>
      </c>
      <c r="AQ323" s="3">
        <v>1.865</v>
      </c>
      <c r="AR323" s="3"/>
      <c r="AS323" s="3"/>
      <c r="AT323" s="3"/>
      <c r="AU323" s="3"/>
      <c r="AV323" s="3"/>
      <c r="AW323" s="3"/>
      <c r="AX323" s="3"/>
      <c r="AY323" s="3"/>
      <c r="AZ323" s="3">
        <v>-7.66</v>
      </c>
      <c r="BA323" s="3">
        <v>3338</v>
      </c>
      <c r="BB323" s="3">
        <v>12.76</v>
      </c>
      <c r="BC323" s="3">
        <v>2876</v>
      </c>
      <c r="BD323" s="3">
        <v>3338</v>
      </c>
      <c r="BE323" s="3">
        <v>3336</v>
      </c>
      <c r="BF323" s="1">
        <f t="shared" si="198"/>
        <v>155</v>
      </c>
      <c r="BG323" s="3">
        <v>-7.62</v>
      </c>
      <c r="BH323" s="3">
        <v>-4.2930000000000001</v>
      </c>
      <c r="BI323" s="3">
        <v>-4.2779999999999996</v>
      </c>
      <c r="BJ323" s="3">
        <v>-10.16</v>
      </c>
      <c r="BK323" s="3">
        <v>-10</v>
      </c>
      <c r="BM323" s="17">
        <v>6.72</v>
      </c>
      <c r="BN323" s="17">
        <f t="shared" si="154"/>
        <v>13.574399999999999</v>
      </c>
      <c r="BO323" s="18">
        <f t="shared" si="193"/>
        <v>3.93</v>
      </c>
      <c r="BP323" s="18">
        <f t="shared" si="194"/>
        <v>8.17</v>
      </c>
      <c r="BR323" s="1">
        <f t="shared" si="195"/>
        <v>94.9</v>
      </c>
      <c r="BS323" s="1">
        <f t="shared" si="196"/>
        <v>93.3</v>
      </c>
      <c r="BT323" s="1">
        <f t="shared" si="197"/>
        <v>87.3</v>
      </c>
      <c r="BU323" s="60">
        <f t="shared" si="192"/>
        <v>0.378</v>
      </c>
      <c r="BV323" s="60">
        <f t="shared" si="153"/>
        <v>5.5E-2</v>
      </c>
      <c r="CB323" s="17">
        <f t="shared" si="169"/>
        <v>3.93</v>
      </c>
      <c r="CC323" s="17">
        <f t="shared" si="170"/>
        <v>8.17</v>
      </c>
      <c r="CD323" s="3">
        <f t="shared" si="155"/>
        <v>-7.9</v>
      </c>
      <c r="CE323" s="3">
        <f t="shared" si="171"/>
        <v>-8</v>
      </c>
      <c r="CF323" s="3">
        <f t="shared" si="172"/>
        <v>-7.8</v>
      </c>
      <c r="CG323" s="3">
        <f t="shared" si="173"/>
        <v>-2.2000000000000002</v>
      </c>
      <c r="CH323" s="3">
        <f t="shared" si="174"/>
        <v>0</v>
      </c>
      <c r="CI323" s="3">
        <f t="shared" si="175"/>
        <v>1</v>
      </c>
      <c r="CJ323" s="3">
        <f t="shared" si="176"/>
        <v>2.1</v>
      </c>
      <c r="CK323" s="27">
        <f t="shared" si="177"/>
        <v>93.3</v>
      </c>
      <c r="CL323" s="1">
        <f t="shared" si="156"/>
        <v>-4.5999999999999996</v>
      </c>
      <c r="CM323" s="1">
        <f t="shared" si="178"/>
        <v>-4.2</v>
      </c>
      <c r="CN323" s="1">
        <f t="shared" si="179"/>
        <v>-0.8</v>
      </c>
      <c r="CO323" s="1">
        <f t="shared" si="180"/>
        <v>-1.1000000000000001</v>
      </c>
      <c r="CP323" s="1">
        <f t="shared" si="181"/>
        <v>0.2</v>
      </c>
      <c r="CQ323" s="1">
        <f t="shared" si="182"/>
        <v>1.2</v>
      </c>
      <c r="CR323" s="1">
        <f t="shared" si="183"/>
        <v>2.2999999999999998</v>
      </c>
      <c r="CS323" s="2">
        <f t="shared" si="184"/>
        <v>94.9</v>
      </c>
      <c r="CT323" s="1">
        <f t="shared" si="157"/>
        <v>-9.4</v>
      </c>
      <c r="CU323" s="1">
        <f t="shared" si="185"/>
        <v>-10.1</v>
      </c>
      <c r="CV323" s="1">
        <f t="shared" si="186"/>
        <v>-10.3</v>
      </c>
      <c r="CW323" s="1">
        <f t="shared" si="187"/>
        <v>-2.9</v>
      </c>
      <c r="CX323" s="1">
        <f t="shared" si="188"/>
        <v>-0.3</v>
      </c>
      <c r="CY323" s="1">
        <f t="shared" si="189"/>
        <v>0.7</v>
      </c>
      <c r="CZ323" s="1">
        <f t="shared" si="190"/>
        <v>1.9</v>
      </c>
      <c r="DA323" s="2">
        <f t="shared" si="158"/>
        <v>87.3</v>
      </c>
      <c r="DB323" s="20">
        <f t="shared" si="159"/>
        <v>155</v>
      </c>
      <c r="DC323" s="1">
        <f>ROUND(PPTest!K323,1)</f>
        <v>0</v>
      </c>
      <c r="DD323" s="17" t="s">
        <v>218</v>
      </c>
      <c r="DE323" s="3">
        <f t="shared" si="191"/>
        <v>2.5499999999999998</v>
      </c>
      <c r="DF323" s="24">
        <f t="shared" si="160"/>
        <v>0.378</v>
      </c>
      <c r="DG323" s="24">
        <f t="shared" si="161"/>
        <v>5.5E-2</v>
      </c>
      <c r="DH323" s="17">
        <f t="shared" si="163"/>
        <v>12.76</v>
      </c>
    </row>
    <row r="324" spans="1:112" x14ac:dyDescent="0.2">
      <c r="A324" s="15">
        <f t="shared" si="162"/>
        <v>36843</v>
      </c>
      <c r="B324" s="1">
        <v>318</v>
      </c>
      <c r="C324" s="3">
        <v>2.1480000000000001</v>
      </c>
      <c r="D324" s="3">
        <v>4.133</v>
      </c>
      <c r="E324" s="3">
        <v>-8.58</v>
      </c>
      <c r="F324" s="3">
        <v>105.6</v>
      </c>
      <c r="G324" s="3">
        <v>-8.81</v>
      </c>
      <c r="H324" s="3">
        <v>-8.94</v>
      </c>
      <c r="I324" s="3">
        <v>-3.0779999999999998</v>
      </c>
      <c r="L324" s="3">
        <v>-8.5000000000000006E-2</v>
      </c>
      <c r="M324" s="3">
        <v>0.91900000000000004</v>
      </c>
      <c r="N324" s="3">
        <v>2.056</v>
      </c>
      <c r="Q324" s="3"/>
      <c r="R324" s="3">
        <v>-6.1859999999999999</v>
      </c>
      <c r="S324" s="3">
        <v>1217</v>
      </c>
      <c r="T324" s="3">
        <v>107.7</v>
      </c>
      <c r="U324" s="3">
        <v>1958</v>
      </c>
      <c r="V324" s="3">
        <v>-5.4580000000000002</v>
      </c>
      <c r="W324" s="3">
        <v>-4.7009999999999996</v>
      </c>
      <c r="X324" s="3">
        <v>-1.4750000000000001</v>
      </c>
      <c r="Y324" s="3"/>
      <c r="AA324" s="3">
        <v>3.4000000000000002E-2</v>
      </c>
      <c r="AB324" s="3">
        <v>1.0369999999999999</v>
      </c>
      <c r="AC324" s="3">
        <v>2.1800000000000002</v>
      </c>
      <c r="AD324" s="3">
        <v>3.4529999999999998</v>
      </c>
      <c r="AE324" s="3">
        <v>1423</v>
      </c>
      <c r="AF324" s="3">
        <v>-14.96</v>
      </c>
      <c r="AG324" s="3">
        <v>2335</v>
      </c>
      <c r="AH324" s="3">
        <v>102</v>
      </c>
      <c r="AI324" s="3">
        <v>2322</v>
      </c>
      <c r="AJ324" s="3">
        <v>-16.13</v>
      </c>
      <c r="AK324" s="3">
        <v>-16.559999999999999</v>
      </c>
      <c r="AL324" s="3">
        <v>-6.6740000000000004</v>
      </c>
      <c r="AO324" s="3">
        <v>-0.34699999999999998</v>
      </c>
      <c r="AP324" s="3">
        <v>0.66600000000000004</v>
      </c>
      <c r="AQ324" s="3">
        <v>1.8080000000000001</v>
      </c>
      <c r="AR324" s="3"/>
      <c r="AS324" s="3"/>
      <c r="AT324" s="3"/>
      <c r="AU324" s="3"/>
      <c r="AV324" s="3"/>
      <c r="AW324" s="3"/>
      <c r="AX324" s="3"/>
      <c r="AY324" s="3"/>
      <c r="AZ324" s="3">
        <v>-8.61</v>
      </c>
      <c r="BA324" s="3">
        <v>3343</v>
      </c>
      <c r="BB324" s="3">
        <v>12.76</v>
      </c>
      <c r="BC324" s="3">
        <v>2876</v>
      </c>
      <c r="BD324" s="3">
        <v>3343</v>
      </c>
      <c r="BE324" s="3">
        <v>3342</v>
      </c>
      <c r="BF324" s="1">
        <f t="shared" si="198"/>
        <v>150</v>
      </c>
      <c r="BG324" s="3">
        <v>-8.41</v>
      </c>
      <c r="BH324" s="3">
        <v>-5.2759999999999998</v>
      </c>
      <c r="BI324" s="3">
        <v>-5.2270000000000003</v>
      </c>
      <c r="BJ324" s="3">
        <v>-15.98</v>
      </c>
      <c r="BK324" s="3">
        <v>-16.3</v>
      </c>
      <c r="BM324" s="17">
        <v>6.59</v>
      </c>
      <c r="BN324" s="17">
        <f t="shared" si="154"/>
        <v>13.3118</v>
      </c>
      <c r="BO324" s="18">
        <f t="shared" si="193"/>
        <v>2.11</v>
      </c>
      <c r="BP324" s="18">
        <f t="shared" si="194"/>
        <v>4.55</v>
      </c>
      <c r="BR324" s="1">
        <f t="shared" si="195"/>
        <v>95.5</v>
      </c>
      <c r="BS324" s="1">
        <f t="shared" si="196"/>
        <v>92.2</v>
      </c>
      <c r="BT324" s="1">
        <f t="shared" si="197"/>
        <v>86.5</v>
      </c>
      <c r="BU324" s="60">
        <f t="shared" si="192"/>
        <v>0.33300000000000002</v>
      </c>
      <c r="BV324" s="60">
        <f t="shared" si="153"/>
        <v>5.1999999999999998E-2</v>
      </c>
      <c r="CB324" s="17">
        <f t="shared" si="169"/>
        <v>2.11</v>
      </c>
      <c r="CC324" s="17">
        <f t="shared" si="170"/>
        <v>4.55</v>
      </c>
      <c r="CD324" s="3">
        <f t="shared" si="155"/>
        <v>-8.6</v>
      </c>
      <c r="CE324" s="3">
        <f t="shared" si="171"/>
        <v>-8.8000000000000007</v>
      </c>
      <c r="CF324" s="3">
        <f t="shared" si="172"/>
        <v>-8.9</v>
      </c>
      <c r="CG324" s="3">
        <f t="shared" si="173"/>
        <v>-3.1</v>
      </c>
      <c r="CH324" s="3">
        <f t="shared" si="174"/>
        <v>-0.1</v>
      </c>
      <c r="CI324" s="3">
        <f t="shared" si="175"/>
        <v>0.9</v>
      </c>
      <c r="CJ324" s="3">
        <f t="shared" si="176"/>
        <v>2.1</v>
      </c>
      <c r="CK324" s="27">
        <f t="shared" si="177"/>
        <v>92.2</v>
      </c>
      <c r="CL324" s="1">
        <f t="shared" si="156"/>
        <v>-6.2</v>
      </c>
      <c r="CM324" s="1">
        <f t="shared" si="178"/>
        <v>-5.5</v>
      </c>
      <c r="CN324" s="1">
        <f t="shared" si="179"/>
        <v>-4.7</v>
      </c>
      <c r="CO324" s="1">
        <f t="shared" si="180"/>
        <v>-1.5</v>
      </c>
      <c r="CP324" s="1">
        <f t="shared" si="181"/>
        <v>0</v>
      </c>
      <c r="CQ324" s="1">
        <f t="shared" si="182"/>
        <v>1</v>
      </c>
      <c r="CR324" s="1">
        <f t="shared" si="183"/>
        <v>2.2000000000000002</v>
      </c>
      <c r="CS324" s="2">
        <f t="shared" si="184"/>
        <v>95.5</v>
      </c>
      <c r="CT324" s="1">
        <f t="shared" si="157"/>
        <v>-15</v>
      </c>
      <c r="CU324" s="1">
        <f t="shared" si="185"/>
        <v>-16.100000000000001</v>
      </c>
      <c r="CV324" s="1">
        <f t="shared" si="186"/>
        <v>-16.600000000000001</v>
      </c>
      <c r="CW324" s="1">
        <f t="shared" si="187"/>
        <v>-6.7</v>
      </c>
      <c r="CX324" s="1">
        <f t="shared" si="188"/>
        <v>-0.3</v>
      </c>
      <c r="CY324" s="1">
        <f t="shared" si="189"/>
        <v>0.7</v>
      </c>
      <c r="CZ324" s="1">
        <f t="shared" si="190"/>
        <v>1.8</v>
      </c>
      <c r="DA324" s="2">
        <f t="shared" si="158"/>
        <v>86.5</v>
      </c>
      <c r="DB324" s="20">
        <f t="shared" si="159"/>
        <v>150</v>
      </c>
      <c r="DC324" s="1">
        <f>ROUND(PPTest!K324,1)</f>
        <v>0</v>
      </c>
      <c r="DD324" s="17" t="s">
        <v>218</v>
      </c>
      <c r="DE324" s="3">
        <f t="shared" si="191"/>
        <v>3.45</v>
      </c>
      <c r="DF324" s="24">
        <f t="shared" si="160"/>
        <v>0.33300000000000002</v>
      </c>
      <c r="DG324" s="24">
        <f t="shared" si="161"/>
        <v>5.1999999999999998E-2</v>
      </c>
      <c r="DH324" s="17">
        <f t="shared" si="163"/>
        <v>12.76</v>
      </c>
    </row>
    <row r="325" spans="1:112" x14ac:dyDescent="0.2">
      <c r="A325" s="15">
        <f t="shared" si="162"/>
        <v>36844</v>
      </c>
      <c r="B325" s="1">
        <v>319</v>
      </c>
      <c r="C325" s="3">
        <v>3.12</v>
      </c>
      <c r="D325" s="3">
        <v>5.944</v>
      </c>
      <c r="E325" s="3">
        <v>-10.25</v>
      </c>
      <c r="F325" s="3">
        <v>105.6</v>
      </c>
      <c r="G325" s="3">
        <v>-10.36</v>
      </c>
      <c r="H325" s="3">
        <v>-10.199999999999999</v>
      </c>
      <c r="I325" s="3">
        <v>-3.6259999999999999</v>
      </c>
      <c r="L325" s="3">
        <v>-0.124</v>
      </c>
      <c r="M325" s="3">
        <v>0.90400000000000003</v>
      </c>
      <c r="N325" s="3">
        <v>2.0550000000000002</v>
      </c>
      <c r="Q325" s="3"/>
      <c r="R325" s="3">
        <v>-7.42</v>
      </c>
      <c r="S325" s="3">
        <v>1418</v>
      </c>
      <c r="T325" s="3">
        <v>107.2</v>
      </c>
      <c r="U325" s="3">
        <v>1558</v>
      </c>
      <c r="V325" s="3">
        <v>-7.11</v>
      </c>
      <c r="W325" s="3">
        <v>-6.056</v>
      </c>
      <c r="X325" s="3">
        <v>-1.712</v>
      </c>
      <c r="Y325" s="3"/>
      <c r="AA325" s="3">
        <v>0.107</v>
      </c>
      <c r="AB325" s="3">
        <v>1.1180000000000001</v>
      </c>
      <c r="AC325" s="3">
        <v>2.2629999999999999</v>
      </c>
      <c r="AD325" s="3">
        <v>2.7349999999999999</v>
      </c>
      <c r="AE325" s="3">
        <v>1556</v>
      </c>
      <c r="AF325" s="3">
        <v>-15.63</v>
      </c>
      <c r="AG325" s="3">
        <v>142</v>
      </c>
      <c r="AH325" s="3">
        <v>101.7</v>
      </c>
      <c r="AI325" s="3">
        <v>246</v>
      </c>
      <c r="AJ325" s="3">
        <v>-16.829999999999998</v>
      </c>
      <c r="AK325" s="3">
        <v>-17.260000000000002</v>
      </c>
      <c r="AL325" s="3">
        <v>-7.34</v>
      </c>
      <c r="AO325" s="3">
        <v>-0.254</v>
      </c>
      <c r="AP325" s="3">
        <v>0.76700000000000002</v>
      </c>
      <c r="AQ325" s="3">
        <v>1.92</v>
      </c>
      <c r="AR325" s="3"/>
      <c r="AS325" s="3"/>
      <c r="AT325" s="3"/>
      <c r="AU325" s="3"/>
      <c r="AV325" s="3"/>
      <c r="AW325" s="3"/>
      <c r="AX325" s="3"/>
      <c r="AY325" s="3"/>
      <c r="AZ325" s="3">
        <v>-10.42</v>
      </c>
      <c r="BA325" s="3">
        <v>3349</v>
      </c>
      <c r="BB325" s="3">
        <v>12.76</v>
      </c>
      <c r="BC325" s="3">
        <v>2876</v>
      </c>
      <c r="BD325" s="3">
        <v>3349</v>
      </c>
      <c r="BE325" s="3">
        <v>3348</v>
      </c>
      <c r="BF325" s="1">
        <f t="shared" si="198"/>
        <v>144</v>
      </c>
      <c r="BG325" s="3">
        <v>-10.49</v>
      </c>
      <c r="BH325" s="3">
        <v>-6.2450000000000001</v>
      </c>
      <c r="BI325" s="3">
        <v>-6.2880000000000003</v>
      </c>
      <c r="BJ325" s="3">
        <v>-16.93</v>
      </c>
      <c r="BK325" s="3">
        <v>-17.16</v>
      </c>
      <c r="BM325" s="17">
        <v>6.47</v>
      </c>
      <c r="BN325" s="17">
        <f t="shared" si="154"/>
        <v>13.0694</v>
      </c>
      <c r="BO325" s="18">
        <f t="shared" si="193"/>
        <v>3.06</v>
      </c>
      <c r="BP325" s="18">
        <f t="shared" si="194"/>
        <v>6.54</v>
      </c>
      <c r="BR325" s="1">
        <f t="shared" si="195"/>
        <v>94.7</v>
      </c>
      <c r="BS325" s="1">
        <f t="shared" si="196"/>
        <v>92.2</v>
      </c>
      <c r="BT325" s="1">
        <f t="shared" si="197"/>
        <v>86</v>
      </c>
      <c r="BU325" s="60">
        <f t="shared" si="192"/>
        <v>0.30099999999999999</v>
      </c>
      <c r="BV325" s="60">
        <f t="shared" ref="BV325:BV372" si="199">ROUND((100-BT325)*BU325/BT325,3)</f>
        <v>4.9000000000000002E-2</v>
      </c>
      <c r="CB325" s="17">
        <f t="shared" si="169"/>
        <v>3.06</v>
      </c>
      <c r="CC325" s="17">
        <f t="shared" si="170"/>
        <v>6.54</v>
      </c>
      <c r="CD325" s="3">
        <f t="shared" si="155"/>
        <v>-10.3</v>
      </c>
      <c r="CE325" s="3">
        <f t="shared" si="171"/>
        <v>-10.4</v>
      </c>
      <c r="CF325" s="3">
        <f t="shared" si="172"/>
        <v>-10.199999999999999</v>
      </c>
      <c r="CG325" s="3">
        <f t="shared" si="173"/>
        <v>-3.6</v>
      </c>
      <c r="CH325" s="3">
        <f t="shared" si="174"/>
        <v>-0.1</v>
      </c>
      <c r="CI325" s="3">
        <f t="shared" si="175"/>
        <v>0.9</v>
      </c>
      <c r="CJ325" s="3">
        <f t="shared" si="176"/>
        <v>2.1</v>
      </c>
      <c r="CK325" s="27">
        <f t="shared" si="177"/>
        <v>92.2</v>
      </c>
      <c r="CL325" s="1">
        <f t="shared" si="156"/>
        <v>-7.4</v>
      </c>
      <c r="CM325" s="1">
        <f t="shared" si="178"/>
        <v>-7.1</v>
      </c>
      <c r="CN325" s="1">
        <f t="shared" si="179"/>
        <v>-6.1</v>
      </c>
      <c r="CO325" s="1">
        <f t="shared" si="180"/>
        <v>-1.7</v>
      </c>
      <c r="CP325" s="1">
        <f t="shared" si="181"/>
        <v>0.1</v>
      </c>
      <c r="CQ325" s="1">
        <f t="shared" si="182"/>
        <v>1.1000000000000001</v>
      </c>
      <c r="CR325" s="1">
        <f t="shared" si="183"/>
        <v>2.2999999999999998</v>
      </c>
      <c r="CS325" s="2">
        <f t="shared" si="184"/>
        <v>94.7</v>
      </c>
      <c r="CT325" s="1">
        <f t="shared" si="157"/>
        <v>-15.6</v>
      </c>
      <c r="CU325" s="1">
        <f t="shared" si="185"/>
        <v>-16.8</v>
      </c>
      <c r="CV325" s="1">
        <f t="shared" si="186"/>
        <v>-17.3</v>
      </c>
      <c r="CW325" s="1">
        <f t="shared" si="187"/>
        <v>-7.3</v>
      </c>
      <c r="CX325" s="1">
        <f t="shared" si="188"/>
        <v>-0.3</v>
      </c>
      <c r="CY325" s="1">
        <f t="shared" si="189"/>
        <v>0.8</v>
      </c>
      <c r="CZ325" s="1">
        <f t="shared" si="190"/>
        <v>1.9</v>
      </c>
      <c r="DA325" s="2">
        <f t="shared" si="158"/>
        <v>86</v>
      </c>
      <c r="DB325" s="20">
        <f t="shared" si="159"/>
        <v>144</v>
      </c>
      <c r="DC325" s="1">
        <f>ROUND(PPTest!K325,1)</f>
        <v>0</v>
      </c>
      <c r="DD325" s="17" t="s">
        <v>218</v>
      </c>
      <c r="DE325" s="3">
        <f t="shared" si="191"/>
        <v>2.74</v>
      </c>
      <c r="DF325" s="24">
        <f t="shared" si="160"/>
        <v>0.30099999999999999</v>
      </c>
      <c r="DG325" s="24">
        <f t="shared" si="161"/>
        <v>4.9000000000000002E-2</v>
      </c>
      <c r="DH325" s="17">
        <f t="shared" si="163"/>
        <v>12.76</v>
      </c>
    </row>
    <row r="326" spans="1:112" x14ac:dyDescent="0.2">
      <c r="A326" s="15">
        <f t="shared" si="162"/>
        <v>36845</v>
      </c>
      <c r="B326" s="1">
        <v>320</v>
      </c>
      <c r="C326" s="3">
        <v>1.075</v>
      </c>
      <c r="D326" s="3">
        <v>2.0550000000000002</v>
      </c>
      <c r="E326" s="3">
        <v>-8.64</v>
      </c>
      <c r="F326" s="3">
        <v>106.4</v>
      </c>
      <c r="G326" s="3">
        <v>-8.74</v>
      </c>
      <c r="H326" s="3">
        <v>-8.59</v>
      </c>
      <c r="I326" s="3">
        <v>-2.39</v>
      </c>
      <c r="L326" s="3">
        <v>-0.20699999999999999</v>
      </c>
      <c r="M326" s="3">
        <v>0.81299999999999994</v>
      </c>
      <c r="N326" s="3">
        <v>1.982</v>
      </c>
      <c r="Q326" s="3"/>
      <c r="R326" s="3">
        <v>-8.06</v>
      </c>
      <c r="S326" s="3">
        <v>1146</v>
      </c>
      <c r="T326" s="3">
        <v>107</v>
      </c>
      <c r="U326" s="3">
        <v>554</v>
      </c>
      <c r="V326" s="3">
        <v>-8.0500000000000007</v>
      </c>
      <c r="W326" s="3">
        <v>-7.28</v>
      </c>
      <c r="X326" s="3">
        <v>-1.9750000000000001</v>
      </c>
      <c r="Y326" s="3"/>
      <c r="AA326" s="3">
        <v>-0.14599999999999999</v>
      </c>
      <c r="AB326" s="3">
        <v>0.875</v>
      </c>
      <c r="AC326" s="3">
        <v>2.04</v>
      </c>
      <c r="AD326" s="3">
        <v>1.83</v>
      </c>
      <c r="AE326" s="3">
        <v>458</v>
      </c>
      <c r="AF326" s="3">
        <v>-9.1300000000000008</v>
      </c>
      <c r="AG326" s="3">
        <v>2312</v>
      </c>
      <c r="AH326" s="3">
        <v>106</v>
      </c>
      <c r="AI326" s="3">
        <v>1217</v>
      </c>
      <c r="AJ326" s="3">
        <v>-9.3000000000000007</v>
      </c>
      <c r="AK326" s="3">
        <v>-9.2200000000000006</v>
      </c>
      <c r="AL326" s="3">
        <v>-2.84</v>
      </c>
      <c r="AO326" s="3">
        <v>-0.26800000000000002</v>
      </c>
      <c r="AP326" s="3">
        <v>0.751</v>
      </c>
      <c r="AQ326" s="3">
        <v>1.9239999999999999</v>
      </c>
      <c r="AR326" s="3"/>
      <c r="AS326" s="3"/>
      <c r="AT326" s="3"/>
      <c r="AU326" s="3"/>
      <c r="AV326" s="3"/>
      <c r="AW326" s="3"/>
      <c r="AX326" s="3"/>
      <c r="AY326" s="3"/>
      <c r="AZ326" s="3">
        <v>-8.4600000000000009</v>
      </c>
      <c r="BA326" s="3">
        <v>3351</v>
      </c>
      <c r="BB326" s="3">
        <v>12.76</v>
      </c>
      <c r="BC326" s="3">
        <v>2876</v>
      </c>
      <c r="BD326" s="3">
        <v>3351</v>
      </c>
      <c r="BE326" s="3">
        <v>3351</v>
      </c>
      <c r="BF326" s="1">
        <f t="shared" si="198"/>
        <v>142</v>
      </c>
      <c r="BG326" s="3">
        <v>-8.4</v>
      </c>
      <c r="BH326" s="3">
        <v>-7.64</v>
      </c>
      <c r="BI326" s="3">
        <v>-7.66</v>
      </c>
      <c r="BJ326" s="3">
        <v>-8.8800000000000008</v>
      </c>
      <c r="BK326" s="3">
        <v>-8.98</v>
      </c>
      <c r="BM326" s="17">
        <v>6.35</v>
      </c>
      <c r="BN326" s="17">
        <f t="shared" si="154"/>
        <v>12.827</v>
      </c>
      <c r="BO326" s="18">
        <f t="shared" si="193"/>
        <v>1.05</v>
      </c>
      <c r="BP326" s="18">
        <f t="shared" si="194"/>
        <v>2.2599999999999998</v>
      </c>
      <c r="BR326" s="1">
        <f t="shared" si="195"/>
        <v>94.4</v>
      </c>
      <c r="BS326" s="1">
        <f t="shared" si="196"/>
        <v>93.5</v>
      </c>
      <c r="BT326" s="1">
        <f t="shared" si="197"/>
        <v>92.8</v>
      </c>
      <c r="BU326" s="60">
        <f t="shared" si="192"/>
        <v>0.309</v>
      </c>
      <c r="BV326" s="60">
        <f t="shared" si="199"/>
        <v>2.4E-2</v>
      </c>
      <c r="CB326" s="17">
        <f t="shared" si="169"/>
        <v>1.05</v>
      </c>
      <c r="CC326" s="17">
        <f t="shared" si="170"/>
        <v>2.2599999999999998</v>
      </c>
      <c r="CD326" s="3">
        <f t="shared" si="155"/>
        <v>-8.6</v>
      </c>
      <c r="CE326" s="3">
        <f t="shared" si="171"/>
        <v>-8.6999999999999993</v>
      </c>
      <c r="CF326" s="3">
        <f t="shared" si="172"/>
        <v>-8.6</v>
      </c>
      <c r="CG326" s="3">
        <f t="shared" si="173"/>
        <v>-2.4</v>
      </c>
      <c r="CH326" s="3">
        <f t="shared" si="174"/>
        <v>-0.2</v>
      </c>
      <c r="CI326" s="3">
        <f t="shared" si="175"/>
        <v>0.8</v>
      </c>
      <c r="CJ326" s="3">
        <f t="shared" si="176"/>
        <v>2</v>
      </c>
      <c r="CK326" s="27">
        <f t="shared" si="177"/>
        <v>93.5</v>
      </c>
      <c r="CL326" s="1">
        <f t="shared" si="156"/>
        <v>-8.1</v>
      </c>
      <c r="CM326" s="1">
        <f t="shared" si="178"/>
        <v>-8.1</v>
      </c>
      <c r="CN326" s="1">
        <f t="shared" si="179"/>
        <v>-7.3</v>
      </c>
      <c r="CO326" s="1">
        <f t="shared" si="180"/>
        <v>-2</v>
      </c>
      <c r="CP326" s="1">
        <f t="shared" si="181"/>
        <v>-0.1</v>
      </c>
      <c r="CQ326" s="1">
        <f t="shared" si="182"/>
        <v>0.9</v>
      </c>
      <c r="CR326" s="1">
        <f t="shared" si="183"/>
        <v>2</v>
      </c>
      <c r="CS326" s="2">
        <f t="shared" si="184"/>
        <v>94.4</v>
      </c>
      <c r="CT326" s="1">
        <f t="shared" si="157"/>
        <v>-9.1</v>
      </c>
      <c r="CU326" s="1">
        <f t="shared" si="185"/>
        <v>-9.3000000000000007</v>
      </c>
      <c r="CV326" s="1">
        <f t="shared" si="186"/>
        <v>-9.1999999999999993</v>
      </c>
      <c r="CW326" s="1">
        <f t="shared" si="187"/>
        <v>-2.8</v>
      </c>
      <c r="CX326" s="1">
        <f t="shared" si="188"/>
        <v>-0.3</v>
      </c>
      <c r="CY326" s="1">
        <f t="shared" si="189"/>
        <v>0.8</v>
      </c>
      <c r="CZ326" s="1">
        <f t="shared" si="190"/>
        <v>1.9</v>
      </c>
      <c r="DA326" s="2">
        <f t="shared" si="158"/>
        <v>92.8</v>
      </c>
      <c r="DB326" s="20">
        <f t="shared" si="159"/>
        <v>142</v>
      </c>
      <c r="DC326" s="1">
        <f>ROUND(PPTest!K326,1)</f>
        <v>0</v>
      </c>
      <c r="DD326" s="17" t="s">
        <v>218</v>
      </c>
      <c r="DE326" s="3">
        <f t="shared" si="191"/>
        <v>1.83</v>
      </c>
      <c r="DF326" s="24">
        <f t="shared" si="160"/>
        <v>0.309</v>
      </c>
      <c r="DG326" s="24">
        <f t="shared" si="161"/>
        <v>2.4E-2</v>
      </c>
      <c r="DH326" s="17">
        <f t="shared" si="163"/>
        <v>12.76</v>
      </c>
    </row>
    <row r="327" spans="1:112" x14ac:dyDescent="0.2">
      <c r="A327" s="15">
        <f t="shared" si="162"/>
        <v>36846</v>
      </c>
      <c r="B327" s="1">
        <v>321</v>
      </c>
      <c r="C327" s="3">
        <v>0.624</v>
      </c>
      <c r="D327" s="3">
        <v>0.97499999999999998</v>
      </c>
      <c r="E327" s="3">
        <v>-9.25</v>
      </c>
      <c r="F327" s="3">
        <v>106</v>
      </c>
      <c r="G327" s="3">
        <v>-9.39</v>
      </c>
      <c r="H327" s="3">
        <v>-9.25</v>
      </c>
      <c r="I327" s="3">
        <v>-2.5169999999999999</v>
      </c>
      <c r="L327" s="3">
        <v>-0.26900000000000002</v>
      </c>
      <c r="M327" s="3">
        <v>0.75900000000000001</v>
      </c>
      <c r="N327" s="3">
        <v>1.94</v>
      </c>
      <c r="Q327" s="3"/>
      <c r="R327" s="3">
        <v>-8.8699999999999992</v>
      </c>
      <c r="S327" s="3">
        <v>1057</v>
      </c>
      <c r="T327" s="3">
        <v>106.4</v>
      </c>
      <c r="U327" s="3">
        <v>128</v>
      </c>
      <c r="V327" s="3">
        <v>-8.8800000000000008</v>
      </c>
      <c r="W327" s="3">
        <v>-8.49</v>
      </c>
      <c r="X327" s="3">
        <v>-2.1110000000000002</v>
      </c>
      <c r="Y327" s="3"/>
      <c r="AA327" s="3">
        <v>-0.21199999999999999</v>
      </c>
      <c r="AB327" s="3">
        <v>0.81100000000000005</v>
      </c>
      <c r="AC327" s="3">
        <v>1.9950000000000001</v>
      </c>
      <c r="AD327" s="3">
        <v>2.3490000000000002</v>
      </c>
      <c r="AE327" s="3">
        <v>2134</v>
      </c>
      <c r="AF327" s="3">
        <v>-9.9</v>
      </c>
      <c r="AG327" s="3">
        <v>2354</v>
      </c>
      <c r="AH327" s="3">
        <v>105.6</v>
      </c>
      <c r="AI327" s="3">
        <v>2137</v>
      </c>
      <c r="AJ327" s="3">
        <v>-10.210000000000001</v>
      </c>
      <c r="AK327" s="3">
        <v>-10.09</v>
      </c>
      <c r="AL327" s="3">
        <v>-3.0310000000000001</v>
      </c>
      <c r="AO327" s="3">
        <v>-0.34200000000000003</v>
      </c>
      <c r="AP327" s="3">
        <v>0.70599999999999996</v>
      </c>
      <c r="AQ327" s="3">
        <v>1.893</v>
      </c>
      <c r="AR327" s="3"/>
      <c r="AS327" s="3"/>
      <c r="AT327" s="3"/>
      <c r="AU327" s="3"/>
      <c r="AV327" s="3"/>
      <c r="AW327" s="3"/>
      <c r="AX327" s="3"/>
      <c r="AY327" s="3"/>
      <c r="AZ327" s="3">
        <v>-9.1</v>
      </c>
      <c r="BA327" s="3">
        <v>3352</v>
      </c>
      <c r="BB327" s="3">
        <v>12.75</v>
      </c>
      <c r="BC327" s="3">
        <v>2876</v>
      </c>
      <c r="BD327" s="3">
        <v>3352</v>
      </c>
      <c r="BE327" s="3">
        <v>3351</v>
      </c>
      <c r="BF327" s="1">
        <f t="shared" si="198"/>
        <v>141</v>
      </c>
      <c r="BG327" s="3">
        <v>-9.02</v>
      </c>
      <c r="BH327" s="3">
        <v>-8.6</v>
      </c>
      <c r="BI327" s="3">
        <v>-8.6300000000000008</v>
      </c>
      <c r="BJ327" s="3">
        <v>-9.67</v>
      </c>
      <c r="BK327" s="3">
        <v>-9.7799999999999994</v>
      </c>
      <c r="BM327" s="17">
        <v>6.24</v>
      </c>
      <c r="BN327" s="17">
        <f t="shared" ref="BN327:BN372" si="200">BM327*$BN$1</f>
        <v>12.604800000000001</v>
      </c>
      <c r="BO327" s="18">
        <f t="shared" si="193"/>
        <v>0.61</v>
      </c>
      <c r="BP327" s="18">
        <f t="shared" si="194"/>
        <v>1.07</v>
      </c>
      <c r="BR327" s="1">
        <f t="shared" si="195"/>
        <v>93.5</v>
      </c>
      <c r="BS327" s="1">
        <f t="shared" si="196"/>
        <v>92.8</v>
      </c>
      <c r="BT327" s="1">
        <f t="shared" si="197"/>
        <v>92.2</v>
      </c>
      <c r="BU327" s="60">
        <f t="shared" si="192"/>
        <v>0.28799999999999998</v>
      </c>
      <c r="BV327" s="60">
        <f t="shared" si="199"/>
        <v>2.4E-2</v>
      </c>
      <c r="CB327" s="17">
        <f t="shared" si="169"/>
        <v>0.61</v>
      </c>
      <c r="CC327" s="17">
        <f t="shared" si="170"/>
        <v>1.07</v>
      </c>
      <c r="CD327" s="3">
        <f t="shared" si="155"/>
        <v>-9.3000000000000007</v>
      </c>
      <c r="CE327" s="3">
        <f t="shared" si="171"/>
        <v>-9.4</v>
      </c>
      <c r="CF327" s="3">
        <f t="shared" si="172"/>
        <v>-9.3000000000000007</v>
      </c>
      <c r="CG327" s="3">
        <f t="shared" si="173"/>
        <v>-2.5</v>
      </c>
      <c r="CH327" s="3">
        <f t="shared" si="174"/>
        <v>-0.3</v>
      </c>
      <c r="CI327" s="3">
        <f t="shared" si="175"/>
        <v>0.8</v>
      </c>
      <c r="CJ327" s="3">
        <f t="shared" si="176"/>
        <v>1.9</v>
      </c>
      <c r="CK327" s="27">
        <f t="shared" si="177"/>
        <v>92.8</v>
      </c>
      <c r="CL327" s="1">
        <f t="shared" si="156"/>
        <v>-8.9</v>
      </c>
      <c r="CM327" s="1">
        <f t="shared" si="178"/>
        <v>-8.9</v>
      </c>
      <c r="CN327" s="1">
        <f t="shared" si="179"/>
        <v>-8.5</v>
      </c>
      <c r="CO327" s="1">
        <f t="shared" si="180"/>
        <v>-2.1</v>
      </c>
      <c r="CP327" s="1">
        <f t="shared" si="181"/>
        <v>-0.2</v>
      </c>
      <c r="CQ327" s="1">
        <f t="shared" si="182"/>
        <v>0.8</v>
      </c>
      <c r="CR327" s="1">
        <f t="shared" si="183"/>
        <v>2</v>
      </c>
      <c r="CS327" s="2">
        <f t="shared" si="184"/>
        <v>93.5</v>
      </c>
      <c r="CT327" s="1">
        <f t="shared" si="157"/>
        <v>-9.9</v>
      </c>
      <c r="CU327" s="1">
        <f t="shared" si="185"/>
        <v>-10.199999999999999</v>
      </c>
      <c r="CV327" s="1">
        <f t="shared" si="186"/>
        <v>-10.1</v>
      </c>
      <c r="CW327" s="1">
        <f t="shared" si="187"/>
        <v>-3</v>
      </c>
      <c r="CX327" s="1">
        <f t="shared" si="188"/>
        <v>-0.3</v>
      </c>
      <c r="CY327" s="1">
        <f t="shared" si="189"/>
        <v>0.7</v>
      </c>
      <c r="CZ327" s="1">
        <f t="shared" si="190"/>
        <v>1.9</v>
      </c>
      <c r="DA327" s="2">
        <f t="shared" si="158"/>
        <v>92.2</v>
      </c>
      <c r="DB327" s="20">
        <f t="shared" si="159"/>
        <v>141</v>
      </c>
      <c r="DC327" s="1">
        <f>ROUND(PPTest!K327,1)</f>
        <v>0</v>
      </c>
      <c r="DD327" s="17" t="s">
        <v>218</v>
      </c>
      <c r="DE327" s="3">
        <f t="shared" si="191"/>
        <v>2.35</v>
      </c>
      <c r="DF327" s="24">
        <f t="shared" si="160"/>
        <v>0.28799999999999998</v>
      </c>
      <c r="DG327" s="24">
        <f t="shared" si="161"/>
        <v>2.4E-2</v>
      </c>
      <c r="DH327" s="17">
        <f t="shared" si="163"/>
        <v>12.75</v>
      </c>
    </row>
    <row r="328" spans="1:112" x14ac:dyDescent="0.2">
      <c r="A328" s="15">
        <f t="shared" si="162"/>
        <v>36847</v>
      </c>
      <c r="B328" s="1">
        <v>322</v>
      </c>
      <c r="C328" s="3">
        <v>2.1659999999999999</v>
      </c>
      <c r="D328" s="3">
        <v>2.9489999999999998</v>
      </c>
      <c r="E328" s="3">
        <v>-8.93</v>
      </c>
      <c r="F328" s="3">
        <v>106</v>
      </c>
      <c r="G328" s="3">
        <v>-9.07</v>
      </c>
      <c r="H328" s="3">
        <v>-8.6999999999999993</v>
      </c>
      <c r="I328" s="3">
        <v>-2.577</v>
      </c>
      <c r="L328" s="3">
        <v>-0.312</v>
      </c>
      <c r="M328" s="3">
        <v>0.71899999999999997</v>
      </c>
      <c r="N328" s="3">
        <v>1.909</v>
      </c>
      <c r="Q328" s="3"/>
      <c r="R328" s="3">
        <v>-7.58</v>
      </c>
      <c r="S328" s="3">
        <v>2008</v>
      </c>
      <c r="T328" s="3">
        <v>106.8</v>
      </c>
      <c r="U328" s="3">
        <v>2003</v>
      </c>
      <c r="V328" s="3">
        <v>-7.49</v>
      </c>
      <c r="W328" s="3">
        <v>-5.2350000000000003</v>
      </c>
      <c r="X328" s="3">
        <v>-1.984</v>
      </c>
      <c r="Y328" s="3"/>
      <c r="AA328" s="3">
        <v>-0.218</v>
      </c>
      <c r="AB328" s="3">
        <v>0.81499999999999995</v>
      </c>
      <c r="AC328" s="3">
        <v>2.0169999999999999</v>
      </c>
      <c r="AD328" s="3">
        <v>2.4820000000000002</v>
      </c>
      <c r="AE328" s="3">
        <v>2357</v>
      </c>
      <c r="AF328" s="3">
        <v>-10.26</v>
      </c>
      <c r="AG328" s="3">
        <v>706</v>
      </c>
      <c r="AH328" s="3">
        <v>104.6</v>
      </c>
      <c r="AI328" s="3">
        <v>1054</v>
      </c>
      <c r="AJ328" s="3">
        <v>-10.84</v>
      </c>
      <c r="AK328" s="3">
        <v>-10.57</v>
      </c>
      <c r="AL328" s="3">
        <v>-3.6339999999999999</v>
      </c>
      <c r="AO328" s="3">
        <v>-0.38200000000000001</v>
      </c>
      <c r="AP328" s="3">
        <v>0.64600000000000002</v>
      </c>
      <c r="AQ328" s="3">
        <v>1.84</v>
      </c>
      <c r="AR328" s="3"/>
      <c r="AS328" s="3"/>
      <c r="AT328" s="3"/>
      <c r="AU328" s="3"/>
      <c r="AV328" s="3"/>
      <c r="AW328" s="3"/>
      <c r="AX328" s="3"/>
      <c r="AY328" s="3"/>
      <c r="AZ328" s="3">
        <v>-8.66</v>
      </c>
      <c r="BA328" s="3">
        <v>3336</v>
      </c>
      <c r="BB328" s="3">
        <v>12.76</v>
      </c>
      <c r="BC328" s="3">
        <v>2876</v>
      </c>
      <c r="BD328" s="3">
        <v>3336</v>
      </c>
      <c r="BE328" s="3">
        <v>3335</v>
      </c>
      <c r="BF328" s="1">
        <f t="shared" si="198"/>
        <v>157</v>
      </c>
      <c r="BG328" s="3">
        <v>-8.6199999999999992</v>
      </c>
      <c r="BH328" s="3">
        <v>-7.11</v>
      </c>
      <c r="BI328" s="3">
        <v>-7.16</v>
      </c>
      <c r="BJ328" s="3">
        <v>-10.050000000000001</v>
      </c>
      <c r="BK328" s="3">
        <v>-10.16</v>
      </c>
      <c r="BM328" s="17">
        <v>6.13</v>
      </c>
      <c r="BN328" s="17">
        <f t="shared" si="200"/>
        <v>12.3826</v>
      </c>
      <c r="BO328" s="18">
        <f t="shared" si="193"/>
        <v>2.12</v>
      </c>
      <c r="BP328" s="18">
        <f t="shared" si="194"/>
        <v>3.24</v>
      </c>
      <c r="BR328" s="1">
        <f t="shared" si="195"/>
        <v>94.1</v>
      </c>
      <c r="BS328" s="1">
        <f t="shared" si="196"/>
        <v>92.8</v>
      </c>
      <c r="BT328" s="1">
        <f t="shared" si="197"/>
        <v>90.6</v>
      </c>
      <c r="BU328" s="60">
        <f t="shared" si="192"/>
        <v>0.313</v>
      </c>
      <c r="BV328" s="60">
        <f t="shared" si="199"/>
        <v>3.2000000000000001E-2</v>
      </c>
      <c r="CB328" s="17">
        <f t="shared" ref="CB328:CB371" si="201">BO328</f>
        <v>2.12</v>
      </c>
      <c r="CC328" s="17">
        <f t="shared" ref="CC328:CC371" si="202">BP328</f>
        <v>3.24</v>
      </c>
      <c r="CD328" s="3">
        <f t="shared" ref="CD328:CD371" si="203">ROUND(E328,1)</f>
        <v>-8.9</v>
      </c>
      <c r="CE328" s="3">
        <f t="shared" ref="CE328:CE371" si="204">ROUND(G328,1)</f>
        <v>-9.1</v>
      </c>
      <c r="CF328" s="3">
        <f t="shared" ref="CF328:CF344" si="205">ROUND(H328,1)</f>
        <v>-8.6999999999999993</v>
      </c>
      <c r="CG328" s="3">
        <f t="shared" ref="CG328:CG371" si="206">ROUND(I328,1)</f>
        <v>-2.6</v>
      </c>
      <c r="CH328" s="3">
        <f t="shared" ref="CH328:CH371" si="207">ROUND(L328,1)</f>
        <v>-0.3</v>
      </c>
      <c r="CI328" s="3">
        <f t="shared" ref="CI328:CI371" si="208">ROUND(M328,1)</f>
        <v>0.7</v>
      </c>
      <c r="CJ328" s="3">
        <f t="shared" ref="CJ328:CJ371" si="209">ROUND(N328,1)</f>
        <v>1.9</v>
      </c>
      <c r="CK328" s="27">
        <f t="shared" ref="CK328:CK371" si="210">ROUND(BS328,1)</f>
        <v>92.8</v>
      </c>
      <c r="CL328" s="1">
        <f t="shared" ref="CL328:CL371" si="211">ROUND(R328,1)</f>
        <v>-7.6</v>
      </c>
      <c r="CM328" s="1">
        <f t="shared" ref="CM328:CM371" si="212">ROUND(V328,1)</f>
        <v>-7.5</v>
      </c>
      <c r="CN328" s="1">
        <f t="shared" ref="CN328:CN344" si="213">ROUND(W328,1)</f>
        <v>-5.2</v>
      </c>
      <c r="CO328" s="1">
        <f t="shared" ref="CO328:CO371" si="214">ROUND(X328,1)</f>
        <v>-2</v>
      </c>
      <c r="CP328" s="1">
        <f t="shared" ref="CP328:CP371" si="215">ROUND(AA328,1)</f>
        <v>-0.2</v>
      </c>
      <c r="CQ328" s="1">
        <f t="shared" ref="CQ328:CQ371" si="216">ROUND(AB328,1)</f>
        <v>0.8</v>
      </c>
      <c r="CR328" s="1">
        <f t="shared" ref="CR328:CR371" si="217">ROUND(AC328,1)</f>
        <v>2</v>
      </c>
      <c r="CS328" s="2">
        <f t="shared" ref="CS328:CS371" si="218">ROUND(BR328,1)</f>
        <v>94.1</v>
      </c>
      <c r="CT328" s="1">
        <f t="shared" ref="CT328:CT371" si="219">ROUND(AF328,1)</f>
        <v>-10.3</v>
      </c>
      <c r="CU328" s="1">
        <f t="shared" ref="CU328:CU371" si="220">ROUND(AJ328,1)</f>
        <v>-10.8</v>
      </c>
      <c r="CV328" s="1">
        <f t="shared" ref="CV328:CV344" si="221">ROUND(AK328,1)</f>
        <v>-10.6</v>
      </c>
      <c r="CW328" s="1">
        <f t="shared" ref="CW328:CW371" si="222">ROUND(AL328,1)</f>
        <v>-3.6</v>
      </c>
      <c r="CX328" s="1">
        <f t="shared" ref="CX328:CX371" si="223">ROUND(AO328,1)</f>
        <v>-0.4</v>
      </c>
      <c r="CY328" s="1">
        <f t="shared" ref="CY328:CY371" si="224">ROUND(AP328,1)</f>
        <v>0.6</v>
      </c>
      <c r="CZ328" s="1">
        <f t="shared" ref="CZ328:CZ371" si="225">ROUND(AQ328,1)</f>
        <v>1.8</v>
      </c>
      <c r="DA328" s="2">
        <f t="shared" ref="DA328:DA371" si="226">ROUND(BT328,1)</f>
        <v>90.6</v>
      </c>
      <c r="DB328" s="20">
        <f t="shared" ref="DB328:DB371" si="227">BF328</f>
        <v>157</v>
      </c>
      <c r="DC328" s="1">
        <f>ROUND(PPTest!K328,1)</f>
        <v>2.1</v>
      </c>
      <c r="DD328" s="17" t="s">
        <v>218</v>
      </c>
      <c r="DE328" s="3">
        <f t="shared" ref="DE328:DE371" si="228">ROUND(AD328,2)</f>
        <v>2.48</v>
      </c>
      <c r="DF328" s="24">
        <f t="shared" ref="DF328:DF371" si="229">BU328</f>
        <v>0.313</v>
      </c>
      <c r="DG328" s="24">
        <f t="shared" ref="DG328:DG371" si="230">BV328</f>
        <v>3.2000000000000001E-2</v>
      </c>
      <c r="DH328" s="17">
        <f t="shared" ref="DH328:DH371" si="231">BB328</f>
        <v>12.76</v>
      </c>
    </row>
    <row r="329" spans="1:112" x14ac:dyDescent="0.2">
      <c r="A329" s="15">
        <f t="shared" ref="A329:A372" si="232">A328+1</f>
        <v>36848</v>
      </c>
      <c r="B329" s="1">
        <v>323</v>
      </c>
      <c r="C329" s="3">
        <v>1.532</v>
      </c>
      <c r="D329" s="3">
        <v>2.464</v>
      </c>
      <c r="E329" s="3">
        <v>-6.3789999999999996</v>
      </c>
      <c r="F329" s="3">
        <v>107</v>
      </c>
      <c r="G329" s="3">
        <v>-6.6050000000000004</v>
      </c>
      <c r="H329" s="3">
        <v>-6.5069999999999997</v>
      </c>
      <c r="I329" s="3">
        <v>-1.839</v>
      </c>
      <c r="L329" s="3">
        <v>-0.29099999999999998</v>
      </c>
      <c r="M329" s="3">
        <v>0.67700000000000005</v>
      </c>
      <c r="N329" s="3">
        <v>1.8740000000000001</v>
      </c>
      <c r="Q329" s="3"/>
      <c r="R329" s="3">
        <v>-0.77</v>
      </c>
      <c r="S329" s="3">
        <v>1331</v>
      </c>
      <c r="T329" s="3">
        <v>108.1</v>
      </c>
      <c r="U329" s="3">
        <v>1601</v>
      </c>
      <c r="V329" s="3">
        <v>-0.86499999999999999</v>
      </c>
      <c r="W329" s="3">
        <v>0.94099999999999995</v>
      </c>
      <c r="X329" s="3">
        <v>-0.6</v>
      </c>
      <c r="Y329" s="3"/>
      <c r="AA329" s="3">
        <v>1.7000000000000001E-2</v>
      </c>
      <c r="AB329" s="3">
        <v>0.96799999999999997</v>
      </c>
      <c r="AC329" s="3">
        <v>2.16</v>
      </c>
      <c r="AD329" s="3">
        <v>2.7610000000000001</v>
      </c>
      <c r="AE329" s="3">
        <v>246</v>
      </c>
      <c r="AF329" s="3">
        <v>-8.6</v>
      </c>
      <c r="AG329" s="3">
        <v>1837</v>
      </c>
      <c r="AH329" s="3">
        <v>105.5</v>
      </c>
      <c r="AI329" s="3">
        <v>948</v>
      </c>
      <c r="AJ329" s="3">
        <v>-9.99</v>
      </c>
      <c r="AK329" s="3">
        <v>-11.5</v>
      </c>
      <c r="AL329" s="3">
        <v>-2.9929999999999999</v>
      </c>
      <c r="AO329" s="3">
        <v>-0.64300000000000002</v>
      </c>
      <c r="AP329" s="3">
        <v>0.32800000000000001</v>
      </c>
      <c r="AQ329" s="3">
        <v>1.5309999999999999</v>
      </c>
      <c r="AR329" s="3"/>
      <c r="AS329" s="3"/>
      <c r="AT329" s="3"/>
      <c r="AU329" s="3"/>
      <c r="AV329" s="3"/>
      <c r="AW329" s="3"/>
      <c r="AX329" s="3"/>
      <c r="AY329" s="3"/>
      <c r="AZ329" s="3">
        <v>-6.4240000000000004</v>
      </c>
      <c r="BA329" s="3">
        <v>3336</v>
      </c>
      <c r="BB329" s="3">
        <v>12.77</v>
      </c>
      <c r="BC329" s="3">
        <v>2876</v>
      </c>
      <c r="BD329" s="3">
        <v>3336</v>
      </c>
      <c r="BE329" s="3">
        <v>3336</v>
      </c>
      <c r="BF329" s="1">
        <f t="shared" si="198"/>
        <v>157</v>
      </c>
      <c r="BG329" s="3">
        <v>-6.3789999999999996</v>
      </c>
      <c r="BH329" s="3">
        <v>-0.82499999999999996</v>
      </c>
      <c r="BI329" s="3">
        <v>-0.753</v>
      </c>
      <c r="BJ329" s="3">
        <v>-9.49</v>
      </c>
      <c r="BK329" s="3">
        <v>-9.68</v>
      </c>
      <c r="BM329" s="17">
        <v>6.02</v>
      </c>
      <c r="BN329" s="17">
        <f t="shared" si="200"/>
        <v>12.160399999999999</v>
      </c>
      <c r="BO329" s="18">
        <f t="shared" si="193"/>
        <v>1.5</v>
      </c>
      <c r="BP329" s="18">
        <f t="shared" si="194"/>
        <v>2.71</v>
      </c>
      <c r="BR329" s="1">
        <f t="shared" si="195"/>
        <v>96.2</v>
      </c>
      <c r="BS329" s="1">
        <f t="shared" si="196"/>
        <v>94.4</v>
      </c>
      <c r="BT329" s="1">
        <f t="shared" si="197"/>
        <v>92</v>
      </c>
      <c r="BU329" s="60">
        <f t="shared" si="192"/>
        <v>0.53100000000000003</v>
      </c>
      <c r="BV329" s="60">
        <f t="shared" si="199"/>
        <v>4.5999999999999999E-2</v>
      </c>
      <c r="CB329" s="17">
        <f t="shared" si="201"/>
        <v>1.5</v>
      </c>
      <c r="CC329" s="17">
        <f t="shared" si="202"/>
        <v>2.71</v>
      </c>
      <c r="CD329" s="3">
        <f t="shared" si="203"/>
        <v>-6.4</v>
      </c>
      <c r="CE329" s="3">
        <f t="shared" si="204"/>
        <v>-6.6</v>
      </c>
      <c r="CF329" s="3">
        <f t="shared" si="205"/>
        <v>-6.5</v>
      </c>
      <c r="CG329" s="3">
        <f t="shared" si="206"/>
        <v>-1.8</v>
      </c>
      <c r="CH329" s="3">
        <f t="shared" si="207"/>
        <v>-0.3</v>
      </c>
      <c r="CI329" s="3">
        <f t="shared" si="208"/>
        <v>0.7</v>
      </c>
      <c r="CJ329" s="3">
        <f t="shared" si="209"/>
        <v>1.9</v>
      </c>
      <c r="CK329" s="27">
        <f t="shared" si="210"/>
        <v>94.4</v>
      </c>
      <c r="CL329" s="1">
        <f t="shared" si="211"/>
        <v>-0.8</v>
      </c>
      <c r="CM329" s="1">
        <f t="shared" si="212"/>
        <v>-0.9</v>
      </c>
      <c r="CN329" s="1">
        <f t="shared" si="213"/>
        <v>0.9</v>
      </c>
      <c r="CO329" s="1">
        <f t="shared" si="214"/>
        <v>-0.6</v>
      </c>
      <c r="CP329" s="1">
        <f t="shared" si="215"/>
        <v>0</v>
      </c>
      <c r="CQ329" s="1">
        <f t="shared" si="216"/>
        <v>1</v>
      </c>
      <c r="CR329" s="1">
        <f t="shared" si="217"/>
        <v>2.2000000000000002</v>
      </c>
      <c r="CS329" s="2">
        <f t="shared" si="218"/>
        <v>96.2</v>
      </c>
      <c r="CT329" s="1">
        <f t="shared" si="219"/>
        <v>-8.6</v>
      </c>
      <c r="CU329" s="1">
        <f t="shared" si="220"/>
        <v>-10</v>
      </c>
      <c r="CV329" s="1">
        <f t="shared" si="221"/>
        <v>-11.5</v>
      </c>
      <c r="CW329" s="1">
        <f t="shared" si="222"/>
        <v>-3</v>
      </c>
      <c r="CX329" s="1">
        <f t="shared" si="223"/>
        <v>-0.6</v>
      </c>
      <c r="CY329" s="1">
        <f t="shared" si="224"/>
        <v>0.3</v>
      </c>
      <c r="CZ329" s="1">
        <f t="shared" si="225"/>
        <v>1.5</v>
      </c>
      <c r="DA329" s="2">
        <f t="shared" si="226"/>
        <v>92</v>
      </c>
      <c r="DB329" s="20">
        <f t="shared" si="227"/>
        <v>157</v>
      </c>
      <c r="DC329" s="1">
        <f>ROUND(PPTest!K329,1)</f>
        <v>0</v>
      </c>
      <c r="DD329" s="17" t="s">
        <v>218</v>
      </c>
      <c r="DE329" s="3">
        <f t="shared" si="228"/>
        <v>2.76</v>
      </c>
      <c r="DF329" s="24">
        <f t="shared" si="229"/>
        <v>0.53100000000000003</v>
      </c>
      <c r="DG329" s="24">
        <f t="shared" si="230"/>
        <v>4.5999999999999999E-2</v>
      </c>
      <c r="DH329" s="17">
        <f t="shared" si="231"/>
        <v>12.77</v>
      </c>
    </row>
    <row r="330" spans="1:112" x14ac:dyDescent="0.2">
      <c r="A330" s="15">
        <f t="shared" si="232"/>
        <v>36849</v>
      </c>
      <c r="B330" s="1">
        <v>324</v>
      </c>
      <c r="C330" s="3">
        <v>1.292</v>
      </c>
      <c r="D330" s="3">
        <v>1.9630000000000001</v>
      </c>
      <c r="E330" s="3">
        <v>-5.6550000000000002</v>
      </c>
      <c r="F330" s="3">
        <v>107.2</v>
      </c>
      <c r="G330" s="3">
        <v>-5.96</v>
      </c>
      <c r="H330" s="3">
        <v>-6.1040000000000001</v>
      </c>
      <c r="I330" s="3">
        <v>-1.8120000000000001</v>
      </c>
      <c r="L330" s="3">
        <v>-0.29099999999999998</v>
      </c>
      <c r="M330" s="3">
        <v>0.628</v>
      </c>
      <c r="N330" s="3">
        <v>1.827</v>
      </c>
      <c r="Q330" s="3"/>
      <c r="R330" s="3">
        <v>-2.3530000000000002</v>
      </c>
      <c r="S330" s="3">
        <v>1100</v>
      </c>
      <c r="T330" s="3">
        <v>108.4</v>
      </c>
      <c r="U330" s="3">
        <v>1538</v>
      </c>
      <c r="V330" s="3">
        <v>-2.0550000000000002</v>
      </c>
      <c r="W330" s="3">
        <v>-0.77500000000000002</v>
      </c>
      <c r="X330" s="3">
        <v>-0.621</v>
      </c>
      <c r="Y330" s="3"/>
      <c r="AA330" s="3">
        <v>-9.6000000000000002E-2</v>
      </c>
      <c r="AB330" s="3">
        <v>0.8</v>
      </c>
      <c r="AC330" s="3">
        <v>2.0099999999999998</v>
      </c>
      <c r="AD330" s="3">
        <v>2.2290000000000001</v>
      </c>
      <c r="AE330" s="3">
        <v>1206</v>
      </c>
      <c r="AF330" s="3">
        <v>-11.42</v>
      </c>
      <c r="AG330" s="3">
        <v>2357</v>
      </c>
      <c r="AH330" s="3">
        <v>103.6</v>
      </c>
      <c r="AI330" s="3">
        <v>2354</v>
      </c>
      <c r="AJ330" s="3">
        <v>-12.68</v>
      </c>
      <c r="AK330" s="3">
        <v>-13.21</v>
      </c>
      <c r="AL330" s="3">
        <v>-4.9130000000000003</v>
      </c>
      <c r="AO330" s="3">
        <v>-0.57799999999999996</v>
      </c>
      <c r="AP330" s="3">
        <v>0.33400000000000002</v>
      </c>
      <c r="AQ330" s="3">
        <v>1.528</v>
      </c>
      <c r="AR330" s="3"/>
      <c r="AS330" s="3"/>
      <c r="AT330" s="3"/>
      <c r="AU330" s="3"/>
      <c r="AV330" s="3"/>
      <c r="AW330" s="3"/>
      <c r="AX330" s="3"/>
      <c r="AY330" s="3"/>
      <c r="AZ330" s="3">
        <v>-5.8220000000000001</v>
      </c>
      <c r="BA330" s="3">
        <v>3337</v>
      </c>
      <c r="BB330" s="3">
        <v>12.77</v>
      </c>
      <c r="BC330" s="3">
        <v>2876</v>
      </c>
      <c r="BD330" s="3">
        <v>3338</v>
      </c>
      <c r="BE330" s="3">
        <v>3335</v>
      </c>
      <c r="BF330" s="1">
        <f t="shared" si="198"/>
        <v>156</v>
      </c>
      <c r="BG330" s="3">
        <v>-5.665</v>
      </c>
      <c r="BH330" s="3">
        <v>-1.7090000000000001</v>
      </c>
      <c r="BI330" s="3">
        <v>-1.6120000000000001</v>
      </c>
      <c r="BJ330" s="3">
        <v>-12.12</v>
      </c>
      <c r="BK330" s="3">
        <v>-12.64</v>
      </c>
      <c r="BM330" s="17">
        <v>5.91</v>
      </c>
      <c r="BN330" s="17">
        <f t="shared" si="200"/>
        <v>11.9382</v>
      </c>
      <c r="BO330" s="18">
        <f t="shared" si="193"/>
        <v>1.27</v>
      </c>
      <c r="BP330" s="18">
        <f t="shared" si="194"/>
        <v>2.16</v>
      </c>
      <c r="BR330" s="1">
        <f t="shared" si="195"/>
        <v>96.7</v>
      </c>
      <c r="BS330" s="1">
        <f t="shared" si="196"/>
        <v>94.7</v>
      </c>
      <c r="BT330" s="1">
        <f t="shared" si="197"/>
        <v>89</v>
      </c>
      <c r="BU330" s="60">
        <f t="shared" si="192"/>
        <v>0.45700000000000002</v>
      </c>
      <c r="BV330" s="60">
        <f t="shared" si="199"/>
        <v>5.6000000000000001E-2</v>
      </c>
      <c r="CB330" s="17">
        <f t="shared" si="201"/>
        <v>1.27</v>
      </c>
      <c r="CC330" s="17">
        <f t="shared" si="202"/>
        <v>2.16</v>
      </c>
      <c r="CD330" s="3">
        <f t="shared" si="203"/>
        <v>-5.7</v>
      </c>
      <c r="CE330" s="3">
        <f t="shared" si="204"/>
        <v>-6</v>
      </c>
      <c r="CF330" s="3">
        <f t="shared" si="205"/>
        <v>-6.1</v>
      </c>
      <c r="CG330" s="3">
        <f t="shared" si="206"/>
        <v>-1.8</v>
      </c>
      <c r="CH330" s="3">
        <f t="shared" si="207"/>
        <v>-0.3</v>
      </c>
      <c r="CI330" s="3">
        <f t="shared" si="208"/>
        <v>0.6</v>
      </c>
      <c r="CJ330" s="3">
        <f t="shared" si="209"/>
        <v>1.8</v>
      </c>
      <c r="CK330" s="27">
        <f t="shared" si="210"/>
        <v>94.7</v>
      </c>
      <c r="CL330" s="1">
        <f t="shared" si="211"/>
        <v>-2.4</v>
      </c>
      <c r="CM330" s="1">
        <f t="shared" si="212"/>
        <v>-2.1</v>
      </c>
      <c r="CN330" s="1">
        <f t="shared" si="213"/>
        <v>-0.8</v>
      </c>
      <c r="CO330" s="1">
        <f t="shared" si="214"/>
        <v>-0.6</v>
      </c>
      <c r="CP330" s="1">
        <f t="shared" si="215"/>
        <v>-0.1</v>
      </c>
      <c r="CQ330" s="1">
        <f t="shared" si="216"/>
        <v>0.8</v>
      </c>
      <c r="CR330" s="1">
        <f t="shared" si="217"/>
        <v>2</v>
      </c>
      <c r="CS330" s="2">
        <f t="shared" si="218"/>
        <v>96.7</v>
      </c>
      <c r="CT330" s="1">
        <f t="shared" si="219"/>
        <v>-11.4</v>
      </c>
      <c r="CU330" s="1">
        <f t="shared" si="220"/>
        <v>-12.7</v>
      </c>
      <c r="CV330" s="1">
        <f t="shared" si="221"/>
        <v>-13.2</v>
      </c>
      <c r="CW330" s="1">
        <f t="shared" si="222"/>
        <v>-4.9000000000000004</v>
      </c>
      <c r="CX330" s="1">
        <f t="shared" si="223"/>
        <v>-0.6</v>
      </c>
      <c r="CY330" s="1">
        <f t="shared" si="224"/>
        <v>0.3</v>
      </c>
      <c r="CZ330" s="1">
        <f t="shared" si="225"/>
        <v>1.5</v>
      </c>
      <c r="DA330" s="2">
        <f t="shared" si="226"/>
        <v>89</v>
      </c>
      <c r="DB330" s="20">
        <f t="shared" si="227"/>
        <v>156</v>
      </c>
      <c r="DC330" s="1">
        <f>ROUND(PPTest!K330,1)</f>
        <v>0</v>
      </c>
      <c r="DD330" s="17" t="s">
        <v>218</v>
      </c>
      <c r="DE330" s="3">
        <f t="shared" si="228"/>
        <v>2.23</v>
      </c>
      <c r="DF330" s="24">
        <f t="shared" si="229"/>
        <v>0.45700000000000002</v>
      </c>
      <c r="DG330" s="24">
        <f t="shared" si="230"/>
        <v>5.6000000000000001E-2</v>
      </c>
      <c r="DH330" s="17">
        <f t="shared" si="231"/>
        <v>12.77</v>
      </c>
    </row>
    <row r="331" spans="1:112" x14ac:dyDescent="0.2">
      <c r="A331" s="15">
        <f t="shared" si="232"/>
        <v>36850</v>
      </c>
      <c r="B331" s="1">
        <v>325</v>
      </c>
      <c r="C331" s="3">
        <v>3.4359999999999999</v>
      </c>
      <c r="D331" s="3">
        <v>4.1479999999999997</v>
      </c>
      <c r="E331" s="3">
        <v>-6.8920000000000003</v>
      </c>
      <c r="F331" s="3">
        <v>105.3</v>
      </c>
      <c r="G331" s="3">
        <v>-7.36</v>
      </c>
      <c r="H331" s="3">
        <v>-7.48</v>
      </c>
      <c r="I331" s="3">
        <v>-2.984</v>
      </c>
      <c r="L331" s="3">
        <v>-0.32100000000000001</v>
      </c>
      <c r="M331" s="3">
        <v>0.61</v>
      </c>
      <c r="N331" s="3">
        <v>1.806</v>
      </c>
      <c r="Q331" s="3"/>
      <c r="R331" s="3">
        <v>0.61899999999999999</v>
      </c>
      <c r="S331" s="3">
        <v>1248</v>
      </c>
      <c r="T331" s="3">
        <v>108.8</v>
      </c>
      <c r="U331" s="3">
        <v>1734</v>
      </c>
      <c r="V331" s="3">
        <v>1.5049999999999999</v>
      </c>
      <c r="W331" s="3">
        <v>1.3169999999999999</v>
      </c>
      <c r="X331" s="3">
        <v>-0.98299999999999998</v>
      </c>
      <c r="Y331" s="3"/>
      <c r="AA331" s="3">
        <v>-2.3E-2</v>
      </c>
      <c r="AB331" s="3">
        <v>0.89800000000000002</v>
      </c>
      <c r="AC331" s="3">
        <v>2.093</v>
      </c>
      <c r="AD331" s="3">
        <v>2.9209999999999998</v>
      </c>
      <c r="AE331" s="3">
        <v>1129</v>
      </c>
      <c r="AF331" s="3">
        <v>-12.38</v>
      </c>
      <c r="AG331" s="3">
        <v>216</v>
      </c>
      <c r="AH331" s="3">
        <v>93.3</v>
      </c>
      <c r="AI331" s="3">
        <v>1412</v>
      </c>
      <c r="AJ331" s="3">
        <v>-13.33</v>
      </c>
      <c r="AK331" s="3">
        <v>-14.08</v>
      </c>
      <c r="AL331" s="3">
        <v>-5.5750000000000002</v>
      </c>
      <c r="AO331" s="3">
        <v>-0.622</v>
      </c>
      <c r="AP331" s="3">
        <v>0.29699999999999999</v>
      </c>
      <c r="AQ331" s="3">
        <v>1.4870000000000001</v>
      </c>
      <c r="AR331" s="3"/>
      <c r="AS331" s="3"/>
      <c r="AT331" s="3"/>
      <c r="AU331" s="3"/>
      <c r="AV331" s="3"/>
      <c r="AW331" s="3"/>
      <c r="AX331" s="3"/>
      <c r="AY331" s="3"/>
      <c r="AZ331" s="3">
        <v>-7.73</v>
      </c>
      <c r="BA331" s="3">
        <v>3347</v>
      </c>
      <c r="BB331" s="3">
        <v>12.76</v>
      </c>
      <c r="BC331" s="3">
        <v>2876</v>
      </c>
      <c r="BD331" s="3">
        <v>3348</v>
      </c>
      <c r="BE331" s="3">
        <v>3344</v>
      </c>
      <c r="BF331" s="1">
        <f t="shared" si="198"/>
        <v>146</v>
      </c>
      <c r="BG331" s="3">
        <v>-7.65</v>
      </c>
      <c r="BH331" s="3">
        <v>0.96499999999999997</v>
      </c>
      <c r="BI331" s="3">
        <v>0.84399999999999997</v>
      </c>
      <c r="BJ331" s="3">
        <v>-13.55</v>
      </c>
      <c r="BK331" s="3">
        <v>-13.75</v>
      </c>
      <c r="BM331" s="17">
        <v>5.81</v>
      </c>
      <c r="BN331" s="17">
        <f t="shared" si="200"/>
        <v>11.7362</v>
      </c>
      <c r="BO331" s="18">
        <f t="shared" si="193"/>
        <v>3.37</v>
      </c>
      <c r="BP331" s="18">
        <f t="shared" si="194"/>
        <v>4.5599999999999996</v>
      </c>
      <c r="BR331" s="1">
        <f t="shared" si="195"/>
        <v>97.3</v>
      </c>
      <c r="BS331" s="1">
        <f t="shared" si="196"/>
        <v>91.7</v>
      </c>
      <c r="BT331" s="1">
        <f t="shared" si="197"/>
        <v>76.099999999999994</v>
      </c>
      <c r="BU331" s="60">
        <f t="shared" si="192"/>
        <v>0.48599999999999999</v>
      </c>
      <c r="BV331" s="60">
        <f t="shared" si="199"/>
        <v>0.153</v>
      </c>
      <c r="CB331" s="17">
        <f t="shared" si="201"/>
        <v>3.37</v>
      </c>
      <c r="CC331" s="17">
        <f t="shared" si="202"/>
        <v>4.5599999999999996</v>
      </c>
      <c r="CD331" s="3">
        <f t="shared" si="203"/>
        <v>-6.9</v>
      </c>
      <c r="CE331" s="3">
        <f t="shared" si="204"/>
        <v>-7.4</v>
      </c>
      <c r="CF331" s="3">
        <f t="shared" si="205"/>
        <v>-7.5</v>
      </c>
      <c r="CG331" s="3">
        <f t="shared" si="206"/>
        <v>-3</v>
      </c>
      <c r="CH331" s="3">
        <f t="shared" si="207"/>
        <v>-0.3</v>
      </c>
      <c r="CI331" s="3">
        <f t="shared" si="208"/>
        <v>0.6</v>
      </c>
      <c r="CJ331" s="3">
        <f t="shared" si="209"/>
        <v>1.8</v>
      </c>
      <c r="CK331" s="27">
        <f t="shared" si="210"/>
        <v>91.7</v>
      </c>
      <c r="CL331" s="1">
        <f t="shared" si="211"/>
        <v>0.6</v>
      </c>
      <c r="CM331" s="1">
        <f t="shared" si="212"/>
        <v>1.5</v>
      </c>
      <c r="CN331" s="1">
        <f t="shared" si="213"/>
        <v>1.3</v>
      </c>
      <c r="CO331" s="1">
        <f t="shared" si="214"/>
        <v>-1</v>
      </c>
      <c r="CP331" s="1">
        <f t="shared" si="215"/>
        <v>0</v>
      </c>
      <c r="CQ331" s="1">
        <f t="shared" si="216"/>
        <v>0.9</v>
      </c>
      <c r="CR331" s="1">
        <f t="shared" si="217"/>
        <v>2.1</v>
      </c>
      <c r="CS331" s="2">
        <f t="shared" si="218"/>
        <v>97.3</v>
      </c>
      <c r="CT331" s="1">
        <f t="shared" si="219"/>
        <v>-12.4</v>
      </c>
      <c r="CU331" s="1">
        <f t="shared" si="220"/>
        <v>-13.3</v>
      </c>
      <c r="CV331" s="1">
        <f t="shared" si="221"/>
        <v>-14.1</v>
      </c>
      <c r="CW331" s="1">
        <f t="shared" si="222"/>
        <v>-5.6</v>
      </c>
      <c r="CX331" s="1">
        <f t="shared" si="223"/>
        <v>-0.6</v>
      </c>
      <c r="CY331" s="1">
        <f t="shared" si="224"/>
        <v>0.3</v>
      </c>
      <c r="CZ331" s="1">
        <f t="shared" si="225"/>
        <v>1.5</v>
      </c>
      <c r="DA331" s="2">
        <f t="shared" si="226"/>
        <v>76.099999999999994</v>
      </c>
      <c r="DB331" s="20">
        <f t="shared" si="227"/>
        <v>146</v>
      </c>
      <c r="DC331" s="1">
        <f>ROUND(PPTest!K331,1)</f>
        <v>0</v>
      </c>
      <c r="DD331" s="17" t="s">
        <v>218</v>
      </c>
      <c r="DE331" s="3">
        <f t="shared" si="228"/>
        <v>2.92</v>
      </c>
      <c r="DF331" s="24">
        <f t="shared" si="229"/>
        <v>0.48599999999999999</v>
      </c>
      <c r="DG331" s="24">
        <f t="shared" si="230"/>
        <v>0.153</v>
      </c>
      <c r="DH331" s="17">
        <f t="shared" si="231"/>
        <v>12.76</v>
      </c>
    </row>
    <row r="332" spans="1:112" x14ac:dyDescent="0.2">
      <c r="A332" s="15">
        <f t="shared" si="232"/>
        <v>36851</v>
      </c>
      <c r="B332" s="1">
        <v>326</v>
      </c>
      <c r="C332" s="3">
        <v>4.8040000000000003</v>
      </c>
      <c r="D332" s="3">
        <v>7.11</v>
      </c>
      <c r="E332" s="3">
        <v>-6.1719999999999997</v>
      </c>
      <c r="F332" s="3">
        <v>104.6</v>
      </c>
      <c r="G332" s="3">
        <v>-6.875</v>
      </c>
      <c r="H332" s="3">
        <v>-7.11</v>
      </c>
      <c r="I332" s="3">
        <v>-3.097</v>
      </c>
      <c r="L332" s="3">
        <v>-0.34499999999999997</v>
      </c>
      <c r="M332" s="3">
        <v>0.56899999999999995</v>
      </c>
      <c r="N332" s="3">
        <v>1.766</v>
      </c>
      <c r="Q332" s="3"/>
      <c r="R332" s="3">
        <v>2.4940000000000002</v>
      </c>
      <c r="S332" s="3">
        <v>1303</v>
      </c>
      <c r="T332" s="3">
        <v>108.9</v>
      </c>
      <c r="U332" s="3">
        <v>1721</v>
      </c>
      <c r="V332" s="3">
        <v>5.2830000000000004</v>
      </c>
      <c r="W332" s="3">
        <v>6.9050000000000002</v>
      </c>
      <c r="X332" s="3">
        <v>-1.1439999999999999</v>
      </c>
      <c r="Y332" s="3"/>
      <c r="AA332" s="3">
        <v>3.3000000000000002E-2</v>
      </c>
      <c r="AB332" s="3">
        <v>1.052</v>
      </c>
      <c r="AC332" s="3">
        <v>2.1669999999999998</v>
      </c>
      <c r="AD332" s="3">
        <v>2.7480000000000002</v>
      </c>
      <c r="AE332" s="3">
        <v>1844</v>
      </c>
      <c r="AF332" s="3">
        <v>-11.36</v>
      </c>
      <c r="AG332" s="3">
        <v>2358</v>
      </c>
      <c r="AH332" s="3">
        <v>89.3</v>
      </c>
      <c r="AI332" s="3">
        <v>1302</v>
      </c>
      <c r="AJ332" s="3">
        <v>-12.56</v>
      </c>
      <c r="AK332" s="3">
        <v>-12.89</v>
      </c>
      <c r="AL332" s="3">
        <v>-4.9939999999999998</v>
      </c>
      <c r="AO332" s="3">
        <v>-0.63</v>
      </c>
      <c r="AP332" s="3">
        <v>0.26</v>
      </c>
      <c r="AQ332" s="3">
        <v>1.4630000000000001</v>
      </c>
      <c r="AR332" s="3"/>
      <c r="AS332" s="3"/>
      <c r="AT332" s="3"/>
      <c r="AU332" s="3"/>
      <c r="AV332" s="3"/>
      <c r="AW332" s="3"/>
      <c r="AX332" s="3"/>
      <c r="AY332" s="3"/>
      <c r="AZ332" s="3">
        <v>-7.49</v>
      </c>
      <c r="BA332" s="3">
        <v>3348</v>
      </c>
      <c r="BB332" s="3">
        <v>12.76</v>
      </c>
      <c r="BC332" s="3">
        <v>2876</v>
      </c>
      <c r="BD332" s="3">
        <v>3350</v>
      </c>
      <c r="BE332" s="3">
        <v>3347</v>
      </c>
      <c r="BF332" s="1">
        <f t="shared" si="198"/>
        <v>145</v>
      </c>
      <c r="BG332" s="3">
        <v>-7.3</v>
      </c>
      <c r="BH332" s="3">
        <v>2.4300000000000002</v>
      </c>
      <c r="BI332" s="3">
        <v>2.0670000000000002</v>
      </c>
      <c r="BJ332" s="3">
        <v>-12.57</v>
      </c>
      <c r="BK332" s="3">
        <v>-12.86</v>
      </c>
      <c r="BM332" s="17">
        <v>5.71</v>
      </c>
      <c r="BN332" s="17">
        <f t="shared" si="200"/>
        <v>11.5342</v>
      </c>
      <c r="BO332" s="18">
        <f t="shared" si="193"/>
        <v>4.71</v>
      </c>
      <c r="BP332" s="18">
        <f t="shared" si="194"/>
        <v>7.82</v>
      </c>
      <c r="BR332" s="1">
        <f t="shared" si="195"/>
        <v>97.5</v>
      </c>
      <c r="BS332" s="1">
        <f t="shared" si="196"/>
        <v>90.6</v>
      </c>
      <c r="BT332" s="1">
        <f t="shared" si="197"/>
        <v>72.599999999999994</v>
      </c>
      <c r="BU332" s="60">
        <f t="shared" si="192"/>
        <v>0.53</v>
      </c>
      <c r="BV332" s="60">
        <f t="shared" si="199"/>
        <v>0.2</v>
      </c>
      <c r="CB332" s="17">
        <f t="shared" si="201"/>
        <v>4.71</v>
      </c>
      <c r="CC332" s="17">
        <f t="shared" si="202"/>
        <v>7.82</v>
      </c>
      <c r="CD332" s="3">
        <f t="shared" si="203"/>
        <v>-6.2</v>
      </c>
      <c r="CE332" s="3">
        <f t="shared" si="204"/>
        <v>-6.9</v>
      </c>
      <c r="CF332" s="3">
        <f t="shared" si="205"/>
        <v>-7.1</v>
      </c>
      <c r="CG332" s="3">
        <f t="shared" si="206"/>
        <v>-3.1</v>
      </c>
      <c r="CH332" s="3">
        <f t="shared" si="207"/>
        <v>-0.3</v>
      </c>
      <c r="CI332" s="3">
        <f t="shared" si="208"/>
        <v>0.6</v>
      </c>
      <c r="CJ332" s="3">
        <f t="shared" si="209"/>
        <v>1.8</v>
      </c>
      <c r="CK332" s="27">
        <f t="shared" si="210"/>
        <v>90.6</v>
      </c>
      <c r="CL332" s="1">
        <f t="shared" si="211"/>
        <v>2.5</v>
      </c>
      <c r="CM332" s="1">
        <f t="shared" si="212"/>
        <v>5.3</v>
      </c>
      <c r="CN332" s="1">
        <f t="shared" si="213"/>
        <v>6.9</v>
      </c>
      <c r="CO332" s="1">
        <f t="shared" si="214"/>
        <v>-1.1000000000000001</v>
      </c>
      <c r="CP332" s="1">
        <f t="shared" si="215"/>
        <v>0</v>
      </c>
      <c r="CQ332" s="1">
        <f t="shared" si="216"/>
        <v>1.1000000000000001</v>
      </c>
      <c r="CR332" s="1">
        <f t="shared" si="217"/>
        <v>2.2000000000000002</v>
      </c>
      <c r="CS332" s="2">
        <f t="shared" si="218"/>
        <v>97.5</v>
      </c>
      <c r="CT332" s="1">
        <f t="shared" si="219"/>
        <v>-11.4</v>
      </c>
      <c r="CU332" s="1">
        <f t="shared" si="220"/>
        <v>-12.6</v>
      </c>
      <c r="CV332" s="1">
        <f t="shared" si="221"/>
        <v>-12.9</v>
      </c>
      <c r="CW332" s="1">
        <f t="shared" si="222"/>
        <v>-5</v>
      </c>
      <c r="CX332" s="1">
        <f t="shared" si="223"/>
        <v>-0.6</v>
      </c>
      <c r="CY332" s="1">
        <f t="shared" si="224"/>
        <v>0.3</v>
      </c>
      <c r="CZ332" s="1">
        <f t="shared" si="225"/>
        <v>1.5</v>
      </c>
      <c r="DA332" s="2">
        <f t="shared" si="226"/>
        <v>72.599999999999994</v>
      </c>
      <c r="DB332" s="20">
        <f t="shared" si="227"/>
        <v>145</v>
      </c>
      <c r="DC332" s="1">
        <f>ROUND(PPTest!K332,1)</f>
        <v>0</v>
      </c>
      <c r="DD332" s="17" t="s">
        <v>218</v>
      </c>
      <c r="DE332" s="3">
        <f t="shared" si="228"/>
        <v>2.75</v>
      </c>
      <c r="DF332" s="24">
        <f t="shared" si="229"/>
        <v>0.53</v>
      </c>
      <c r="DG332" s="24">
        <f t="shared" si="230"/>
        <v>0.2</v>
      </c>
      <c r="DH332" s="17">
        <f t="shared" si="231"/>
        <v>12.76</v>
      </c>
    </row>
    <row r="333" spans="1:112" x14ac:dyDescent="0.2">
      <c r="A333" s="15">
        <f t="shared" si="232"/>
        <v>36852</v>
      </c>
      <c r="B333" s="1">
        <v>327</v>
      </c>
      <c r="C333" s="3">
        <v>5.9370000000000003</v>
      </c>
      <c r="D333" s="3">
        <v>10.36</v>
      </c>
      <c r="E333" s="3">
        <v>-8.3800000000000008</v>
      </c>
      <c r="F333" s="3">
        <v>102.3</v>
      </c>
      <c r="G333" s="3">
        <v>-9.25</v>
      </c>
      <c r="H333" s="3">
        <v>-9.0500000000000007</v>
      </c>
      <c r="I333" s="3">
        <v>-4.3929999999999998</v>
      </c>
      <c r="L333" s="3">
        <v>-0.42899999999999999</v>
      </c>
      <c r="M333" s="3">
        <v>0.52100000000000002</v>
      </c>
      <c r="N333" s="3">
        <v>1.724</v>
      </c>
      <c r="Q333" s="3"/>
      <c r="R333" s="3">
        <v>2.1160000000000001</v>
      </c>
      <c r="S333" s="3">
        <v>1345</v>
      </c>
      <c r="T333" s="3">
        <v>108.1</v>
      </c>
      <c r="U333" s="3">
        <v>1639</v>
      </c>
      <c r="V333" s="3">
        <v>3.4180000000000001</v>
      </c>
      <c r="W333" s="3">
        <v>7.27</v>
      </c>
      <c r="X333" s="3">
        <v>-1.577</v>
      </c>
      <c r="Y333" s="3"/>
      <c r="AA333" s="3">
        <v>-8.4000000000000005E-2</v>
      </c>
      <c r="AB333" s="3">
        <v>0.90900000000000003</v>
      </c>
      <c r="AC333" s="3">
        <v>2.149</v>
      </c>
      <c r="AD333" s="3">
        <v>3.2269999999999999</v>
      </c>
      <c r="AE333" s="3">
        <v>1317</v>
      </c>
      <c r="AF333" s="3">
        <v>-13.3</v>
      </c>
      <c r="AG333" s="3">
        <v>500</v>
      </c>
      <c r="AH333" s="3">
        <v>77.3</v>
      </c>
      <c r="AI333" s="3">
        <v>1331</v>
      </c>
      <c r="AJ333" s="3">
        <v>-14.42</v>
      </c>
      <c r="AK333" s="3">
        <v>-14.87</v>
      </c>
      <c r="AL333" s="3">
        <v>-6.7480000000000002</v>
      </c>
      <c r="AO333" s="3">
        <v>-0.86799999999999999</v>
      </c>
      <c r="AP333" s="3">
        <v>0.05</v>
      </c>
      <c r="AQ333" s="3">
        <v>1.2669999999999999</v>
      </c>
      <c r="AR333" s="3"/>
      <c r="AS333" s="3"/>
      <c r="AT333" s="3"/>
      <c r="AU333" s="3"/>
      <c r="AV333" s="3"/>
      <c r="AW333" s="3"/>
      <c r="AX333" s="3"/>
      <c r="AY333" s="3"/>
      <c r="AZ333" s="3">
        <v>-9.82</v>
      </c>
      <c r="BA333" s="3">
        <v>3350</v>
      </c>
      <c r="BB333" s="3">
        <v>12.76</v>
      </c>
      <c r="BC333" s="3">
        <v>2876</v>
      </c>
      <c r="BD333" s="3">
        <v>3352</v>
      </c>
      <c r="BE333" s="3">
        <v>3348</v>
      </c>
      <c r="BF333" s="1">
        <f t="shared" si="198"/>
        <v>143</v>
      </c>
      <c r="BG333" s="3">
        <v>-9.6199999999999992</v>
      </c>
      <c r="BH333" s="3">
        <v>2.552</v>
      </c>
      <c r="BI333" s="3">
        <v>1.899</v>
      </c>
      <c r="BJ333" s="3">
        <v>-14.6</v>
      </c>
      <c r="BK333" s="3">
        <v>-14.79</v>
      </c>
      <c r="BM333" s="17">
        <v>5.62</v>
      </c>
      <c r="BN333" s="17">
        <f t="shared" si="200"/>
        <v>11.352400000000001</v>
      </c>
      <c r="BO333" s="18">
        <f t="shared" ref="BO333:BO364" si="233">ROUND(C333*BO$2,2)</f>
        <v>5.82</v>
      </c>
      <c r="BP333" s="18">
        <f t="shared" ref="BP333:BP364" si="234">ROUND(D333*BP$2,2)</f>
        <v>11.4</v>
      </c>
      <c r="BR333" s="1">
        <f t="shared" ref="BR333:BR364" si="235">ROUND(IF(T333&gt;BR$2,100,IF(T333&gt;BR$3,BS$1*T333+BS$2, T333*BS$3+BS$4)),1)</f>
        <v>96.2</v>
      </c>
      <c r="BS333" s="1">
        <f t="shared" ref="BS333:BS364" si="236">ROUND(IF(F333&gt;BR$2,100, IF(F333&gt;BR$3,BS$1*F333+BS$2, F333*BS$3+BS$4)),1)</f>
        <v>87</v>
      </c>
      <c r="BT333" s="1">
        <f t="shared" ref="BT333:BT364" si="237">ROUND(IF(AH333&gt;BR$2,100,IF(AH333&gt;BR$3,BS$1*AH333+BS$2, AH333*BS$3+BS$4)),1)</f>
        <v>62</v>
      </c>
      <c r="BU333" s="60">
        <f t="shared" si="192"/>
        <v>0.441</v>
      </c>
      <c r="BV333" s="60">
        <f t="shared" si="199"/>
        <v>0.27</v>
      </c>
      <c r="CB333" s="17">
        <f t="shared" si="201"/>
        <v>5.82</v>
      </c>
      <c r="CC333" s="17">
        <f t="shared" si="202"/>
        <v>11.4</v>
      </c>
      <c r="CD333" s="3">
        <f t="shared" si="203"/>
        <v>-8.4</v>
      </c>
      <c r="CE333" s="3">
        <f t="shared" si="204"/>
        <v>-9.3000000000000007</v>
      </c>
      <c r="CF333" s="3">
        <f t="shared" si="205"/>
        <v>-9.1</v>
      </c>
      <c r="CG333" s="3">
        <f t="shared" si="206"/>
        <v>-4.4000000000000004</v>
      </c>
      <c r="CH333" s="3">
        <f t="shared" si="207"/>
        <v>-0.4</v>
      </c>
      <c r="CI333" s="3">
        <f t="shared" si="208"/>
        <v>0.5</v>
      </c>
      <c r="CJ333" s="3">
        <f t="shared" si="209"/>
        <v>1.7</v>
      </c>
      <c r="CK333" s="27">
        <f t="shared" si="210"/>
        <v>87</v>
      </c>
      <c r="CL333" s="1">
        <f t="shared" si="211"/>
        <v>2.1</v>
      </c>
      <c r="CM333" s="1">
        <f t="shared" si="212"/>
        <v>3.4</v>
      </c>
      <c r="CN333" s="1">
        <f t="shared" si="213"/>
        <v>7.3</v>
      </c>
      <c r="CO333" s="1">
        <f t="shared" si="214"/>
        <v>-1.6</v>
      </c>
      <c r="CP333" s="1">
        <f t="shared" si="215"/>
        <v>-0.1</v>
      </c>
      <c r="CQ333" s="1">
        <f t="shared" si="216"/>
        <v>0.9</v>
      </c>
      <c r="CR333" s="1">
        <f t="shared" si="217"/>
        <v>2.1</v>
      </c>
      <c r="CS333" s="2">
        <f t="shared" si="218"/>
        <v>96.2</v>
      </c>
      <c r="CT333" s="1">
        <f t="shared" si="219"/>
        <v>-13.3</v>
      </c>
      <c r="CU333" s="1">
        <f t="shared" si="220"/>
        <v>-14.4</v>
      </c>
      <c r="CV333" s="1">
        <f t="shared" si="221"/>
        <v>-14.9</v>
      </c>
      <c r="CW333" s="1">
        <f t="shared" si="222"/>
        <v>-6.7</v>
      </c>
      <c r="CX333" s="1">
        <f t="shared" si="223"/>
        <v>-0.9</v>
      </c>
      <c r="CY333" s="1">
        <f t="shared" si="224"/>
        <v>0.1</v>
      </c>
      <c r="CZ333" s="1">
        <f t="shared" si="225"/>
        <v>1.3</v>
      </c>
      <c r="DA333" s="2">
        <f t="shared" si="226"/>
        <v>62</v>
      </c>
      <c r="DB333" s="20">
        <f t="shared" si="227"/>
        <v>143</v>
      </c>
      <c r="DC333" s="1">
        <f>ROUND(PPTest!K333,1)</f>
        <v>0</v>
      </c>
      <c r="DD333" s="17" t="s">
        <v>218</v>
      </c>
      <c r="DE333" s="3">
        <f t="shared" si="228"/>
        <v>3.23</v>
      </c>
      <c r="DF333" s="24">
        <f t="shared" si="229"/>
        <v>0.441</v>
      </c>
      <c r="DG333" s="24">
        <f t="shared" si="230"/>
        <v>0.27</v>
      </c>
      <c r="DH333" s="17">
        <f t="shared" si="231"/>
        <v>12.76</v>
      </c>
    </row>
    <row r="334" spans="1:112" x14ac:dyDescent="0.2">
      <c r="A334" s="15">
        <f t="shared" si="232"/>
        <v>36853</v>
      </c>
      <c r="B334" s="1">
        <v>328</v>
      </c>
      <c r="C334" s="3">
        <v>0.64100000000000001</v>
      </c>
      <c r="D334" s="3">
        <v>1.08</v>
      </c>
      <c r="E334" s="3">
        <v>-6.9950000000000001</v>
      </c>
      <c r="F334" s="3">
        <v>106.7</v>
      </c>
      <c r="G334" s="3">
        <v>-7.44</v>
      </c>
      <c r="H334" s="3">
        <v>-7.51</v>
      </c>
      <c r="I334" s="3">
        <v>-3.0369999999999999</v>
      </c>
      <c r="L334" s="3">
        <v>-0.40200000000000002</v>
      </c>
      <c r="M334" s="3">
        <v>0.56699999999999995</v>
      </c>
      <c r="N334" s="3">
        <v>1.7769999999999999</v>
      </c>
      <c r="Q334" s="3"/>
      <c r="R334" s="3">
        <v>-0.97699999999999998</v>
      </c>
      <c r="S334" s="3">
        <v>1306</v>
      </c>
      <c r="T334" s="3">
        <v>109</v>
      </c>
      <c r="U334" s="3">
        <v>130</v>
      </c>
      <c r="V334" s="3">
        <v>-1.5940000000000001</v>
      </c>
      <c r="W334" s="3">
        <v>-0.59399999999999997</v>
      </c>
      <c r="X334" s="3">
        <v>-0.98899999999999999</v>
      </c>
      <c r="Y334" s="3"/>
      <c r="AA334" s="3">
        <v>-0.21299999999999999</v>
      </c>
      <c r="AB334" s="3">
        <v>0.84399999999999997</v>
      </c>
      <c r="AC334" s="3">
        <v>2.0470000000000002</v>
      </c>
      <c r="AD334" s="3">
        <v>3.6659999999999999</v>
      </c>
      <c r="AE334" s="3">
        <v>1317</v>
      </c>
      <c r="AF334" s="3">
        <v>-12.59</v>
      </c>
      <c r="AG334" s="3">
        <v>558</v>
      </c>
      <c r="AH334" s="3">
        <v>99.6</v>
      </c>
      <c r="AI334" s="3">
        <v>126</v>
      </c>
      <c r="AJ334" s="3">
        <v>-14.55</v>
      </c>
      <c r="AK334" s="3">
        <v>-14.96</v>
      </c>
      <c r="AL334" s="3">
        <v>-6.6390000000000002</v>
      </c>
      <c r="AO334" s="3">
        <v>-0.65400000000000003</v>
      </c>
      <c r="AP334" s="3">
        <v>0.30299999999999999</v>
      </c>
      <c r="AQ334" s="3">
        <v>1.5129999999999999</v>
      </c>
      <c r="AR334" s="3"/>
      <c r="AS334" s="3"/>
      <c r="AT334" s="3"/>
      <c r="AU334" s="3"/>
      <c r="AV334" s="3"/>
      <c r="AW334" s="3"/>
      <c r="AX334" s="3"/>
      <c r="AY334" s="3"/>
      <c r="AZ334" s="3">
        <v>-8.0500000000000007</v>
      </c>
      <c r="BA334" s="3">
        <v>3303</v>
      </c>
      <c r="BB334" s="3">
        <v>12.76</v>
      </c>
      <c r="BC334" s="3">
        <v>2876</v>
      </c>
      <c r="BD334" s="3">
        <v>3305</v>
      </c>
      <c r="BE334" s="3">
        <v>3298</v>
      </c>
      <c r="BF334" s="1">
        <f t="shared" si="198"/>
        <v>190</v>
      </c>
      <c r="BG334" s="3">
        <v>-8.16</v>
      </c>
      <c r="BH334" s="3">
        <v>-2.823</v>
      </c>
      <c r="BI334" s="3">
        <v>-2.5289999999999999</v>
      </c>
      <c r="BJ334" s="3">
        <v>-14.73</v>
      </c>
      <c r="BK334" s="3">
        <v>-14.9</v>
      </c>
      <c r="BM334" s="17">
        <v>5.53</v>
      </c>
      <c r="BN334" s="17">
        <f t="shared" si="200"/>
        <v>11.1706</v>
      </c>
      <c r="BO334" s="18">
        <f t="shared" si="233"/>
        <v>0.63</v>
      </c>
      <c r="BP334" s="18">
        <f t="shared" si="234"/>
        <v>1.19</v>
      </c>
      <c r="BR334" s="1">
        <f t="shared" si="235"/>
        <v>97.6</v>
      </c>
      <c r="BS334" s="1">
        <f t="shared" si="236"/>
        <v>94</v>
      </c>
      <c r="BT334" s="1">
        <f t="shared" si="237"/>
        <v>82.7</v>
      </c>
      <c r="BU334" s="60">
        <f t="shared" si="192"/>
        <v>0.47</v>
      </c>
      <c r="BV334" s="60">
        <f t="shared" si="199"/>
        <v>9.8000000000000004E-2</v>
      </c>
      <c r="CB334" s="17">
        <f t="shared" si="201"/>
        <v>0.63</v>
      </c>
      <c r="CC334" s="17">
        <f t="shared" si="202"/>
        <v>1.19</v>
      </c>
      <c r="CD334" s="3">
        <f t="shared" si="203"/>
        <v>-7</v>
      </c>
      <c r="CE334" s="3">
        <f t="shared" si="204"/>
        <v>-7.4</v>
      </c>
      <c r="CF334" s="3">
        <f t="shared" si="205"/>
        <v>-7.5</v>
      </c>
      <c r="CG334" s="3">
        <f t="shared" si="206"/>
        <v>-3</v>
      </c>
      <c r="CH334" s="3">
        <f t="shared" si="207"/>
        <v>-0.4</v>
      </c>
      <c r="CI334" s="3">
        <f t="shared" si="208"/>
        <v>0.6</v>
      </c>
      <c r="CJ334" s="3">
        <f t="shared" si="209"/>
        <v>1.8</v>
      </c>
      <c r="CK334" s="27">
        <f t="shared" si="210"/>
        <v>94</v>
      </c>
      <c r="CL334" s="1">
        <f t="shared" si="211"/>
        <v>-1</v>
      </c>
      <c r="CM334" s="1">
        <f t="shared" si="212"/>
        <v>-1.6</v>
      </c>
      <c r="CN334" s="1">
        <f t="shared" si="213"/>
        <v>-0.6</v>
      </c>
      <c r="CO334" s="1">
        <f t="shared" si="214"/>
        <v>-1</v>
      </c>
      <c r="CP334" s="1">
        <f t="shared" si="215"/>
        <v>-0.2</v>
      </c>
      <c r="CQ334" s="1">
        <f t="shared" si="216"/>
        <v>0.8</v>
      </c>
      <c r="CR334" s="1">
        <f t="shared" si="217"/>
        <v>2</v>
      </c>
      <c r="CS334" s="2">
        <f t="shared" si="218"/>
        <v>97.6</v>
      </c>
      <c r="CT334" s="1">
        <f t="shared" si="219"/>
        <v>-12.6</v>
      </c>
      <c r="CU334" s="1">
        <f t="shared" si="220"/>
        <v>-14.6</v>
      </c>
      <c r="CV334" s="1">
        <f t="shared" si="221"/>
        <v>-15</v>
      </c>
      <c r="CW334" s="1">
        <f t="shared" si="222"/>
        <v>-6.6</v>
      </c>
      <c r="CX334" s="1">
        <f t="shared" si="223"/>
        <v>-0.7</v>
      </c>
      <c r="CY334" s="1">
        <f t="shared" si="224"/>
        <v>0.3</v>
      </c>
      <c r="CZ334" s="1">
        <f t="shared" si="225"/>
        <v>1.5</v>
      </c>
      <c r="DA334" s="2">
        <f t="shared" si="226"/>
        <v>82.7</v>
      </c>
      <c r="DB334" s="20">
        <f t="shared" si="227"/>
        <v>190</v>
      </c>
      <c r="DC334" s="1">
        <f>ROUND(PPTest!K334,1)</f>
        <v>6.1</v>
      </c>
      <c r="DD334" s="17" t="s">
        <v>218</v>
      </c>
      <c r="DE334" s="3">
        <f t="shared" si="228"/>
        <v>3.67</v>
      </c>
      <c r="DF334" s="24">
        <f t="shared" si="229"/>
        <v>0.47</v>
      </c>
      <c r="DG334" s="24">
        <f t="shared" si="230"/>
        <v>9.8000000000000004E-2</v>
      </c>
      <c r="DH334" s="17">
        <f t="shared" si="231"/>
        <v>12.76</v>
      </c>
    </row>
    <row r="335" spans="1:112" x14ac:dyDescent="0.2">
      <c r="A335" s="15">
        <f t="shared" si="232"/>
        <v>36854</v>
      </c>
      <c r="B335" s="1">
        <v>329</v>
      </c>
      <c r="C335" s="3">
        <v>0.47599999999999998</v>
      </c>
      <c r="D335" s="3">
        <v>0.86799999999999999</v>
      </c>
      <c r="E335" s="3">
        <v>-3.0750000000000002</v>
      </c>
      <c r="F335" s="3">
        <v>105.5</v>
      </c>
      <c r="G335" s="3">
        <v>-3.2869999999999999</v>
      </c>
      <c r="H335" s="3">
        <v>-3.3780000000000001</v>
      </c>
      <c r="I335" s="3">
        <v>-0.71799999999999997</v>
      </c>
      <c r="L335" s="3">
        <v>-0.29899999999999999</v>
      </c>
      <c r="M335" s="3">
        <v>0.51500000000000001</v>
      </c>
      <c r="N335" s="3">
        <v>1.7270000000000001</v>
      </c>
      <c r="Q335" s="3"/>
      <c r="R335" s="3">
        <v>-1.3009999999999999</v>
      </c>
      <c r="S335" s="3">
        <v>1311</v>
      </c>
      <c r="T335" s="3">
        <v>108.9</v>
      </c>
      <c r="U335" s="3">
        <v>46</v>
      </c>
      <c r="V335" s="3">
        <v>-1.0780000000000001</v>
      </c>
      <c r="W335" s="3">
        <v>0.109</v>
      </c>
      <c r="X335" s="3">
        <v>-0.499</v>
      </c>
      <c r="Y335" s="3"/>
      <c r="AA335" s="3">
        <v>-0.112</v>
      </c>
      <c r="AB335" s="3">
        <v>0.69299999999999995</v>
      </c>
      <c r="AC335" s="3">
        <v>1.897</v>
      </c>
      <c r="AD335" s="3">
        <v>3.5459999999999998</v>
      </c>
      <c r="AE335" s="3">
        <v>324</v>
      </c>
      <c r="AF335" s="3">
        <v>-5.4269999999999996</v>
      </c>
      <c r="AG335" s="3">
        <v>332</v>
      </c>
      <c r="AH335" s="3">
        <v>97</v>
      </c>
      <c r="AI335" s="3">
        <v>1025</v>
      </c>
      <c r="AJ335" s="3">
        <v>-5.8550000000000004</v>
      </c>
      <c r="AK335" s="3">
        <v>-5.6159999999999997</v>
      </c>
      <c r="AL335" s="3">
        <v>-1.0389999999999999</v>
      </c>
      <c r="AO335" s="3">
        <v>-0.434</v>
      </c>
      <c r="AP335" s="3">
        <v>0.40300000000000002</v>
      </c>
      <c r="AQ335" s="3">
        <v>1.623</v>
      </c>
      <c r="AR335" s="3"/>
      <c r="AS335" s="3"/>
      <c r="AT335" s="3"/>
      <c r="AU335" s="3"/>
      <c r="AV335" s="3"/>
      <c r="AW335" s="3"/>
      <c r="AX335" s="3"/>
      <c r="AY335" s="3"/>
      <c r="AZ335" s="3">
        <v>-3.4249999999999998</v>
      </c>
      <c r="BA335" s="3"/>
      <c r="BB335" s="3">
        <v>12.77</v>
      </c>
      <c r="BC335" s="3">
        <v>2876</v>
      </c>
      <c r="BD335" s="3"/>
      <c r="BE335" s="3">
        <v>3261</v>
      </c>
      <c r="BF335" s="22">
        <v>210</v>
      </c>
      <c r="BG335" s="3">
        <v>-3.39</v>
      </c>
      <c r="BH335" s="3">
        <v>-1.3420000000000001</v>
      </c>
      <c r="BI335" s="3">
        <v>-1.403</v>
      </c>
      <c r="BJ335" s="3">
        <v>-5.444</v>
      </c>
      <c r="BK335" s="3">
        <v>-5.35</v>
      </c>
      <c r="BM335" s="17">
        <v>5.45</v>
      </c>
      <c r="BN335" s="17">
        <f t="shared" si="200"/>
        <v>11.009</v>
      </c>
      <c r="BO335" s="18">
        <f t="shared" si="233"/>
        <v>0.47</v>
      </c>
      <c r="BP335" s="18">
        <f t="shared" si="234"/>
        <v>0.95</v>
      </c>
      <c r="BR335" s="1">
        <f t="shared" si="235"/>
        <v>97.5</v>
      </c>
      <c r="BS335" s="1">
        <f t="shared" si="236"/>
        <v>92</v>
      </c>
      <c r="BT335" s="1">
        <f t="shared" si="237"/>
        <v>79.400000000000006</v>
      </c>
      <c r="BU335" s="60">
        <f t="shared" si="192"/>
        <v>0.441</v>
      </c>
      <c r="BV335" s="60">
        <f t="shared" si="199"/>
        <v>0.114</v>
      </c>
      <c r="CB335" s="17">
        <f t="shared" si="201"/>
        <v>0.47</v>
      </c>
      <c r="CC335" s="17">
        <f t="shared" si="202"/>
        <v>0.95</v>
      </c>
      <c r="CD335" s="3">
        <f t="shared" si="203"/>
        <v>-3.1</v>
      </c>
      <c r="CE335" s="3">
        <f t="shared" si="204"/>
        <v>-3.3</v>
      </c>
      <c r="CF335" s="3">
        <f t="shared" si="205"/>
        <v>-3.4</v>
      </c>
      <c r="CG335" s="3">
        <f t="shared" si="206"/>
        <v>-0.7</v>
      </c>
      <c r="CH335" s="3">
        <f t="shared" si="207"/>
        <v>-0.3</v>
      </c>
      <c r="CI335" s="3">
        <f t="shared" si="208"/>
        <v>0.5</v>
      </c>
      <c r="CJ335" s="3">
        <f t="shared" si="209"/>
        <v>1.7</v>
      </c>
      <c r="CK335" s="27">
        <f t="shared" si="210"/>
        <v>92</v>
      </c>
      <c r="CL335" s="1">
        <f t="shared" si="211"/>
        <v>-1.3</v>
      </c>
      <c r="CM335" s="1">
        <f t="shared" si="212"/>
        <v>-1.1000000000000001</v>
      </c>
      <c r="CN335" s="1">
        <f t="shared" si="213"/>
        <v>0.1</v>
      </c>
      <c r="CO335" s="1">
        <f t="shared" si="214"/>
        <v>-0.5</v>
      </c>
      <c r="CP335" s="1">
        <f t="shared" si="215"/>
        <v>-0.1</v>
      </c>
      <c r="CQ335" s="1">
        <f t="shared" si="216"/>
        <v>0.7</v>
      </c>
      <c r="CR335" s="1">
        <f t="shared" si="217"/>
        <v>1.9</v>
      </c>
      <c r="CS335" s="2">
        <f t="shared" si="218"/>
        <v>97.5</v>
      </c>
      <c r="CT335" s="1">
        <f t="shared" si="219"/>
        <v>-5.4</v>
      </c>
      <c r="CU335" s="1">
        <f t="shared" si="220"/>
        <v>-5.9</v>
      </c>
      <c r="CV335" s="1">
        <f t="shared" si="221"/>
        <v>-5.6</v>
      </c>
      <c r="CW335" s="1">
        <f t="shared" si="222"/>
        <v>-1</v>
      </c>
      <c r="CX335" s="1">
        <f t="shared" si="223"/>
        <v>-0.4</v>
      </c>
      <c r="CY335" s="1">
        <f t="shared" si="224"/>
        <v>0.4</v>
      </c>
      <c r="CZ335" s="1">
        <f t="shared" si="225"/>
        <v>1.6</v>
      </c>
      <c r="DA335" s="2">
        <f t="shared" si="226"/>
        <v>79.400000000000006</v>
      </c>
      <c r="DB335" s="20">
        <f t="shared" si="227"/>
        <v>210</v>
      </c>
      <c r="DC335" s="1">
        <f>ROUND(PPTest!K335,1)</f>
        <v>2.6</v>
      </c>
      <c r="DD335" s="17" t="s">
        <v>218</v>
      </c>
      <c r="DE335" s="3">
        <f t="shared" si="228"/>
        <v>3.55</v>
      </c>
      <c r="DF335" s="24">
        <f t="shared" si="229"/>
        <v>0.441</v>
      </c>
      <c r="DG335" s="24">
        <f t="shared" si="230"/>
        <v>0.114</v>
      </c>
      <c r="DH335" s="17">
        <f t="shared" si="231"/>
        <v>12.77</v>
      </c>
    </row>
    <row r="336" spans="1:112" x14ac:dyDescent="0.2">
      <c r="A336" s="15">
        <f t="shared" si="232"/>
        <v>36855</v>
      </c>
      <c r="B336" s="1">
        <v>330</v>
      </c>
      <c r="C336" s="3">
        <v>0.19600000000000001</v>
      </c>
      <c r="D336" s="3">
        <v>0.34699999999999998</v>
      </c>
      <c r="E336" s="3">
        <v>-3.2850000000000001</v>
      </c>
      <c r="F336" s="3">
        <v>103.9</v>
      </c>
      <c r="G336" s="3">
        <v>-3.5459999999999998</v>
      </c>
      <c r="H336" s="3">
        <v>-3.6949999999999998</v>
      </c>
      <c r="I336" s="3">
        <v>-0.60899999999999999</v>
      </c>
      <c r="L336" s="3">
        <v>-0.27700000000000002</v>
      </c>
      <c r="M336" s="3">
        <v>0.48399999999999999</v>
      </c>
      <c r="N336" s="3">
        <v>1.6859999999999999</v>
      </c>
      <c r="Q336" s="3"/>
      <c r="R336" s="3">
        <v>-1.6279999999999999</v>
      </c>
      <c r="S336" s="3">
        <v>117</v>
      </c>
      <c r="T336" s="3">
        <v>108.3</v>
      </c>
      <c r="U336" s="3">
        <v>1645</v>
      </c>
      <c r="V336" s="3">
        <v>-0.39800000000000002</v>
      </c>
      <c r="W336" s="3">
        <v>-2.032</v>
      </c>
      <c r="X336" s="3">
        <v>-0.50700000000000001</v>
      </c>
      <c r="Y336" s="3"/>
      <c r="AA336" s="3">
        <v>-0.20100000000000001</v>
      </c>
      <c r="AB336" s="3">
        <v>0.56499999999999995</v>
      </c>
      <c r="AC336" s="3">
        <v>1.772</v>
      </c>
      <c r="AD336" s="3">
        <v>3.7719999999999998</v>
      </c>
      <c r="AE336" s="3">
        <v>1211</v>
      </c>
      <c r="AF336" s="3">
        <v>-4.3529999999999998</v>
      </c>
      <c r="AG336" s="3">
        <v>1425</v>
      </c>
      <c r="AH336" s="3">
        <v>87.6</v>
      </c>
      <c r="AI336" s="3">
        <v>344</v>
      </c>
      <c r="AJ336" s="3">
        <v>-4.9930000000000003</v>
      </c>
      <c r="AK336" s="3">
        <v>-5.5880000000000001</v>
      </c>
      <c r="AL336" s="3">
        <v>-0.84799999999999998</v>
      </c>
      <c r="AO336" s="3">
        <v>-0.38200000000000001</v>
      </c>
      <c r="AP336" s="3">
        <v>0.372</v>
      </c>
      <c r="AQ336" s="3">
        <v>1.575</v>
      </c>
      <c r="AR336" s="3"/>
      <c r="AS336" s="3"/>
      <c r="AT336" s="3"/>
      <c r="AU336" s="3"/>
      <c r="AV336" s="3"/>
      <c r="AW336" s="3"/>
      <c r="AX336" s="3"/>
      <c r="AY336" s="3"/>
      <c r="AZ336" s="3">
        <v>-3.7010000000000001</v>
      </c>
      <c r="BA336" s="3">
        <v>3263</v>
      </c>
      <c r="BB336" s="3">
        <v>12.77</v>
      </c>
      <c r="BC336" s="3">
        <v>2876</v>
      </c>
      <c r="BD336" s="3">
        <v>3268</v>
      </c>
      <c r="BE336" s="3">
        <v>3260</v>
      </c>
      <c r="BF336" s="1">
        <f t="shared" ref="BF336:BF346" si="238">$BF$1-BA336</f>
        <v>230</v>
      </c>
      <c r="BG336" s="3">
        <v>-3.629</v>
      </c>
      <c r="BH336" s="3">
        <v>-3.194</v>
      </c>
      <c r="BI336" s="3">
        <v>-3.2</v>
      </c>
      <c r="BJ336" s="3">
        <v>-4.0010000000000003</v>
      </c>
      <c r="BK336" s="3">
        <v>-4.2949999999999999</v>
      </c>
      <c r="BM336" s="17">
        <v>5.36</v>
      </c>
      <c r="BN336" s="17">
        <f t="shared" si="200"/>
        <v>10.827200000000001</v>
      </c>
      <c r="BO336" s="18">
        <f t="shared" si="233"/>
        <v>0.19</v>
      </c>
      <c r="BP336" s="18">
        <f t="shared" si="234"/>
        <v>0.38</v>
      </c>
      <c r="BR336" s="1">
        <f t="shared" si="235"/>
        <v>96.5</v>
      </c>
      <c r="BS336" s="1">
        <f t="shared" si="236"/>
        <v>89.5</v>
      </c>
      <c r="BT336" s="1">
        <f t="shared" si="237"/>
        <v>71.099999999999994</v>
      </c>
      <c r="BU336" s="60">
        <f t="shared" si="192"/>
        <v>0.38500000000000001</v>
      </c>
      <c r="BV336" s="60">
        <f t="shared" si="199"/>
        <v>0.156</v>
      </c>
      <c r="CB336" s="17">
        <f t="shared" si="201"/>
        <v>0.19</v>
      </c>
      <c r="CC336" s="17">
        <f t="shared" si="202"/>
        <v>0.38</v>
      </c>
      <c r="CD336" s="3">
        <f t="shared" si="203"/>
        <v>-3.3</v>
      </c>
      <c r="CE336" s="3">
        <f t="shared" si="204"/>
        <v>-3.5</v>
      </c>
      <c r="CF336" s="3">
        <f t="shared" si="205"/>
        <v>-3.7</v>
      </c>
      <c r="CG336" s="3">
        <f t="shared" si="206"/>
        <v>-0.6</v>
      </c>
      <c r="CH336" s="3">
        <f t="shared" si="207"/>
        <v>-0.3</v>
      </c>
      <c r="CI336" s="3">
        <f t="shared" si="208"/>
        <v>0.5</v>
      </c>
      <c r="CJ336" s="3">
        <f t="shared" si="209"/>
        <v>1.7</v>
      </c>
      <c r="CK336" s="27">
        <f t="shared" si="210"/>
        <v>89.5</v>
      </c>
      <c r="CL336" s="1">
        <f t="shared" si="211"/>
        <v>-1.6</v>
      </c>
      <c r="CM336" s="1">
        <f t="shared" si="212"/>
        <v>-0.4</v>
      </c>
      <c r="CN336" s="1">
        <f t="shared" si="213"/>
        <v>-2</v>
      </c>
      <c r="CO336" s="1">
        <f t="shared" si="214"/>
        <v>-0.5</v>
      </c>
      <c r="CP336" s="1">
        <f t="shared" si="215"/>
        <v>-0.2</v>
      </c>
      <c r="CQ336" s="1">
        <f t="shared" si="216"/>
        <v>0.6</v>
      </c>
      <c r="CR336" s="1">
        <f t="shared" si="217"/>
        <v>1.8</v>
      </c>
      <c r="CS336" s="2">
        <f t="shared" si="218"/>
        <v>96.5</v>
      </c>
      <c r="CT336" s="1">
        <f t="shared" si="219"/>
        <v>-4.4000000000000004</v>
      </c>
      <c r="CU336" s="1">
        <f t="shared" si="220"/>
        <v>-5</v>
      </c>
      <c r="CV336" s="1">
        <f t="shared" si="221"/>
        <v>-5.6</v>
      </c>
      <c r="CW336" s="1">
        <f t="shared" si="222"/>
        <v>-0.8</v>
      </c>
      <c r="CX336" s="1">
        <f t="shared" si="223"/>
        <v>-0.4</v>
      </c>
      <c r="CY336" s="1">
        <f t="shared" si="224"/>
        <v>0.4</v>
      </c>
      <c r="CZ336" s="1">
        <f t="shared" si="225"/>
        <v>1.6</v>
      </c>
      <c r="DA336" s="2">
        <f t="shared" si="226"/>
        <v>71.099999999999994</v>
      </c>
      <c r="DB336" s="20">
        <f t="shared" si="227"/>
        <v>230</v>
      </c>
      <c r="DC336" s="1">
        <f>ROUND(PPTest!K336,1)</f>
        <v>2.6</v>
      </c>
      <c r="DD336" s="17" t="s">
        <v>218</v>
      </c>
      <c r="DE336" s="3">
        <f t="shared" si="228"/>
        <v>3.77</v>
      </c>
      <c r="DF336" s="24">
        <f t="shared" si="229"/>
        <v>0.38500000000000001</v>
      </c>
      <c r="DG336" s="24">
        <f t="shared" si="230"/>
        <v>0.156</v>
      </c>
      <c r="DH336" s="17">
        <f t="shared" si="231"/>
        <v>12.77</v>
      </c>
    </row>
    <row r="337" spans="1:112" x14ac:dyDescent="0.2">
      <c r="A337" s="15">
        <f t="shared" si="232"/>
        <v>36856</v>
      </c>
      <c r="B337" s="1">
        <v>331</v>
      </c>
      <c r="C337" s="3">
        <v>0.53700000000000003</v>
      </c>
      <c r="D337" s="3">
        <v>0.874</v>
      </c>
      <c r="E337" s="3">
        <v>-3.6280000000000001</v>
      </c>
      <c r="F337" s="3">
        <v>103.2</v>
      </c>
      <c r="G337" s="3">
        <v>-3.9020000000000001</v>
      </c>
      <c r="H337" s="3">
        <v>-3.9870000000000001</v>
      </c>
      <c r="I337" s="3">
        <v>-0.71</v>
      </c>
      <c r="L337" s="3">
        <v>-0.28399999999999997</v>
      </c>
      <c r="M337" s="3">
        <v>0.46400000000000002</v>
      </c>
      <c r="N337" s="3">
        <v>1.653</v>
      </c>
      <c r="Q337" s="3"/>
      <c r="R337" s="3">
        <v>-1.1839999999999999</v>
      </c>
      <c r="S337" s="3">
        <v>1300</v>
      </c>
      <c r="T337" s="3">
        <v>108</v>
      </c>
      <c r="U337" s="3">
        <v>2326</v>
      </c>
      <c r="V337" s="3">
        <v>-8.0000000000000002E-3</v>
      </c>
      <c r="W337" s="3">
        <v>1.76</v>
      </c>
      <c r="X337" s="3">
        <v>-0.36299999999999999</v>
      </c>
      <c r="Y337" s="3"/>
      <c r="AA337" s="3">
        <v>-3.1E-2</v>
      </c>
      <c r="AB337" s="3">
        <v>0.76400000000000001</v>
      </c>
      <c r="AC337" s="3">
        <v>1.9119999999999999</v>
      </c>
      <c r="AD337" s="3">
        <v>3.8380000000000001</v>
      </c>
      <c r="AE337" s="3">
        <v>1347</v>
      </c>
      <c r="AF337" s="3">
        <v>-5.4989999999999997</v>
      </c>
      <c r="AG337" s="3">
        <v>133</v>
      </c>
      <c r="AH337" s="3">
        <v>86.7</v>
      </c>
      <c r="AI337" s="3">
        <v>1259</v>
      </c>
      <c r="AJ337" s="3">
        <v>-6.9729999999999999</v>
      </c>
      <c r="AK337" s="3">
        <v>-7.98</v>
      </c>
      <c r="AL337" s="3">
        <v>-1.254</v>
      </c>
      <c r="AO337" s="3">
        <v>-0.54200000000000004</v>
      </c>
      <c r="AP337" s="3">
        <v>0.23</v>
      </c>
      <c r="AQ337" s="3">
        <v>1.4319999999999999</v>
      </c>
      <c r="AR337" s="3"/>
      <c r="AS337" s="3"/>
      <c r="AT337" s="3"/>
      <c r="AU337" s="3"/>
      <c r="AV337" s="3"/>
      <c r="AW337" s="3"/>
      <c r="AX337" s="3"/>
      <c r="AY337" s="3"/>
      <c r="AZ337" s="3">
        <v>-4.0419999999999998</v>
      </c>
      <c r="BA337" s="3">
        <v>3216</v>
      </c>
      <c r="BB337" s="3">
        <v>12.76</v>
      </c>
      <c r="BC337" s="3">
        <v>2876</v>
      </c>
      <c r="BD337" s="3">
        <v>3220</v>
      </c>
      <c r="BE337" s="3">
        <v>3214</v>
      </c>
      <c r="BF337" s="1">
        <f t="shared" si="238"/>
        <v>277</v>
      </c>
      <c r="BG337" s="3">
        <v>-3.97</v>
      </c>
      <c r="BH337" s="3">
        <v>-1.1559999999999999</v>
      </c>
      <c r="BI337" s="3">
        <v>-1.0089999999999999</v>
      </c>
      <c r="BJ337" s="3">
        <v>-6.4989999999999997</v>
      </c>
      <c r="BK337" s="3">
        <v>-6.69</v>
      </c>
      <c r="BM337" s="17">
        <v>5.28</v>
      </c>
      <c r="BN337" s="17">
        <f t="shared" si="200"/>
        <v>10.665600000000001</v>
      </c>
      <c r="BO337" s="18">
        <f t="shared" si="233"/>
        <v>0.53</v>
      </c>
      <c r="BP337" s="18">
        <f t="shared" si="234"/>
        <v>0.96</v>
      </c>
      <c r="BR337" s="1">
        <f t="shared" si="235"/>
        <v>96</v>
      </c>
      <c r="BS337" s="1">
        <f t="shared" si="236"/>
        <v>88.4</v>
      </c>
      <c r="BT337" s="1">
        <f t="shared" si="237"/>
        <v>70.3</v>
      </c>
      <c r="BU337" s="60">
        <f t="shared" si="192"/>
        <v>0.39400000000000002</v>
      </c>
      <c r="BV337" s="60">
        <f t="shared" si="199"/>
        <v>0.16600000000000001</v>
      </c>
      <c r="CB337" s="17">
        <f t="shared" si="201"/>
        <v>0.53</v>
      </c>
      <c r="CC337" s="17">
        <f t="shared" si="202"/>
        <v>0.96</v>
      </c>
      <c r="CD337" s="3">
        <f t="shared" si="203"/>
        <v>-3.6</v>
      </c>
      <c r="CE337" s="3">
        <f t="shared" si="204"/>
        <v>-3.9</v>
      </c>
      <c r="CF337" s="3">
        <f t="shared" si="205"/>
        <v>-4</v>
      </c>
      <c r="CG337" s="3">
        <f t="shared" si="206"/>
        <v>-0.7</v>
      </c>
      <c r="CH337" s="3">
        <f t="shared" si="207"/>
        <v>-0.3</v>
      </c>
      <c r="CI337" s="3">
        <f t="shared" si="208"/>
        <v>0.5</v>
      </c>
      <c r="CJ337" s="3">
        <f t="shared" si="209"/>
        <v>1.7</v>
      </c>
      <c r="CK337" s="27">
        <f t="shared" si="210"/>
        <v>88.4</v>
      </c>
      <c r="CL337" s="1">
        <f t="shared" si="211"/>
        <v>-1.2</v>
      </c>
      <c r="CM337" s="1">
        <f t="shared" si="212"/>
        <v>0</v>
      </c>
      <c r="CN337" s="1">
        <f t="shared" si="213"/>
        <v>1.8</v>
      </c>
      <c r="CO337" s="1">
        <f t="shared" si="214"/>
        <v>-0.4</v>
      </c>
      <c r="CP337" s="1">
        <f t="shared" si="215"/>
        <v>0</v>
      </c>
      <c r="CQ337" s="1">
        <f t="shared" si="216"/>
        <v>0.8</v>
      </c>
      <c r="CR337" s="1">
        <f t="shared" si="217"/>
        <v>1.9</v>
      </c>
      <c r="CS337" s="2">
        <f t="shared" si="218"/>
        <v>96</v>
      </c>
      <c r="CT337" s="1">
        <f t="shared" si="219"/>
        <v>-5.5</v>
      </c>
      <c r="CU337" s="1">
        <f t="shared" si="220"/>
        <v>-7</v>
      </c>
      <c r="CV337" s="1">
        <f t="shared" si="221"/>
        <v>-8</v>
      </c>
      <c r="CW337" s="1">
        <f t="shared" si="222"/>
        <v>-1.3</v>
      </c>
      <c r="CX337" s="1">
        <f t="shared" si="223"/>
        <v>-0.5</v>
      </c>
      <c r="CY337" s="1">
        <f t="shared" si="224"/>
        <v>0.2</v>
      </c>
      <c r="CZ337" s="1">
        <f t="shared" si="225"/>
        <v>1.4</v>
      </c>
      <c r="DA337" s="2">
        <f t="shared" si="226"/>
        <v>70.3</v>
      </c>
      <c r="DB337" s="20">
        <f t="shared" si="227"/>
        <v>277</v>
      </c>
      <c r="DC337" s="1">
        <f>ROUND(PPTest!K337,1)</f>
        <v>6.1</v>
      </c>
      <c r="DD337" s="17" t="s">
        <v>218</v>
      </c>
      <c r="DE337" s="3">
        <f t="shared" si="228"/>
        <v>3.84</v>
      </c>
      <c r="DF337" s="24">
        <f t="shared" si="229"/>
        <v>0.39400000000000002</v>
      </c>
      <c r="DG337" s="24">
        <f t="shared" si="230"/>
        <v>0.16600000000000001</v>
      </c>
      <c r="DH337" s="17">
        <f t="shared" si="231"/>
        <v>12.76</v>
      </c>
    </row>
    <row r="338" spans="1:112" x14ac:dyDescent="0.2">
      <c r="A338" s="15">
        <f t="shared" si="232"/>
        <v>36857</v>
      </c>
      <c r="B338" s="1">
        <v>332</v>
      </c>
      <c r="C338" s="3">
        <v>0.191</v>
      </c>
      <c r="D338" s="3">
        <v>0.24399999999999999</v>
      </c>
      <c r="E338" s="3">
        <v>-5.306</v>
      </c>
      <c r="F338" s="3">
        <v>107.8</v>
      </c>
      <c r="G338" s="3">
        <v>-5.7080000000000002</v>
      </c>
      <c r="H338" s="3">
        <v>-5.9589999999999996</v>
      </c>
      <c r="I338" s="3">
        <v>-0.93300000000000005</v>
      </c>
      <c r="L338" s="3">
        <v>-0.32</v>
      </c>
      <c r="M338" s="3">
        <v>0.433</v>
      </c>
      <c r="N338" s="3">
        <v>1.609</v>
      </c>
      <c r="Q338" s="3"/>
      <c r="R338" s="3">
        <v>-4.08</v>
      </c>
      <c r="S338" s="3">
        <v>358</v>
      </c>
      <c r="T338" s="3">
        <v>108.6</v>
      </c>
      <c r="U338" s="3">
        <v>507</v>
      </c>
      <c r="V338" s="3">
        <v>-4.2</v>
      </c>
      <c r="W338" s="3">
        <v>-4.2519999999999998</v>
      </c>
      <c r="X338" s="3">
        <v>-0.61</v>
      </c>
      <c r="Y338" s="3"/>
      <c r="AA338" s="3">
        <v>-0.23</v>
      </c>
      <c r="AB338" s="3">
        <v>0.51200000000000001</v>
      </c>
      <c r="AC338" s="3">
        <v>1.6830000000000001</v>
      </c>
      <c r="AD338" s="3">
        <v>4.6500000000000004</v>
      </c>
      <c r="AE338" s="3">
        <v>1212</v>
      </c>
      <c r="AF338" s="3">
        <v>-8.7200000000000006</v>
      </c>
      <c r="AG338" s="3">
        <v>0</v>
      </c>
      <c r="AH338" s="3">
        <v>106.2</v>
      </c>
      <c r="AI338" s="3">
        <v>2352</v>
      </c>
      <c r="AJ338" s="3">
        <v>-10.15</v>
      </c>
      <c r="AK338" s="3">
        <v>-10.91</v>
      </c>
      <c r="AL338" s="3">
        <v>-2.09</v>
      </c>
      <c r="AO338" s="3">
        <v>-0.49299999999999999</v>
      </c>
      <c r="AP338" s="3">
        <v>0.28000000000000003</v>
      </c>
      <c r="AQ338" s="3">
        <v>1.4470000000000001</v>
      </c>
      <c r="AR338" s="3"/>
      <c r="AS338" s="3"/>
      <c r="AT338" s="3"/>
      <c r="AU338" s="3"/>
      <c r="AV338" s="3"/>
      <c r="AW338" s="3"/>
      <c r="AX338" s="3"/>
      <c r="AY338" s="3"/>
      <c r="AZ338" s="3">
        <v>-5.75</v>
      </c>
      <c r="BA338" s="3">
        <v>3202</v>
      </c>
      <c r="BB338" s="3">
        <v>12.76</v>
      </c>
      <c r="BC338" s="3">
        <v>2876</v>
      </c>
      <c r="BD338" s="3">
        <v>3209</v>
      </c>
      <c r="BE338" s="3">
        <v>3199</v>
      </c>
      <c r="BF338" s="1">
        <f t="shared" si="238"/>
        <v>291</v>
      </c>
      <c r="BG338" s="3">
        <v>-5.6079999999999997</v>
      </c>
      <c r="BH338" s="3">
        <v>-4.3760000000000003</v>
      </c>
      <c r="BI338" s="3">
        <v>-4.3789999999999996</v>
      </c>
      <c r="BJ338" s="3">
        <v>-9.85</v>
      </c>
      <c r="BK338" s="3">
        <v>-10.16</v>
      </c>
      <c r="BM338" s="17">
        <v>5.2</v>
      </c>
      <c r="BN338" s="17">
        <f t="shared" si="200"/>
        <v>10.504000000000001</v>
      </c>
      <c r="BO338" s="18">
        <f t="shared" si="233"/>
        <v>0.19</v>
      </c>
      <c r="BP338" s="18">
        <f t="shared" si="234"/>
        <v>0.27</v>
      </c>
      <c r="BR338" s="1">
        <f t="shared" si="235"/>
        <v>97</v>
      </c>
      <c r="BS338" s="1">
        <f t="shared" si="236"/>
        <v>95.7</v>
      </c>
      <c r="BT338" s="1">
        <f t="shared" si="237"/>
        <v>93.2</v>
      </c>
      <c r="BU338" s="60">
        <f t="shared" si="192"/>
        <v>0.42099999999999999</v>
      </c>
      <c r="BV338" s="60">
        <f t="shared" si="199"/>
        <v>3.1E-2</v>
      </c>
      <c r="CB338" s="17">
        <f t="shared" si="201"/>
        <v>0.19</v>
      </c>
      <c r="CC338" s="17">
        <f t="shared" si="202"/>
        <v>0.27</v>
      </c>
      <c r="CD338" s="3">
        <f t="shared" si="203"/>
        <v>-5.3</v>
      </c>
      <c r="CE338" s="3">
        <f t="shared" si="204"/>
        <v>-5.7</v>
      </c>
      <c r="CF338" s="3">
        <f t="shared" si="205"/>
        <v>-6</v>
      </c>
      <c r="CG338" s="3">
        <f t="shared" si="206"/>
        <v>-0.9</v>
      </c>
      <c r="CH338" s="3">
        <f t="shared" si="207"/>
        <v>-0.3</v>
      </c>
      <c r="CI338" s="3">
        <f t="shared" si="208"/>
        <v>0.4</v>
      </c>
      <c r="CJ338" s="3">
        <f t="shared" si="209"/>
        <v>1.6</v>
      </c>
      <c r="CK338" s="27">
        <f t="shared" si="210"/>
        <v>95.7</v>
      </c>
      <c r="CL338" s="1">
        <f t="shared" si="211"/>
        <v>-4.0999999999999996</v>
      </c>
      <c r="CM338" s="1">
        <f t="shared" si="212"/>
        <v>-4.2</v>
      </c>
      <c r="CN338" s="1">
        <f t="shared" si="213"/>
        <v>-4.3</v>
      </c>
      <c r="CO338" s="1">
        <f t="shared" si="214"/>
        <v>-0.6</v>
      </c>
      <c r="CP338" s="1">
        <f t="shared" si="215"/>
        <v>-0.2</v>
      </c>
      <c r="CQ338" s="1">
        <f t="shared" si="216"/>
        <v>0.5</v>
      </c>
      <c r="CR338" s="1">
        <f t="shared" si="217"/>
        <v>1.7</v>
      </c>
      <c r="CS338" s="2">
        <f t="shared" si="218"/>
        <v>97</v>
      </c>
      <c r="CT338" s="1">
        <f t="shared" si="219"/>
        <v>-8.6999999999999993</v>
      </c>
      <c r="CU338" s="1">
        <f t="shared" si="220"/>
        <v>-10.199999999999999</v>
      </c>
      <c r="CV338" s="1">
        <f t="shared" si="221"/>
        <v>-10.9</v>
      </c>
      <c r="CW338" s="1">
        <f t="shared" si="222"/>
        <v>-2.1</v>
      </c>
      <c r="CX338" s="1">
        <f t="shared" si="223"/>
        <v>-0.5</v>
      </c>
      <c r="CY338" s="1">
        <f t="shared" si="224"/>
        <v>0.3</v>
      </c>
      <c r="CZ338" s="1">
        <f t="shared" si="225"/>
        <v>1.4</v>
      </c>
      <c r="DA338" s="2">
        <f t="shared" si="226"/>
        <v>93.2</v>
      </c>
      <c r="DB338" s="20">
        <f t="shared" si="227"/>
        <v>291</v>
      </c>
      <c r="DC338" s="1">
        <f>ROUND(PPTest!K338,1)</f>
        <v>1.8</v>
      </c>
      <c r="DD338" s="17" t="s">
        <v>218</v>
      </c>
      <c r="DE338" s="3">
        <f t="shared" si="228"/>
        <v>4.6500000000000004</v>
      </c>
      <c r="DF338" s="24">
        <f t="shared" si="229"/>
        <v>0.42099999999999999</v>
      </c>
      <c r="DG338" s="24">
        <f t="shared" si="230"/>
        <v>3.1E-2</v>
      </c>
      <c r="DH338" s="17">
        <f t="shared" si="231"/>
        <v>12.76</v>
      </c>
    </row>
    <row r="339" spans="1:112" x14ac:dyDescent="0.2">
      <c r="A339" s="15">
        <f t="shared" si="232"/>
        <v>36858</v>
      </c>
      <c r="B339" s="1">
        <v>333</v>
      </c>
      <c r="C339" s="3">
        <v>2.6349999999999998</v>
      </c>
      <c r="D339" s="3">
        <v>3.431</v>
      </c>
      <c r="E339" s="3">
        <v>-7.2</v>
      </c>
      <c r="F339" s="3">
        <v>97</v>
      </c>
      <c r="G339" s="3">
        <v>-7.9</v>
      </c>
      <c r="H339" s="3">
        <v>-8.23</v>
      </c>
      <c r="I339" s="3">
        <v>-2.4260000000000002</v>
      </c>
      <c r="L339" s="3">
        <v>-0.41599999999999998</v>
      </c>
      <c r="M339" s="3">
        <v>0.39300000000000002</v>
      </c>
      <c r="N339" s="3">
        <v>1.5569999999999999</v>
      </c>
      <c r="Q339" s="3"/>
      <c r="R339" s="3">
        <v>-0.77500000000000002</v>
      </c>
      <c r="S339" s="3">
        <v>1319</v>
      </c>
      <c r="T339" s="3">
        <v>107.1</v>
      </c>
      <c r="U339" s="3">
        <v>209</v>
      </c>
      <c r="V339" s="3">
        <v>0.67100000000000004</v>
      </c>
      <c r="W339" s="3">
        <v>1.9059999999999999</v>
      </c>
      <c r="X339" s="3">
        <v>-1.6359999999999999</v>
      </c>
      <c r="Y339" s="3"/>
      <c r="AA339" s="3">
        <v>-0.14699999999999999</v>
      </c>
      <c r="AB339" s="3">
        <v>0.72399999999999998</v>
      </c>
      <c r="AC339" s="3">
        <v>1.863</v>
      </c>
      <c r="AD339" s="3">
        <v>3.24</v>
      </c>
      <c r="AE339" s="3">
        <v>2157</v>
      </c>
      <c r="AF339" s="3">
        <v>-11.13</v>
      </c>
      <c r="AG339" s="3">
        <v>835</v>
      </c>
      <c r="AH339" s="3">
        <v>70.099999999999994</v>
      </c>
      <c r="AI339" s="3">
        <v>1321</v>
      </c>
      <c r="AJ339" s="3">
        <v>-12.6</v>
      </c>
      <c r="AK339" s="3">
        <v>-13.45</v>
      </c>
      <c r="AL339" s="3">
        <v>-3.4630000000000001</v>
      </c>
      <c r="AO339" s="3">
        <v>-1.0129999999999999</v>
      </c>
      <c r="AP339" s="3">
        <v>-0.192</v>
      </c>
      <c r="AQ339" s="3">
        <v>0.98199999999999998</v>
      </c>
      <c r="AR339" s="3"/>
      <c r="AS339" s="3"/>
      <c r="AT339" s="3"/>
      <c r="AU339" s="3"/>
      <c r="AV339" s="3"/>
      <c r="AW339" s="3"/>
      <c r="AX339" s="3"/>
      <c r="AY339" s="3"/>
      <c r="AZ339" s="3">
        <v>-8.91</v>
      </c>
      <c r="BA339" s="3">
        <v>3221</v>
      </c>
      <c r="BB339" s="3">
        <v>12.75</v>
      </c>
      <c r="BC339" s="3">
        <v>2876</v>
      </c>
      <c r="BD339" s="3">
        <v>3226</v>
      </c>
      <c r="BE339" s="3">
        <v>3216</v>
      </c>
      <c r="BF339" s="1">
        <f t="shared" si="238"/>
        <v>272</v>
      </c>
      <c r="BG339" s="3">
        <v>-8.77</v>
      </c>
      <c r="BH339" s="3">
        <v>-0.92800000000000005</v>
      </c>
      <c r="BI339" s="3">
        <v>-1.244</v>
      </c>
      <c r="BJ339" s="3">
        <v>-12.49</v>
      </c>
      <c r="BK339" s="3">
        <v>-12.81</v>
      </c>
      <c r="BM339" s="17">
        <v>5.13</v>
      </c>
      <c r="BN339" s="17">
        <f t="shared" si="200"/>
        <v>10.3626</v>
      </c>
      <c r="BO339" s="18">
        <f t="shared" si="233"/>
        <v>2.58</v>
      </c>
      <c r="BP339" s="18">
        <f t="shared" si="234"/>
        <v>3.77</v>
      </c>
      <c r="BR339" s="1">
        <f t="shared" si="235"/>
        <v>94.6</v>
      </c>
      <c r="BS339" s="1">
        <f t="shared" si="236"/>
        <v>79.400000000000006</v>
      </c>
      <c r="BT339" s="1">
        <f t="shared" si="237"/>
        <v>55.7</v>
      </c>
      <c r="BU339" s="60">
        <f t="shared" si="192"/>
        <v>0.32100000000000001</v>
      </c>
      <c r="BV339" s="60">
        <f t="shared" si="199"/>
        <v>0.255</v>
      </c>
      <c r="CB339" s="17">
        <f t="shared" si="201"/>
        <v>2.58</v>
      </c>
      <c r="CC339" s="17">
        <f t="shared" si="202"/>
        <v>3.77</v>
      </c>
      <c r="CD339" s="3">
        <f t="shared" si="203"/>
        <v>-7.2</v>
      </c>
      <c r="CE339" s="3">
        <f t="shared" si="204"/>
        <v>-7.9</v>
      </c>
      <c r="CF339" s="3">
        <f t="shared" si="205"/>
        <v>-8.1999999999999993</v>
      </c>
      <c r="CG339" s="3">
        <f t="shared" si="206"/>
        <v>-2.4</v>
      </c>
      <c r="CH339" s="3">
        <f t="shared" si="207"/>
        <v>-0.4</v>
      </c>
      <c r="CI339" s="3">
        <f t="shared" si="208"/>
        <v>0.4</v>
      </c>
      <c r="CJ339" s="3">
        <f t="shared" si="209"/>
        <v>1.6</v>
      </c>
      <c r="CK339" s="27">
        <f t="shared" si="210"/>
        <v>79.400000000000006</v>
      </c>
      <c r="CL339" s="1">
        <f t="shared" si="211"/>
        <v>-0.8</v>
      </c>
      <c r="CM339" s="1">
        <f t="shared" si="212"/>
        <v>0.7</v>
      </c>
      <c r="CN339" s="1">
        <f t="shared" si="213"/>
        <v>1.9</v>
      </c>
      <c r="CO339" s="1">
        <f t="shared" si="214"/>
        <v>-1.6</v>
      </c>
      <c r="CP339" s="1">
        <f t="shared" si="215"/>
        <v>-0.1</v>
      </c>
      <c r="CQ339" s="1">
        <f t="shared" si="216"/>
        <v>0.7</v>
      </c>
      <c r="CR339" s="1">
        <f t="shared" si="217"/>
        <v>1.9</v>
      </c>
      <c r="CS339" s="2">
        <f t="shared" si="218"/>
        <v>94.6</v>
      </c>
      <c r="CT339" s="1">
        <f t="shared" si="219"/>
        <v>-11.1</v>
      </c>
      <c r="CU339" s="1">
        <f t="shared" si="220"/>
        <v>-12.6</v>
      </c>
      <c r="CV339" s="1">
        <f t="shared" si="221"/>
        <v>-13.5</v>
      </c>
      <c r="CW339" s="1">
        <f t="shared" si="222"/>
        <v>-3.5</v>
      </c>
      <c r="CX339" s="1">
        <f t="shared" si="223"/>
        <v>-1</v>
      </c>
      <c r="CY339" s="1">
        <f t="shared" si="224"/>
        <v>-0.2</v>
      </c>
      <c r="CZ339" s="1">
        <f t="shared" si="225"/>
        <v>1</v>
      </c>
      <c r="DA339" s="2">
        <f t="shared" si="226"/>
        <v>55.7</v>
      </c>
      <c r="DB339" s="20">
        <f t="shared" si="227"/>
        <v>272</v>
      </c>
      <c r="DC339" s="1">
        <f>ROUND(PPTest!K339,1)</f>
        <v>0</v>
      </c>
      <c r="DD339" s="17" t="s">
        <v>218</v>
      </c>
      <c r="DE339" s="3">
        <f t="shared" si="228"/>
        <v>3.24</v>
      </c>
      <c r="DF339" s="24">
        <f t="shared" si="229"/>
        <v>0.32100000000000001</v>
      </c>
      <c r="DG339" s="24">
        <f t="shared" si="230"/>
        <v>0.255</v>
      </c>
      <c r="DH339" s="17">
        <f t="shared" si="231"/>
        <v>12.75</v>
      </c>
    </row>
    <row r="340" spans="1:112" x14ac:dyDescent="0.2">
      <c r="A340" s="15">
        <f t="shared" si="232"/>
        <v>36859</v>
      </c>
      <c r="B340" s="1">
        <v>334</v>
      </c>
      <c r="C340" s="3">
        <v>0.56999999999999995</v>
      </c>
      <c r="D340" s="3">
        <v>0.86499999999999999</v>
      </c>
      <c r="E340" s="3">
        <v>-4.8499999999999996</v>
      </c>
      <c r="F340" s="3">
        <v>96.6</v>
      </c>
      <c r="G340" s="3">
        <v>-5.1470000000000002</v>
      </c>
      <c r="H340" s="3">
        <v>-5.3550000000000004</v>
      </c>
      <c r="I340" s="3">
        <v>-1.6339999999999999</v>
      </c>
      <c r="L340" s="3">
        <v>-0.32400000000000001</v>
      </c>
      <c r="M340" s="3">
        <v>0.42799999999999999</v>
      </c>
      <c r="N340" s="3">
        <v>1.5940000000000001</v>
      </c>
      <c r="Q340" s="3"/>
      <c r="R340" s="3">
        <v>-3.367</v>
      </c>
      <c r="S340" s="3">
        <v>1139</v>
      </c>
      <c r="T340" s="3">
        <v>108.3</v>
      </c>
      <c r="U340" s="3">
        <v>2146</v>
      </c>
      <c r="V340" s="3">
        <v>-3.34</v>
      </c>
      <c r="W340" s="3">
        <v>-3.2650000000000001</v>
      </c>
      <c r="X340" s="3">
        <v>-0.89</v>
      </c>
      <c r="Y340" s="3"/>
      <c r="AA340" s="3">
        <v>-0.246</v>
      </c>
      <c r="AB340" s="3">
        <v>0.51800000000000002</v>
      </c>
      <c r="AC340" s="3">
        <v>1.6850000000000001</v>
      </c>
      <c r="AD340" s="3">
        <v>4.9690000000000003</v>
      </c>
      <c r="AE340" s="3">
        <v>1223</v>
      </c>
      <c r="AF340" s="3">
        <v>-6.66</v>
      </c>
      <c r="AG340" s="3">
        <v>51</v>
      </c>
      <c r="AH340" s="3">
        <v>69.959999999999994</v>
      </c>
      <c r="AI340" s="3">
        <v>318</v>
      </c>
      <c r="AJ340" s="3">
        <v>-7.48</v>
      </c>
      <c r="AK340" s="3">
        <v>-7.78</v>
      </c>
      <c r="AL340" s="3">
        <v>-2.2970000000000002</v>
      </c>
      <c r="AO340" s="3">
        <v>-0.40600000000000003</v>
      </c>
      <c r="AP340" s="3">
        <v>0.36099999999999999</v>
      </c>
      <c r="AQ340" s="3">
        <v>1.5369999999999999</v>
      </c>
      <c r="AR340" s="3"/>
      <c r="AS340" s="3"/>
      <c r="AT340" s="3"/>
      <c r="AU340" s="3"/>
      <c r="AV340" s="3"/>
      <c r="AW340" s="3"/>
      <c r="AX340" s="3"/>
      <c r="AY340" s="3"/>
      <c r="AZ340" s="3">
        <v>-5.4249999999999998</v>
      </c>
      <c r="BA340" s="3">
        <v>3135</v>
      </c>
      <c r="BB340" s="3">
        <v>12.76</v>
      </c>
      <c r="BC340" s="3">
        <v>2876</v>
      </c>
      <c r="BD340" s="3">
        <v>3135</v>
      </c>
      <c r="BE340" s="3">
        <v>3135</v>
      </c>
      <c r="BF340" s="1">
        <f t="shared" si="238"/>
        <v>358</v>
      </c>
      <c r="BG340" s="3">
        <v>-5.4240000000000004</v>
      </c>
      <c r="BH340" s="3">
        <v>-4.2930000000000001</v>
      </c>
      <c r="BI340" s="3">
        <v>-4.2679999999999998</v>
      </c>
      <c r="BJ340" s="3">
        <v>-7.82</v>
      </c>
      <c r="BK340" s="3">
        <v>-7.61</v>
      </c>
      <c r="BM340" s="17">
        <v>5.0599999999999996</v>
      </c>
      <c r="BN340" s="17">
        <f t="shared" si="200"/>
        <v>10.2212</v>
      </c>
      <c r="BO340" s="18">
        <f t="shared" si="233"/>
        <v>0.56000000000000005</v>
      </c>
      <c r="BP340" s="18">
        <f t="shared" si="234"/>
        <v>0.95</v>
      </c>
      <c r="BR340" s="1">
        <f t="shared" si="235"/>
        <v>96.5</v>
      </c>
      <c r="BS340" s="1">
        <f t="shared" si="236"/>
        <v>79</v>
      </c>
      <c r="BT340" s="1">
        <f t="shared" si="237"/>
        <v>55.6</v>
      </c>
      <c r="BU340" s="60">
        <f t="shared" si="192"/>
        <v>0.26500000000000001</v>
      </c>
      <c r="BV340" s="60">
        <f t="shared" si="199"/>
        <v>0.21199999999999999</v>
      </c>
      <c r="CB340" s="17">
        <f t="shared" si="201"/>
        <v>0.56000000000000005</v>
      </c>
      <c r="CC340" s="17">
        <f t="shared" si="202"/>
        <v>0.95</v>
      </c>
      <c r="CD340" s="3">
        <f t="shared" si="203"/>
        <v>-4.9000000000000004</v>
      </c>
      <c r="CE340" s="3">
        <f t="shared" si="204"/>
        <v>-5.0999999999999996</v>
      </c>
      <c r="CF340" s="3">
        <f t="shared" si="205"/>
        <v>-5.4</v>
      </c>
      <c r="CG340" s="3">
        <f t="shared" si="206"/>
        <v>-1.6</v>
      </c>
      <c r="CH340" s="3">
        <f t="shared" si="207"/>
        <v>-0.3</v>
      </c>
      <c r="CI340" s="3">
        <f t="shared" si="208"/>
        <v>0.4</v>
      </c>
      <c r="CJ340" s="3">
        <f t="shared" si="209"/>
        <v>1.6</v>
      </c>
      <c r="CK340" s="27">
        <f t="shared" si="210"/>
        <v>79</v>
      </c>
      <c r="CL340" s="1">
        <f t="shared" si="211"/>
        <v>-3.4</v>
      </c>
      <c r="CM340" s="1">
        <f t="shared" si="212"/>
        <v>-3.3</v>
      </c>
      <c r="CN340" s="1">
        <f t="shared" si="213"/>
        <v>-3.3</v>
      </c>
      <c r="CO340" s="1">
        <f t="shared" si="214"/>
        <v>-0.9</v>
      </c>
      <c r="CP340" s="1">
        <f t="shared" si="215"/>
        <v>-0.2</v>
      </c>
      <c r="CQ340" s="1">
        <f t="shared" si="216"/>
        <v>0.5</v>
      </c>
      <c r="CR340" s="1">
        <f t="shared" si="217"/>
        <v>1.7</v>
      </c>
      <c r="CS340" s="2">
        <f t="shared" si="218"/>
        <v>96.5</v>
      </c>
      <c r="CT340" s="1">
        <f t="shared" si="219"/>
        <v>-6.7</v>
      </c>
      <c r="CU340" s="1">
        <f t="shared" si="220"/>
        <v>-7.5</v>
      </c>
      <c r="CV340" s="1">
        <f t="shared" si="221"/>
        <v>-7.8</v>
      </c>
      <c r="CW340" s="1">
        <f t="shared" si="222"/>
        <v>-2.2999999999999998</v>
      </c>
      <c r="CX340" s="1">
        <f t="shared" si="223"/>
        <v>-0.4</v>
      </c>
      <c r="CY340" s="1">
        <f t="shared" si="224"/>
        <v>0.4</v>
      </c>
      <c r="CZ340" s="1">
        <f t="shared" si="225"/>
        <v>1.5</v>
      </c>
      <c r="DA340" s="2">
        <f t="shared" si="226"/>
        <v>55.6</v>
      </c>
      <c r="DB340" s="20">
        <f t="shared" si="227"/>
        <v>358</v>
      </c>
      <c r="DC340" s="1">
        <f>ROUND(PPTest!K340,1)</f>
        <v>11.2</v>
      </c>
      <c r="DD340" s="17" t="s">
        <v>218</v>
      </c>
      <c r="DE340" s="3">
        <f t="shared" si="228"/>
        <v>4.97</v>
      </c>
      <c r="DF340" s="24">
        <f t="shared" si="229"/>
        <v>0.26500000000000001</v>
      </c>
      <c r="DG340" s="24">
        <f t="shared" si="230"/>
        <v>0.21199999999999999</v>
      </c>
      <c r="DH340" s="17">
        <f t="shared" si="231"/>
        <v>12.76</v>
      </c>
    </row>
    <row r="341" spans="1:112" x14ac:dyDescent="0.2">
      <c r="A341" s="15">
        <f t="shared" si="232"/>
        <v>36860</v>
      </c>
      <c r="B341" s="1">
        <v>335</v>
      </c>
      <c r="C341" s="3">
        <v>0.68100000000000005</v>
      </c>
      <c r="D341" s="3">
        <v>1.0629999999999999</v>
      </c>
      <c r="E341" s="3">
        <v>-4.492</v>
      </c>
      <c r="F341" s="3">
        <v>107.8</v>
      </c>
      <c r="G341" s="3">
        <v>-4.8330000000000002</v>
      </c>
      <c r="H341" s="3">
        <v>-4.8860000000000001</v>
      </c>
      <c r="I341" s="3">
        <v>-0.85599999999999998</v>
      </c>
      <c r="L341" s="3">
        <v>-0.29099999999999998</v>
      </c>
      <c r="M341" s="3">
        <v>0.40100000000000002</v>
      </c>
      <c r="N341" s="3">
        <v>1.5640000000000001</v>
      </c>
      <c r="Q341" s="3"/>
      <c r="R341" s="3">
        <v>-1.657</v>
      </c>
      <c r="S341" s="3">
        <v>1210</v>
      </c>
      <c r="T341" s="3">
        <v>109.3</v>
      </c>
      <c r="U341" s="3">
        <v>2336</v>
      </c>
      <c r="V341" s="3">
        <v>-1.8149999999999999</v>
      </c>
      <c r="W341" s="3">
        <v>-0.52400000000000002</v>
      </c>
      <c r="X341" s="3">
        <v>-0.57999999999999996</v>
      </c>
      <c r="Y341" s="3"/>
      <c r="AA341" s="3">
        <v>-0.125</v>
      </c>
      <c r="AB341" s="3">
        <v>0.56699999999999995</v>
      </c>
      <c r="AC341" s="3">
        <v>1.7130000000000001</v>
      </c>
      <c r="AD341" s="3">
        <v>3.2130000000000001</v>
      </c>
      <c r="AE341" s="3">
        <v>1220</v>
      </c>
      <c r="AF341" s="3">
        <v>-6.556</v>
      </c>
      <c r="AG341" s="3">
        <v>624</v>
      </c>
      <c r="AH341" s="3">
        <v>104.2</v>
      </c>
      <c r="AI341" s="3">
        <v>1211</v>
      </c>
      <c r="AJ341" s="3">
        <v>-7.85</v>
      </c>
      <c r="AK341" s="3">
        <v>-8.7100000000000009</v>
      </c>
      <c r="AL341" s="3">
        <v>-1.377</v>
      </c>
      <c r="AO341" s="3">
        <v>-0.52900000000000003</v>
      </c>
      <c r="AP341" s="3">
        <v>0.193</v>
      </c>
      <c r="AQ341" s="3">
        <v>1.355</v>
      </c>
      <c r="AR341" s="3"/>
      <c r="AS341" s="3"/>
      <c r="AT341" s="3"/>
      <c r="AU341" s="3"/>
      <c r="AV341" s="3"/>
      <c r="AW341" s="3"/>
      <c r="AX341" s="3"/>
      <c r="AY341" s="3"/>
      <c r="AZ341" s="3">
        <v>-4.8010000000000002</v>
      </c>
      <c r="BA341" s="3">
        <v>3164</v>
      </c>
      <c r="BB341" s="3">
        <v>12.76</v>
      </c>
      <c r="BC341" s="3">
        <v>2876</v>
      </c>
      <c r="BD341" s="3">
        <v>3169</v>
      </c>
      <c r="BE341" s="3">
        <v>3162</v>
      </c>
      <c r="BF341" s="1">
        <f t="shared" si="238"/>
        <v>329</v>
      </c>
      <c r="BG341" s="3">
        <v>-4.7409999999999997</v>
      </c>
      <c r="BH341" s="3">
        <v>-2.08</v>
      </c>
      <c r="BI341" s="3">
        <v>-1.845</v>
      </c>
      <c r="BJ341" s="3">
        <v>-6.8789999999999996</v>
      </c>
      <c r="BK341" s="3">
        <v>-6.9870000000000001</v>
      </c>
      <c r="BM341" s="17">
        <v>5</v>
      </c>
      <c r="BN341" s="17">
        <f t="shared" si="200"/>
        <v>10.1</v>
      </c>
      <c r="BO341" s="18">
        <f t="shared" si="233"/>
        <v>0.67</v>
      </c>
      <c r="BP341" s="18">
        <f t="shared" si="234"/>
        <v>1.17</v>
      </c>
      <c r="BR341" s="1">
        <f t="shared" si="235"/>
        <v>98.1</v>
      </c>
      <c r="BS341" s="1">
        <f t="shared" si="236"/>
        <v>95.7</v>
      </c>
      <c r="BT341" s="1">
        <f t="shared" si="237"/>
        <v>90</v>
      </c>
      <c r="BU341" s="60">
        <f t="shared" si="192"/>
        <v>0.48699999999999999</v>
      </c>
      <c r="BV341" s="60">
        <f t="shared" si="199"/>
        <v>5.3999999999999999E-2</v>
      </c>
      <c r="CB341" s="17">
        <f t="shared" si="201"/>
        <v>0.67</v>
      </c>
      <c r="CC341" s="17">
        <f t="shared" si="202"/>
        <v>1.17</v>
      </c>
      <c r="CD341" s="3">
        <f t="shared" si="203"/>
        <v>-4.5</v>
      </c>
      <c r="CE341" s="3">
        <f t="shared" si="204"/>
        <v>-4.8</v>
      </c>
      <c r="CF341" s="3">
        <f t="shared" si="205"/>
        <v>-4.9000000000000004</v>
      </c>
      <c r="CG341" s="3">
        <f t="shared" si="206"/>
        <v>-0.9</v>
      </c>
      <c r="CH341" s="3">
        <f t="shared" si="207"/>
        <v>-0.3</v>
      </c>
      <c r="CI341" s="3">
        <f t="shared" si="208"/>
        <v>0.4</v>
      </c>
      <c r="CJ341" s="3">
        <f t="shared" si="209"/>
        <v>1.6</v>
      </c>
      <c r="CK341" s="27">
        <f t="shared" si="210"/>
        <v>95.7</v>
      </c>
      <c r="CL341" s="1">
        <f t="shared" si="211"/>
        <v>-1.7</v>
      </c>
      <c r="CM341" s="1">
        <f t="shared" si="212"/>
        <v>-1.8</v>
      </c>
      <c r="CN341" s="1">
        <f t="shared" si="213"/>
        <v>-0.5</v>
      </c>
      <c r="CO341" s="1">
        <f t="shared" si="214"/>
        <v>-0.6</v>
      </c>
      <c r="CP341" s="1">
        <f t="shared" si="215"/>
        <v>-0.1</v>
      </c>
      <c r="CQ341" s="1">
        <f t="shared" si="216"/>
        <v>0.6</v>
      </c>
      <c r="CR341" s="1">
        <f t="shared" si="217"/>
        <v>1.7</v>
      </c>
      <c r="CS341" s="2">
        <f t="shared" si="218"/>
        <v>98.1</v>
      </c>
      <c r="CT341" s="1">
        <f t="shared" si="219"/>
        <v>-6.6</v>
      </c>
      <c r="CU341" s="1">
        <f t="shared" si="220"/>
        <v>-7.9</v>
      </c>
      <c r="CV341" s="1">
        <f t="shared" si="221"/>
        <v>-8.6999999999999993</v>
      </c>
      <c r="CW341" s="1">
        <f t="shared" si="222"/>
        <v>-1.4</v>
      </c>
      <c r="CX341" s="1">
        <f t="shared" si="223"/>
        <v>-0.5</v>
      </c>
      <c r="CY341" s="1">
        <f t="shared" si="224"/>
        <v>0.2</v>
      </c>
      <c r="CZ341" s="1">
        <f t="shared" si="225"/>
        <v>1.4</v>
      </c>
      <c r="DA341" s="2">
        <f t="shared" si="226"/>
        <v>90</v>
      </c>
      <c r="DB341" s="20">
        <f t="shared" si="227"/>
        <v>329</v>
      </c>
      <c r="DC341" s="1">
        <f>ROUND(PPTest!K341,1)</f>
        <v>0</v>
      </c>
      <c r="DD341" s="17" t="s">
        <v>218</v>
      </c>
      <c r="DE341" s="3">
        <f t="shared" si="228"/>
        <v>3.21</v>
      </c>
      <c r="DF341" s="24">
        <f t="shared" si="229"/>
        <v>0.48699999999999999</v>
      </c>
      <c r="DG341" s="24">
        <f t="shared" si="230"/>
        <v>5.3999999999999999E-2</v>
      </c>
      <c r="DH341" s="17">
        <f t="shared" si="231"/>
        <v>12.76</v>
      </c>
    </row>
    <row r="342" spans="1:112" x14ac:dyDescent="0.2">
      <c r="A342" s="15">
        <f t="shared" si="232"/>
        <v>36861</v>
      </c>
      <c r="B342" s="1">
        <v>336</v>
      </c>
      <c r="C342" s="3">
        <v>1.0680000000000001</v>
      </c>
      <c r="D342" s="3">
        <v>1.536</v>
      </c>
      <c r="E342" s="3">
        <v>-1.5660000000000001</v>
      </c>
      <c r="F342" s="3">
        <v>95</v>
      </c>
      <c r="G342" s="3">
        <v>-1.9850000000000001</v>
      </c>
      <c r="H342" s="3">
        <v>-2.4430000000000001</v>
      </c>
      <c r="I342" s="3">
        <v>-0.70399999999999996</v>
      </c>
      <c r="L342" s="3">
        <v>-0.249</v>
      </c>
      <c r="M342" s="3">
        <v>0.41599999999999998</v>
      </c>
      <c r="N342" s="3">
        <v>1.5720000000000001</v>
      </c>
      <c r="Q342" s="3"/>
      <c r="R342" s="3">
        <v>0.129</v>
      </c>
      <c r="S342" s="3">
        <v>2313</v>
      </c>
      <c r="T342" s="3">
        <v>109.1</v>
      </c>
      <c r="U342" s="3">
        <v>128</v>
      </c>
      <c r="V342" s="3">
        <v>1.4E-2</v>
      </c>
      <c r="W342" s="3">
        <v>0.56799999999999995</v>
      </c>
      <c r="X342" s="3">
        <v>-0.45</v>
      </c>
      <c r="Y342" s="3"/>
      <c r="AA342" s="3">
        <v>-9.2999999999999999E-2</v>
      </c>
      <c r="AB342" s="3">
        <v>0.58099999999999996</v>
      </c>
      <c r="AC342" s="3">
        <v>1.7210000000000001</v>
      </c>
      <c r="AD342" s="3">
        <v>4.7830000000000004</v>
      </c>
      <c r="AE342" s="3">
        <v>2120</v>
      </c>
      <c r="AF342" s="3">
        <v>-6.3170000000000002</v>
      </c>
      <c r="AG342" s="3">
        <v>43</v>
      </c>
      <c r="AH342" s="3">
        <v>83.5</v>
      </c>
      <c r="AI342" s="3">
        <v>2311</v>
      </c>
      <c r="AJ342" s="3">
        <v>-8.23</v>
      </c>
      <c r="AK342" s="3">
        <v>-9.08</v>
      </c>
      <c r="AL342" s="3">
        <v>-1.36</v>
      </c>
      <c r="AO342" s="3">
        <v>-0.501</v>
      </c>
      <c r="AP342" s="3">
        <v>0.19600000000000001</v>
      </c>
      <c r="AQ342" s="3">
        <v>1.3520000000000001</v>
      </c>
      <c r="AR342" s="3"/>
      <c r="AS342" s="3"/>
      <c r="AT342" s="3"/>
      <c r="AU342" s="3"/>
      <c r="AV342" s="3"/>
      <c r="AW342" s="3"/>
      <c r="AX342" s="3"/>
      <c r="AY342" s="3"/>
      <c r="AZ342" s="3">
        <v>-2.948</v>
      </c>
      <c r="BA342" s="3">
        <v>3175</v>
      </c>
      <c r="BB342" s="3">
        <v>12.77</v>
      </c>
      <c r="BC342" s="3">
        <v>2876</v>
      </c>
      <c r="BD342" s="3">
        <v>3181</v>
      </c>
      <c r="BE342" s="3">
        <v>3170</v>
      </c>
      <c r="BF342" s="1">
        <f t="shared" si="238"/>
        <v>318</v>
      </c>
      <c r="BG342" s="3">
        <v>-2.9319999999999999</v>
      </c>
      <c r="BH342" s="3">
        <v>-0.436</v>
      </c>
      <c r="BI342" s="3">
        <v>-0.52400000000000002</v>
      </c>
      <c r="BJ342" s="3">
        <v>-7.9</v>
      </c>
      <c r="BK342" s="3">
        <v>-8.15</v>
      </c>
      <c r="BM342" s="17">
        <v>4.93</v>
      </c>
      <c r="BN342" s="17">
        <f t="shared" si="200"/>
        <v>9.9585999999999988</v>
      </c>
      <c r="BO342" s="18">
        <f t="shared" si="233"/>
        <v>1.05</v>
      </c>
      <c r="BP342" s="18">
        <f t="shared" si="234"/>
        <v>1.69</v>
      </c>
      <c r="BR342" s="1">
        <f t="shared" si="235"/>
        <v>97.8</v>
      </c>
      <c r="BS342" s="1">
        <f t="shared" si="236"/>
        <v>77.599999999999994</v>
      </c>
      <c r="BT342" s="1">
        <f t="shared" si="237"/>
        <v>67.5</v>
      </c>
      <c r="BU342" s="60">
        <f t="shared" si="192"/>
        <v>0.41599999999999998</v>
      </c>
      <c r="BV342" s="60">
        <f t="shared" si="199"/>
        <v>0.2</v>
      </c>
      <c r="CB342" s="17">
        <f t="shared" si="201"/>
        <v>1.05</v>
      </c>
      <c r="CC342" s="17">
        <f t="shared" si="202"/>
        <v>1.69</v>
      </c>
      <c r="CD342" s="3">
        <f t="shared" si="203"/>
        <v>-1.6</v>
      </c>
      <c r="CE342" s="3">
        <f t="shared" si="204"/>
        <v>-2</v>
      </c>
      <c r="CF342" s="3">
        <f t="shared" si="205"/>
        <v>-2.4</v>
      </c>
      <c r="CG342" s="3">
        <f t="shared" si="206"/>
        <v>-0.7</v>
      </c>
      <c r="CH342" s="3">
        <f t="shared" si="207"/>
        <v>-0.2</v>
      </c>
      <c r="CI342" s="3">
        <f t="shared" si="208"/>
        <v>0.4</v>
      </c>
      <c r="CJ342" s="3">
        <f t="shared" si="209"/>
        <v>1.6</v>
      </c>
      <c r="CK342" s="27">
        <f t="shared" si="210"/>
        <v>77.599999999999994</v>
      </c>
      <c r="CL342" s="1">
        <f t="shared" si="211"/>
        <v>0.1</v>
      </c>
      <c r="CM342" s="1">
        <f t="shared" si="212"/>
        <v>0</v>
      </c>
      <c r="CN342" s="1">
        <f t="shared" si="213"/>
        <v>0.6</v>
      </c>
      <c r="CO342" s="1">
        <f t="shared" si="214"/>
        <v>-0.5</v>
      </c>
      <c r="CP342" s="1">
        <f t="shared" si="215"/>
        <v>-0.1</v>
      </c>
      <c r="CQ342" s="1">
        <f t="shared" si="216"/>
        <v>0.6</v>
      </c>
      <c r="CR342" s="1">
        <f t="shared" si="217"/>
        <v>1.7</v>
      </c>
      <c r="CS342" s="2">
        <f t="shared" si="218"/>
        <v>97.8</v>
      </c>
      <c r="CT342" s="1">
        <f t="shared" si="219"/>
        <v>-6.3</v>
      </c>
      <c r="CU342" s="1">
        <f t="shared" si="220"/>
        <v>-8.1999999999999993</v>
      </c>
      <c r="CV342" s="1">
        <f t="shared" si="221"/>
        <v>-9.1</v>
      </c>
      <c r="CW342" s="1">
        <f t="shared" si="222"/>
        <v>-1.4</v>
      </c>
      <c r="CX342" s="1">
        <f t="shared" si="223"/>
        <v>-0.5</v>
      </c>
      <c r="CY342" s="1">
        <f t="shared" si="224"/>
        <v>0.2</v>
      </c>
      <c r="CZ342" s="1">
        <f t="shared" si="225"/>
        <v>1.4</v>
      </c>
      <c r="DA342" s="2">
        <f t="shared" si="226"/>
        <v>67.5</v>
      </c>
      <c r="DB342" s="20">
        <f t="shared" si="227"/>
        <v>318</v>
      </c>
      <c r="DC342" s="1">
        <f>ROUND(PPTest!K342,1)</f>
        <v>0</v>
      </c>
      <c r="DD342" s="17" t="s">
        <v>218</v>
      </c>
      <c r="DE342" s="3">
        <f t="shared" si="228"/>
        <v>4.78</v>
      </c>
      <c r="DF342" s="24">
        <f t="shared" si="229"/>
        <v>0.41599999999999998</v>
      </c>
      <c r="DG342" s="24">
        <f t="shared" si="230"/>
        <v>0.2</v>
      </c>
      <c r="DH342" s="17">
        <f t="shared" si="231"/>
        <v>12.77</v>
      </c>
    </row>
    <row r="343" spans="1:112" x14ac:dyDescent="0.2">
      <c r="A343" s="15">
        <f t="shared" si="232"/>
        <v>36862</v>
      </c>
      <c r="B343" s="1">
        <v>337</v>
      </c>
      <c r="C343" s="3">
        <v>1.06</v>
      </c>
      <c r="D343" s="3">
        <v>1.2869999999999999</v>
      </c>
      <c r="E343" s="3">
        <v>-1.6719999999999999</v>
      </c>
      <c r="F343" s="3">
        <v>103.2</v>
      </c>
      <c r="G343" s="3">
        <v>-1.9890000000000001</v>
      </c>
      <c r="H343" s="3">
        <v>-2.0139999999999998</v>
      </c>
      <c r="I343" s="3">
        <v>-0.40899999999999997</v>
      </c>
      <c r="L343" s="3">
        <v>-0.224</v>
      </c>
      <c r="M343" s="3">
        <v>0.39900000000000002</v>
      </c>
      <c r="N343" s="3">
        <v>1.5429999999999999</v>
      </c>
      <c r="Q343" s="3"/>
      <c r="R343" s="3">
        <v>0.29699999999999999</v>
      </c>
      <c r="S343" s="3">
        <v>1005</v>
      </c>
      <c r="T343" s="3">
        <v>109.4</v>
      </c>
      <c r="U343" s="3">
        <v>2208</v>
      </c>
      <c r="V343" s="3">
        <v>1.0880000000000001</v>
      </c>
      <c r="W343" s="3">
        <v>2.39</v>
      </c>
      <c r="X343" s="3">
        <v>-0.22500000000000001</v>
      </c>
      <c r="Y343" s="3"/>
      <c r="AA343" s="3">
        <v>-3.9E-2</v>
      </c>
      <c r="AB343" s="3">
        <v>0.63200000000000001</v>
      </c>
      <c r="AC343" s="3">
        <v>1.736</v>
      </c>
      <c r="AD343" s="3">
        <v>5.9269999999999996</v>
      </c>
      <c r="AE343" s="3">
        <v>1334</v>
      </c>
      <c r="AF343" s="3">
        <v>-2.6539999999999999</v>
      </c>
      <c r="AG343" s="3">
        <v>0</v>
      </c>
      <c r="AH343" s="3">
        <v>86.6</v>
      </c>
      <c r="AI343" s="3">
        <v>256</v>
      </c>
      <c r="AJ343" s="3">
        <v>-2.984</v>
      </c>
      <c r="AK343" s="3">
        <v>-3.2269999999999999</v>
      </c>
      <c r="AL343" s="3">
        <v>-0.60499999999999998</v>
      </c>
      <c r="AO343" s="3">
        <v>-0.34300000000000003</v>
      </c>
      <c r="AP343" s="3">
        <v>0.29299999999999998</v>
      </c>
      <c r="AQ343" s="3">
        <v>1.448</v>
      </c>
      <c r="AR343" s="3"/>
      <c r="AS343" s="3"/>
      <c r="AT343" s="3"/>
      <c r="AU343" s="3"/>
      <c r="AV343" s="3"/>
      <c r="AW343" s="3"/>
      <c r="AX343" s="3"/>
      <c r="AY343" s="3"/>
      <c r="AZ343" s="3">
        <v>-1.9710000000000001</v>
      </c>
      <c r="BA343" s="3">
        <v>3163</v>
      </c>
      <c r="BB343" s="3">
        <v>12.76</v>
      </c>
      <c r="BC343" s="3">
        <v>2876</v>
      </c>
      <c r="BD343" s="3">
        <v>3164</v>
      </c>
      <c r="BE343" s="3">
        <v>3161</v>
      </c>
      <c r="BF343" s="1">
        <f t="shared" si="238"/>
        <v>330</v>
      </c>
      <c r="BG343" s="3">
        <v>-1.897</v>
      </c>
      <c r="BH343" s="3">
        <v>7.8E-2</v>
      </c>
      <c r="BI343" s="3">
        <v>0.23599999999999999</v>
      </c>
      <c r="BJ343" s="3">
        <v>-2.7229999999999999</v>
      </c>
      <c r="BK343" s="3">
        <v>-2.8119999999999998</v>
      </c>
      <c r="BM343" s="17">
        <v>4.87</v>
      </c>
      <c r="BN343" s="17">
        <f t="shared" si="200"/>
        <v>9.8374000000000006</v>
      </c>
      <c r="BO343" s="18">
        <f t="shared" si="233"/>
        <v>1.04</v>
      </c>
      <c r="BP343" s="18">
        <f t="shared" si="234"/>
        <v>1.42</v>
      </c>
      <c r="BR343" s="1">
        <f t="shared" si="235"/>
        <v>98.2</v>
      </c>
      <c r="BS343" s="1">
        <f t="shared" si="236"/>
        <v>88.4</v>
      </c>
      <c r="BT343" s="1">
        <f t="shared" si="237"/>
        <v>70.2</v>
      </c>
      <c r="BU343" s="60">
        <f t="shared" si="192"/>
        <v>0.438</v>
      </c>
      <c r="BV343" s="60">
        <f t="shared" si="199"/>
        <v>0.186</v>
      </c>
      <c r="CB343" s="17">
        <f t="shared" si="201"/>
        <v>1.04</v>
      </c>
      <c r="CC343" s="17">
        <f t="shared" si="202"/>
        <v>1.42</v>
      </c>
      <c r="CD343" s="3">
        <f t="shared" si="203"/>
        <v>-1.7</v>
      </c>
      <c r="CE343" s="3">
        <f t="shared" si="204"/>
        <v>-2</v>
      </c>
      <c r="CF343" s="3">
        <f t="shared" si="205"/>
        <v>-2</v>
      </c>
      <c r="CG343" s="3">
        <f t="shared" si="206"/>
        <v>-0.4</v>
      </c>
      <c r="CH343" s="3">
        <f t="shared" si="207"/>
        <v>-0.2</v>
      </c>
      <c r="CI343" s="3">
        <f t="shared" si="208"/>
        <v>0.4</v>
      </c>
      <c r="CJ343" s="3">
        <f t="shared" si="209"/>
        <v>1.5</v>
      </c>
      <c r="CK343" s="27">
        <f t="shared" si="210"/>
        <v>88.4</v>
      </c>
      <c r="CL343" s="1">
        <f t="shared" si="211"/>
        <v>0.3</v>
      </c>
      <c r="CM343" s="1">
        <f t="shared" si="212"/>
        <v>1.1000000000000001</v>
      </c>
      <c r="CN343" s="1">
        <f t="shared" si="213"/>
        <v>2.4</v>
      </c>
      <c r="CO343" s="1">
        <f t="shared" si="214"/>
        <v>-0.2</v>
      </c>
      <c r="CP343" s="1">
        <f t="shared" si="215"/>
        <v>0</v>
      </c>
      <c r="CQ343" s="1">
        <f t="shared" si="216"/>
        <v>0.6</v>
      </c>
      <c r="CR343" s="1">
        <f t="shared" si="217"/>
        <v>1.7</v>
      </c>
      <c r="CS343" s="2">
        <f t="shared" si="218"/>
        <v>98.2</v>
      </c>
      <c r="CT343" s="1">
        <f t="shared" si="219"/>
        <v>-2.7</v>
      </c>
      <c r="CU343" s="1">
        <f t="shared" si="220"/>
        <v>-3</v>
      </c>
      <c r="CV343" s="1">
        <f t="shared" si="221"/>
        <v>-3.2</v>
      </c>
      <c r="CW343" s="1">
        <f t="shared" si="222"/>
        <v>-0.6</v>
      </c>
      <c r="CX343" s="1">
        <f t="shared" si="223"/>
        <v>-0.3</v>
      </c>
      <c r="CY343" s="1">
        <f t="shared" si="224"/>
        <v>0.3</v>
      </c>
      <c r="CZ343" s="1">
        <f t="shared" si="225"/>
        <v>1.4</v>
      </c>
      <c r="DA343" s="2">
        <f t="shared" si="226"/>
        <v>70.2</v>
      </c>
      <c r="DB343" s="20">
        <f t="shared" si="227"/>
        <v>330</v>
      </c>
      <c r="DC343" s="1">
        <f>ROUND(PPTest!K343,1)</f>
        <v>1.6</v>
      </c>
      <c r="DD343" s="17" t="s">
        <v>218</v>
      </c>
      <c r="DE343" s="3">
        <f t="shared" si="228"/>
        <v>5.93</v>
      </c>
      <c r="DF343" s="24">
        <f t="shared" si="229"/>
        <v>0.438</v>
      </c>
      <c r="DG343" s="24">
        <f t="shared" si="230"/>
        <v>0.186</v>
      </c>
      <c r="DH343" s="17">
        <f t="shared" si="231"/>
        <v>12.76</v>
      </c>
    </row>
    <row r="344" spans="1:112" x14ac:dyDescent="0.2">
      <c r="A344" s="15">
        <f t="shared" si="232"/>
        <v>36863</v>
      </c>
      <c r="B344" s="1">
        <v>338</v>
      </c>
      <c r="C344" s="3">
        <v>1.92</v>
      </c>
      <c r="D344" s="3">
        <v>2.0750000000000002</v>
      </c>
      <c r="E344" s="3">
        <v>-6.3</v>
      </c>
      <c r="F344" s="3">
        <v>106.4</v>
      </c>
      <c r="G344" s="3">
        <v>-6.9960000000000004</v>
      </c>
      <c r="H344" s="3">
        <v>-7.23</v>
      </c>
      <c r="I344" s="3">
        <v>-1.22</v>
      </c>
      <c r="L344" s="3">
        <v>-0.33500000000000002</v>
      </c>
      <c r="M344" s="3">
        <v>0.314</v>
      </c>
      <c r="N344" s="3">
        <v>1.4410000000000001</v>
      </c>
      <c r="Q344" s="3"/>
      <c r="R344" s="3">
        <v>-0.20599999999999999</v>
      </c>
      <c r="S344" s="3">
        <v>1347</v>
      </c>
      <c r="T344" s="3">
        <v>109.4</v>
      </c>
      <c r="U344" s="3">
        <v>1528</v>
      </c>
      <c r="V344" s="3">
        <v>0.78500000000000003</v>
      </c>
      <c r="W344" s="3">
        <v>2.004</v>
      </c>
      <c r="X344" s="3">
        <v>-0.26</v>
      </c>
      <c r="Y344" s="3"/>
      <c r="AA344" s="3">
        <v>-0.09</v>
      </c>
      <c r="AB344" s="3">
        <v>0.59099999999999997</v>
      </c>
      <c r="AC344" s="3">
        <v>1.645</v>
      </c>
      <c r="AD344" s="3">
        <v>2.8279999999999998</v>
      </c>
      <c r="AE344" s="3">
        <v>25</v>
      </c>
      <c r="AF344" s="3">
        <v>-16.14</v>
      </c>
      <c r="AG344" s="3">
        <v>2344</v>
      </c>
      <c r="AH344" s="3">
        <v>95.3</v>
      </c>
      <c r="AI344" s="3">
        <v>1348</v>
      </c>
      <c r="AJ344" s="3">
        <v>-17.739999999999998</v>
      </c>
      <c r="AK344" s="3">
        <v>-18.04</v>
      </c>
      <c r="AL344" s="3">
        <v>-4.1449999999999996</v>
      </c>
      <c r="AO344" s="3">
        <v>-0.77800000000000002</v>
      </c>
      <c r="AP344" s="3">
        <v>-9.9000000000000005E-2</v>
      </c>
      <c r="AQ344" s="3">
        <v>1.024</v>
      </c>
      <c r="AR344" s="3"/>
      <c r="AS344" s="3"/>
      <c r="AT344" s="3"/>
      <c r="AU344" s="3"/>
      <c r="AV344" s="3"/>
      <c r="AW344" s="3"/>
      <c r="AX344" s="3"/>
      <c r="AY344" s="3"/>
      <c r="AZ344" s="3">
        <v>-6.673</v>
      </c>
      <c r="BA344" s="3">
        <v>3202</v>
      </c>
      <c r="BB344" s="3">
        <v>12.75</v>
      </c>
      <c r="BC344" s="3">
        <v>2876</v>
      </c>
      <c r="BD344" s="3">
        <v>3213</v>
      </c>
      <c r="BE344" s="3">
        <v>3192</v>
      </c>
      <c r="BF344" s="1">
        <f t="shared" si="238"/>
        <v>291</v>
      </c>
      <c r="BG344" s="3">
        <v>-6.3040000000000003</v>
      </c>
      <c r="BH344" s="3">
        <v>-0.435</v>
      </c>
      <c r="BI344" s="3">
        <v>-0.86599999999999999</v>
      </c>
      <c r="BJ344" s="3">
        <v>-17.47</v>
      </c>
      <c r="BK344" s="3">
        <v>-17.77</v>
      </c>
      <c r="BM344" s="17">
        <v>4.82</v>
      </c>
      <c r="BN344" s="17">
        <f t="shared" si="200"/>
        <v>9.7364000000000015</v>
      </c>
      <c r="BO344" s="18">
        <f t="shared" si="233"/>
        <v>1.88</v>
      </c>
      <c r="BP344" s="18">
        <f t="shared" si="234"/>
        <v>2.2799999999999998</v>
      </c>
      <c r="BR344" s="1">
        <f t="shared" si="235"/>
        <v>98.2</v>
      </c>
      <c r="BS344" s="1">
        <f t="shared" si="236"/>
        <v>93.5</v>
      </c>
      <c r="BT344" s="1">
        <f t="shared" si="237"/>
        <v>77.900000000000006</v>
      </c>
      <c r="BU344" s="60">
        <f t="shared" si="192"/>
        <v>0.46800000000000003</v>
      </c>
      <c r="BV344" s="60">
        <f t="shared" si="199"/>
        <v>0.13300000000000001</v>
      </c>
      <c r="CB344" s="17">
        <f t="shared" si="201"/>
        <v>1.88</v>
      </c>
      <c r="CC344" s="17">
        <f t="shared" si="202"/>
        <v>2.2799999999999998</v>
      </c>
      <c r="CD344" s="3">
        <f t="shared" si="203"/>
        <v>-6.3</v>
      </c>
      <c r="CE344" s="3">
        <f t="shared" si="204"/>
        <v>-7</v>
      </c>
      <c r="CF344" s="3">
        <f t="shared" si="205"/>
        <v>-7.2</v>
      </c>
      <c r="CG344" s="3">
        <f t="shared" si="206"/>
        <v>-1.2</v>
      </c>
      <c r="CH344" s="3">
        <f t="shared" si="207"/>
        <v>-0.3</v>
      </c>
      <c r="CI344" s="3">
        <f t="shared" si="208"/>
        <v>0.3</v>
      </c>
      <c r="CJ344" s="3">
        <f t="shared" si="209"/>
        <v>1.4</v>
      </c>
      <c r="CK344" s="27">
        <f t="shared" si="210"/>
        <v>93.5</v>
      </c>
      <c r="CL344" s="1">
        <f t="shared" si="211"/>
        <v>-0.2</v>
      </c>
      <c r="CM344" s="1">
        <f t="shared" si="212"/>
        <v>0.8</v>
      </c>
      <c r="CN344" s="1">
        <f t="shared" si="213"/>
        <v>2</v>
      </c>
      <c r="CO344" s="1">
        <f t="shared" si="214"/>
        <v>-0.3</v>
      </c>
      <c r="CP344" s="1">
        <f t="shared" si="215"/>
        <v>-0.1</v>
      </c>
      <c r="CQ344" s="1">
        <f t="shared" si="216"/>
        <v>0.6</v>
      </c>
      <c r="CR344" s="1">
        <f t="shared" si="217"/>
        <v>1.6</v>
      </c>
      <c r="CS344" s="2">
        <f t="shared" si="218"/>
        <v>98.2</v>
      </c>
      <c r="CT344" s="1">
        <f t="shared" si="219"/>
        <v>-16.100000000000001</v>
      </c>
      <c r="CU344" s="1">
        <f t="shared" si="220"/>
        <v>-17.7</v>
      </c>
      <c r="CV344" s="1">
        <f t="shared" si="221"/>
        <v>-18</v>
      </c>
      <c r="CW344" s="1">
        <f t="shared" si="222"/>
        <v>-4.0999999999999996</v>
      </c>
      <c r="CX344" s="1">
        <f t="shared" si="223"/>
        <v>-0.8</v>
      </c>
      <c r="CY344" s="1">
        <f t="shared" si="224"/>
        <v>-0.1</v>
      </c>
      <c r="CZ344" s="1">
        <f t="shared" si="225"/>
        <v>1</v>
      </c>
      <c r="DA344" s="2">
        <f t="shared" si="226"/>
        <v>77.900000000000006</v>
      </c>
      <c r="DB344" s="20">
        <f t="shared" si="227"/>
        <v>291</v>
      </c>
      <c r="DC344" s="1">
        <f>ROUND(PPTest!K344,1)</f>
        <v>0</v>
      </c>
      <c r="DD344" s="17" t="s">
        <v>218</v>
      </c>
      <c r="DE344" s="3">
        <f t="shared" si="228"/>
        <v>2.83</v>
      </c>
      <c r="DF344" s="24">
        <f t="shared" si="229"/>
        <v>0.46800000000000003</v>
      </c>
      <c r="DG344" s="24">
        <f t="shared" si="230"/>
        <v>0.13300000000000001</v>
      </c>
      <c r="DH344" s="17">
        <f t="shared" si="231"/>
        <v>12.75</v>
      </c>
    </row>
    <row r="345" spans="1:112" x14ac:dyDescent="0.2">
      <c r="A345" s="15">
        <f t="shared" si="232"/>
        <v>36864</v>
      </c>
      <c r="B345" s="1">
        <v>339</v>
      </c>
      <c r="C345" s="3">
        <v>2.4049999999999998</v>
      </c>
      <c r="D345" s="3">
        <v>1.9910000000000001</v>
      </c>
      <c r="E345" s="3">
        <v>-9.4700000000000006</v>
      </c>
      <c r="F345" s="3">
        <v>103.5</v>
      </c>
      <c r="G345" s="3">
        <v>-10.24</v>
      </c>
      <c r="H345" s="3"/>
      <c r="I345" s="3">
        <v>-2.8450000000000002</v>
      </c>
      <c r="L345" s="3">
        <v>-0.38800000000000001</v>
      </c>
      <c r="M345" s="3">
        <v>0.377</v>
      </c>
      <c r="N345" s="3">
        <v>1.502</v>
      </c>
      <c r="Q345" s="3"/>
      <c r="R345" s="3">
        <v>-1.833</v>
      </c>
      <c r="S345" s="3">
        <v>1201</v>
      </c>
      <c r="T345" s="3">
        <v>108.2</v>
      </c>
      <c r="U345" s="3">
        <v>1808</v>
      </c>
      <c r="V345" s="3">
        <v>-3.4790000000000001</v>
      </c>
      <c r="W345" s="3"/>
      <c r="X345" s="3">
        <v>-1.51</v>
      </c>
      <c r="Y345" s="3"/>
      <c r="AA345" s="3">
        <v>-2.8000000000000001E-2</v>
      </c>
      <c r="AB345" s="3">
        <v>0.747</v>
      </c>
      <c r="AC345" s="3">
        <v>1.8819999999999999</v>
      </c>
      <c r="AD345" s="3">
        <v>2.6019999999999999</v>
      </c>
      <c r="AE345" s="3">
        <v>102</v>
      </c>
      <c r="AF345" s="3">
        <v>-16.29</v>
      </c>
      <c r="AG345" s="3">
        <v>21</v>
      </c>
      <c r="AH345" s="3">
        <v>92.5</v>
      </c>
      <c r="AI345" s="3">
        <v>1419</v>
      </c>
      <c r="AJ345" s="3">
        <v>-17.77</v>
      </c>
      <c r="AK345" s="3"/>
      <c r="AL345" s="3">
        <v>-4.5940000000000003</v>
      </c>
      <c r="AO345" s="3">
        <v>-0.57499999999999996</v>
      </c>
      <c r="AP345" s="3">
        <v>0.214</v>
      </c>
      <c r="AQ345" s="3">
        <v>1.341</v>
      </c>
      <c r="AR345" s="3"/>
      <c r="AS345" s="3"/>
      <c r="AT345" s="3"/>
      <c r="AU345" s="3"/>
      <c r="AV345" s="3"/>
      <c r="AW345" s="3"/>
      <c r="AX345" s="3"/>
      <c r="AY345" s="3"/>
      <c r="AZ345" s="3">
        <v>-10.9</v>
      </c>
      <c r="BA345" s="3">
        <v>3199</v>
      </c>
      <c r="BB345" s="3">
        <v>12.74</v>
      </c>
      <c r="BC345" s="3">
        <v>2876</v>
      </c>
      <c r="BD345" s="3">
        <v>3201</v>
      </c>
      <c r="BE345" s="3">
        <v>3197</v>
      </c>
      <c r="BF345" s="1">
        <f t="shared" si="238"/>
        <v>294</v>
      </c>
      <c r="BG345" s="3">
        <v>-10.97</v>
      </c>
      <c r="BH345" s="3">
        <v>-3.7930000000000001</v>
      </c>
      <c r="BI345" s="3">
        <v>-3.9380000000000002</v>
      </c>
      <c r="BJ345" s="3">
        <v>-17.77</v>
      </c>
      <c r="BK345" s="3">
        <v>-17.97</v>
      </c>
      <c r="BM345" s="17">
        <v>4.7699999999999996</v>
      </c>
      <c r="BN345" s="17">
        <f t="shared" si="200"/>
        <v>9.6353999999999989</v>
      </c>
      <c r="BO345" s="18">
        <f t="shared" si="233"/>
        <v>2.36</v>
      </c>
      <c r="BP345" s="18">
        <f t="shared" si="234"/>
        <v>2.19</v>
      </c>
      <c r="BR345" s="1">
        <f t="shared" si="235"/>
        <v>96.3</v>
      </c>
      <c r="BS345" s="1">
        <f t="shared" si="236"/>
        <v>88.9</v>
      </c>
      <c r="BT345" s="1">
        <f t="shared" si="237"/>
        <v>75.400000000000006</v>
      </c>
      <c r="BU345" s="60">
        <f t="shared" si="192"/>
        <v>0.40200000000000002</v>
      </c>
      <c r="BV345" s="60">
        <f t="shared" si="199"/>
        <v>0.13100000000000001</v>
      </c>
      <c r="CB345" s="17">
        <f t="shared" si="201"/>
        <v>2.36</v>
      </c>
      <c r="CC345" s="17">
        <f t="shared" si="202"/>
        <v>2.19</v>
      </c>
      <c r="CD345" s="3">
        <f t="shared" si="203"/>
        <v>-9.5</v>
      </c>
      <c r="CE345" s="3">
        <f t="shared" si="204"/>
        <v>-10.199999999999999</v>
      </c>
      <c r="CF345" s="1" t="s">
        <v>218</v>
      </c>
      <c r="CG345" s="3">
        <f t="shared" si="206"/>
        <v>-2.8</v>
      </c>
      <c r="CH345" s="3">
        <f t="shared" si="207"/>
        <v>-0.4</v>
      </c>
      <c r="CI345" s="3">
        <f t="shared" si="208"/>
        <v>0.4</v>
      </c>
      <c r="CJ345" s="3">
        <f t="shared" si="209"/>
        <v>1.5</v>
      </c>
      <c r="CK345" s="27">
        <f t="shared" si="210"/>
        <v>88.9</v>
      </c>
      <c r="CL345" s="1">
        <f t="shared" si="211"/>
        <v>-1.8</v>
      </c>
      <c r="CM345" s="1">
        <f t="shared" si="212"/>
        <v>-3.5</v>
      </c>
      <c r="CN345" s="1" t="s">
        <v>218</v>
      </c>
      <c r="CO345" s="1">
        <f t="shared" si="214"/>
        <v>-1.5</v>
      </c>
      <c r="CP345" s="1">
        <f t="shared" si="215"/>
        <v>0</v>
      </c>
      <c r="CQ345" s="1">
        <f t="shared" si="216"/>
        <v>0.7</v>
      </c>
      <c r="CR345" s="1">
        <f t="shared" si="217"/>
        <v>1.9</v>
      </c>
      <c r="CS345" s="2">
        <f t="shared" si="218"/>
        <v>96.3</v>
      </c>
      <c r="CT345" s="1">
        <f t="shared" si="219"/>
        <v>-16.3</v>
      </c>
      <c r="CU345" s="1">
        <f t="shared" si="220"/>
        <v>-17.8</v>
      </c>
      <c r="CV345" s="1" t="s">
        <v>218</v>
      </c>
      <c r="CW345" s="1">
        <f t="shared" si="222"/>
        <v>-4.5999999999999996</v>
      </c>
      <c r="CX345" s="1">
        <f t="shared" si="223"/>
        <v>-0.6</v>
      </c>
      <c r="CY345" s="1">
        <f t="shared" si="224"/>
        <v>0.2</v>
      </c>
      <c r="CZ345" s="1">
        <f t="shared" si="225"/>
        <v>1.3</v>
      </c>
      <c r="DA345" s="2">
        <f t="shared" si="226"/>
        <v>75.400000000000006</v>
      </c>
      <c r="DB345" s="20">
        <f t="shared" si="227"/>
        <v>294</v>
      </c>
      <c r="DC345" s="1">
        <f>ROUND(PPTest!K345,1)</f>
        <v>0.4</v>
      </c>
      <c r="DD345" s="17" t="s">
        <v>218</v>
      </c>
      <c r="DE345" s="3">
        <f t="shared" si="228"/>
        <v>2.6</v>
      </c>
      <c r="DF345" s="24">
        <f t="shared" si="229"/>
        <v>0.40200000000000002</v>
      </c>
      <c r="DG345" s="24">
        <f t="shared" si="230"/>
        <v>0.13100000000000001</v>
      </c>
      <c r="DH345" s="17">
        <f t="shared" si="231"/>
        <v>12.74</v>
      </c>
    </row>
    <row r="346" spans="1:112" x14ac:dyDescent="0.2">
      <c r="A346" s="15">
        <f t="shared" si="232"/>
        <v>36865</v>
      </c>
      <c r="B346" s="1">
        <v>340</v>
      </c>
      <c r="C346" s="3">
        <v>2.7240000000000002</v>
      </c>
      <c r="D346" s="3">
        <v>2.0390000000000001</v>
      </c>
      <c r="E346" s="3">
        <v>-6.2050000000000001</v>
      </c>
      <c r="F346" s="3">
        <v>106.5</v>
      </c>
      <c r="G346" s="3">
        <v>-6.7789999999999999</v>
      </c>
      <c r="H346" s="3"/>
      <c r="I346" s="3">
        <v>-1.599</v>
      </c>
      <c r="L346" s="3">
        <v>-0.34699999999999998</v>
      </c>
      <c r="M346" s="3">
        <v>0.35899999999999999</v>
      </c>
      <c r="N346" s="3">
        <v>1.4850000000000001</v>
      </c>
      <c r="Q346" s="3"/>
      <c r="R346" s="3">
        <v>-3.0049999999999999</v>
      </c>
      <c r="S346" s="3">
        <v>1445</v>
      </c>
      <c r="T346" s="3">
        <v>108.7</v>
      </c>
      <c r="U346" s="3">
        <v>1042</v>
      </c>
      <c r="V346" s="3">
        <v>-3.4260000000000002</v>
      </c>
      <c r="W346" s="3"/>
      <c r="X346" s="3">
        <v>-0.97499999999999998</v>
      </c>
      <c r="Y346" s="3"/>
      <c r="AA346" s="3">
        <v>8.9999999999999993E-3</v>
      </c>
      <c r="AB346" s="3">
        <v>0.72299999999999998</v>
      </c>
      <c r="AC346" s="3">
        <v>1.8620000000000001</v>
      </c>
      <c r="AD346" s="3">
        <v>3.0670000000000002</v>
      </c>
      <c r="AE346" s="3">
        <v>1140</v>
      </c>
      <c r="AF346" s="3">
        <v>-12.19</v>
      </c>
      <c r="AG346" s="3">
        <v>813</v>
      </c>
      <c r="AH346" s="3">
        <v>94.8</v>
      </c>
      <c r="AI346" s="3">
        <v>949</v>
      </c>
      <c r="AJ346" s="3">
        <v>-13.46</v>
      </c>
      <c r="AK346" s="3"/>
      <c r="AL346" s="3">
        <v>-3.0030000000000001</v>
      </c>
      <c r="AO346" s="3">
        <v>-0.66300000000000003</v>
      </c>
      <c r="AP346" s="3">
        <v>6.8000000000000005E-2</v>
      </c>
      <c r="AQ346" s="3">
        <v>1.2030000000000001</v>
      </c>
      <c r="AR346" s="3"/>
      <c r="AS346" s="3"/>
      <c r="AT346" s="3"/>
      <c r="AU346" s="3"/>
      <c r="AV346" s="3"/>
      <c r="AW346" s="3"/>
      <c r="AX346" s="3"/>
      <c r="AY346" s="3"/>
      <c r="AZ346" s="3">
        <v>-7.16</v>
      </c>
      <c r="BA346" s="3">
        <v>3199</v>
      </c>
      <c r="BB346" s="3">
        <v>12.75</v>
      </c>
      <c r="BC346" s="3">
        <v>2876</v>
      </c>
      <c r="BD346" s="3">
        <v>3201</v>
      </c>
      <c r="BE346" s="3">
        <v>3198</v>
      </c>
      <c r="BF346" s="1">
        <f t="shared" si="238"/>
        <v>294</v>
      </c>
      <c r="BG346" s="3">
        <v>-7.16</v>
      </c>
      <c r="BH346" s="3">
        <v>-3.3359999999999999</v>
      </c>
      <c r="BI346" s="3">
        <v>-3.34</v>
      </c>
      <c r="BJ346" s="3">
        <v>-13.47</v>
      </c>
      <c r="BK346" s="3">
        <v>-13.68</v>
      </c>
      <c r="BM346" s="17">
        <v>4.71</v>
      </c>
      <c r="BN346" s="17">
        <f t="shared" si="200"/>
        <v>9.5142000000000007</v>
      </c>
      <c r="BO346" s="18">
        <f t="shared" si="233"/>
        <v>2.67</v>
      </c>
      <c r="BP346" s="18">
        <f t="shared" si="234"/>
        <v>2.2400000000000002</v>
      </c>
      <c r="BR346" s="1">
        <f t="shared" si="235"/>
        <v>97.1</v>
      </c>
      <c r="BS346" s="1">
        <f t="shared" si="236"/>
        <v>93.6</v>
      </c>
      <c r="BT346" s="1">
        <f t="shared" si="237"/>
        <v>77.400000000000006</v>
      </c>
      <c r="BU346" s="60">
        <f t="shared" si="192"/>
        <v>0.379</v>
      </c>
      <c r="BV346" s="60">
        <f t="shared" si="199"/>
        <v>0.111</v>
      </c>
      <c r="CB346" s="17">
        <f t="shared" si="201"/>
        <v>2.67</v>
      </c>
      <c r="CC346" s="17">
        <f t="shared" si="202"/>
        <v>2.2400000000000002</v>
      </c>
      <c r="CD346" s="3">
        <f t="shared" si="203"/>
        <v>-6.2</v>
      </c>
      <c r="CE346" s="3">
        <f t="shared" si="204"/>
        <v>-6.8</v>
      </c>
      <c r="CF346" s="1" t="s">
        <v>218</v>
      </c>
      <c r="CG346" s="3">
        <f t="shared" si="206"/>
        <v>-1.6</v>
      </c>
      <c r="CH346" s="3">
        <f t="shared" si="207"/>
        <v>-0.3</v>
      </c>
      <c r="CI346" s="3">
        <f t="shared" si="208"/>
        <v>0.4</v>
      </c>
      <c r="CJ346" s="3">
        <f t="shared" si="209"/>
        <v>1.5</v>
      </c>
      <c r="CK346" s="27">
        <f t="shared" si="210"/>
        <v>93.6</v>
      </c>
      <c r="CL346" s="1">
        <f t="shared" si="211"/>
        <v>-3</v>
      </c>
      <c r="CM346" s="1">
        <f t="shared" si="212"/>
        <v>-3.4</v>
      </c>
      <c r="CN346" s="1" t="s">
        <v>218</v>
      </c>
      <c r="CO346" s="1">
        <f t="shared" si="214"/>
        <v>-1</v>
      </c>
      <c r="CP346" s="1">
        <f t="shared" si="215"/>
        <v>0</v>
      </c>
      <c r="CQ346" s="1">
        <f t="shared" si="216"/>
        <v>0.7</v>
      </c>
      <c r="CR346" s="1">
        <f t="shared" si="217"/>
        <v>1.9</v>
      </c>
      <c r="CS346" s="2">
        <f t="shared" si="218"/>
        <v>97.1</v>
      </c>
      <c r="CT346" s="1">
        <f t="shared" si="219"/>
        <v>-12.2</v>
      </c>
      <c r="CU346" s="1">
        <f t="shared" si="220"/>
        <v>-13.5</v>
      </c>
      <c r="CV346" s="1" t="s">
        <v>218</v>
      </c>
      <c r="CW346" s="1">
        <f t="shared" si="222"/>
        <v>-3</v>
      </c>
      <c r="CX346" s="1">
        <f t="shared" si="223"/>
        <v>-0.7</v>
      </c>
      <c r="CY346" s="1">
        <f t="shared" si="224"/>
        <v>0.1</v>
      </c>
      <c r="CZ346" s="1">
        <f t="shared" si="225"/>
        <v>1.2</v>
      </c>
      <c r="DA346" s="2">
        <f t="shared" si="226"/>
        <v>77.400000000000006</v>
      </c>
      <c r="DB346" s="20">
        <f t="shared" si="227"/>
        <v>294</v>
      </c>
      <c r="DC346" s="1">
        <f>ROUND(PPTest!K346,1)</f>
        <v>0</v>
      </c>
      <c r="DD346" s="17" t="s">
        <v>218</v>
      </c>
      <c r="DE346" s="3">
        <f t="shared" si="228"/>
        <v>3.07</v>
      </c>
      <c r="DF346" s="24">
        <f t="shared" si="229"/>
        <v>0.379</v>
      </c>
      <c r="DG346" s="24">
        <f t="shared" si="230"/>
        <v>0.111</v>
      </c>
      <c r="DH346" s="17">
        <f t="shared" si="231"/>
        <v>12.75</v>
      </c>
    </row>
    <row r="347" spans="1:112" x14ac:dyDescent="0.2">
      <c r="A347" s="15">
        <f t="shared" si="232"/>
        <v>36866</v>
      </c>
      <c r="B347" s="1">
        <v>341</v>
      </c>
      <c r="C347" s="3">
        <v>7.59</v>
      </c>
      <c r="D347" s="3">
        <v>5.5640000000000001</v>
      </c>
      <c r="E347" s="3">
        <v>-4.577</v>
      </c>
      <c r="F347" s="3">
        <v>103.5</v>
      </c>
      <c r="G347" s="3">
        <v>-5.391</v>
      </c>
      <c r="H347" s="3"/>
      <c r="I347" s="3">
        <v>-1.2709999999999999</v>
      </c>
      <c r="L347" s="3">
        <v>-0.35899999999999999</v>
      </c>
      <c r="M347" s="3">
        <v>0.29799999999999999</v>
      </c>
      <c r="N347" s="3">
        <v>1.425</v>
      </c>
      <c r="Q347" s="3"/>
      <c r="R347" s="3">
        <v>1.5469999999999999</v>
      </c>
      <c r="S347" s="3">
        <v>1208</v>
      </c>
      <c r="T347" s="3">
        <v>109.4</v>
      </c>
      <c r="U347" s="3">
        <v>2244</v>
      </c>
      <c r="V347" s="3">
        <v>1.7849999999999999</v>
      </c>
      <c r="W347" s="3"/>
      <c r="X347" s="3">
        <v>-0.68899999999999995</v>
      </c>
      <c r="Y347" s="3"/>
      <c r="AA347" s="3">
        <v>0.14699999999999999</v>
      </c>
      <c r="AB347" s="3">
        <v>0.79900000000000004</v>
      </c>
      <c r="AC347" s="3">
        <v>1.8979999999999999</v>
      </c>
      <c r="AD347" s="3">
        <v>3.3460000000000001</v>
      </c>
      <c r="AE347" s="3">
        <v>1232</v>
      </c>
      <c r="AF347" s="3">
        <v>-8.36</v>
      </c>
      <c r="AG347" s="3">
        <v>721</v>
      </c>
      <c r="AH347" s="3">
        <v>83.2</v>
      </c>
      <c r="AI347" s="3">
        <v>1415</v>
      </c>
      <c r="AJ347" s="3">
        <v>-9.6999999999999993</v>
      </c>
      <c r="AK347" s="3"/>
      <c r="AL347" s="3">
        <v>-1.8480000000000001</v>
      </c>
      <c r="AO347" s="3">
        <v>-0.84899999999999998</v>
      </c>
      <c r="AP347" s="3">
        <v>-0.17100000000000001</v>
      </c>
      <c r="AQ347" s="3">
        <v>0.95799999999999996</v>
      </c>
      <c r="AR347" s="3"/>
      <c r="AS347" s="3"/>
      <c r="AT347" s="3"/>
      <c r="AU347" s="3"/>
      <c r="AV347" s="3"/>
      <c r="AW347" s="3"/>
      <c r="AX347" s="3"/>
      <c r="AY347" s="3"/>
      <c r="AZ347" s="3">
        <v>-5.8090000000000002</v>
      </c>
      <c r="BA347" s="3"/>
      <c r="BB347" s="3">
        <v>12.76</v>
      </c>
      <c r="BC347" s="3">
        <v>2876</v>
      </c>
      <c r="BD347" s="3"/>
      <c r="BE347" s="3">
        <v>3219</v>
      </c>
      <c r="BF347" s="22">
        <v>290</v>
      </c>
      <c r="BG347" s="3">
        <v>-5.6420000000000003</v>
      </c>
      <c r="BH347" s="3">
        <v>1.0269999999999999</v>
      </c>
      <c r="BI347" s="3">
        <v>0.437</v>
      </c>
      <c r="BJ347" s="3">
        <v>-9.76</v>
      </c>
      <c r="BK347" s="3">
        <v>-9.9600000000000009</v>
      </c>
      <c r="BM347" s="17">
        <v>4.67</v>
      </c>
      <c r="BN347" s="17">
        <f t="shared" si="200"/>
        <v>9.4334000000000007</v>
      </c>
      <c r="BO347" s="65">
        <v>4.67</v>
      </c>
      <c r="BP347" s="65">
        <v>9.43</v>
      </c>
      <c r="BR347" s="1">
        <f t="shared" si="235"/>
        <v>98.2</v>
      </c>
      <c r="BS347" s="1">
        <f t="shared" si="236"/>
        <v>88.9</v>
      </c>
      <c r="BT347" s="1">
        <f t="shared" si="237"/>
        <v>67.2</v>
      </c>
      <c r="BU347" s="60">
        <f t="shared" si="192"/>
        <v>0.45900000000000002</v>
      </c>
      <c r="BV347" s="60">
        <f t="shared" si="199"/>
        <v>0.224</v>
      </c>
      <c r="CB347" s="17">
        <f t="shared" si="201"/>
        <v>4.67</v>
      </c>
      <c r="CC347" s="17">
        <f t="shared" si="202"/>
        <v>9.43</v>
      </c>
      <c r="CD347" s="3">
        <f t="shared" si="203"/>
        <v>-4.5999999999999996</v>
      </c>
      <c r="CE347" s="3">
        <f t="shared" si="204"/>
        <v>-5.4</v>
      </c>
      <c r="CF347" s="1" t="s">
        <v>218</v>
      </c>
      <c r="CG347" s="3">
        <f t="shared" si="206"/>
        <v>-1.3</v>
      </c>
      <c r="CH347" s="3">
        <f t="shared" si="207"/>
        <v>-0.4</v>
      </c>
      <c r="CI347" s="3">
        <f t="shared" si="208"/>
        <v>0.3</v>
      </c>
      <c r="CJ347" s="3">
        <f t="shared" si="209"/>
        <v>1.4</v>
      </c>
      <c r="CK347" s="27">
        <f t="shared" si="210"/>
        <v>88.9</v>
      </c>
      <c r="CL347" s="1">
        <f t="shared" si="211"/>
        <v>1.5</v>
      </c>
      <c r="CM347" s="1">
        <f t="shared" si="212"/>
        <v>1.8</v>
      </c>
      <c r="CN347" s="1" t="s">
        <v>218</v>
      </c>
      <c r="CO347" s="1">
        <f t="shared" si="214"/>
        <v>-0.7</v>
      </c>
      <c r="CP347" s="1">
        <f t="shared" si="215"/>
        <v>0.1</v>
      </c>
      <c r="CQ347" s="1">
        <f t="shared" si="216"/>
        <v>0.8</v>
      </c>
      <c r="CR347" s="1">
        <f t="shared" si="217"/>
        <v>1.9</v>
      </c>
      <c r="CS347" s="2">
        <f t="shared" si="218"/>
        <v>98.2</v>
      </c>
      <c r="CT347" s="1">
        <f t="shared" si="219"/>
        <v>-8.4</v>
      </c>
      <c r="CU347" s="1">
        <f t="shared" si="220"/>
        <v>-9.6999999999999993</v>
      </c>
      <c r="CV347" s="1" t="s">
        <v>218</v>
      </c>
      <c r="CW347" s="1">
        <f t="shared" si="222"/>
        <v>-1.8</v>
      </c>
      <c r="CX347" s="1">
        <f t="shared" si="223"/>
        <v>-0.8</v>
      </c>
      <c r="CY347" s="1">
        <f t="shared" si="224"/>
        <v>-0.2</v>
      </c>
      <c r="CZ347" s="1">
        <f t="shared" si="225"/>
        <v>1</v>
      </c>
      <c r="DA347" s="2">
        <f t="shared" si="226"/>
        <v>67.2</v>
      </c>
      <c r="DB347" s="20">
        <f t="shared" si="227"/>
        <v>290</v>
      </c>
      <c r="DC347" s="1">
        <f>ROUND(PPTest!K347,1)</f>
        <v>0</v>
      </c>
      <c r="DD347" s="17" t="s">
        <v>218</v>
      </c>
      <c r="DE347" s="3">
        <f t="shared" si="228"/>
        <v>3.35</v>
      </c>
      <c r="DF347" s="24">
        <f t="shared" si="229"/>
        <v>0.45900000000000002</v>
      </c>
      <c r="DG347" s="24">
        <f t="shared" si="230"/>
        <v>0.224</v>
      </c>
      <c r="DH347" s="17">
        <f t="shared" si="231"/>
        <v>12.76</v>
      </c>
    </row>
    <row r="348" spans="1:112" x14ac:dyDescent="0.2">
      <c r="A348" s="15">
        <f t="shared" si="232"/>
        <v>36867</v>
      </c>
      <c r="B348" s="1">
        <v>342</v>
      </c>
      <c r="C348" s="3">
        <v>2.6219999999999999</v>
      </c>
      <c r="D348" s="3">
        <v>4.3390000000000004</v>
      </c>
      <c r="E348" s="3">
        <v>-8.1199999999999992</v>
      </c>
      <c r="F348" s="3">
        <v>106.7</v>
      </c>
      <c r="G348" s="3">
        <v>-8.75</v>
      </c>
      <c r="H348" s="3"/>
      <c r="I348" s="3">
        <v>-1.6850000000000001</v>
      </c>
      <c r="L348" s="3">
        <v>-0.39800000000000002</v>
      </c>
      <c r="M348" s="3">
        <v>0.28799999999999998</v>
      </c>
      <c r="N348" s="3">
        <v>1.4139999999999999</v>
      </c>
      <c r="Q348" s="3"/>
      <c r="R348" s="3">
        <v>-5.0149999999999997</v>
      </c>
      <c r="S348" s="3">
        <v>548</v>
      </c>
      <c r="T348" s="3">
        <v>109.8</v>
      </c>
      <c r="U348" s="3">
        <v>101</v>
      </c>
      <c r="V348" s="3">
        <v>-5.1849999999999996</v>
      </c>
      <c r="W348" s="3"/>
      <c r="X348" s="3">
        <v>-0.96599999999999997</v>
      </c>
      <c r="Y348" s="3"/>
      <c r="AA348" s="3">
        <v>-7.2999999999999995E-2</v>
      </c>
      <c r="AB348" s="3">
        <v>0.58599999999999997</v>
      </c>
      <c r="AC348" s="3">
        <v>1.7090000000000001</v>
      </c>
      <c r="AD348" s="3">
        <v>2.774</v>
      </c>
      <c r="AE348" s="3">
        <v>58</v>
      </c>
      <c r="AF348" s="3">
        <v>-14.65</v>
      </c>
      <c r="AG348" s="3">
        <v>2135</v>
      </c>
      <c r="AH348" s="3">
        <v>102.6</v>
      </c>
      <c r="AI348" s="3">
        <v>2127</v>
      </c>
      <c r="AJ348" s="3">
        <v>-16.47</v>
      </c>
      <c r="AK348" s="3"/>
      <c r="AL348" s="3">
        <v>-3.6389999999999998</v>
      </c>
      <c r="AO348" s="3">
        <v>-0.83499999999999996</v>
      </c>
      <c r="AP348" s="3">
        <v>-9.7000000000000003E-2</v>
      </c>
      <c r="AQ348" s="3">
        <v>1.0269999999999999</v>
      </c>
      <c r="AR348" s="3"/>
      <c r="AS348" s="3"/>
      <c r="AT348" s="3"/>
      <c r="AU348" s="3"/>
      <c r="AV348" s="3"/>
      <c r="AW348" s="3"/>
      <c r="AX348" s="3"/>
      <c r="AY348" s="3"/>
      <c r="AZ348" s="3">
        <v>-8.6999999999999993</v>
      </c>
      <c r="BA348" s="3">
        <v>3208</v>
      </c>
      <c r="BB348" s="3">
        <v>12.74</v>
      </c>
      <c r="BC348" s="3">
        <v>2876</v>
      </c>
      <c r="BD348" s="3">
        <v>3208</v>
      </c>
      <c r="BE348" s="3">
        <v>3207</v>
      </c>
      <c r="BF348" s="1">
        <f>$BF$1-BA348</f>
        <v>285</v>
      </c>
      <c r="BG348" s="3">
        <v>-8.52</v>
      </c>
      <c r="BH348" s="3">
        <v>-5.4020000000000001</v>
      </c>
      <c r="BI348" s="3">
        <v>-5.3970000000000002</v>
      </c>
      <c r="BJ348" s="3">
        <v>-14.75</v>
      </c>
      <c r="BK348" s="3">
        <v>-15.14</v>
      </c>
      <c r="BM348" s="17">
        <v>4.63</v>
      </c>
      <c r="BN348" s="17">
        <f t="shared" si="200"/>
        <v>9.3526000000000007</v>
      </c>
      <c r="BO348" s="18">
        <f t="shared" si="233"/>
        <v>2.57</v>
      </c>
      <c r="BP348" s="18">
        <f t="shared" si="234"/>
        <v>4.7699999999999996</v>
      </c>
      <c r="BR348" s="1">
        <f t="shared" si="235"/>
        <v>98.9</v>
      </c>
      <c r="BS348" s="1">
        <f t="shared" si="236"/>
        <v>94</v>
      </c>
      <c r="BT348" s="1">
        <f t="shared" si="237"/>
        <v>87.4</v>
      </c>
      <c r="BU348" s="60">
        <f t="shared" si="192"/>
        <v>0.36699999999999999</v>
      </c>
      <c r="BV348" s="60">
        <f t="shared" si="199"/>
        <v>5.2999999999999999E-2</v>
      </c>
      <c r="CB348" s="17">
        <f t="shared" si="201"/>
        <v>2.57</v>
      </c>
      <c r="CC348" s="17">
        <f t="shared" si="202"/>
        <v>4.7699999999999996</v>
      </c>
      <c r="CD348" s="3">
        <f t="shared" si="203"/>
        <v>-8.1</v>
      </c>
      <c r="CE348" s="3">
        <f t="shared" si="204"/>
        <v>-8.8000000000000007</v>
      </c>
      <c r="CF348" s="1" t="s">
        <v>218</v>
      </c>
      <c r="CG348" s="3">
        <f t="shared" si="206"/>
        <v>-1.7</v>
      </c>
      <c r="CH348" s="3">
        <f t="shared" si="207"/>
        <v>-0.4</v>
      </c>
      <c r="CI348" s="3">
        <f t="shared" si="208"/>
        <v>0.3</v>
      </c>
      <c r="CJ348" s="3">
        <f t="shared" si="209"/>
        <v>1.4</v>
      </c>
      <c r="CK348" s="27">
        <f t="shared" si="210"/>
        <v>94</v>
      </c>
      <c r="CL348" s="1">
        <f t="shared" si="211"/>
        <v>-5</v>
      </c>
      <c r="CM348" s="1">
        <f t="shared" si="212"/>
        <v>-5.2</v>
      </c>
      <c r="CN348" s="1" t="s">
        <v>218</v>
      </c>
      <c r="CO348" s="1">
        <f t="shared" si="214"/>
        <v>-1</v>
      </c>
      <c r="CP348" s="1">
        <f t="shared" si="215"/>
        <v>-0.1</v>
      </c>
      <c r="CQ348" s="1">
        <f t="shared" si="216"/>
        <v>0.6</v>
      </c>
      <c r="CR348" s="1">
        <f t="shared" si="217"/>
        <v>1.7</v>
      </c>
      <c r="CS348" s="2">
        <f t="shared" si="218"/>
        <v>98.9</v>
      </c>
      <c r="CT348" s="1">
        <f t="shared" si="219"/>
        <v>-14.7</v>
      </c>
      <c r="CU348" s="1">
        <f t="shared" si="220"/>
        <v>-16.5</v>
      </c>
      <c r="CV348" s="1" t="s">
        <v>218</v>
      </c>
      <c r="CW348" s="1">
        <f t="shared" si="222"/>
        <v>-3.6</v>
      </c>
      <c r="CX348" s="1">
        <f t="shared" si="223"/>
        <v>-0.8</v>
      </c>
      <c r="CY348" s="1">
        <f t="shared" si="224"/>
        <v>-0.1</v>
      </c>
      <c r="CZ348" s="1">
        <f t="shared" si="225"/>
        <v>1</v>
      </c>
      <c r="DA348" s="2">
        <f t="shared" si="226"/>
        <v>87.4</v>
      </c>
      <c r="DB348" s="20">
        <f t="shared" si="227"/>
        <v>285</v>
      </c>
      <c r="DC348" s="1">
        <f>ROUND(PPTest!K348,1)</f>
        <v>0</v>
      </c>
      <c r="DD348" s="17" t="s">
        <v>218</v>
      </c>
      <c r="DE348" s="3">
        <f t="shared" si="228"/>
        <v>2.77</v>
      </c>
      <c r="DF348" s="24">
        <f t="shared" si="229"/>
        <v>0.36699999999999999</v>
      </c>
      <c r="DG348" s="24">
        <f t="shared" si="230"/>
        <v>5.2999999999999999E-2</v>
      </c>
      <c r="DH348" s="17">
        <f t="shared" si="231"/>
        <v>12.74</v>
      </c>
    </row>
    <row r="349" spans="1:112" x14ac:dyDescent="0.2">
      <c r="A349" s="15">
        <f t="shared" si="232"/>
        <v>36868</v>
      </c>
      <c r="B349" s="1">
        <v>343</v>
      </c>
      <c r="C349" s="3">
        <v>1.337</v>
      </c>
      <c r="D349" s="3">
        <v>2.9350000000000001</v>
      </c>
      <c r="E349" s="3">
        <v>-9.1999999999999993</v>
      </c>
      <c r="F349" s="3">
        <v>106</v>
      </c>
      <c r="G349" s="3">
        <v>-9.44</v>
      </c>
      <c r="H349" s="3"/>
      <c r="I349" s="3">
        <v>-2.2160000000000002</v>
      </c>
      <c r="L349" s="3">
        <v>-0.41</v>
      </c>
      <c r="M349" s="3">
        <v>0.313</v>
      </c>
      <c r="N349" s="3">
        <v>1.4410000000000001</v>
      </c>
      <c r="Q349" s="3"/>
      <c r="R349" s="3">
        <v>-4.6210000000000004</v>
      </c>
      <c r="S349" s="3">
        <v>1517</v>
      </c>
      <c r="T349" s="3">
        <v>108.3</v>
      </c>
      <c r="U349" s="3">
        <v>1505</v>
      </c>
      <c r="V349" s="3">
        <v>-4.6970000000000001</v>
      </c>
      <c r="W349" s="3"/>
      <c r="X349" s="3">
        <v>-1.4119999999999999</v>
      </c>
      <c r="Y349" s="3"/>
      <c r="AA349" s="3">
        <v>-0.28299999999999997</v>
      </c>
      <c r="AB349" s="3">
        <v>0.44900000000000001</v>
      </c>
      <c r="AC349" s="3">
        <v>1.573</v>
      </c>
      <c r="AD349" s="3">
        <v>3.2930000000000001</v>
      </c>
      <c r="AE349" s="3">
        <v>1554</v>
      </c>
      <c r="AF349" s="3">
        <v>-13.3</v>
      </c>
      <c r="AG349" s="3">
        <v>1</v>
      </c>
      <c r="AH349" s="3">
        <v>103.5</v>
      </c>
      <c r="AI349" s="3">
        <v>443</v>
      </c>
      <c r="AJ349" s="3">
        <v>-13.44</v>
      </c>
      <c r="AK349" s="3"/>
      <c r="AL349" s="3">
        <v>-3.6629999999999998</v>
      </c>
      <c r="AO349" s="3">
        <v>-0.57399999999999995</v>
      </c>
      <c r="AP349" s="3">
        <v>0.13</v>
      </c>
      <c r="AQ349" s="3">
        <v>1.2589999999999999</v>
      </c>
      <c r="AR349" s="3"/>
      <c r="AS349" s="3"/>
      <c r="AT349" s="3"/>
      <c r="AU349" s="3"/>
      <c r="AV349" s="3"/>
      <c r="AW349" s="3"/>
      <c r="AX349" s="3"/>
      <c r="AY349" s="3"/>
      <c r="AZ349" s="3">
        <v>-9.3800000000000008</v>
      </c>
      <c r="BA349" s="3">
        <v>3204</v>
      </c>
      <c r="BB349" s="3">
        <v>12.74</v>
      </c>
      <c r="BC349" s="3">
        <v>2876</v>
      </c>
      <c r="BD349" s="3">
        <v>3209</v>
      </c>
      <c r="BE349" s="3">
        <v>3202</v>
      </c>
      <c r="BF349" s="1">
        <f>$BF$1-BA349</f>
        <v>289</v>
      </c>
      <c r="BG349" s="3">
        <v>-9.41</v>
      </c>
      <c r="BH349" s="3">
        <v>-5.76</v>
      </c>
      <c r="BI349" s="3">
        <v>-5.681</v>
      </c>
      <c r="BJ349" s="3">
        <v>-13.77</v>
      </c>
      <c r="BK349" s="3">
        <v>-13.67</v>
      </c>
      <c r="BM349" s="17">
        <v>4.59</v>
      </c>
      <c r="BN349" s="17">
        <f t="shared" si="200"/>
        <v>9.2717999999999989</v>
      </c>
      <c r="BO349" s="18">
        <f t="shared" si="233"/>
        <v>1.31</v>
      </c>
      <c r="BP349" s="18">
        <f t="shared" si="234"/>
        <v>3.23</v>
      </c>
      <c r="BR349" s="1">
        <f t="shared" si="235"/>
        <v>96.5</v>
      </c>
      <c r="BS349" s="1">
        <f t="shared" si="236"/>
        <v>92.8</v>
      </c>
      <c r="BT349" s="1">
        <f t="shared" si="237"/>
        <v>88.9</v>
      </c>
      <c r="BU349" s="60">
        <f t="shared" si="192"/>
        <v>0.38500000000000001</v>
      </c>
      <c r="BV349" s="60">
        <f t="shared" si="199"/>
        <v>4.8000000000000001E-2</v>
      </c>
      <c r="CB349" s="17">
        <f t="shared" si="201"/>
        <v>1.31</v>
      </c>
      <c r="CC349" s="17">
        <f t="shared" si="202"/>
        <v>3.23</v>
      </c>
      <c r="CD349" s="3">
        <f t="shared" si="203"/>
        <v>-9.1999999999999993</v>
      </c>
      <c r="CE349" s="3">
        <f t="shared" si="204"/>
        <v>-9.4</v>
      </c>
      <c r="CF349" s="1" t="s">
        <v>218</v>
      </c>
      <c r="CG349" s="3">
        <f t="shared" si="206"/>
        <v>-2.2000000000000002</v>
      </c>
      <c r="CH349" s="3">
        <f t="shared" si="207"/>
        <v>-0.4</v>
      </c>
      <c r="CI349" s="3">
        <f t="shared" si="208"/>
        <v>0.3</v>
      </c>
      <c r="CJ349" s="3">
        <f t="shared" si="209"/>
        <v>1.4</v>
      </c>
      <c r="CK349" s="27">
        <f t="shared" si="210"/>
        <v>92.8</v>
      </c>
      <c r="CL349" s="1">
        <f t="shared" si="211"/>
        <v>-4.5999999999999996</v>
      </c>
      <c r="CM349" s="1">
        <f t="shared" si="212"/>
        <v>-4.7</v>
      </c>
      <c r="CN349" s="1" t="s">
        <v>218</v>
      </c>
      <c r="CO349" s="1">
        <f t="shared" si="214"/>
        <v>-1.4</v>
      </c>
      <c r="CP349" s="1">
        <f t="shared" si="215"/>
        <v>-0.3</v>
      </c>
      <c r="CQ349" s="1">
        <f t="shared" si="216"/>
        <v>0.4</v>
      </c>
      <c r="CR349" s="1">
        <f t="shared" si="217"/>
        <v>1.6</v>
      </c>
      <c r="CS349" s="2">
        <f t="shared" si="218"/>
        <v>96.5</v>
      </c>
      <c r="CT349" s="1">
        <f t="shared" si="219"/>
        <v>-13.3</v>
      </c>
      <c r="CU349" s="1">
        <f t="shared" si="220"/>
        <v>-13.4</v>
      </c>
      <c r="CV349" s="1" t="s">
        <v>218</v>
      </c>
      <c r="CW349" s="1">
        <f t="shared" si="222"/>
        <v>-3.7</v>
      </c>
      <c r="CX349" s="1">
        <f t="shared" si="223"/>
        <v>-0.6</v>
      </c>
      <c r="CY349" s="1">
        <f t="shared" si="224"/>
        <v>0.1</v>
      </c>
      <c r="CZ349" s="1">
        <f t="shared" si="225"/>
        <v>1.3</v>
      </c>
      <c r="DA349" s="2">
        <f t="shared" si="226"/>
        <v>88.9</v>
      </c>
      <c r="DB349" s="20">
        <f t="shared" si="227"/>
        <v>289</v>
      </c>
      <c r="DC349" s="1">
        <f>ROUND(PPTest!K349,1)</f>
        <v>0.5</v>
      </c>
      <c r="DD349" s="17" t="s">
        <v>218</v>
      </c>
      <c r="DE349" s="3">
        <f t="shared" si="228"/>
        <v>3.29</v>
      </c>
      <c r="DF349" s="24">
        <f t="shared" si="229"/>
        <v>0.38500000000000001</v>
      </c>
      <c r="DG349" s="24">
        <f t="shared" si="230"/>
        <v>4.8000000000000001E-2</v>
      </c>
      <c r="DH349" s="17">
        <f t="shared" si="231"/>
        <v>12.74</v>
      </c>
    </row>
    <row r="350" spans="1:112" x14ac:dyDescent="0.2">
      <c r="A350" s="15">
        <f t="shared" si="232"/>
        <v>36869</v>
      </c>
      <c r="B350" s="1">
        <v>344</v>
      </c>
      <c r="C350" s="3">
        <v>0.255</v>
      </c>
      <c r="D350" s="3">
        <v>0.378</v>
      </c>
      <c r="E350" s="3">
        <v>-10.62</v>
      </c>
      <c r="F350" s="3">
        <v>105.3</v>
      </c>
      <c r="G350" s="3">
        <v>-10.98</v>
      </c>
      <c r="H350" s="3"/>
      <c r="I350" s="3">
        <v>-2.0569999999999999</v>
      </c>
      <c r="L350" s="3">
        <v>-0.49</v>
      </c>
      <c r="M350" s="3">
        <v>0.26</v>
      </c>
      <c r="N350" s="3">
        <v>1.3919999999999999</v>
      </c>
      <c r="Q350" s="3"/>
      <c r="R350" s="3">
        <v>-8.73</v>
      </c>
      <c r="S350" s="3">
        <v>15</v>
      </c>
      <c r="T350" s="3">
        <v>106.5</v>
      </c>
      <c r="U350" s="3">
        <v>409</v>
      </c>
      <c r="V350" s="3">
        <v>-8.99</v>
      </c>
      <c r="W350" s="3"/>
      <c r="X350" s="3">
        <v>-1.528</v>
      </c>
      <c r="Y350" s="3"/>
      <c r="AA350" s="3">
        <v>-0.36899999999999999</v>
      </c>
      <c r="AB350" s="3">
        <v>0.32400000000000001</v>
      </c>
      <c r="AC350" s="3">
        <v>1.47</v>
      </c>
      <c r="AD350" s="3">
        <v>2.7210000000000001</v>
      </c>
      <c r="AE350" s="3">
        <v>524</v>
      </c>
      <c r="AF350" s="3">
        <v>-13.71</v>
      </c>
      <c r="AG350" s="3">
        <v>2253</v>
      </c>
      <c r="AH350" s="3">
        <v>103.5</v>
      </c>
      <c r="AI350" s="3">
        <v>2250</v>
      </c>
      <c r="AJ350" s="3">
        <v>-15.22</v>
      </c>
      <c r="AK350" s="3"/>
      <c r="AL350" s="3">
        <v>-3.1160000000000001</v>
      </c>
      <c r="AO350" s="3">
        <v>-0.70799999999999996</v>
      </c>
      <c r="AP350" s="3">
        <v>0.108</v>
      </c>
      <c r="AQ350" s="3">
        <v>1.246</v>
      </c>
      <c r="AR350" s="3"/>
      <c r="AS350" s="3"/>
      <c r="AT350" s="3"/>
      <c r="AU350" s="3"/>
      <c r="AV350" s="3"/>
      <c r="AW350" s="3"/>
      <c r="AX350" s="3"/>
      <c r="AY350" s="3"/>
      <c r="AZ350" s="3">
        <v>-10.59</v>
      </c>
      <c r="BA350" s="3"/>
      <c r="BB350" s="3">
        <v>12.74</v>
      </c>
      <c r="BC350" s="3">
        <v>2876</v>
      </c>
      <c r="BD350" s="3"/>
      <c r="BE350" s="3">
        <v>3166</v>
      </c>
      <c r="BF350" s="22">
        <v>360</v>
      </c>
      <c r="BG350" s="3">
        <v>-10.44</v>
      </c>
      <c r="BH350" s="3">
        <v>-8.57</v>
      </c>
      <c r="BI350" s="3">
        <v>-8.74</v>
      </c>
      <c r="BJ350" s="3">
        <v>-14.06</v>
      </c>
      <c r="BK350" s="3">
        <v>-14.25</v>
      </c>
      <c r="BM350" s="17">
        <v>4.55</v>
      </c>
      <c r="BN350" s="17">
        <f t="shared" si="200"/>
        <v>9.1909999999999989</v>
      </c>
      <c r="BO350" s="18">
        <f t="shared" si="233"/>
        <v>0.25</v>
      </c>
      <c r="BP350" s="18">
        <f t="shared" si="234"/>
        <v>0.42</v>
      </c>
      <c r="BR350" s="1">
        <f t="shared" si="235"/>
        <v>93.6</v>
      </c>
      <c r="BS350" s="1">
        <f t="shared" si="236"/>
        <v>91.7</v>
      </c>
      <c r="BT350" s="1">
        <f t="shared" si="237"/>
        <v>88.9</v>
      </c>
      <c r="BU350" s="60">
        <f t="shared" si="192"/>
        <v>0.28100000000000003</v>
      </c>
      <c r="BV350" s="60">
        <f t="shared" si="199"/>
        <v>3.5000000000000003E-2</v>
      </c>
      <c r="CB350" s="17">
        <f t="shared" si="201"/>
        <v>0.25</v>
      </c>
      <c r="CC350" s="17">
        <f t="shared" si="202"/>
        <v>0.42</v>
      </c>
      <c r="CD350" s="3">
        <f t="shared" si="203"/>
        <v>-10.6</v>
      </c>
      <c r="CE350" s="3">
        <f t="shared" si="204"/>
        <v>-11</v>
      </c>
      <c r="CF350" s="1" t="s">
        <v>218</v>
      </c>
      <c r="CG350" s="3">
        <f t="shared" si="206"/>
        <v>-2.1</v>
      </c>
      <c r="CH350" s="3">
        <f t="shared" si="207"/>
        <v>-0.5</v>
      </c>
      <c r="CI350" s="3">
        <f t="shared" si="208"/>
        <v>0.3</v>
      </c>
      <c r="CJ350" s="3">
        <f t="shared" si="209"/>
        <v>1.4</v>
      </c>
      <c r="CK350" s="27">
        <f t="shared" si="210"/>
        <v>91.7</v>
      </c>
      <c r="CL350" s="1">
        <f t="shared" si="211"/>
        <v>-8.6999999999999993</v>
      </c>
      <c r="CM350" s="1">
        <f t="shared" si="212"/>
        <v>-9</v>
      </c>
      <c r="CN350" s="1" t="s">
        <v>218</v>
      </c>
      <c r="CO350" s="1">
        <f t="shared" si="214"/>
        <v>-1.5</v>
      </c>
      <c r="CP350" s="1">
        <f t="shared" si="215"/>
        <v>-0.4</v>
      </c>
      <c r="CQ350" s="1">
        <f t="shared" si="216"/>
        <v>0.3</v>
      </c>
      <c r="CR350" s="1">
        <f t="shared" si="217"/>
        <v>1.5</v>
      </c>
      <c r="CS350" s="2">
        <f t="shared" si="218"/>
        <v>93.6</v>
      </c>
      <c r="CT350" s="1">
        <f t="shared" si="219"/>
        <v>-13.7</v>
      </c>
      <c r="CU350" s="1">
        <f t="shared" si="220"/>
        <v>-15.2</v>
      </c>
      <c r="CV350" s="1" t="s">
        <v>218</v>
      </c>
      <c r="CW350" s="1">
        <f t="shared" si="222"/>
        <v>-3.1</v>
      </c>
      <c r="CX350" s="1">
        <f t="shared" si="223"/>
        <v>-0.7</v>
      </c>
      <c r="CY350" s="1">
        <f t="shared" si="224"/>
        <v>0.1</v>
      </c>
      <c r="CZ350" s="1">
        <f t="shared" si="225"/>
        <v>1.2</v>
      </c>
      <c r="DA350" s="2">
        <f t="shared" si="226"/>
        <v>88.9</v>
      </c>
      <c r="DB350" s="20">
        <f t="shared" si="227"/>
        <v>360</v>
      </c>
      <c r="DC350" s="1">
        <f>ROUND(PPTest!K350,1)</f>
        <v>9.1999999999999993</v>
      </c>
      <c r="DD350" s="17" t="s">
        <v>218</v>
      </c>
      <c r="DE350" s="3">
        <f t="shared" si="228"/>
        <v>2.72</v>
      </c>
      <c r="DF350" s="24">
        <f t="shared" si="229"/>
        <v>0.28100000000000003</v>
      </c>
      <c r="DG350" s="24">
        <f t="shared" si="230"/>
        <v>3.5000000000000003E-2</v>
      </c>
      <c r="DH350" s="17">
        <f t="shared" si="231"/>
        <v>12.74</v>
      </c>
    </row>
    <row r="351" spans="1:112" x14ac:dyDescent="0.2">
      <c r="A351" s="15">
        <f t="shared" si="232"/>
        <v>36870</v>
      </c>
      <c r="B351" s="1">
        <v>345</v>
      </c>
      <c r="C351" s="3">
        <v>0.51200000000000001</v>
      </c>
      <c r="D351" s="3">
        <v>0.83799999999999997</v>
      </c>
      <c r="E351" s="3">
        <v>-15.92</v>
      </c>
      <c r="F351" s="3">
        <v>101.8</v>
      </c>
      <c r="G351" s="3">
        <v>-16.34</v>
      </c>
      <c r="H351" s="3"/>
      <c r="I351" s="3">
        <v>-4.0389999999999997</v>
      </c>
      <c r="L351" s="3">
        <v>-0.68200000000000005</v>
      </c>
      <c r="M351" s="3">
        <v>0.216</v>
      </c>
      <c r="N351" s="3">
        <v>1.3540000000000001</v>
      </c>
      <c r="Q351" s="3"/>
      <c r="R351" s="3">
        <v>-13.17</v>
      </c>
      <c r="S351" s="3">
        <v>16</v>
      </c>
      <c r="T351" s="3">
        <v>103.9</v>
      </c>
      <c r="U351" s="3">
        <v>25</v>
      </c>
      <c r="V351" s="3">
        <v>-13.4</v>
      </c>
      <c r="W351" s="3"/>
      <c r="X351" s="3">
        <v>-2.8170000000000002</v>
      </c>
      <c r="Y351" s="3"/>
      <c r="AA351" s="3">
        <v>-0.504</v>
      </c>
      <c r="AB351" s="3">
        <v>0.34100000000000003</v>
      </c>
      <c r="AC351" s="3">
        <v>1.4650000000000001</v>
      </c>
      <c r="AD351" s="3">
        <v>1.75</v>
      </c>
      <c r="AE351" s="3">
        <v>944</v>
      </c>
      <c r="AF351" s="3">
        <v>-18.98</v>
      </c>
      <c r="AG351" s="3">
        <v>2100</v>
      </c>
      <c r="AH351" s="3">
        <v>99.7</v>
      </c>
      <c r="AI351" s="3">
        <v>2050</v>
      </c>
      <c r="AJ351" s="3">
        <v>-20.28</v>
      </c>
      <c r="AK351" s="3"/>
      <c r="AL351" s="3">
        <v>-5.2750000000000004</v>
      </c>
      <c r="AO351" s="3">
        <v>-0.94699999999999995</v>
      </c>
      <c r="AP351" s="3">
        <v>8.9999999999999993E-3</v>
      </c>
      <c r="AQ351" s="3">
        <v>1.149</v>
      </c>
      <c r="AR351" s="3"/>
      <c r="AS351" s="3"/>
      <c r="AT351" s="3"/>
      <c r="AU351" s="3"/>
      <c r="AV351" s="3"/>
      <c r="AW351" s="3"/>
      <c r="AX351" s="3"/>
      <c r="AY351" s="3"/>
      <c r="AZ351" s="3">
        <v>-15.85</v>
      </c>
      <c r="BA351" s="3">
        <v>3133</v>
      </c>
      <c r="BB351" s="3">
        <v>12.73</v>
      </c>
      <c r="BC351" s="3">
        <v>2876</v>
      </c>
      <c r="BD351" s="3">
        <v>3134</v>
      </c>
      <c r="BE351" s="3">
        <v>3133</v>
      </c>
      <c r="BF351" s="1">
        <f>$BF$1-BA351</f>
        <v>360</v>
      </c>
      <c r="BG351" s="3">
        <v>-15.71</v>
      </c>
      <c r="BH351" s="3">
        <v>-13.69</v>
      </c>
      <c r="BI351" s="3">
        <v>-13.78</v>
      </c>
      <c r="BJ351" s="3">
        <v>-18.670000000000002</v>
      </c>
      <c r="BK351" s="3">
        <v>-18.84</v>
      </c>
      <c r="BM351" s="17">
        <v>4.5199999999999996</v>
      </c>
      <c r="BN351" s="17">
        <f t="shared" si="200"/>
        <v>9.1303999999999998</v>
      </c>
      <c r="BO351" s="18">
        <f t="shared" si="233"/>
        <v>0.5</v>
      </c>
      <c r="BP351" s="18">
        <f t="shared" si="234"/>
        <v>0.92</v>
      </c>
      <c r="BR351" s="1">
        <f t="shared" si="235"/>
        <v>89.5</v>
      </c>
      <c r="BS351" s="1">
        <f t="shared" si="236"/>
        <v>86.2</v>
      </c>
      <c r="BT351" s="1">
        <f t="shared" si="237"/>
        <v>82.8</v>
      </c>
      <c r="BU351" s="60">
        <f t="shared" si="192"/>
        <v>0.183</v>
      </c>
      <c r="BV351" s="60">
        <f t="shared" si="199"/>
        <v>3.7999999999999999E-2</v>
      </c>
      <c r="CB351" s="17">
        <f t="shared" si="201"/>
        <v>0.5</v>
      </c>
      <c r="CC351" s="17">
        <f t="shared" si="202"/>
        <v>0.92</v>
      </c>
      <c r="CD351" s="3">
        <f t="shared" si="203"/>
        <v>-15.9</v>
      </c>
      <c r="CE351" s="3">
        <f t="shared" si="204"/>
        <v>-16.3</v>
      </c>
      <c r="CF351" s="1" t="s">
        <v>218</v>
      </c>
      <c r="CG351" s="3">
        <f t="shared" si="206"/>
        <v>-4</v>
      </c>
      <c r="CH351" s="3">
        <f t="shared" si="207"/>
        <v>-0.7</v>
      </c>
      <c r="CI351" s="3">
        <f t="shared" si="208"/>
        <v>0.2</v>
      </c>
      <c r="CJ351" s="3">
        <f t="shared" si="209"/>
        <v>1.4</v>
      </c>
      <c r="CK351" s="27">
        <f t="shared" si="210"/>
        <v>86.2</v>
      </c>
      <c r="CL351" s="1">
        <f t="shared" si="211"/>
        <v>-13.2</v>
      </c>
      <c r="CM351" s="1">
        <f t="shared" si="212"/>
        <v>-13.4</v>
      </c>
      <c r="CN351" s="1" t="s">
        <v>218</v>
      </c>
      <c r="CO351" s="1">
        <f t="shared" si="214"/>
        <v>-2.8</v>
      </c>
      <c r="CP351" s="1">
        <f t="shared" si="215"/>
        <v>-0.5</v>
      </c>
      <c r="CQ351" s="1">
        <f t="shared" si="216"/>
        <v>0.3</v>
      </c>
      <c r="CR351" s="1">
        <f t="shared" si="217"/>
        <v>1.5</v>
      </c>
      <c r="CS351" s="2">
        <f t="shared" si="218"/>
        <v>89.5</v>
      </c>
      <c r="CT351" s="1">
        <f t="shared" si="219"/>
        <v>-19</v>
      </c>
      <c r="CU351" s="1">
        <f t="shared" si="220"/>
        <v>-20.3</v>
      </c>
      <c r="CV351" s="1" t="s">
        <v>218</v>
      </c>
      <c r="CW351" s="1">
        <f t="shared" si="222"/>
        <v>-5.3</v>
      </c>
      <c r="CX351" s="1">
        <f t="shared" si="223"/>
        <v>-0.9</v>
      </c>
      <c r="CY351" s="1">
        <f t="shared" si="224"/>
        <v>0</v>
      </c>
      <c r="CZ351" s="1">
        <f t="shared" si="225"/>
        <v>1.1000000000000001</v>
      </c>
      <c r="DA351" s="2">
        <f t="shared" si="226"/>
        <v>82.8</v>
      </c>
      <c r="DB351" s="20">
        <f t="shared" si="227"/>
        <v>360</v>
      </c>
      <c r="DC351" s="1">
        <f>ROUND(PPTest!K351,1)</f>
        <v>0</v>
      </c>
      <c r="DD351" s="17" t="s">
        <v>218</v>
      </c>
      <c r="DE351" s="3">
        <f t="shared" si="228"/>
        <v>1.75</v>
      </c>
      <c r="DF351" s="24">
        <f t="shared" si="229"/>
        <v>0.183</v>
      </c>
      <c r="DG351" s="24">
        <f t="shared" si="230"/>
        <v>3.7999999999999999E-2</v>
      </c>
      <c r="DH351" s="17">
        <f t="shared" si="231"/>
        <v>12.73</v>
      </c>
    </row>
    <row r="352" spans="1:112" x14ac:dyDescent="0.2">
      <c r="A352" s="15">
        <f t="shared" si="232"/>
        <v>36871</v>
      </c>
      <c r="B352" s="1">
        <v>346</v>
      </c>
      <c r="C352" s="3">
        <v>1.137</v>
      </c>
      <c r="D352" s="3">
        <v>1.7010000000000001</v>
      </c>
      <c r="E352" s="3">
        <v>-20.32</v>
      </c>
      <c r="F352" s="3">
        <v>98.4</v>
      </c>
      <c r="G352" s="3">
        <v>-21.51</v>
      </c>
      <c r="H352" s="3"/>
      <c r="I352" s="3">
        <v>-6.7649999999999997</v>
      </c>
      <c r="L352" s="3">
        <v>-1.038</v>
      </c>
      <c r="M352" s="3">
        <v>0.01</v>
      </c>
      <c r="N352" s="3">
        <v>1.169</v>
      </c>
      <c r="Q352" s="3"/>
      <c r="R352" s="3">
        <v>-9.59</v>
      </c>
      <c r="S352" s="3">
        <v>1155</v>
      </c>
      <c r="T352" s="3">
        <v>103.8</v>
      </c>
      <c r="U352" s="3">
        <v>1153</v>
      </c>
      <c r="V352" s="3">
        <v>-15.39</v>
      </c>
      <c r="W352" s="3"/>
      <c r="X352" s="3">
        <v>-4.6619999999999999</v>
      </c>
      <c r="Y352" s="3"/>
      <c r="AA352" s="3">
        <v>-0.61499999999999999</v>
      </c>
      <c r="AB352" s="3">
        <v>0.44400000000000001</v>
      </c>
      <c r="AC352" s="3">
        <v>1.512</v>
      </c>
      <c r="AD352" s="3">
        <v>1.272</v>
      </c>
      <c r="AE352" s="3">
        <v>1234</v>
      </c>
      <c r="AF352" s="3">
        <v>-25.5</v>
      </c>
      <c r="AG352" s="3">
        <v>2019</v>
      </c>
      <c r="AH352" s="3">
        <v>94.8</v>
      </c>
      <c r="AI352" s="3">
        <v>2003</v>
      </c>
      <c r="AJ352" s="3">
        <v>-27.18</v>
      </c>
      <c r="AK352" s="3"/>
      <c r="AL352" s="3">
        <v>-8.9499999999999993</v>
      </c>
      <c r="AO352" s="3">
        <v>-1.3819999999999999</v>
      </c>
      <c r="AP352" s="3">
        <v>-0.30299999999999999</v>
      </c>
      <c r="AQ352" s="3">
        <v>0.84599999999999997</v>
      </c>
      <c r="AR352" s="3"/>
      <c r="AS352" s="3"/>
      <c r="AT352" s="3"/>
      <c r="AU352" s="3"/>
      <c r="AV352" s="3"/>
      <c r="AW352" s="3"/>
      <c r="AX352" s="3"/>
      <c r="AY352" s="3"/>
      <c r="AZ352" s="3">
        <v>-21.24</v>
      </c>
      <c r="BA352" s="3">
        <v>3132</v>
      </c>
      <c r="BB352" s="3">
        <v>12.7</v>
      </c>
      <c r="BC352" s="3">
        <v>2876</v>
      </c>
      <c r="BD352" s="3">
        <v>3134</v>
      </c>
      <c r="BE352" s="3">
        <v>3131</v>
      </c>
      <c r="BF352" s="1">
        <f>$BF$1-BA352</f>
        <v>361</v>
      </c>
      <c r="BG352" s="3">
        <v>-21.01</v>
      </c>
      <c r="BH352" s="3">
        <v>-15.87</v>
      </c>
      <c r="BI352" s="3">
        <v>-15.89</v>
      </c>
      <c r="BJ352" s="3">
        <v>-26.79</v>
      </c>
      <c r="BK352" s="3">
        <v>-27</v>
      </c>
      <c r="BM352" s="17">
        <v>4.49</v>
      </c>
      <c r="BN352" s="17">
        <f t="shared" si="200"/>
        <v>9.0698000000000008</v>
      </c>
      <c r="BO352" s="18">
        <f t="shared" si="233"/>
        <v>1.1100000000000001</v>
      </c>
      <c r="BP352" s="18">
        <f t="shared" si="234"/>
        <v>1.87</v>
      </c>
      <c r="BR352" s="1">
        <f t="shared" si="235"/>
        <v>89.3</v>
      </c>
      <c r="BS352" s="1">
        <f t="shared" si="236"/>
        <v>80.599999999999994</v>
      </c>
      <c r="BT352" s="1">
        <f t="shared" si="237"/>
        <v>77.400000000000006</v>
      </c>
      <c r="BU352" s="60">
        <f t="shared" si="192"/>
        <v>0.22800000000000001</v>
      </c>
      <c r="BV352" s="60">
        <f t="shared" si="199"/>
        <v>6.7000000000000004E-2</v>
      </c>
      <c r="CB352" s="17">
        <f t="shared" si="201"/>
        <v>1.1100000000000001</v>
      </c>
      <c r="CC352" s="17">
        <f t="shared" si="202"/>
        <v>1.87</v>
      </c>
      <c r="CD352" s="3">
        <f t="shared" si="203"/>
        <v>-20.3</v>
      </c>
      <c r="CE352" s="3">
        <f t="shared" si="204"/>
        <v>-21.5</v>
      </c>
      <c r="CF352" s="1" t="s">
        <v>218</v>
      </c>
      <c r="CG352" s="3">
        <f t="shared" si="206"/>
        <v>-6.8</v>
      </c>
      <c r="CH352" s="3">
        <f t="shared" si="207"/>
        <v>-1</v>
      </c>
      <c r="CI352" s="3">
        <f t="shared" si="208"/>
        <v>0</v>
      </c>
      <c r="CJ352" s="3">
        <f t="shared" si="209"/>
        <v>1.2</v>
      </c>
      <c r="CK352" s="27">
        <f t="shared" si="210"/>
        <v>80.599999999999994</v>
      </c>
      <c r="CL352" s="1">
        <f t="shared" si="211"/>
        <v>-9.6</v>
      </c>
      <c r="CM352" s="1">
        <f t="shared" si="212"/>
        <v>-15.4</v>
      </c>
      <c r="CN352" s="1" t="s">
        <v>218</v>
      </c>
      <c r="CO352" s="1">
        <f t="shared" si="214"/>
        <v>-4.7</v>
      </c>
      <c r="CP352" s="1">
        <f t="shared" si="215"/>
        <v>-0.6</v>
      </c>
      <c r="CQ352" s="1">
        <f t="shared" si="216"/>
        <v>0.4</v>
      </c>
      <c r="CR352" s="1">
        <f t="shared" si="217"/>
        <v>1.5</v>
      </c>
      <c r="CS352" s="2">
        <f t="shared" si="218"/>
        <v>89.3</v>
      </c>
      <c r="CT352" s="1">
        <f t="shared" si="219"/>
        <v>-25.5</v>
      </c>
      <c r="CU352" s="1">
        <f t="shared" si="220"/>
        <v>-27.2</v>
      </c>
      <c r="CV352" s="1" t="s">
        <v>218</v>
      </c>
      <c r="CW352" s="1">
        <f t="shared" si="222"/>
        <v>-9</v>
      </c>
      <c r="CX352" s="1">
        <f t="shared" si="223"/>
        <v>-1.4</v>
      </c>
      <c r="CY352" s="1">
        <f t="shared" si="224"/>
        <v>-0.3</v>
      </c>
      <c r="CZ352" s="1">
        <f t="shared" si="225"/>
        <v>0.8</v>
      </c>
      <c r="DA352" s="2">
        <f t="shared" si="226"/>
        <v>77.400000000000006</v>
      </c>
      <c r="DB352" s="20">
        <f t="shared" si="227"/>
        <v>361</v>
      </c>
      <c r="DC352" s="1">
        <f>ROUND(PPTest!K352,1)</f>
        <v>0.1</v>
      </c>
      <c r="DD352" s="17" t="s">
        <v>218</v>
      </c>
      <c r="DE352" s="3">
        <f t="shared" si="228"/>
        <v>1.27</v>
      </c>
      <c r="DF352" s="24">
        <f t="shared" si="229"/>
        <v>0.22800000000000001</v>
      </c>
      <c r="DG352" s="24">
        <f t="shared" si="230"/>
        <v>6.7000000000000004E-2</v>
      </c>
      <c r="DH352" s="17">
        <f t="shared" si="231"/>
        <v>12.7</v>
      </c>
    </row>
    <row r="353" spans="1:112" x14ac:dyDescent="0.2">
      <c r="A353" s="15">
        <f t="shared" si="232"/>
        <v>36872</v>
      </c>
      <c r="B353" s="1">
        <v>347</v>
      </c>
      <c r="C353" s="3">
        <v>0.61599999999999999</v>
      </c>
      <c r="D353" s="3">
        <v>0.99099999999999999</v>
      </c>
      <c r="E353" s="3">
        <v>-20.63</v>
      </c>
      <c r="F353" s="3">
        <v>98.4</v>
      </c>
      <c r="G353" s="3">
        <v>-21.23</v>
      </c>
      <c r="H353" s="3"/>
      <c r="I353" s="3">
        <v>-6.8970000000000002</v>
      </c>
      <c r="L353" s="3">
        <v>-1.1120000000000001</v>
      </c>
      <c r="M353" s="3">
        <v>0</v>
      </c>
      <c r="N353" s="3">
        <v>1.196</v>
      </c>
      <c r="Q353" s="3"/>
      <c r="R353" s="3">
        <v>-14.29</v>
      </c>
      <c r="S353" s="3">
        <v>1248</v>
      </c>
      <c r="T353" s="3">
        <v>101.3</v>
      </c>
      <c r="U353" s="3">
        <v>1244</v>
      </c>
      <c r="V353" s="3">
        <v>-15.84</v>
      </c>
      <c r="W353" s="3"/>
      <c r="X353" s="3">
        <v>-5.3840000000000003</v>
      </c>
      <c r="Y353" s="3"/>
      <c r="AA353" s="3">
        <v>-0.74399999999999999</v>
      </c>
      <c r="AB353" s="3">
        <v>0.33800000000000002</v>
      </c>
      <c r="AC353" s="3">
        <v>1.536</v>
      </c>
      <c r="AD353" s="3">
        <v>1.524</v>
      </c>
      <c r="AE353" s="3">
        <v>1809</v>
      </c>
      <c r="AF353" s="3">
        <v>-26.07</v>
      </c>
      <c r="AG353" s="3">
        <v>612</v>
      </c>
      <c r="AH353" s="3">
        <v>93.6</v>
      </c>
      <c r="AI353" s="3">
        <v>606</v>
      </c>
      <c r="AJ353" s="3">
        <v>-27.14</v>
      </c>
      <c r="AK353" s="3"/>
      <c r="AL353" s="3">
        <v>-9.17</v>
      </c>
      <c r="AO353" s="3">
        <v>-1.486</v>
      </c>
      <c r="AP353" s="3">
        <v>-0.30299999999999999</v>
      </c>
      <c r="AQ353" s="3">
        <v>0.90100000000000002</v>
      </c>
      <c r="AR353" s="3"/>
      <c r="AS353" s="3"/>
      <c r="AT353" s="3"/>
      <c r="AU353" s="3"/>
      <c r="AV353" s="3"/>
      <c r="AW353" s="3"/>
      <c r="AX353" s="3"/>
      <c r="AY353" s="3"/>
      <c r="AZ353" s="3">
        <v>-20.9</v>
      </c>
      <c r="BA353" s="3">
        <v>3128</v>
      </c>
      <c r="BB353" s="3">
        <v>12.69</v>
      </c>
      <c r="BC353" s="3">
        <v>2876</v>
      </c>
      <c r="BD353" s="3">
        <v>3131</v>
      </c>
      <c r="BE353" s="3">
        <v>3127</v>
      </c>
      <c r="BF353" s="1">
        <f>$BF$1-BA353</f>
        <v>365</v>
      </c>
      <c r="BG353" s="3">
        <v>-20.85</v>
      </c>
      <c r="BH353" s="3">
        <v>-15.87</v>
      </c>
      <c r="BI353" s="3">
        <v>-15.7</v>
      </c>
      <c r="BJ353" s="3">
        <v>-25.81</v>
      </c>
      <c r="BK353" s="3">
        <v>-25.98</v>
      </c>
      <c r="BM353" s="17">
        <v>4.47</v>
      </c>
      <c r="BN353" s="17">
        <f t="shared" si="200"/>
        <v>9.029399999999999</v>
      </c>
      <c r="BO353" s="18">
        <f t="shared" si="233"/>
        <v>0.6</v>
      </c>
      <c r="BP353" s="18">
        <f t="shared" si="234"/>
        <v>1.0900000000000001</v>
      </c>
      <c r="BR353" s="1">
        <f t="shared" si="235"/>
        <v>85.4</v>
      </c>
      <c r="BS353" s="1">
        <f t="shared" si="236"/>
        <v>80.599999999999994</v>
      </c>
      <c r="BT353" s="1">
        <f t="shared" si="237"/>
        <v>76.400000000000006</v>
      </c>
      <c r="BU353" s="60">
        <f t="shared" si="192"/>
        <v>0.154</v>
      </c>
      <c r="BV353" s="60">
        <f t="shared" si="199"/>
        <v>4.8000000000000001E-2</v>
      </c>
      <c r="CB353" s="17">
        <f t="shared" si="201"/>
        <v>0.6</v>
      </c>
      <c r="CC353" s="17">
        <f t="shared" si="202"/>
        <v>1.0900000000000001</v>
      </c>
      <c r="CD353" s="3">
        <f t="shared" si="203"/>
        <v>-20.6</v>
      </c>
      <c r="CE353" s="3">
        <f t="shared" si="204"/>
        <v>-21.2</v>
      </c>
      <c r="CF353" s="1" t="s">
        <v>218</v>
      </c>
      <c r="CG353" s="3">
        <f t="shared" si="206"/>
        <v>-6.9</v>
      </c>
      <c r="CH353" s="3">
        <f t="shared" si="207"/>
        <v>-1.1000000000000001</v>
      </c>
      <c r="CI353" s="3">
        <f t="shared" si="208"/>
        <v>0</v>
      </c>
      <c r="CJ353" s="3">
        <f t="shared" si="209"/>
        <v>1.2</v>
      </c>
      <c r="CK353" s="27">
        <f t="shared" si="210"/>
        <v>80.599999999999994</v>
      </c>
      <c r="CL353" s="1">
        <f t="shared" si="211"/>
        <v>-14.3</v>
      </c>
      <c r="CM353" s="1">
        <f t="shared" si="212"/>
        <v>-15.8</v>
      </c>
      <c r="CN353" s="1" t="s">
        <v>218</v>
      </c>
      <c r="CO353" s="1">
        <f t="shared" si="214"/>
        <v>-5.4</v>
      </c>
      <c r="CP353" s="1">
        <f t="shared" si="215"/>
        <v>-0.7</v>
      </c>
      <c r="CQ353" s="1">
        <f t="shared" si="216"/>
        <v>0.3</v>
      </c>
      <c r="CR353" s="1">
        <f t="shared" si="217"/>
        <v>1.5</v>
      </c>
      <c r="CS353" s="2">
        <f t="shared" si="218"/>
        <v>85.4</v>
      </c>
      <c r="CT353" s="1">
        <f t="shared" si="219"/>
        <v>-26.1</v>
      </c>
      <c r="CU353" s="1">
        <f t="shared" si="220"/>
        <v>-27.1</v>
      </c>
      <c r="CV353" s="1" t="s">
        <v>218</v>
      </c>
      <c r="CW353" s="1">
        <f t="shared" si="222"/>
        <v>-9.1999999999999993</v>
      </c>
      <c r="CX353" s="1">
        <f t="shared" si="223"/>
        <v>-1.5</v>
      </c>
      <c r="CY353" s="1">
        <f t="shared" si="224"/>
        <v>-0.3</v>
      </c>
      <c r="CZ353" s="1">
        <f t="shared" si="225"/>
        <v>0.9</v>
      </c>
      <c r="DA353" s="2">
        <f t="shared" si="226"/>
        <v>76.400000000000006</v>
      </c>
      <c r="DB353" s="20">
        <f t="shared" si="227"/>
        <v>365</v>
      </c>
      <c r="DC353" s="1">
        <f>ROUND(PPTest!K353,1)</f>
        <v>0.5</v>
      </c>
      <c r="DD353" s="17" t="s">
        <v>218</v>
      </c>
      <c r="DE353" s="3">
        <f t="shared" si="228"/>
        <v>1.52</v>
      </c>
      <c r="DF353" s="24">
        <f t="shared" si="229"/>
        <v>0.154</v>
      </c>
      <c r="DG353" s="24">
        <f t="shared" si="230"/>
        <v>4.8000000000000001E-2</v>
      </c>
      <c r="DH353" s="17">
        <f t="shared" si="231"/>
        <v>12.69</v>
      </c>
    </row>
    <row r="354" spans="1:112" x14ac:dyDescent="0.2">
      <c r="A354" s="15">
        <f t="shared" si="232"/>
        <v>36873</v>
      </c>
      <c r="B354" s="1">
        <v>348</v>
      </c>
      <c r="C354" s="3">
        <v>0.69199999999999995</v>
      </c>
      <c r="D354" s="3">
        <v>1.2090000000000001</v>
      </c>
      <c r="E354" s="3">
        <v>-19.88</v>
      </c>
      <c r="F354" s="3">
        <v>98.3</v>
      </c>
      <c r="G354" s="3">
        <v>-20.58</v>
      </c>
      <c r="H354" s="3"/>
      <c r="I354" s="3">
        <v>-6.5439999999999996</v>
      </c>
      <c r="L354" s="3">
        <v>-1.179</v>
      </c>
      <c r="M354" s="3">
        <v>-8.8999999999999996E-2</v>
      </c>
      <c r="N354" s="3">
        <v>1.163</v>
      </c>
      <c r="Q354" s="3"/>
      <c r="R354" s="3">
        <v>-12.65</v>
      </c>
      <c r="S354" s="3">
        <v>1358</v>
      </c>
      <c r="T354" s="3">
        <v>100.4</v>
      </c>
      <c r="U354" s="3">
        <v>836</v>
      </c>
      <c r="V354" s="3">
        <v>-13.43</v>
      </c>
      <c r="W354" s="3"/>
      <c r="X354" s="3">
        <v>-5.1509999999999998</v>
      </c>
      <c r="Y354" s="3"/>
      <c r="AA354" s="3">
        <v>-0.85599999999999998</v>
      </c>
      <c r="AB354" s="3">
        <v>0.192</v>
      </c>
      <c r="AC354" s="3">
        <v>1.4390000000000001</v>
      </c>
      <c r="AD354" s="3">
        <v>1.2450000000000001</v>
      </c>
      <c r="AE354" s="3">
        <v>2022</v>
      </c>
      <c r="AF354" s="3">
        <v>-24.96</v>
      </c>
      <c r="AG354" s="3">
        <v>154</v>
      </c>
      <c r="AH354" s="3">
        <v>91.3</v>
      </c>
      <c r="AI354" s="3">
        <v>1405</v>
      </c>
      <c r="AJ354" s="3">
        <v>-26.34</v>
      </c>
      <c r="AK354" s="3"/>
      <c r="AL354" s="3">
        <v>-8.4499999999999993</v>
      </c>
      <c r="AO354" s="3">
        <v>-1.5249999999999999</v>
      </c>
      <c r="AP354" s="3">
        <v>-0.45600000000000002</v>
      </c>
      <c r="AQ354" s="3">
        <v>0.80600000000000005</v>
      </c>
      <c r="AR354" s="3"/>
      <c r="AS354" s="3"/>
      <c r="AT354" s="3"/>
      <c r="AU354" s="3"/>
      <c r="AV354" s="3"/>
      <c r="AW354" s="3"/>
      <c r="AX354" s="3"/>
      <c r="AY354" s="3"/>
      <c r="AZ354" s="3">
        <v>-20.7</v>
      </c>
      <c r="BA354" s="3">
        <v>3134</v>
      </c>
      <c r="BB354" s="3">
        <v>12.69</v>
      </c>
      <c r="BC354" s="3">
        <v>2876</v>
      </c>
      <c r="BD354" s="3">
        <v>3136</v>
      </c>
      <c r="BE354" s="3">
        <v>3132</v>
      </c>
      <c r="BF354" s="1">
        <f>$BF$1-BA354</f>
        <v>359</v>
      </c>
      <c r="BG354" s="3">
        <v>-20.6</v>
      </c>
      <c r="BH354" s="3">
        <v>-14.15</v>
      </c>
      <c r="BI354" s="3">
        <v>-14.23</v>
      </c>
      <c r="BJ354" s="3">
        <v>-25.73</v>
      </c>
      <c r="BK354" s="3">
        <v>-26</v>
      </c>
      <c r="BM354" s="17">
        <v>4.4400000000000004</v>
      </c>
      <c r="BN354" s="17">
        <f t="shared" si="200"/>
        <v>8.9688000000000017</v>
      </c>
      <c r="BO354" s="18">
        <f t="shared" si="233"/>
        <v>0.68</v>
      </c>
      <c r="BP354" s="18">
        <f t="shared" si="234"/>
        <v>1.33</v>
      </c>
      <c r="BR354" s="1">
        <f t="shared" si="235"/>
        <v>83.9</v>
      </c>
      <c r="BS354" s="1">
        <f t="shared" si="236"/>
        <v>80.5</v>
      </c>
      <c r="BT354" s="1">
        <f t="shared" si="237"/>
        <v>74.3</v>
      </c>
      <c r="BU354" s="60">
        <f t="shared" si="192"/>
        <v>0.17100000000000001</v>
      </c>
      <c r="BV354" s="60">
        <f t="shared" si="199"/>
        <v>5.8999999999999997E-2</v>
      </c>
      <c r="CB354" s="17">
        <f t="shared" si="201"/>
        <v>0.68</v>
      </c>
      <c r="CC354" s="17">
        <f t="shared" si="202"/>
        <v>1.33</v>
      </c>
      <c r="CD354" s="3">
        <f t="shared" si="203"/>
        <v>-19.899999999999999</v>
      </c>
      <c r="CE354" s="3">
        <f t="shared" si="204"/>
        <v>-20.6</v>
      </c>
      <c r="CF354" s="1" t="s">
        <v>218</v>
      </c>
      <c r="CG354" s="3">
        <f t="shared" si="206"/>
        <v>-6.5</v>
      </c>
      <c r="CH354" s="3">
        <f t="shared" si="207"/>
        <v>-1.2</v>
      </c>
      <c r="CI354" s="3">
        <f t="shared" si="208"/>
        <v>-0.1</v>
      </c>
      <c r="CJ354" s="3">
        <f t="shared" si="209"/>
        <v>1.2</v>
      </c>
      <c r="CK354" s="27">
        <f t="shared" si="210"/>
        <v>80.5</v>
      </c>
      <c r="CL354" s="1">
        <f t="shared" si="211"/>
        <v>-12.7</v>
      </c>
      <c r="CM354" s="1">
        <f t="shared" si="212"/>
        <v>-13.4</v>
      </c>
      <c r="CN354" s="1" t="s">
        <v>218</v>
      </c>
      <c r="CO354" s="1">
        <f t="shared" si="214"/>
        <v>-5.2</v>
      </c>
      <c r="CP354" s="1">
        <f t="shared" si="215"/>
        <v>-0.9</v>
      </c>
      <c r="CQ354" s="1">
        <f t="shared" si="216"/>
        <v>0.2</v>
      </c>
      <c r="CR354" s="1">
        <f t="shared" si="217"/>
        <v>1.4</v>
      </c>
      <c r="CS354" s="2">
        <f t="shared" si="218"/>
        <v>83.9</v>
      </c>
      <c r="CT354" s="1">
        <f t="shared" si="219"/>
        <v>-25</v>
      </c>
      <c r="CU354" s="1">
        <f t="shared" si="220"/>
        <v>-26.3</v>
      </c>
      <c r="CV354" s="1" t="s">
        <v>218</v>
      </c>
      <c r="CW354" s="1">
        <f t="shared" si="222"/>
        <v>-8.5</v>
      </c>
      <c r="CX354" s="1">
        <f t="shared" si="223"/>
        <v>-1.5</v>
      </c>
      <c r="CY354" s="1">
        <f t="shared" si="224"/>
        <v>-0.5</v>
      </c>
      <c r="CZ354" s="1">
        <f t="shared" si="225"/>
        <v>0.8</v>
      </c>
      <c r="DA354" s="2">
        <f t="shared" si="226"/>
        <v>74.3</v>
      </c>
      <c r="DB354" s="20">
        <f t="shared" si="227"/>
        <v>359</v>
      </c>
      <c r="DC354" s="1">
        <f>ROUND(PPTest!K354,1)</f>
        <v>0</v>
      </c>
      <c r="DD354" s="17" t="s">
        <v>218</v>
      </c>
      <c r="DE354" s="3">
        <f t="shared" si="228"/>
        <v>1.25</v>
      </c>
      <c r="DF354" s="24">
        <f t="shared" si="229"/>
        <v>0.17100000000000001</v>
      </c>
      <c r="DG354" s="24">
        <f t="shared" si="230"/>
        <v>5.8999999999999997E-2</v>
      </c>
      <c r="DH354" s="17">
        <f t="shared" si="231"/>
        <v>12.69</v>
      </c>
    </row>
    <row r="355" spans="1:112" x14ac:dyDescent="0.2">
      <c r="A355" s="15">
        <f t="shared" si="232"/>
        <v>36874</v>
      </c>
      <c r="B355" s="1">
        <v>349</v>
      </c>
      <c r="C355" s="3">
        <v>0.182</v>
      </c>
      <c r="D355" s="3">
        <v>0.308</v>
      </c>
      <c r="E355" s="3">
        <v>-16.8</v>
      </c>
      <c r="F355" s="3">
        <v>101.1</v>
      </c>
      <c r="G355" s="3">
        <v>-17.23</v>
      </c>
      <c r="H355" s="3"/>
      <c r="I355" s="3">
        <v>-5.66</v>
      </c>
      <c r="L355" s="3">
        <v>-1.117</v>
      </c>
      <c r="M355" s="3">
        <v>-7.4999999999999997E-2</v>
      </c>
      <c r="N355" s="3">
        <v>1.2270000000000001</v>
      </c>
      <c r="Q355" s="3"/>
      <c r="R355" s="3">
        <v>-10.98</v>
      </c>
      <c r="S355" s="3">
        <v>1911</v>
      </c>
      <c r="T355" s="3">
        <v>106</v>
      </c>
      <c r="U355" s="3">
        <v>1800</v>
      </c>
      <c r="V355" s="3">
        <v>-11.07</v>
      </c>
      <c r="W355" s="3"/>
      <c r="X355" s="3">
        <v>-3.4009999999999998</v>
      </c>
      <c r="Y355" s="3"/>
      <c r="AA355" s="3">
        <v>-0.82699999999999996</v>
      </c>
      <c r="AB355" s="3">
        <v>0.24299999999999999</v>
      </c>
      <c r="AC355" s="3">
        <v>1.546</v>
      </c>
      <c r="AD355" s="3">
        <v>1.9630000000000001</v>
      </c>
      <c r="AE355" s="3">
        <v>2027</v>
      </c>
      <c r="AF355" s="3">
        <v>-24.43</v>
      </c>
      <c r="AG355" s="3">
        <v>210</v>
      </c>
      <c r="AH355" s="3">
        <v>94.3</v>
      </c>
      <c r="AI355" s="3">
        <v>633</v>
      </c>
      <c r="AJ355" s="3">
        <v>-25.93</v>
      </c>
      <c r="AK355" s="3"/>
      <c r="AL355" s="3">
        <v>-8.4700000000000006</v>
      </c>
      <c r="AO355" s="3">
        <v>-1.5569999999999999</v>
      </c>
      <c r="AP355" s="3">
        <v>-0.42799999999999999</v>
      </c>
      <c r="AQ355" s="3">
        <v>0.84699999999999998</v>
      </c>
      <c r="AR355" s="3"/>
      <c r="AS355" s="3"/>
      <c r="AT355" s="3"/>
      <c r="AU355" s="3"/>
      <c r="AV355" s="3"/>
      <c r="AW355" s="3"/>
      <c r="AX355" s="3"/>
      <c r="AY355" s="3"/>
      <c r="AZ355" s="3">
        <v>-17.73</v>
      </c>
      <c r="BA355" s="3"/>
      <c r="BB355" s="3">
        <v>12.7</v>
      </c>
      <c r="BC355" s="3">
        <v>2876</v>
      </c>
      <c r="BD355" s="3"/>
      <c r="BE355" s="3">
        <v>3016</v>
      </c>
      <c r="BF355" s="22">
        <v>450</v>
      </c>
      <c r="BG355" s="3">
        <v>-17.79</v>
      </c>
      <c r="BH355" s="3">
        <v>-11.4</v>
      </c>
      <c r="BI355" s="3">
        <v>-11.43</v>
      </c>
      <c r="BJ355" s="3">
        <v>-25.11</v>
      </c>
      <c r="BK355" s="3">
        <v>-25.46</v>
      </c>
      <c r="BM355" s="17">
        <v>4.42</v>
      </c>
      <c r="BN355" s="17">
        <f t="shared" si="200"/>
        <v>8.9283999999999999</v>
      </c>
      <c r="BO355" s="18">
        <f t="shared" si="233"/>
        <v>0.18</v>
      </c>
      <c r="BP355" s="18">
        <f t="shared" si="234"/>
        <v>0.34</v>
      </c>
      <c r="BR355" s="1">
        <f t="shared" si="235"/>
        <v>92.8</v>
      </c>
      <c r="BS355" s="1">
        <f t="shared" si="236"/>
        <v>85</v>
      </c>
      <c r="BT355" s="1">
        <f t="shared" si="237"/>
        <v>77</v>
      </c>
      <c r="BU355" s="60">
        <f t="shared" si="192"/>
        <v>0.20300000000000001</v>
      </c>
      <c r="BV355" s="60">
        <f t="shared" si="199"/>
        <v>6.0999999999999999E-2</v>
      </c>
      <c r="CB355" s="17">
        <f t="shared" si="201"/>
        <v>0.18</v>
      </c>
      <c r="CC355" s="17">
        <f t="shared" si="202"/>
        <v>0.34</v>
      </c>
      <c r="CD355" s="3">
        <f t="shared" si="203"/>
        <v>-16.8</v>
      </c>
      <c r="CE355" s="3">
        <f t="shared" si="204"/>
        <v>-17.2</v>
      </c>
      <c r="CF355" s="1" t="s">
        <v>218</v>
      </c>
      <c r="CG355" s="3">
        <f t="shared" si="206"/>
        <v>-5.7</v>
      </c>
      <c r="CH355" s="3">
        <f t="shared" si="207"/>
        <v>-1.1000000000000001</v>
      </c>
      <c r="CI355" s="3">
        <f t="shared" si="208"/>
        <v>-0.1</v>
      </c>
      <c r="CJ355" s="3">
        <f t="shared" si="209"/>
        <v>1.2</v>
      </c>
      <c r="CK355" s="27">
        <f t="shared" si="210"/>
        <v>85</v>
      </c>
      <c r="CL355" s="1">
        <f t="shared" si="211"/>
        <v>-11</v>
      </c>
      <c r="CM355" s="1">
        <f t="shared" si="212"/>
        <v>-11.1</v>
      </c>
      <c r="CN355" s="1" t="s">
        <v>218</v>
      </c>
      <c r="CO355" s="1">
        <f t="shared" si="214"/>
        <v>-3.4</v>
      </c>
      <c r="CP355" s="1">
        <f t="shared" si="215"/>
        <v>-0.8</v>
      </c>
      <c r="CQ355" s="1">
        <f t="shared" si="216"/>
        <v>0.2</v>
      </c>
      <c r="CR355" s="1">
        <f t="shared" si="217"/>
        <v>1.5</v>
      </c>
      <c r="CS355" s="2">
        <f t="shared" si="218"/>
        <v>92.8</v>
      </c>
      <c r="CT355" s="1">
        <f t="shared" si="219"/>
        <v>-24.4</v>
      </c>
      <c r="CU355" s="1">
        <f t="shared" si="220"/>
        <v>-25.9</v>
      </c>
      <c r="CV355" s="1" t="s">
        <v>218</v>
      </c>
      <c r="CW355" s="1">
        <f t="shared" si="222"/>
        <v>-8.5</v>
      </c>
      <c r="CX355" s="1">
        <f t="shared" si="223"/>
        <v>-1.6</v>
      </c>
      <c r="CY355" s="1">
        <f t="shared" si="224"/>
        <v>-0.4</v>
      </c>
      <c r="CZ355" s="1">
        <f t="shared" si="225"/>
        <v>0.8</v>
      </c>
      <c r="DA355" s="2">
        <f t="shared" si="226"/>
        <v>77</v>
      </c>
      <c r="DB355" s="20">
        <f t="shared" si="227"/>
        <v>450</v>
      </c>
      <c r="DC355" s="1">
        <f>ROUND(PPTest!K355,1)</f>
        <v>11.8</v>
      </c>
      <c r="DD355" s="17" t="s">
        <v>218</v>
      </c>
      <c r="DE355" s="3">
        <f t="shared" si="228"/>
        <v>1.96</v>
      </c>
      <c r="DF355" s="24">
        <f t="shared" si="229"/>
        <v>0.20300000000000001</v>
      </c>
      <c r="DG355" s="24">
        <f t="shared" si="230"/>
        <v>6.0999999999999999E-2</v>
      </c>
      <c r="DH355" s="17">
        <f t="shared" si="231"/>
        <v>12.7</v>
      </c>
    </row>
    <row r="356" spans="1:112" x14ac:dyDescent="0.2">
      <c r="A356" s="15">
        <f t="shared" si="232"/>
        <v>36875</v>
      </c>
      <c r="B356" s="1">
        <v>350</v>
      </c>
      <c r="C356" s="3">
        <v>0.69399999999999995</v>
      </c>
      <c r="D356" s="3">
        <v>1.1479999999999999</v>
      </c>
      <c r="E356" s="3">
        <v>-22.17</v>
      </c>
      <c r="F356" s="3">
        <v>96.7</v>
      </c>
      <c r="G356" s="3">
        <v>-22.98</v>
      </c>
      <c r="H356" s="3"/>
      <c r="I356" s="3">
        <v>-6.6950000000000003</v>
      </c>
      <c r="L356" s="3">
        <v>-1.498</v>
      </c>
      <c r="M356" s="3">
        <v>-0.31</v>
      </c>
      <c r="N356" s="3">
        <v>1.0369999999999999</v>
      </c>
      <c r="Q356" s="3"/>
      <c r="R356" s="3">
        <v>-13.36</v>
      </c>
      <c r="S356" s="3">
        <v>59</v>
      </c>
      <c r="T356" s="3">
        <v>103.7</v>
      </c>
      <c r="U356" s="3">
        <v>46</v>
      </c>
      <c r="V356" s="3">
        <v>-13.53</v>
      </c>
      <c r="W356" s="3"/>
      <c r="X356" s="3">
        <v>-3.6269999999999998</v>
      </c>
      <c r="Y356" s="3"/>
      <c r="AA356" s="3">
        <v>-0.85299999999999998</v>
      </c>
      <c r="AB356" s="3">
        <v>0</v>
      </c>
      <c r="AC356" s="3">
        <v>1.339</v>
      </c>
      <c r="AD356" s="3">
        <v>3.2130000000000001</v>
      </c>
      <c r="AE356" s="3">
        <v>411</v>
      </c>
      <c r="AF356" s="3">
        <v>-28.21</v>
      </c>
      <c r="AG356" s="3">
        <v>2131</v>
      </c>
      <c r="AH356" s="3">
        <v>88</v>
      </c>
      <c r="AI356" s="3">
        <v>1404</v>
      </c>
      <c r="AJ356" s="3">
        <v>-29.62</v>
      </c>
      <c r="AK356" s="3"/>
      <c r="AL356" s="3">
        <v>-10.65</v>
      </c>
      <c r="AO356" s="3">
        <v>-2.0750000000000002</v>
      </c>
      <c r="AP356" s="3">
        <v>-0.71299999999999997</v>
      </c>
      <c r="AQ356" s="3">
        <v>0.65400000000000003</v>
      </c>
      <c r="AR356" s="3"/>
      <c r="AS356" s="3"/>
      <c r="AT356" s="3"/>
      <c r="AU356" s="3"/>
      <c r="AV356" s="3"/>
      <c r="AW356" s="3"/>
      <c r="AX356" s="3"/>
      <c r="AY356" s="3"/>
      <c r="AZ356" s="3">
        <v>-22.09</v>
      </c>
      <c r="BA356" s="3">
        <v>2940</v>
      </c>
      <c r="BB356" s="3">
        <v>12.72</v>
      </c>
      <c r="BC356" s="3">
        <v>2876</v>
      </c>
      <c r="BD356" s="3">
        <v>2941</v>
      </c>
      <c r="BE356" s="3">
        <v>2940</v>
      </c>
      <c r="BF356" s="1">
        <f>$BF$1-BA356</f>
        <v>553</v>
      </c>
      <c r="BG356" s="3">
        <v>-21.82</v>
      </c>
      <c r="BH356" s="3">
        <v>-13.18</v>
      </c>
      <c r="BI356" s="3">
        <v>-13.35</v>
      </c>
      <c r="BJ356" s="3">
        <v>-28.69</v>
      </c>
      <c r="BK356" s="3">
        <v>-28.9</v>
      </c>
      <c r="BM356" s="17">
        <v>4.4000000000000004</v>
      </c>
      <c r="BN356" s="17">
        <f t="shared" si="200"/>
        <v>8.8880000000000017</v>
      </c>
      <c r="BO356" s="18">
        <f t="shared" si="233"/>
        <v>0.68</v>
      </c>
      <c r="BP356" s="18">
        <f t="shared" si="234"/>
        <v>1.26</v>
      </c>
      <c r="BR356" s="1">
        <f t="shared" si="235"/>
        <v>89.2</v>
      </c>
      <c r="BS356" s="1">
        <f t="shared" si="236"/>
        <v>79.099999999999994</v>
      </c>
      <c r="BT356" s="1">
        <f t="shared" si="237"/>
        <v>71.400000000000006</v>
      </c>
      <c r="BU356" s="60">
        <f t="shared" si="192"/>
        <v>0.156</v>
      </c>
      <c r="BV356" s="60">
        <f t="shared" si="199"/>
        <v>6.2E-2</v>
      </c>
      <c r="CB356" s="17">
        <f t="shared" si="201"/>
        <v>0.68</v>
      </c>
      <c r="CC356" s="17">
        <f t="shared" si="202"/>
        <v>1.26</v>
      </c>
      <c r="CD356" s="3">
        <f t="shared" si="203"/>
        <v>-22.2</v>
      </c>
      <c r="CE356" s="3">
        <f t="shared" si="204"/>
        <v>-23</v>
      </c>
      <c r="CF356" s="1" t="s">
        <v>218</v>
      </c>
      <c r="CG356" s="3">
        <f t="shared" si="206"/>
        <v>-6.7</v>
      </c>
      <c r="CH356" s="3">
        <f t="shared" si="207"/>
        <v>-1.5</v>
      </c>
      <c r="CI356" s="3">
        <f t="shared" si="208"/>
        <v>-0.3</v>
      </c>
      <c r="CJ356" s="3">
        <f t="shared" si="209"/>
        <v>1</v>
      </c>
      <c r="CK356" s="27">
        <f t="shared" si="210"/>
        <v>79.099999999999994</v>
      </c>
      <c r="CL356" s="1">
        <f t="shared" si="211"/>
        <v>-13.4</v>
      </c>
      <c r="CM356" s="1">
        <f t="shared" si="212"/>
        <v>-13.5</v>
      </c>
      <c r="CN356" s="1" t="s">
        <v>218</v>
      </c>
      <c r="CO356" s="1">
        <f t="shared" si="214"/>
        <v>-3.6</v>
      </c>
      <c r="CP356" s="1">
        <f t="shared" si="215"/>
        <v>-0.9</v>
      </c>
      <c r="CQ356" s="1">
        <f t="shared" si="216"/>
        <v>0</v>
      </c>
      <c r="CR356" s="1">
        <f t="shared" si="217"/>
        <v>1.3</v>
      </c>
      <c r="CS356" s="2">
        <f t="shared" si="218"/>
        <v>89.2</v>
      </c>
      <c r="CT356" s="1">
        <f t="shared" si="219"/>
        <v>-28.2</v>
      </c>
      <c r="CU356" s="1">
        <f t="shared" si="220"/>
        <v>-29.6</v>
      </c>
      <c r="CV356" s="1" t="s">
        <v>218</v>
      </c>
      <c r="CW356" s="1">
        <f t="shared" si="222"/>
        <v>-10.7</v>
      </c>
      <c r="CX356" s="1">
        <f t="shared" si="223"/>
        <v>-2.1</v>
      </c>
      <c r="CY356" s="1">
        <f t="shared" si="224"/>
        <v>-0.7</v>
      </c>
      <c r="CZ356" s="1">
        <f t="shared" si="225"/>
        <v>0.7</v>
      </c>
      <c r="DA356" s="2">
        <f t="shared" si="226"/>
        <v>71.400000000000006</v>
      </c>
      <c r="DB356" s="20">
        <f t="shared" si="227"/>
        <v>553</v>
      </c>
      <c r="DC356" s="1">
        <f>ROUND(PPTest!K356,1)</f>
        <v>13.4</v>
      </c>
      <c r="DD356" s="17" t="s">
        <v>218</v>
      </c>
      <c r="DE356" s="3">
        <f t="shared" si="228"/>
        <v>3.21</v>
      </c>
      <c r="DF356" s="24">
        <f t="shared" si="229"/>
        <v>0.156</v>
      </c>
      <c r="DG356" s="24">
        <f t="shared" si="230"/>
        <v>6.2E-2</v>
      </c>
      <c r="DH356" s="17">
        <f t="shared" si="231"/>
        <v>12.72</v>
      </c>
    </row>
    <row r="357" spans="1:112" x14ac:dyDescent="0.2">
      <c r="A357" s="15">
        <f t="shared" si="232"/>
        <v>36876</v>
      </c>
      <c r="B357" s="1">
        <v>351</v>
      </c>
      <c r="C357" s="3">
        <v>0.16700000000000001</v>
      </c>
      <c r="D357" s="3">
        <v>0.30299999999999999</v>
      </c>
      <c r="E357" s="3">
        <v>-13.61</v>
      </c>
      <c r="F357" s="3">
        <v>103.2</v>
      </c>
      <c r="G357" s="3">
        <v>-13.66</v>
      </c>
      <c r="H357" s="3"/>
      <c r="I357" s="3">
        <v>-4.657</v>
      </c>
      <c r="L357" s="3">
        <v>-1.1399999999999999</v>
      </c>
      <c r="M357" s="3">
        <v>-0.14499999999999999</v>
      </c>
      <c r="N357" s="3">
        <v>1.266</v>
      </c>
      <c r="Q357" s="3"/>
      <c r="R357" s="3">
        <v>-8.43</v>
      </c>
      <c r="S357" s="3">
        <v>1940</v>
      </c>
      <c r="T357" s="3">
        <v>107.1</v>
      </c>
      <c r="U357" s="3">
        <v>1859</v>
      </c>
      <c r="V357" s="3">
        <v>-8.02</v>
      </c>
      <c r="W357" s="3"/>
      <c r="X357" s="3">
        <v>-2.5979999999999999</v>
      </c>
      <c r="Y357" s="3"/>
      <c r="AA357" s="3">
        <v>-0.82699999999999996</v>
      </c>
      <c r="AB357" s="3">
        <v>1.7000000000000001E-2</v>
      </c>
      <c r="AC357" s="3">
        <v>1.4259999999999999</v>
      </c>
      <c r="AD357" s="3">
        <v>4.57</v>
      </c>
      <c r="AE357" s="3">
        <v>1448</v>
      </c>
      <c r="AF357" s="3">
        <v>-24.17</v>
      </c>
      <c r="AG357" s="3">
        <v>1</v>
      </c>
      <c r="AH357" s="3">
        <v>96.9</v>
      </c>
      <c r="AI357" s="3">
        <v>1</v>
      </c>
      <c r="AJ357" s="3">
        <v>-23.68</v>
      </c>
      <c r="AK357" s="3"/>
      <c r="AL357" s="3">
        <v>-9.02</v>
      </c>
      <c r="AO357" s="3">
        <v>-1.6519999999999999</v>
      </c>
      <c r="AP357" s="3">
        <v>-0.32800000000000001</v>
      </c>
      <c r="AQ357" s="3">
        <v>1.0720000000000001</v>
      </c>
      <c r="AR357" s="3"/>
      <c r="AS357" s="3"/>
      <c r="AT357" s="3"/>
      <c r="AU357" s="3"/>
      <c r="AV357" s="3"/>
      <c r="AW357" s="3"/>
      <c r="AX357" s="3"/>
      <c r="AY357" s="3"/>
      <c r="AZ357" s="3">
        <v>-14.25</v>
      </c>
      <c r="BA357" s="3">
        <v>2915</v>
      </c>
      <c r="BB357" s="3">
        <v>12.74</v>
      </c>
      <c r="BC357" s="3">
        <v>2876</v>
      </c>
      <c r="BD357" s="3">
        <v>2916</v>
      </c>
      <c r="BE357" s="3">
        <v>2915</v>
      </c>
      <c r="BF357" s="1">
        <f>$BF$1-BA357</f>
        <v>578</v>
      </c>
      <c r="BG357" s="3">
        <v>-14.5</v>
      </c>
      <c r="BH357" s="3">
        <v>-9.6199999999999992</v>
      </c>
      <c r="BI357" s="3">
        <v>-9.56</v>
      </c>
      <c r="BJ357" s="3">
        <v>-26.22</v>
      </c>
      <c r="BK357" s="3">
        <v>-25.49</v>
      </c>
      <c r="BM357" s="17">
        <v>4.3899999999999997</v>
      </c>
      <c r="BN357" s="17">
        <f t="shared" si="200"/>
        <v>8.867799999999999</v>
      </c>
      <c r="BO357" s="18">
        <f t="shared" si="233"/>
        <v>0.16</v>
      </c>
      <c r="BP357" s="18">
        <f t="shared" si="234"/>
        <v>0.33</v>
      </c>
      <c r="BR357" s="1">
        <f t="shared" si="235"/>
        <v>94.6</v>
      </c>
      <c r="BS357" s="1">
        <f t="shared" si="236"/>
        <v>88.4</v>
      </c>
      <c r="BT357" s="1">
        <f t="shared" si="237"/>
        <v>79.3</v>
      </c>
      <c r="BU357" s="60">
        <f t="shared" ref="BU357:BU372" si="239">ROUND(0.6105*(EXP((17.273*R357)/(R357+237.3)))*BT357/100, 3)</f>
        <v>0.25600000000000001</v>
      </c>
      <c r="BV357" s="60">
        <f t="shared" si="199"/>
        <v>6.7000000000000004E-2</v>
      </c>
      <c r="CB357" s="17">
        <f t="shared" si="201"/>
        <v>0.16</v>
      </c>
      <c r="CC357" s="17">
        <f t="shared" si="202"/>
        <v>0.33</v>
      </c>
      <c r="CD357" s="3">
        <f t="shared" si="203"/>
        <v>-13.6</v>
      </c>
      <c r="CE357" s="3">
        <f t="shared" si="204"/>
        <v>-13.7</v>
      </c>
      <c r="CF357" s="1" t="s">
        <v>218</v>
      </c>
      <c r="CG357" s="3">
        <f t="shared" si="206"/>
        <v>-4.7</v>
      </c>
      <c r="CH357" s="3">
        <f t="shared" si="207"/>
        <v>-1.1000000000000001</v>
      </c>
      <c r="CI357" s="3">
        <f t="shared" si="208"/>
        <v>-0.1</v>
      </c>
      <c r="CJ357" s="3">
        <f t="shared" si="209"/>
        <v>1.3</v>
      </c>
      <c r="CK357" s="27">
        <f t="shared" si="210"/>
        <v>88.4</v>
      </c>
      <c r="CL357" s="1">
        <f t="shared" si="211"/>
        <v>-8.4</v>
      </c>
      <c r="CM357" s="1">
        <f t="shared" si="212"/>
        <v>-8</v>
      </c>
      <c r="CN357" s="1" t="s">
        <v>218</v>
      </c>
      <c r="CO357" s="1">
        <f t="shared" si="214"/>
        <v>-2.6</v>
      </c>
      <c r="CP357" s="1">
        <f t="shared" si="215"/>
        <v>-0.8</v>
      </c>
      <c r="CQ357" s="1">
        <f t="shared" si="216"/>
        <v>0</v>
      </c>
      <c r="CR357" s="1">
        <f t="shared" si="217"/>
        <v>1.4</v>
      </c>
      <c r="CS357" s="2">
        <f t="shared" si="218"/>
        <v>94.6</v>
      </c>
      <c r="CT357" s="1">
        <f t="shared" si="219"/>
        <v>-24.2</v>
      </c>
      <c r="CU357" s="1">
        <f t="shared" si="220"/>
        <v>-23.7</v>
      </c>
      <c r="CV357" s="1" t="s">
        <v>218</v>
      </c>
      <c r="CW357" s="1">
        <f t="shared" si="222"/>
        <v>-9</v>
      </c>
      <c r="CX357" s="1">
        <f t="shared" si="223"/>
        <v>-1.7</v>
      </c>
      <c r="CY357" s="1">
        <f t="shared" si="224"/>
        <v>-0.3</v>
      </c>
      <c r="CZ357" s="1">
        <f t="shared" si="225"/>
        <v>1.1000000000000001</v>
      </c>
      <c r="DA357" s="2">
        <f t="shared" si="226"/>
        <v>79.3</v>
      </c>
      <c r="DB357" s="20">
        <f t="shared" si="227"/>
        <v>578</v>
      </c>
      <c r="DC357" s="1">
        <f>ROUND(PPTest!K357,1)</f>
        <v>3.3</v>
      </c>
      <c r="DD357" s="17" t="s">
        <v>218</v>
      </c>
      <c r="DE357" s="3">
        <f t="shared" si="228"/>
        <v>4.57</v>
      </c>
      <c r="DF357" s="24">
        <f t="shared" si="229"/>
        <v>0.25600000000000001</v>
      </c>
      <c r="DG357" s="24">
        <f t="shared" si="230"/>
        <v>6.7000000000000004E-2</v>
      </c>
      <c r="DH357" s="17">
        <f t="shared" si="231"/>
        <v>12.74</v>
      </c>
    </row>
    <row r="358" spans="1:112" x14ac:dyDescent="0.2">
      <c r="A358" s="15">
        <f t="shared" si="232"/>
        <v>36877</v>
      </c>
      <c r="B358" s="1">
        <v>352</v>
      </c>
      <c r="C358" s="3">
        <v>0.16400000000000001</v>
      </c>
      <c r="D358" s="3">
        <v>0.32700000000000001</v>
      </c>
      <c r="E358" s="3">
        <v>-8.25</v>
      </c>
      <c r="F358" s="3">
        <v>106.3</v>
      </c>
      <c r="G358" s="3">
        <v>-8.81</v>
      </c>
      <c r="H358" s="3"/>
      <c r="I358" s="3">
        <v>-2.2069999999999999</v>
      </c>
      <c r="L358" s="3">
        <v>-0.82599999999999996</v>
      </c>
      <c r="M358" s="3">
        <v>-0.17899999999999999</v>
      </c>
      <c r="N358" s="3">
        <v>1.2010000000000001</v>
      </c>
      <c r="Q358" s="3"/>
      <c r="R358" s="3">
        <v>-6.2229999999999999</v>
      </c>
      <c r="S358" s="3">
        <v>1301</v>
      </c>
      <c r="T358" s="3">
        <v>107.5</v>
      </c>
      <c r="U358" s="3">
        <v>627</v>
      </c>
      <c r="V358" s="3">
        <v>-6.0140000000000002</v>
      </c>
      <c r="W358" s="3"/>
      <c r="X358" s="3">
        <v>-1.915</v>
      </c>
      <c r="Y358" s="3"/>
      <c r="AA358" s="3">
        <v>-0.70499999999999996</v>
      </c>
      <c r="AB358" s="3">
        <v>-4.4999999999999998E-2</v>
      </c>
      <c r="AC358" s="3">
        <v>1.349</v>
      </c>
      <c r="AD358" s="3">
        <v>5.5010000000000003</v>
      </c>
      <c r="AE358" s="3">
        <v>859</v>
      </c>
      <c r="AF358" s="3">
        <v>-13.03</v>
      </c>
      <c r="AG358" s="3">
        <v>0</v>
      </c>
      <c r="AH358" s="3">
        <v>102.9</v>
      </c>
      <c r="AI358" s="3">
        <v>2329</v>
      </c>
      <c r="AJ358" s="3">
        <v>-14.71</v>
      </c>
      <c r="AK358" s="3"/>
      <c r="AL358" s="3">
        <v>-2.8039999999999998</v>
      </c>
      <c r="AO358" s="3">
        <v>-1.0549999999999999</v>
      </c>
      <c r="AP358" s="3">
        <v>-0.41599999999999998</v>
      </c>
      <c r="AQ358" s="3">
        <v>0.94599999999999995</v>
      </c>
      <c r="AR358" s="3"/>
      <c r="AS358" s="3"/>
      <c r="AT358" s="3"/>
      <c r="AU358" s="3"/>
      <c r="AV358" s="3"/>
      <c r="AW358" s="3"/>
      <c r="AX358" s="3"/>
      <c r="AY358" s="3"/>
      <c r="AZ358" s="3">
        <v>-9.2899999999999991</v>
      </c>
      <c r="BA358" s="3">
        <v>2938</v>
      </c>
      <c r="BB358" s="3">
        <v>12.75</v>
      </c>
      <c r="BC358" s="3">
        <v>2876</v>
      </c>
      <c r="BD358" s="3">
        <v>2950</v>
      </c>
      <c r="BE358" s="3">
        <v>2929</v>
      </c>
      <c r="BF358" s="1">
        <f>$BF$1-BA358</f>
        <v>555</v>
      </c>
      <c r="BG358" s="3">
        <v>-9.1199999999999992</v>
      </c>
      <c r="BH358" s="3">
        <v>-6.3490000000000002</v>
      </c>
      <c r="BI358" s="3">
        <v>-6.3659999999999997</v>
      </c>
      <c r="BJ358" s="3">
        <v>-15.44</v>
      </c>
      <c r="BK358" s="3">
        <v>-15.69</v>
      </c>
      <c r="BM358" s="17">
        <v>4.3899999999999997</v>
      </c>
      <c r="BN358" s="17">
        <f t="shared" si="200"/>
        <v>8.867799999999999</v>
      </c>
      <c r="BO358" s="18">
        <f t="shared" si="233"/>
        <v>0.16</v>
      </c>
      <c r="BP358" s="18">
        <f t="shared" si="234"/>
        <v>0.36</v>
      </c>
      <c r="BR358" s="1">
        <f t="shared" si="235"/>
        <v>95.2</v>
      </c>
      <c r="BS358" s="1">
        <f t="shared" si="236"/>
        <v>93.3</v>
      </c>
      <c r="BT358" s="1">
        <f t="shared" si="237"/>
        <v>87.9</v>
      </c>
      <c r="BU358" s="60">
        <f t="shared" si="239"/>
        <v>0.33700000000000002</v>
      </c>
      <c r="BV358" s="60">
        <f t="shared" si="199"/>
        <v>4.5999999999999999E-2</v>
      </c>
      <c r="CB358" s="17">
        <f t="shared" si="201"/>
        <v>0.16</v>
      </c>
      <c r="CC358" s="17">
        <f t="shared" si="202"/>
        <v>0.36</v>
      </c>
      <c r="CD358" s="3">
        <f t="shared" si="203"/>
        <v>-8.3000000000000007</v>
      </c>
      <c r="CE358" s="3">
        <f t="shared" si="204"/>
        <v>-8.8000000000000007</v>
      </c>
      <c r="CF358" s="1" t="s">
        <v>218</v>
      </c>
      <c r="CG358" s="3">
        <f t="shared" si="206"/>
        <v>-2.2000000000000002</v>
      </c>
      <c r="CH358" s="3">
        <f t="shared" si="207"/>
        <v>-0.8</v>
      </c>
      <c r="CI358" s="3">
        <f t="shared" si="208"/>
        <v>-0.2</v>
      </c>
      <c r="CJ358" s="3">
        <f t="shared" si="209"/>
        <v>1.2</v>
      </c>
      <c r="CK358" s="27">
        <f t="shared" si="210"/>
        <v>93.3</v>
      </c>
      <c r="CL358" s="1">
        <f t="shared" si="211"/>
        <v>-6.2</v>
      </c>
      <c r="CM358" s="1">
        <f t="shared" si="212"/>
        <v>-6</v>
      </c>
      <c r="CN358" s="1" t="s">
        <v>218</v>
      </c>
      <c r="CO358" s="1">
        <f t="shared" si="214"/>
        <v>-1.9</v>
      </c>
      <c r="CP358" s="1">
        <f t="shared" si="215"/>
        <v>-0.7</v>
      </c>
      <c r="CQ358" s="1">
        <f t="shared" si="216"/>
        <v>0</v>
      </c>
      <c r="CR358" s="1">
        <f t="shared" si="217"/>
        <v>1.3</v>
      </c>
      <c r="CS358" s="2">
        <f t="shared" si="218"/>
        <v>95.2</v>
      </c>
      <c r="CT358" s="1">
        <f t="shared" si="219"/>
        <v>-13</v>
      </c>
      <c r="CU358" s="1">
        <f t="shared" si="220"/>
        <v>-14.7</v>
      </c>
      <c r="CV358" s="1" t="s">
        <v>218</v>
      </c>
      <c r="CW358" s="1">
        <f t="shared" si="222"/>
        <v>-2.8</v>
      </c>
      <c r="CX358" s="1">
        <f t="shared" si="223"/>
        <v>-1.1000000000000001</v>
      </c>
      <c r="CY358" s="1">
        <f t="shared" si="224"/>
        <v>-0.4</v>
      </c>
      <c r="CZ358" s="1">
        <f t="shared" si="225"/>
        <v>0.9</v>
      </c>
      <c r="DA358" s="2">
        <f t="shared" si="226"/>
        <v>87.9</v>
      </c>
      <c r="DB358" s="20">
        <f t="shared" si="227"/>
        <v>555</v>
      </c>
      <c r="DC358" s="1">
        <f>ROUND(PPTest!K358,1)</f>
        <v>0</v>
      </c>
      <c r="DD358" s="17" t="s">
        <v>218</v>
      </c>
      <c r="DE358" s="3">
        <f t="shared" si="228"/>
        <v>5.5</v>
      </c>
      <c r="DF358" s="24">
        <f t="shared" si="229"/>
        <v>0.33700000000000002</v>
      </c>
      <c r="DG358" s="24">
        <f t="shared" si="230"/>
        <v>4.5999999999999999E-2</v>
      </c>
      <c r="DH358" s="17">
        <f t="shared" si="231"/>
        <v>12.75</v>
      </c>
    </row>
    <row r="359" spans="1:112" x14ac:dyDescent="0.2">
      <c r="A359" s="15">
        <f t="shared" si="232"/>
        <v>36878</v>
      </c>
      <c r="B359" s="1">
        <v>353</v>
      </c>
      <c r="C359" s="3">
        <v>0.08</v>
      </c>
      <c r="D359" s="3">
        <v>0.126</v>
      </c>
      <c r="E359" s="3">
        <v>-9.66</v>
      </c>
      <c r="F359" s="3">
        <v>105.6</v>
      </c>
      <c r="G359" s="3">
        <v>-10.11</v>
      </c>
      <c r="H359" s="3"/>
      <c r="I359" s="3">
        <v>-1.994</v>
      </c>
      <c r="L359" s="3">
        <v>-0.78500000000000003</v>
      </c>
      <c r="M359" s="3">
        <v>-0.16300000000000001</v>
      </c>
      <c r="N359" s="3">
        <v>1.214</v>
      </c>
      <c r="Q359" s="3"/>
      <c r="R359" s="3">
        <v>-6.1260000000000003</v>
      </c>
      <c r="S359" s="3">
        <v>1821</v>
      </c>
      <c r="T359" s="3">
        <v>107.8</v>
      </c>
      <c r="U359" s="3">
        <v>1816</v>
      </c>
      <c r="V359" s="3">
        <v>-5.3609999999999998</v>
      </c>
      <c r="W359" s="3"/>
      <c r="X359" s="3">
        <v>-1.5209999999999999</v>
      </c>
      <c r="Y359" s="3"/>
      <c r="AA359" s="3">
        <v>-0.65400000000000003</v>
      </c>
      <c r="AB359" s="3">
        <v>-4.0000000000000001E-3</v>
      </c>
      <c r="AC359" s="3">
        <v>1.381</v>
      </c>
      <c r="AD359" s="3">
        <v>3.9049999999999998</v>
      </c>
      <c r="AE359" s="3">
        <v>1816</v>
      </c>
      <c r="AF359" s="3">
        <v>-15.17</v>
      </c>
      <c r="AG359" s="3">
        <v>444</v>
      </c>
      <c r="AH359" s="3">
        <v>101.4</v>
      </c>
      <c r="AI359" s="3">
        <v>219</v>
      </c>
      <c r="AJ359" s="3">
        <v>-17.309999999999999</v>
      </c>
      <c r="AK359" s="3"/>
      <c r="AL359" s="3">
        <v>-2.8340000000000001</v>
      </c>
      <c r="AO359" s="3">
        <v>-1.0089999999999999</v>
      </c>
      <c r="AP359" s="3">
        <v>-0.30299999999999999</v>
      </c>
      <c r="AQ359" s="3">
        <v>1.0720000000000001</v>
      </c>
      <c r="AR359" s="3"/>
      <c r="AS359" s="3"/>
      <c r="AT359" s="3"/>
      <c r="AU359" s="3"/>
      <c r="AV359" s="3"/>
      <c r="AW359" s="3"/>
      <c r="AX359" s="3"/>
      <c r="AY359" s="3"/>
      <c r="AZ359" s="3">
        <v>-10.86</v>
      </c>
      <c r="BA359" s="3"/>
      <c r="BB359" s="3">
        <v>12.75</v>
      </c>
      <c r="BC359" s="3">
        <v>2876</v>
      </c>
      <c r="BD359" s="3"/>
      <c r="BE359" s="3"/>
      <c r="BF359" s="22">
        <v>555</v>
      </c>
      <c r="BG359" s="3">
        <v>-10.92</v>
      </c>
      <c r="BH359" s="3">
        <v>-7.13</v>
      </c>
      <c r="BI359" s="3">
        <v>-7.14</v>
      </c>
      <c r="BJ359" s="3">
        <v>-16.190000000000001</v>
      </c>
      <c r="BK359" s="3">
        <v>-16.420000000000002</v>
      </c>
      <c r="BM359" s="17">
        <v>4.38</v>
      </c>
      <c r="BN359" s="17">
        <f t="shared" si="200"/>
        <v>8.8475999999999999</v>
      </c>
      <c r="BO359" s="18">
        <f t="shared" si="233"/>
        <v>0.08</v>
      </c>
      <c r="BP359" s="18">
        <f t="shared" si="234"/>
        <v>0.14000000000000001</v>
      </c>
      <c r="BR359" s="1">
        <f t="shared" si="235"/>
        <v>95.7</v>
      </c>
      <c r="BS359" s="1">
        <f t="shared" si="236"/>
        <v>92.2</v>
      </c>
      <c r="BT359" s="1">
        <f t="shared" si="237"/>
        <v>85.5</v>
      </c>
      <c r="BU359" s="60">
        <f t="shared" si="239"/>
        <v>0.33</v>
      </c>
      <c r="BV359" s="60">
        <f t="shared" si="199"/>
        <v>5.6000000000000001E-2</v>
      </c>
      <c r="CB359" s="17">
        <f t="shared" si="201"/>
        <v>0.08</v>
      </c>
      <c r="CC359" s="17">
        <f t="shared" si="202"/>
        <v>0.14000000000000001</v>
      </c>
      <c r="CD359" s="3">
        <f t="shared" si="203"/>
        <v>-9.6999999999999993</v>
      </c>
      <c r="CE359" s="3">
        <f t="shared" si="204"/>
        <v>-10.1</v>
      </c>
      <c r="CF359" s="1" t="s">
        <v>218</v>
      </c>
      <c r="CG359" s="3">
        <f t="shared" si="206"/>
        <v>-2</v>
      </c>
      <c r="CH359" s="3">
        <f t="shared" si="207"/>
        <v>-0.8</v>
      </c>
      <c r="CI359" s="3">
        <f t="shared" si="208"/>
        <v>-0.2</v>
      </c>
      <c r="CJ359" s="3">
        <f t="shared" si="209"/>
        <v>1.2</v>
      </c>
      <c r="CK359" s="27">
        <f t="shared" si="210"/>
        <v>92.2</v>
      </c>
      <c r="CL359" s="1">
        <f t="shared" si="211"/>
        <v>-6.1</v>
      </c>
      <c r="CM359" s="1">
        <f t="shared" si="212"/>
        <v>-5.4</v>
      </c>
      <c r="CN359" s="1" t="s">
        <v>218</v>
      </c>
      <c r="CO359" s="1">
        <f t="shared" si="214"/>
        <v>-1.5</v>
      </c>
      <c r="CP359" s="1">
        <f t="shared" si="215"/>
        <v>-0.7</v>
      </c>
      <c r="CQ359" s="1">
        <f t="shared" si="216"/>
        <v>0</v>
      </c>
      <c r="CR359" s="1">
        <f t="shared" si="217"/>
        <v>1.4</v>
      </c>
      <c r="CS359" s="2">
        <f t="shared" si="218"/>
        <v>95.7</v>
      </c>
      <c r="CT359" s="1">
        <f t="shared" si="219"/>
        <v>-15.2</v>
      </c>
      <c r="CU359" s="1">
        <f t="shared" si="220"/>
        <v>-17.3</v>
      </c>
      <c r="CV359" s="1" t="s">
        <v>218</v>
      </c>
      <c r="CW359" s="1">
        <f t="shared" si="222"/>
        <v>-2.8</v>
      </c>
      <c r="CX359" s="1">
        <f t="shared" si="223"/>
        <v>-1</v>
      </c>
      <c r="CY359" s="1">
        <f t="shared" si="224"/>
        <v>-0.3</v>
      </c>
      <c r="CZ359" s="1">
        <f t="shared" si="225"/>
        <v>1.1000000000000001</v>
      </c>
      <c r="DA359" s="2">
        <f t="shared" si="226"/>
        <v>85.5</v>
      </c>
      <c r="DB359" s="20">
        <f t="shared" si="227"/>
        <v>555</v>
      </c>
      <c r="DC359" s="1">
        <f>ROUND(PPTest!K359,1)</f>
        <v>0</v>
      </c>
      <c r="DD359" s="17" t="s">
        <v>218</v>
      </c>
      <c r="DE359" s="3">
        <f t="shared" si="228"/>
        <v>3.91</v>
      </c>
      <c r="DF359" s="24">
        <f t="shared" si="229"/>
        <v>0.33</v>
      </c>
      <c r="DG359" s="24">
        <f t="shared" si="230"/>
        <v>5.6000000000000001E-2</v>
      </c>
      <c r="DH359" s="17">
        <f t="shared" si="231"/>
        <v>12.75</v>
      </c>
    </row>
    <row r="360" spans="1:112" x14ac:dyDescent="0.2">
      <c r="A360" s="15">
        <f t="shared" si="232"/>
        <v>36879</v>
      </c>
      <c r="B360" s="1">
        <v>354</v>
      </c>
      <c r="C360" s="3">
        <v>0.20399999999999999</v>
      </c>
      <c r="D360" s="3">
        <v>0.372</v>
      </c>
      <c r="E360" s="3">
        <v>-8.68</v>
      </c>
      <c r="F360" s="3">
        <v>106.1</v>
      </c>
      <c r="G360" s="3">
        <v>-9.11</v>
      </c>
      <c r="H360" s="3"/>
      <c r="I360" s="3">
        <v>-1.649</v>
      </c>
      <c r="L360" s="3">
        <v>-0.70399999999999996</v>
      </c>
      <c r="M360" s="3">
        <v>-0.187</v>
      </c>
      <c r="N360" s="3">
        <v>1.157</v>
      </c>
      <c r="Q360" s="3"/>
      <c r="R360" s="3">
        <v>-7.13</v>
      </c>
      <c r="S360" s="3">
        <v>215</v>
      </c>
      <c r="T360" s="3">
        <v>107.4</v>
      </c>
      <c r="U360" s="3">
        <v>55</v>
      </c>
      <c r="V360" s="3">
        <v>-7.27</v>
      </c>
      <c r="W360" s="3"/>
      <c r="X360" s="3">
        <v>-1.45</v>
      </c>
      <c r="Y360" s="3"/>
      <c r="AA360" s="3">
        <v>-0.60699999999999998</v>
      </c>
      <c r="AB360" s="3">
        <v>-8.4000000000000005E-2</v>
      </c>
      <c r="AC360" s="3">
        <v>1.2669999999999999</v>
      </c>
      <c r="AD360" s="3">
        <v>4.1180000000000003</v>
      </c>
      <c r="AE360" s="3">
        <v>1105</v>
      </c>
      <c r="AF360" s="3">
        <v>-11.5</v>
      </c>
      <c r="AG360" s="3">
        <v>0</v>
      </c>
      <c r="AH360" s="3">
        <v>103.8</v>
      </c>
      <c r="AI360" s="3">
        <v>2357</v>
      </c>
      <c r="AJ360" s="3">
        <v>-13.48</v>
      </c>
      <c r="AK360" s="3"/>
      <c r="AL360" s="3">
        <v>-1.9610000000000001</v>
      </c>
      <c r="AO360" s="3">
        <v>-0.96199999999999997</v>
      </c>
      <c r="AP360" s="3">
        <v>-0.40400000000000003</v>
      </c>
      <c r="AQ360" s="3">
        <v>0.93600000000000005</v>
      </c>
      <c r="AR360" s="3"/>
      <c r="AS360" s="3"/>
      <c r="AT360" s="3"/>
      <c r="AU360" s="3"/>
      <c r="AV360" s="3"/>
      <c r="AW360" s="3"/>
      <c r="AX360" s="3"/>
      <c r="AY360" s="3"/>
      <c r="AZ360" s="3">
        <v>-8.8000000000000007</v>
      </c>
      <c r="BA360" s="3">
        <v>2937</v>
      </c>
      <c r="BB360" s="3">
        <v>12.75</v>
      </c>
      <c r="BC360" s="3">
        <v>2876</v>
      </c>
      <c r="BD360" s="3">
        <v>2943</v>
      </c>
      <c r="BE360" s="3">
        <v>2932</v>
      </c>
      <c r="BF360" s="1">
        <f t="shared" ref="BF360:BF372" si="240">$BF$1-BA360</f>
        <v>556</v>
      </c>
      <c r="BG360" s="3">
        <v>-8.68</v>
      </c>
      <c r="BH360" s="3">
        <v>-7.41</v>
      </c>
      <c r="BI360" s="3">
        <v>-7.44</v>
      </c>
      <c r="BJ360" s="3">
        <v>-11.54</v>
      </c>
      <c r="BK360" s="3">
        <v>-12.35</v>
      </c>
      <c r="BM360" s="17">
        <v>4.37</v>
      </c>
      <c r="BN360" s="17">
        <f t="shared" si="200"/>
        <v>8.8274000000000008</v>
      </c>
      <c r="BO360" s="18">
        <f t="shared" si="233"/>
        <v>0.2</v>
      </c>
      <c r="BP360" s="18">
        <f t="shared" si="234"/>
        <v>0.41</v>
      </c>
      <c r="BR360" s="1">
        <f t="shared" si="235"/>
        <v>95.1</v>
      </c>
      <c r="BS360" s="1">
        <f t="shared" si="236"/>
        <v>93</v>
      </c>
      <c r="BT360" s="1">
        <f t="shared" si="237"/>
        <v>89.3</v>
      </c>
      <c r="BU360" s="60">
        <f t="shared" si="239"/>
        <v>0.31900000000000001</v>
      </c>
      <c r="BV360" s="60">
        <f t="shared" si="199"/>
        <v>3.7999999999999999E-2</v>
      </c>
      <c r="CB360" s="17">
        <f t="shared" si="201"/>
        <v>0.2</v>
      </c>
      <c r="CC360" s="17">
        <f t="shared" si="202"/>
        <v>0.41</v>
      </c>
      <c r="CD360" s="3">
        <f t="shared" si="203"/>
        <v>-8.6999999999999993</v>
      </c>
      <c r="CE360" s="3">
        <f t="shared" si="204"/>
        <v>-9.1</v>
      </c>
      <c r="CF360" s="1" t="s">
        <v>218</v>
      </c>
      <c r="CG360" s="3">
        <f t="shared" si="206"/>
        <v>-1.6</v>
      </c>
      <c r="CH360" s="3">
        <f t="shared" si="207"/>
        <v>-0.7</v>
      </c>
      <c r="CI360" s="3">
        <f t="shared" si="208"/>
        <v>-0.2</v>
      </c>
      <c r="CJ360" s="3">
        <f t="shared" si="209"/>
        <v>1.2</v>
      </c>
      <c r="CK360" s="27">
        <f t="shared" si="210"/>
        <v>93</v>
      </c>
      <c r="CL360" s="1">
        <f t="shared" si="211"/>
        <v>-7.1</v>
      </c>
      <c r="CM360" s="1">
        <f t="shared" si="212"/>
        <v>-7.3</v>
      </c>
      <c r="CN360" s="1" t="s">
        <v>218</v>
      </c>
      <c r="CO360" s="1">
        <f t="shared" si="214"/>
        <v>-1.5</v>
      </c>
      <c r="CP360" s="1">
        <f t="shared" si="215"/>
        <v>-0.6</v>
      </c>
      <c r="CQ360" s="1">
        <f t="shared" si="216"/>
        <v>-0.1</v>
      </c>
      <c r="CR360" s="1">
        <f t="shared" si="217"/>
        <v>1.3</v>
      </c>
      <c r="CS360" s="2">
        <f t="shared" si="218"/>
        <v>95.1</v>
      </c>
      <c r="CT360" s="1">
        <f t="shared" si="219"/>
        <v>-11.5</v>
      </c>
      <c r="CU360" s="1">
        <f t="shared" si="220"/>
        <v>-13.5</v>
      </c>
      <c r="CV360" s="1" t="s">
        <v>218</v>
      </c>
      <c r="CW360" s="1">
        <f t="shared" si="222"/>
        <v>-2</v>
      </c>
      <c r="CX360" s="1">
        <f t="shared" si="223"/>
        <v>-1</v>
      </c>
      <c r="CY360" s="1">
        <f t="shared" si="224"/>
        <v>-0.4</v>
      </c>
      <c r="CZ360" s="1">
        <f t="shared" si="225"/>
        <v>0.9</v>
      </c>
      <c r="DA360" s="2">
        <f t="shared" si="226"/>
        <v>89.3</v>
      </c>
      <c r="DB360" s="20">
        <f t="shared" si="227"/>
        <v>556</v>
      </c>
      <c r="DC360" s="1">
        <f>ROUND(PPTest!K360,1)</f>
        <v>0.1</v>
      </c>
      <c r="DD360" s="17" t="s">
        <v>218</v>
      </c>
      <c r="DE360" s="3">
        <f t="shared" si="228"/>
        <v>4.12</v>
      </c>
      <c r="DF360" s="24">
        <f t="shared" si="229"/>
        <v>0.31900000000000001</v>
      </c>
      <c r="DG360" s="24">
        <f t="shared" si="230"/>
        <v>3.7999999999999999E-2</v>
      </c>
      <c r="DH360" s="17">
        <f t="shared" si="231"/>
        <v>12.75</v>
      </c>
    </row>
    <row r="361" spans="1:112" x14ac:dyDescent="0.2">
      <c r="A361" s="15">
        <f t="shared" si="232"/>
        <v>36880</v>
      </c>
      <c r="B361" s="1">
        <v>355</v>
      </c>
      <c r="C361" s="3">
        <v>1.4950000000000001</v>
      </c>
      <c r="D361" s="3">
        <v>1.9970000000000001</v>
      </c>
      <c r="E361" s="3">
        <v>-16.559999999999999</v>
      </c>
      <c r="F361" s="3">
        <v>98.3</v>
      </c>
      <c r="G361" s="3">
        <v>-18.260000000000002</v>
      </c>
      <c r="H361" s="3"/>
      <c r="I361" s="3">
        <v>-3.2810000000000001</v>
      </c>
      <c r="L361" s="3">
        <v>-1.1619999999999999</v>
      </c>
      <c r="M361" s="3">
        <v>-0.40400000000000003</v>
      </c>
      <c r="N361" s="3">
        <v>0.97599999999999998</v>
      </c>
      <c r="Q361" s="3"/>
      <c r="R361" s="3">
        <v>-6.82</v>
      </c>
      <c r="S361" s="3">
        <v>1236</v>
      </c>
      <c r="T361" s="3">
        <v>104.2</v>
      </c>
      <c r="U361" s="3">
        <v>11</v>
      </c>
      <c r="V361" s="3">
        <v>-8.08</v>
      </c>
      <c r="W361" s="3"/>
      <c r="X361" s="3">
        <v>-1.8520000000000001</v>
      </c>
      <c r="Y361" s="3"/>
      <c r="AA361" s="3">
        <v>-0.65700000000000003</v>
      </c>
      <c r="AB361" s="3">
        <v>0.11700000000000001</v>
      </c>
      <c r="AC361" s="3">
        <v>1.504</v>
      </c>
      <c r="AD361" s="3">
        <v>2.6280000000000001</v>
      </c>
      <c r="AE361" s="3">
        <v>2340</v>
      </c>
      <c r="AF361" s="3">
        <v>-21.71</v>
      </c>
      <c r="AG361" s="3">
        <v>2359</v>
      </c>
      <c r="AH361" s="3">
        <v>83.7</v>
      </c>
      <c r="AI361" s="3">
        <v>1052</v>
      </c>
      <c r="AJ361" s="3">
        <v>-22.91</v>
      </c>
      <c r="AK361" s="3"/>
      <c r="AL361" s="3">
        <v>-4.54</v>
      </c>
      <c r="AO361" s="3">
        <v>-1.4410000000000001</v>
      </c>
      <c r="AP361" s="3">
        <v>-0.60399999999999998</v>
      </c>
      <c r="AQ361" s="3">
        <v>0.78800000000000003</v>
      </c>
      <c r="AR361" s="3"/>
      <c r="AS361" s="3"/>
      <c r="AT361" s="3"/>
      <c r="AU361" s="3"/>
      <c r="AV361" s="3"/>
      <c r="AW361" s="3"/>
      <c r="AX361" s="3"/>
      <c r="AY361" s="3"/>
      <c r="AZ361" s="3">
        <v>-18.88</v>
      </c>
      <c r="BA361" s="3">
        <v>2944</v>
      </c>
      <c r="BB361" s="3">
        <v>12.75</v>
      </c>
      <c r="BC361" s="3">
        <v>2876</v>
      </c>
      <c r="BD361" s="3">
        <v>2946</v>
      </c>
      <c r="BE361" s="3">
        <v>2941</v>
      </c>
      <c r="BF361" s="1">
        <f t="shared" si="240"/>
        <v>549</v>
      </c>
      <c r="BG361" s="3">
        <v>-18.600000000000001</v>
      </c>
      <c r="BH361" s="3">
        <v>-11.38</v>
      </c>
      <c r="BI361" s="3">
        <v>-11.25</v>
      </c>
      <c r="BJ361" s="3">
        <v>-22.62</v>
      </c>
      <c r="BK361" s="3">
        <v>-22.84</v>
      </c>
      <c r="BM361" s="17">
        <v>4.38</v>
      </c>
      <c r="BN361" s="17">
        <f t="shared" si="200"/>
        <v>8.8475999999999999</v>
      </c>
      <c r="BO361" s="18">
        <f t="shared" si="233"/>
        <v>1.47</v>
      </c>
      <c r="BP361" s="18">
        <f t="shared" si="234"/>
        <v>2.2000000000000002</v>
      </c>
      <c r="BR361" s="1">
        <f t="shared" si="235"/>
        <v>90</v>
      </c>
      <c r="BS361" s="1">
        <f t="shared" si="236"/>
        <v>80.5</v>
      </c>
      <c r="BT361" s="1">
        <f t="shared" si="237"/>
        <v>67.7</v>
      </c>
      <c r="BU361" s="60">
        <f t="shared" si="239"/>
        <v>0.248</v>
      </c>
      <c r="BV361" s="60">
        <f t="shared" si="199"/>
        <v>0.11799999999999999</v>
      </c>
      <c r="CB361" s="17">
        <f t="shared" si="201"/>
        <v>1.47</v>
      </c>
      <c r="CC361" s="17">
        <f t="shared" si="202"/>
        <v>2.2000000000000002</v>
      </c>
      <c r="CD361" s="3">
        <f t="shared" si="203"/>
        <v>-16.600000000000001</v>
      </c>
      <c r="CE361" s="3">
        <f t="shared" si="204"/>
        <v>-18.3</v>
      </c>
      <c r="CF361" s="1" t="s">
        <v>218</v>
      </c>
      <c r="CG361" s="3">
        <f t="shared" si="206"/>
        <v>-3.3</v>
      </c>
      <c r="CH361" s="3">
        <f t="shared" si="207"/>
        <v>-1.2</v>
      </c>
      <c r="CI361" s="3">
        <f t="shared" si="208"/>
        <v>-0.4</v>
      </c>
      <c r="CJ361" s="3">
        <f t="shared" si="209"/>
        <v>1</v>
      </c>
      <c r="CK361" s="27">
        <f t="shared" si="210"/>
        <v>80.5</v>
      </c>
      <c r="CL361" s="1">
        <f t="shared" si="211"/>
        <v>-6.8</v>
      </c>
      <c r="CM361" s="1">
        <f t="shared" si="212"/>
        <v>-8.1</v>
      </c>
      <c r="CN361" s="1" t="s">
        <v>218</v>
      </c>
      <c r="CO361" s="1">
        <f t="shared" si="214"/>
        <v>-1.9</v>
      </c>
      <c r="CP361" s="1">
        <f t="shared" si="215"/>
        <v>-0.7</v>
      </c>
      <c r="CQ361" s="1">
        <f t="shared" si="216"/>
        <v>0.1</v>
      </c>
      <c r="CR361" s="1">
        <f t="shared" si="217"/>
        <v>1.5</v>
      </c>
      <c r="CS361" s="2">
        <f t="shared" si="218"/>
        <v>90</v>
      </c>
      <c r="CT361" s="1">
        <f t="shared" si="219"/>
        <v>-21.7</v>
      </c>
      <c r="CU361" s="1">
        <f t="shared" si="220"/>
        <v>-22.9</v>
      </c>
      <c r="CV361" s="1" t="s">
        <v>218</v>
      </c>
      <c r="CW361" s="1">
        <f t="shared" si="222"/>
        <v>-4.5</v>
      </c>
      <c r="CX361" s="1">
        <f t="shared" si="223"/>
        <v>-1.4</v>
      </c>
      <c r="CY361" s="1">
        <f t="shared" si="224"/>
        <v>-0.6</v>
      </c>
      <c r="CZ361" s="1">
        <f t="shared" si="225"/>
        <v>0.8</v>
      </c>
      <c r="DA361" s="2">
        <f t="shared" si="226"/>
        <v>67.7</v>
      </c>
      <c r="DB361" s="20">
        <f t="shared" si="227"/>
        <v>549</v>
      </c>
      <c r="DC361" s="1">
        <f>ROUND(PPTest!K361,1)</f>
        <v>0</v>
      </c>
      <c r="DD361" s="17" t="s">
        <v>218</v>
      </c>
      <c r="DE361" s="3">
        <f t="shared" si="228"/>
        <v>2.63</v>
      </c>
      <c r="DF361" s="24">
        <f t="shared" si="229"/>
        <v>0.248</v>
      </c>
      <c r="DG361" s="24">
        <f t="shared" si="230"/>
        <v>0.11799999999999999</v>
      </c>
      <c r="DH361" s="17">
        <f t="shared" si="231"/>
        <v>12.75</v>
      </c>
    </row>
    <row r="362" spans="1:112" x14ac:dyDescent="0.2">
      <c r="A362" s="15">
        <f t="shared" si="232"/>
        <v>36881</v>
      </c>
      <c r="B362" s="1">
        <v>356</v>
      </c>
      <c r="C362" s="3">
        <v>0.22500000000000001</v>
      </c>
      <c r="D362" s="3">
        <v>0.432</v>
      </c>
      <c r="E362" s="3">
        <v>-11.68</v>
      </c>
      <c r="F362" s="3">
        <v>103.4</v>
      </c>
      <c r="G362" s="3">
        <v>-12.09</v>
      </c>
      <c r="H362" s="3"/>
      <c r="I362" s="3">
        <v>-3.4049999999999998</v>
      </c>
      <c r="L362" s="3">
        <v>-1.113</v>
      </c>
      <c r="M362" s="3">
        <v>-0.34599999999999997</v>
      </c>
      <c r="N362" s="3">
        <v>1.0980000000000001</v>
      </c>
      <c r="Q362" s="3"/>
      <c r="R362" s="3">
        <v>-4.601</v>
      </c>
      <c r="S362" s="3">
        <v>1611</v>
      </c>
      <c r="T362" s="3">
        <v>107.5</v>
      </c>
      <c r="U362" s="3">
        <v>2311</v>
      </c>
      <c r="V362" s="3">
        <v>-3.2829999999999999</v>
      </c>
      <c r="W362" s="3"/>
      <c r="X362" s="3">
        <v>-1.859</v>
      </c>
      <c r="Y362" s="3"/>
      <c r="AA362" s="3">
        <v>-0.80300000000000005</v>
      </c>
      <c r="AB362" s="3">
        <v>-4.8000000000000001E-2</v>
      </c>
      <c r="AC362" s="3">
        <v>1.4219999999999999</v>
      </c>
      <c r="AD362" s="3">
        <v>4.0250000000000004</v>
      </c>
      <c r="AE362" s="3">
        <v>1326</v>
      </c>
      <c r="AF362" s="3">
        <v>-21.79</v>
      </c>
      <c r="AG362" s="3">
        <v>147</v>
      </c>
      <c r="AH362" s="3">
        <v>96</v>
      </c>
      <c r="AI362" s="3">
        <v>40</v>
      </c>
      <c r="AJ362" s="3">
        <v>-23.11</v>
      </c>
      <c r="AK362" s="3"/>
      <c r="AL362" s="3">
        <v>-4.96</v>
      </c>
      <c r="AO362" s="3">
        <v>-1.5129999999999999</v>
      </c>
      <c r="AP362" s="3">
        <v>-0.57799999999999996</v>
      </c>
      <c r="AQ362" s="3">
        <v>0.83699999999999997</v>
      </c>
      <c r="AR362" s="3"/>
      <c r="AS362" s="3"/>
      <c r="AT362" s="3"/>
      <c r="AU362" s="3"/>
      <c r="AV362" s="3"/>
      <c r="AW362" s="3"/>
      <c r="AX362" s="3"/>
      <c r="AY362" s="3"/>
      <c r="AZ362" s="3">
        <v>-13.25</v>
      </c>
      <c r="BA362" s="3">
        <v>2927</v>
      </c>
      <c r="BB362" s="3">
        <v>12.74</v>
      </c>
      <c r="BC362" s="3">
        <v>2876</v>
      </c>
      <c r="BD362" s="3">
        <v>2927</v>
      </c>
      <c r="BE362" s="3">
        <v>2926</v>
      </c>
      <c r="BF362" s="1">
        <f t="shared" si="240"/>
        <v>566</v>
      </c>
      <c r="BG362" s="3">
        <v>-13.48</v>
      </c>
      <c r="BH362" s="3">
        <v>-5.3179999999999996</v>
      </c>
      <c r="BI362" s="3">
        <v>-5.3289999999999997</v>
      </c>
      <c r="BJ362" s="3">
        <v>-23.12</v>
      </c>
      <c r="BK362" s="3">
        <v>-23.31</v>
      </c>
      <c r="BM362" s="17">
        <v>4.38</v>
      </c>
      <c r="BN362" s="17">
        <f t="shared" si="200"/>
        <v>8.8475999999999999</v>
      </c>
      <c r="BO362" s="18">
        <f t="shared" si="233"/>
        <v>0.22</v>
      </c>
      <c r="BP362" s="18">
        <f t="shared" si="234"/>
        <v>0.48</v>
      </c>
      <c r="BR362" s="1">
        <f t="shared" si="235"/>
        <v>95.2</v>
      </c>
      <c r="BS362" s="1">
        <f t="shared" si="236"/>
        <v>88.7</v>
      </c>
      <c r="BT362" s="1">
        <f t="shared" si="237"/>
        <v>78.5</v>
      </c>
      <c r="BU362" s="60">
        <f t="shared" si="239"/>
        <v>0.34100000000000003</v>
      </c>
      <c r="BV362" s="60">
        <f t="shared" si="199"/>
        <v>9.2999999999999999E-2</v>
      </c>
      <c r="CB362" s="17">
        <f t="shared" si="201"/>
        <v>0.22</v>
      </c>
      <c r="CC362" s="17">
        <f t="shared" si="202"/>
        <v>0.48</v>
      </c>
      <c r="CD362" s="3">
        <f t="shared" si="203"/>
        <v>-11.7</v>
      </c>
      <c r="CE362" s="3">
        <f t="shared" si="204"/>
        <v>-12.1</v>
      </c>
      <c r="CF362" s="1" t="s">
        <v>218</v>
      </c>
      <c r="CG362" s="3">
        <f t="shared" si="206"/>
        <v>-3.4</v>
      </c>
      <c r="CH362" s="3">
        <f t="shared" si="207"/>
        <v>-1.1000000000000001</v>
      </c>
      <c r="CI362" s="3">
        <f t="shared" si="208"/>
        <v>-0.3</v>
      </c>
      <c r="CJ362" s="3">
        <f t="shared" si="209"/>
        <v>1.1000000000000001</v>
      </c>
      <c r="CK362" s="27">
        <f t="shared" si="210"/>
        <v>88.7</v>
      </c>
      <c r="CL362" s="1">
        <f t="shared" si="211"/>
        <v>-4.5999999999999996</v>
      </c>
      <c r="CM362" s="1">
        <f t="shared" si="212"/>
        <v>-3.3</v>
      </c>
      <c r="CN362" s="1" t="s">
        <v>218</v>
      </c>
      <c r="CO362" s="1">
        <f t="shared" si="214"/>
        <v>-1.9</v>
      </c>
      <c r="CP362" s="1">
        <f t="shared" si="215"/>
        <v>-0.8</v>
      </c>
      <c r="CQ362" s="1">
        <f t="shared" si="216"/>
        <v>0</v>
      </c>
      <c r="CR362" s="1">
        <f t="shared" si="217"/>
        <v>1.4</v>
      </c>
      <c r="CS362" s="2">
        <f t="shared" si="218"/>
        <v>95.2</v>
      </c>
      <c r="CT362" s="1">
        <f t="shared" si="219"/>
        <v>-21.8</v>
      </c>
      <c r="CU362" s="1">
        <f t="shared" si="220"/>
        <v>-23.1</v>
      </c>
      <c r="CV362" s="1" t="s">
        <v>218</v>
      </c>
      <c r="CW362" s="1">
        <f t="shared" si="222"/>
        <v>-5</v>
      </c>
      <c r="CX362" s="1">
        <f t="shared" si="223"/>
        <v>-1.5</v>
      </c>
      <c r="CY362" s="1">
        <f t="shared" si="224"/>
        <v>-0.6</v>
      </c>
      <c r="CZ362" s="1">
        <f t="shared" si="225"/>
        <v>0.8</v>
      </c>
      <c r="DA362" s="2">
        <f t="shared" si="226"/>
        <v>78.5</v>
      </c>
      <c r="DB362" s="20">
        <f t="shared" si="227"/>
        <v>566</v>
      </c>
      <c r="DC362" s="1">
        <f>ROUND(PPTest!K362,1)</f>
        <v>2.2000000000000002</v>
      </c>
      <c r="DD362" s="17" t="s">
        <v>218</v>
      </c>
      <c r="DE362" s="3">
        <f t="shared" si="228"/>
        <v>4.03</v>
      </c>
      <c r="DF362" s="24">
        <f t="shared" si="229"/>
        <v>0.34100000000000003</v>
      </c>
      <c r="DG362" s="24">
        <f t="shared" si="230"/>
        <v>9.2999999999999999E-2</v>
      </c>
      <c r="DH362" s="17">
        <f t="shared" si="231"/>
        <v>12.74</v>
      </c>
    </row>
    <row r="363" spans="1:112" x14ac:dyDescent="0.2">
      <c r="A363" s="15">
        <f t="shared" si="232"/>
        <v>36882</v>
      </c>
      <c r="B363" s="1">
        <v>357</v>
      </c>
      <c r="C363" s="3">
        <v>0.253</v>
      </c>
      <c r="D363" s="3">
        <v>0.47399999999999998</v>
      </c>
      <c r="E363" s="3">
        <v>-5.1859999999999999</v>
      </c>
      <c r="F363" s="3">
        <v>106.4</v>
      </c>
      <c r="G363" s="3">
        <v>-5.5250000000000004</v>
      </c>
      <c r="H363" s="3"/>
      <c r="I363" s="3">
        <v>-1.522</v>
      </c>
      <c r="L363" s="3">
        <v>-0.69</v>
      </c>
      <c r="M363" s="3">
        <v>-0.248</v>
      </c>
      <c r="N363" s="3">
        <v>1.105</v>
      </c>
      <c r="Q363" s="3"/>
      <c r="R363" s="3">
        <v>-2.6320000000000001</v>
      </c>
      <c r="S363" s="3">
        <v>1513</v>
      </c>
      <c r="T363" s="3">
        <v>108.3</v>
      </c>
      <c r="U363" s="3">
        <v>1812</v>
      </c>
      <c r="V363" s="3">
        <v>-2.3319999999999999</v>
      </c>
      <c r="W363" s="3"/>
      <c r="X363" s="3">
        <v>-1.157</v>
      </c>
      <c r="Y363" s="3"/>
      <c r="AA363" s="3">
        <v>-0.55400000000000005</v>
      </c>
      <c r="AB363" s="3">
        <v>-0.129</v>
      </c>
      <c r="AC363" s="3">
        <v>1.224</v>
      </c>
      <c r="AD363" s="3">
        <v>2.6150000000000002</v>
      </c>
      <c r="AE363" s="3">
        <v>1038</v>
      </c>
      <c r="AF363" s="3">
        <v>-7.65</v>
      </c>
      <c r="AG363" s="3">
        <v>553</v>
      </c>
      <c r="AH363" s="3">
        <v>101</v>
      </c>
      <c r="AI363" s="3">
        <v>1345</v>
      </c>
      <c r="AJ363" s="3">
        <v>-7.92</v>
      </c>
      <c r="AK363" s="3"/>
      <c r="AL363" s="3">
        <v>-1.9590000000000001</v>
      </c>
      <c r="AO363" s="3">
        <v>-0.9</v>
      </c>
      <c r="AP363" s="3">
        <v>-0.38100000000000001</v>
      </c>
      <c r="AQ363" s="3">
        <v>1.0149999999999999</v>
      </c>
      <c r="AR363" s="3"/>
      <c r="AS363" s="3"/>
      <c r="AT363" s="3"/>
      <c r="AU363" s="3"/>
      <c r="AV363" s="3"/>
      <c r="AW363" s="3"/>
      <c r="AX363" s="3"/>
      <c r="AY363" s="3"/>
      <c r="AZ363" s="3">
        <v>-5.5309999999999997</v>
      </c>
      <c r="BA363" s="3">
        <v>2940</v>
      </c>
      <c r="BB363" s="3">
        <v>12.75</v>
      </c>
      <c r="BC363" s="3">
        <v>2876</v>
      </c>
      <c r="BD363" s="3">
        <v>2940</v>
      </c>
      <c r="BE363" s="3">
        <v>2940</v>
      </c>
      <c r="BF363" s="1">
        <f t="shared" si="240"/>
        <v>553</v>
      </c>
      <c r="BG363" s="3">
        <v>-5.5090000000000003</v>
      </c>
      <c r="BH363" s="3">
        <v>-3.3149999999999999</v>
      </c>
      <c r="BI363" s="3">
        <v>-3.3490000000000002</v>
      </c>
      <c r="BJ363" s="3">
        <v>-7.43</v>
      </c>
      <c r="BK363" s="3">
        <v>-7.5</v>
      </c>
      <c r="BM363" s="17">
        <v>4.3899999999999997</v>
      </c>
      <c r="BN363" s="17">
        <f t="shared" si="200"/>
        <v>8.867799999999999</v>
      </c>
      <c r="BO363" s="18">
        <f t="shared" si="233"/>
        <v>0.25</v>
      </c>
      <c r="BP363" s="18">
        <f t="shared" si="234"/>
        <v>0.52</v>
      </c>
      <c r="BR363" s="1">
        <f t="shared" si="235"/>
        <v>96.5</v>
      </c>
      <c r="BS363" s="1">
        <f t="shared" si="236"/>
        <v>93.5</v>
      </c>
      <c r="BT363" s="1">
        <f t="shared" si="237"/>
        <v>84.9</v>
      </c>
      <c r="BU363" s="60">
        <f t="shared" si="239"/>
        <v>0.42699999999999999</v>
      </c>
      <c r="BV363" s="60">
        <f t="shared" si="199"/>
        <v>7.5999999999999998E-2</v>
      </c>
      <c r="CB363" s="17">
        <f t="shared" si="201"/>
        <v>0.25</v>
      </c>
      <c r="CC363" s="17">
        <f t="shared" si="202"/>
        <v>0.52</v>
      </c>
      <c r="CD363" s="3">
        <f t="shared" si="203"/>
        <v>-5.2</v>
      </c>
      <c r="CE363" s="3">
        <f t="shared" si="204"/>
        <v>-5.5</v>
      </c>
      <c r="CF363" s="1" t="s">
        <v>218</v>
      </c>
      <c r="CG363" s="3">
        <f t="shared" si="206"/>
        <v>-1.5</v>
      </c>
      <c r="CH363" s="3">
        <f t="shared" si="207"/>
        <v>-0.7</v>
      </c>
      <c r="CI363" s="3">
        <f t="shared" si="208"/>
        <v>-0.2</v>
      </c>
      <c r="CJ363" s="3">
        <f t="shared" si="209"/>
        <v>1.1000000000000001</v>
      </c>
      <c r="CK363" s="27">
        <f t="shared" si="210"/>
        <v>93.5</v>
      </c>
      <c r="CL363" s="1">
        <f t="shared" si="211"/>
        <v>-2.6</v>
      </c>
      <c r="CM363" s="1">
        <f t="shared" si="212"/>
        <v>-2.2999999999999998</v>
      </c>
      <c r="CN363" s="1" t="s">
        <v>218</v>
      </c>
      <c r="CO363" s="1">
        <f t="shared" si="214"/>
        <v>-1.2</v>
      </c>
      <c r="CP363" s="1">
        <f t="shared" si="215"/>
        <v>-0.6</v>
      </c>
      <c r="CQ363" s="1">
        <f t="shared" si="216"/>
        <v>-0.1</v>
      </c>
      <c r="CR363" s="1">
        <f t="shared" si="217"/>
        <v>1.2</v>
      </c>
      <c r="CS363" s="2">
        <f t="shared" si="218"/>
        <v>96.5</v>
      </c>
      <c r="CT363" s="1">
        <f t="shared" si="219"/>
        <v>-7.7</v>
      </c>
      <c r="CU363" s="1">
        <f t="shared" si="220"/>
        <v>-7.9</v>
      </c>
      <c r="CV363" s="1" t="s">
        <v>218</v>
      </c>
      <c r="CW363" s="1">
        <f t="shared" si="222"/>
        <v>-2</v>
      </c>
      <c r="CX363" s="1">
        <f t="shared" si="223"/>
        <v>-0.9</v>
      </c>
      <c r="CY363" s="1">
        <f t="shared" si="224"/>
        <v>-0.4</v>
      </c>
      <c r="CZ363" s="1">
        <f t="shared" si="225"/>
        <v>1</v>
      </c>
      <c r="DA363" s="2">
        <f t="shared" si="226"/>
        <v>84.9</v>
      </c>
      <c r="DB363" s="20">
        <f t="shared" si="227"/>
        <v>553</v>
      </c>
      <c r="DC363" s="1">
        <f>ROUND(PPTest!K363,1)</f>
        <v>0</v>
      </c>
      <c r="DD363" s="17" t="s">
        <v>218</v>
      </c>
      <c r="DE363" s="3">
        <f t="shared" si="228"/>
        <v>2.62</v>
      </c>
      <c r="DF363" s="24">
        <f t="shared" si="229"/>
        <v>0.42699999999999999</v>
      </c>
      <c r="DG363" s="24">
        <f t="shared" si="230"/>
        <v>7.5999999999999998E-2</v>
      </c>
      <c r="DH363" s="17">
        <f t="shared" si="231"/>
        <v>12.75</v>
      </c>
    </row>
    <row r="364" spans="1:112" x14ac:dyDescent="0.2">
      <c r="A364" s="15">
        <f t="shared" si="232"/>
        <v>36883</v>
      </c>
      <c r="B364" s="1">
        <v>358</v>
      </c>
      <c r="C364" s="3">
        <v>1.1559999999999999</v>
      </c>
      <c r="D364" s="3">
        <v>1.5069999999999999</v>
      </c>
      <c r="E364" s="3">
        <v>-3.7440000000000002</v>
      </c>
      <c r="F364" s="3">
        <v>104.2</v>
      </c>
      <c r="G364" s="3">
        <v>-4.2679999999999998</v>
      </c>
      <c r="H364" s="3"/>
      <c r="I364" s="3">
        <v>-1.018</v>
      </c>
      <c r="L364" s="3">
        <v>-0.56100000000000005</v>
      </c>
      <c r="M364" s="3">
        <v>-0.21199999999999999</v>
      </c>
      <c r="N364" s="3">
        <v>1.081</v>
      </c>
      <c r="Q364" s="3"/>
      <c r="R364" s="3">
        <v>0.63800000000000001</v>
      </c>
      <c r="S364" s="3">
        <v>1227</v>
      </c>
      <c r="T364" s="3">
        <v>108.8</v>
      </c>
      <c r="U364" s="3">
        <v>744</v>
      </c>
      <c r="V364" s="3">
        <v>1.744</v>
      </c>
      <c r="W364" s="3"/>
      <c r="X364" s="3">
        <v>-0.79300000000000004</v>
      </c>
      <c r="Y364" s="3"/>
      <c r="AA364" s="3">
        <v>-0.33900000000000002</v>
      </c>
      <c r="AB364" s="3">
        <v>1.2999999999999999E-2</v>
      </c>
      <c r="AC364" s="3">
        <v>1.306</v>
      </c>
      <c r="AD364" s="3">
        <v>3.8519999999999999</v>
      </c>
      <c r="AE364" s="3">
        <v>1053</v>
      </c>
      <c r="AF364" s="3">
        <v>-7.05</v>
      </c>
      <c r="AG364" s="3">
        <v>728</v>
      </c>
      <c r="AH364" s="3">
        <v>84.1</v>
      </c>
      <c r="AI364" s="3">
        <v>1255</v>
      </c>
      <c r="AJ364" s="3">
        <v>-8.2899999999999991</v>
      </c>
      <c r="AK364" s="3"/>
      <c r="AL364" s="3">
        <v>-1.2809999999999999</v>
      </c>
      <c r="AO364" s="3">
        <v>-0.71199999999999997</v>
      </c>
      <c r="AP364" s="3">
        <v>-0.33400000000000002</v>
      </c>
      <c r="AQ364" s="3">
        <v>0.96499999999999997</v>
      </c>
      <c r="AR364" s="3"/>
      <c r="AS364" s="3"/>
      <c r="AT364" s="3"/>
      <c r="AU364" s="3"/>
      <c r="AV364" s="3"/>
      <c r="AW364" s="3"/>
      <c r="AX364" s="3"/>
      <c r="AY364" s="3"/>
      <c r="AZ364" s="3">
        <v>-4.4530000000000003</v>
      </c>
      <c r="BA364" s="3">
        <v>2954</v>
      </c>
      <c r="BB364" s="3">
        <v>12.75</v>
      </c>
      <c r="BC364" s="3">
        <v>2876</v>
      </c>
      <c r="BD364" s="3">
        <v>2954</v>
      </c>
      <c r="BE364" s="3">
        <v>2953</v>
      </c>
      <c r="BF364" s="1">
        <f t="shared" si="240"/>
        <v>539</v>
      </c>
      <c r="BG364" s="3">
        <v>-4.407</v>
      </c>
      <c r="BH364" s="3">
        <v>-0.92800000000000005</v>
      </c>
      <c r="BI364" s="3">
        <v>-0.92500000000000004</v>
      </c>
      <c r="BJ364" s="3">
        <v>-7.6</v>
      </c>
      <c r="BK364" s="3">
        <v>-7.78</v>
      </c>
      <c r="BM364" s="17">
        <v>4.4000000000000004</v>
      </c>
      <c r="BN364" s="17">
        <f t="shared" si="200"/>
        <v>8.8880000000000017</v>
      </c>
      <c r="BO364" s="18">
        <f t="shared" si="233"/>
        <v>1.1299999999999999</v>
      </c>
      <c r="BP364" s="18">
        <f t="shared" si="234"/>
        <v>1.66</v>
      </c>
      <c r="BR364" s="1">
        <f t="shared" si="235"/>
        <v>97.3</v>
      </c>
      <c r="BS364" s="1">
        <f t="shared" si="236"/>
        <v>90</v>
      </c>
      <c r="BT364" s="1">
        <f t="shared" si="237"/>
        <v>68</v>
      </c>
      <c r="BU364" s="60">
        <f t="shared" si="239"/>
        <v>0.435</v>
      </c>
      <c r="BV364" s="60">
        <f t="shared" si="199"/>
        <v>0.20499999999999999</v>
      </c>
      <c r="CB364" s="17">
        <f t="shared" si="201"/>
        <v>1.1299999999999999</v>
      </c>
      <c r="CC364" s="17">
        <f t="shared" si="202"/>
        <v>1.66</v>
      </c>
      <c r="CD364" s="3">
        <f t="shared" si="203"/>
        <v>-3.7</v>
      </c>
      <c r="CE364" s="3">
        <f t="shared" si="204"/>
        <v>-4.3</v>
      </c>
      <c r="CF364" s="1" t="s">
        <v>218</v>
      </c>
      <c r="CG364" s="3">
        <f t="shared" si="206"/>
        <v>-1</v>
      </c>
      <c r="CH364" s="3">
        <f t="shared" si="207"/>
        <v>-0.6</v>
      </c>
      <c r="CI364" s="3">
        <f t="shared" si="208"/>
        <v>-0.2</v>
      </c>
      <c r="CJ364" s="3">
        <f t="shared" si="209"/>
        <v>1.1000000000000001</v>
      </c>
      <c r="CK364" s="27">
        <f t="shared" si="210"/>
        <v>90</v>
      </c>
      <c r="CL364" s="1">
        <f t="shared" si="211"/>
        <v>0.6</v>
      </c>
      <c r="CM364" s="1">
        <f t="shared" si="212"/>
        <v>1.7</v>
      </c>
      <c r="CN364" s="1" t="s">
        <v>218</v>
      </c>
      <c r="CO364" s="1">
        <f t="shared" si="214"/>
        <v>-0.8</v>
      </c>
      <c r="CP364" s="1">
        <f t="shared" si="215"/>
        <v>-0.3</v>
      </c>
      <c r="CQ364" s="1">
        <f t="shared" si="216"/>
        <v>0</v>
      </c>
      <c r="CR364" s="1">
        <f t="shared" si="217"/>
        <v>1.3</v>
      </c>
      <c r="CS364" s="2">
        <f t="shared" si="218"/>
        <v>97.3</v>
      </c>
      <c r="CT364" s="1">
        <f t="shared" si="219"/>
        <v>-7.1</v>
      </c>
      <c r="CU364" s="1">
        <f t="shared" si="220"/>
        <v>-8.3000000000000007</v>
      </c>
      <c r="CV364" s="1" t="s">
        <v>218</v>
      </c>
      <c r="CW364" s="1">
        <f t="shared" si="222"/>
        <v>-1.3</v>
      </c>
      <c r="CX364" s="1">
        <f t="shared" si="223"/>
        <v>-0.7</v>
      </c>
      <c r="CY364" s="1">
        <f t="shared" si="224"/>
        <v>-0.3</v>
      </c>
      <c r="CZ364" s="1">
        <f t="shared" si="225"/>
        <v>1</v>
      </c>
      <c r="DA364" s="2">
        <f t="shared" si="226"/>
        <v>68</v>
      </c>
      <c r="DB364" s="20">
        <f t="shared" si="227"/>
        <v>539</v>
      </c>
      <c r="DC364" s="1">
        <f>ROUND(PPTest!K364,1)</f>
        <v>0</v>
      </c>
      <c r="DD364" s="17" t="s">
        <v>218</v>
      </c>
      <c r="DE364" s="3">
        <f t="shared" si="228"/>
        <v>3.85</v>
      </c>
      <c r="DF364" s="24">
        <f t="shared" si="229"/>
        <v>0.435</v>
      </c>
      <c r="DG364" s="24">
        <f t="shared" si="230"/>
        <v>0.20499999999999999</v>
      </c>
      <c r="DH364" s="17">
        <f t="shared" si="231"/>
        <v>12.75</v>
      </c>
    </row>
    <row r="365" spans="1:112" x14ac:dyDescent="0.2">
      <c r="A365" s="15">
        <f t="shared" si="232"/>
        <v>36884</v>
      </c>
      <c r="B365" s="1">
        <v>359</v>
      </c>
      <c r="C365" s="3">
        <v>0.254</v>
      </c>
      <c r="D365" s="3">
        <v>0.47099999999999997</v>
      </c>
      <c r="E365" s="3">
        <v>-4.0049999999999999</v>
      </c>
      <c r="F365" s="3">
        <v>107.3</v>
      </c>
      <c r="G365" s="3">
        <v>-4.6130000000000004</v>
      </c>
      <c r="H365" s="3"/>
      <c r="I365" s="3">
        <v>-0.75</v>
      </c>
      <c r="L365" s="3">
        <v>-0.48199999999999998</v>
      </c>
      <c r="M365" s="3">
        <v>-0.19900000000000001</v>
      </c>
      <c r="N365" s="3">
        <v>1.054</v>
      </c>
      <c r="Q365" s="3"/>
      <c r="R365" s="3">
        <v>-2.13</v>
      </c>
      <c r="S365" s="3">
        <v>1256</v>
      </c>
      <c r="T365" s="3">
        <v>109.1</v>
      </c>
      <c r="U365" s="3">
        <v>1722</v>
      </c>
      <c r="V365" s="3">
        <v>-3.1859999999999999</v>
      </c>
      <c r="W365" s="3"/>
      <c r="X365" s="3">
        <v>-0.62</v>
      </c>
      <c r="Y365" s="3"/>
      <c r="AA365" s="3">
        <v>-0.374</v>
      </c>
      <c r="AB365" s="3">
        <v>-9.4E-2</v>
      </c>
      <c r="AC365" s="3">
        <v>1.1679999999999999</v>
      </c>
      <c r="AD365" s="3">
        <v>2.508</v>
      </c>
      <c r="AE365" s="3">
        <v>1311</v>
      </c>
      <c r="AF365" s="3">
        <v>-7.25</v>
      </c>
      <c r="AG365" s="3">
        <v>0</v>
      </c>
      <c r="AH365" s="3">
        <v>103.9</v>
      </c>
      <c r="AI365" s="3">
        <v>1256</v>
      </c>
      <c r="AJ365" s="3">
        <v>-9.44</v>
      </c>
      <c r="AK365" s="3"/>
      <c r="AL365" s="3">
        <v>-1.0369999999999999</v>
      </c>
      <c r="AO365" s="3">
        <v>-0.74099999999999999</v>
      </c>
      <c r="AP365" s="3">
        <v>-0.44600000000000001</v>
      </c>
      <c r="AQ365" s="3">
        <v>0.79100000000000004</v>
      </c>
      <c r="AR365" s="3"/>
      <c r="AS365" s="3"/>
      <c r="AT365" s="3"/>
      <c r="AU365" s="3"/>
      <c r="AV365" s="3"/>
      <c r="AW365" s="3"/>
      <c r="AX365" s="3"/>
      <c r="AY365" s="3"/>
      <c r="AZ365" s="3">
        <v>-4.5350000000000001</v>
      </c>
      <c r="BA365" s="3">
        <v>2973</v>
      </c>
      <c r="BB365" s="3">
        <v>12.76</v>
      </c>
      <c r="BC365" s="3">
        <v>2876</v>
      </c>
      <c r="BD365" s="3">
        <v>2973</v>
      </c>
      <c r="BE365" s="3">
        <v>2972</v>
      </c>
      <c r="BF365" s="1">
        <f t="shared" si="240"/>
        <v>520</v>
      </c>
      <c r="BG365" s="3">
        <v>-4.4359999999999999</v>
      </c>
      <c r="BH365" s="3">
        <v>-2.5779999999999998</v>
      </c>
      <c r="BI365" s="3">
        <v>-2.512</v>
      </c>
      <c r="BJ365" s="3">
        <v>-6.9870000000000001</v>
      </c>
      <c r="BK365" s="3">
        <v>-8.09</v>
      </c>
      <c r="BM365" s="17">
        <v>4.41</v>
      </c>
      <c r="BN365" s="17">
        <f t="shared" si="200"/>
        <v>8.9082000000000008</v>
      </c>
      <c r="BO365" s="18">
        <f t="shared" ref="BO365:BO372" si="241">ROUND(C365*BO$2,2)</f>
        <v>0.25</v>
      </c>
      <c r="BP365" s="18">
        <f t="shared" ref="BP365:BP372" si="242">ROUND(D365*BP$2,2)</f>
        <v>0.52</v>
      </c>
      <c r="BR365" s="1">
        <f t="shared" ref="BR365:BR372" si="243">ROUND(IF(T365&gt;BR$2,100,IF(T365&gt;BR$3,BS$1*T365+BS$2, T365*BS$3+BS$4)),1)</f>
        <v>97.8</v>
      </c>
      <c r="BS365" s="1">
        <f t="shared" ref="BS365:BS372" si="244">ROUND(IF(F365&gt;BR$2,100, IF(F365&gt;BR$3,BS$1*F365+BS$2, F365*BS$3+BS$4)),1)</f>
        <v>94.9</v>
      </c>
      <c r="BT365" s="1">
        <f t="shared" ref="BT365:BT372" si="245">ROUND(IF(AH365&gt;BR$2,100,IF(AH365&gt;BR$3,BS$1*AH365+BS$2, AH365*BS$3+BS$4)),1)</f>
        <v>89.5</v>
      </c>
      <c r="BU365" s="60">
        <f t="shared" si="239"/>
        <v>0.46700000000000003</v>
      </c>
      <c r="BV365" s="60">
        <f t="shared" si="199"/>
        <v>5.5E-2</v>
      </c>
      <c r="CB365" s="17">
        <f t="shared" si="201"/>
        <v>0.25</v>
      </c>
      <c r="CC365" s="17">
        <f t="shared" si="202"/>
        <v>0.52</v>
      </c>
      <c r="CD365" s="3">
        <f t="shared" si="203"/>
        <v>-4</v>
      </c>
      <c r="CE365" s="3">
        <f t="shared" si="204"/>
        <v>-4.5999999999999996</v>
      </c>
      <c r="CF365" s="1" t="s">
        <v>218</v>
      </c>
      <c r="CG365" s="3">
        <f t="shared" si="206"/>
        <v>-0.8</v>
      </c>
      <c r="CH365" s="3">
        <f t="shared" si="207"/>
        <v>-0.5</v>
      </c>
      <c r="CI365" s="3">
        <f t="shared" si="208"/>
        <v>-0.2</v>
      </c>
      <c r="CJ365" s="3">
        <f t="shared" si="209"/>
        <v>1.1000000000000001</v>
      </c>
      <c r="CK365" s="27">
        <f t="shared" si="210"/>
        <v>94.9</v>
      </c>
      <c r="CL365" s="1">
        <f t="shared" si="211"/>
        <v>-2.1</v>
      </c>
      <c r="CM365" s="1">
        <f t="shared" si="212"/>
        <v>-3.2</v>
      </c>
      <c r="CN365" s="1" t="s">
        <v>218</v>
      </c>
      <c r="CO365" s="1">
        <f t="shared" si="214"/>
        <v>-0.6</v>
      </c>
      <c r="CP365" s="1">
        <f t="shared" si="215"/>
        <v>-0.4</v>
      </c>
      <c r="CQ365" s="1">
        <f t="shared" si="216"/>
        <v>-0.1</v>
      </c>
      <c r="CR365" s="1">
        <f t="shared" si="217"/>
        <v>1.2</v>
      </c>
      <c r="CS365" s="2">
        <f t="shared" si="218"/>
        <v>97.8</v>
      </c>
      <c r="CT365" s="1">
        <f t="shared" si="219"/>
        <v>-7.3</v>
      </c>
      <c r="CU365" s="1">
        <f t="shared" si="220"/>
        <v>-9.4</v>
      </c>
      <c r="CV365" s="1" t="s">
        <v>218</v>
      </c>
      <c r="CW365" s="1">
        <f t="shared" si="222"/>
        <v>-1</v>
      </c>
      <c r="CX365" s="1">
        <f t="shared" si="223"/>
        <v>-0.7</v>
      </c>
      <c r="CY365" s="1">
        <f t="shared" si="224"/>
        <v>-0.4</v>
      </c>
      <c r="CZ365" s="1">
        <f t="shared" si="225"/>
        <v>0.8</v>
      </c>
      <c r="DA365" s="2">
        <f t="shared" si="226"/>
        <v>89.5</v>
      </c>
      <c r="DB365" s="20">
        <f t="shared" si="227"/>
        <v>520</v>
      </c>
      <c r="DC365" s="1">
        <f>ROUND(PPTest!K365,1)</f>
        <v>0</v>
      </c>
      <c r="DD365" s="17" t="s">
        <v>218</v>
      </c>
      <c r="DE365" s="3">
        <f t="shared" si="228"/>
        <v>2.5099999999999998</v>
      </c>
      <c r="DF365" s="24">
        <f t="shared" si="229"/>
        <v>0.46700000000000003</v>
      </c>
      <c r="DG365" s="24">
        <f t="shared" si="230"/>
        <v>5.5E-2</v>
      </c>
      <c r="DH365" s="17">
        <f t="shared" si="231"/>
        <v>12.76</v>
      </c>
    </row>
    <row r="366" spans="1:112" x14ac:dyDescent="0.2">
      <c r="A366" s="15">
        <f t="shared" si="232"/>
        <v>36885</v>
      </c>
      <c r="B366" s="1">
        <v>360</v>
      </c>
      <c r="C366" s="3">
        <v>0.23599999999999999</v>
      </c>
      <c r="D366" s="3">
        <v>0.41899999999999998</v>
      </c>
      <c r="E366" s="3">
        <v>-4.1429999999999998</v>
      </c>
      <c r="F366" s="3">
        <v>106.7</v>
      </c>
      <c r="G366" s="3">
        <v>-4.6310000000000002</v>
      </c>
      <c r="H366" s="3"/>
      <c r="I366" s="3">
        <v>-0.70099999999999996</v>
      </c>
      <c r="L366" s="3">
        <v>-0.45100000000000001</v>
      </c>
      <c r="M366" s="3">
        <v>-0.16500000000000001</v>
      </c>
      <c r="N366" s="3">
        <v>1.0620000000000001</v>
      </c>
      <c r="Q366" s="3"/>
      <c r="R366" s="3">
        <v>-1.9990000000000001</v>
      </c>
      <c r="S366" s="3">
        <v>1312</v>
      </c>
      <c r="T366" s="3">
        <v>109.5</v>
      </c>
      <c r="U366" s="3">
        <v>2242</v>
      </c>
      <c r="V366" s="3">
        <v>-2.23</v>
      </c>
      <c r="W366" s="3"/>
      <c r="X366" s="3">
        <v>-0.57799999999999996</v>
      </c>
      <c r="Y366" s="3"/>
      <c r="AA366" s="3">
        <v>-0.28499999999999998</v>
      </c>
      <c r="AB366" s="3">
        <v>2.3E-2</v>
      </c>
      <c r="AC366" s="3">
        <v>1.256</v>
      </c>
      <c r="AD366" s="3">
        <v>3.6259999999999999</v>
      </c>
      <c r="AE366" s="3">
        <v>1333</v>
      </c>
      <c r="AF366" s="3">
        <v>-8.39</v>
      </c>
      <c r="AG366" s="3">
        <v>53</v>
      </c>
      <c r="AH366" s="3">
        <v>94.9</v>
      </c>
      <c r="AI366" s="3">
        <v>432</v>
      </c>
      <c r="AJ366" s="3">
        <v>-10.8</v>
      </c>
      <c r="AK366" s="3"/>
      <c r="AL366" s="3">
        <v>-1.0640000000000001</v>
      </c>
      <c r="AO366" s="3">
        <v>-0.75800000000000001</v>
      </c>
      <c r="AP366" s="3">
        <v>-0.439</v>
      </c>
      <c r="AQ366" s="3">
        <v>0.79800000000000004</v>
      </c>
      <c r="AR366" s="3"/>
      <c r="AS366" s="3"/>
      <c r="AT366" s="3"/>
      <c r="AU366" s="3"/>
      <c r="AV366" s="3"/>
      <c r="AW366" s="3"/>
      <c r="AX366" s="3"/>
      <c r="AY366" s="3"/>
      <c r="AZ366" s="3">
        <v>-5.0759999999999996</v>
      </c>
      <c r="BA366" s="3">
        <v>2955</v>
      </c>
      <c r="BB366" s="3">
        <v>12.75</v>
      </c>
      <c r="BC366" s="3">
        <v>2876</v>
      </c>
      <c r="BD366" s="3">
        <v>2957</v>
      </c>
      <c r="BE366" s="3">
        <v>2954</v>
      </c>
      <c r="BF366" s="1">
        <f t="shared" si="240"/>
        <v>538</v>
      </c>
      <c r="BG366" s="3">
        <v>-5.0910000000000002</v>
      </c>
      <c r="BH366" s="3">
        <v>-2.4119999999999999</v>
      </c>
      <c r="BI366" s="3">
        <v>-2.3069999999999999</v>
      </c>
      <c r="BJ366" s="3">
        <v>-10.88</v>
      </c>
      <c r="BK366" s="3">
        <v>-11.18</v>
      </c>
      <c r="BM366" s="17">
        <v>4.43</v>
      </c>
      <c r="BN366" s="17">
        <f t="shared" si="200"/>
        <v>8.948599999999999</v>
      </c>
      <c r="BO366" s="18">
        <f t="shared" si="241"/>
        <v>0.23</v>
      </c>
      <c r="BP366" s="18">
        <f t="shared" si="242"/>
        <v>0.46</v>
      </c>
      <c r="BR366" s="1">
        <f t="shared" si="243"/>
        <v>98.4</v>
      </c>
      <c r="BS366" s="1">
        <f t="shared" si="244"/>
        <v>94</v>
      </c>
      <c r="BT366" s="1">
        <f t="shared" si="245"/>
        <v>77.5</v>
      </c>
      <c r="BU366" s="60">
        <f t="shared" si="239"/>
        <v>0.40899999999999997</v>
      </c>
      <c r="BV366" s="60">
        <f t="shared" si="199"/>
        <v>0.11899999999999999</v>
      </c>
      <c r="CB366" s="17">
        <f t="shared" si="201"/>
        <v>0.23</v>
      </c>
      <c r="CC366" s="17">
        <f t="shared" si="202"/>
        <v>0.46</v>
      </c>
      <c r="CD366" s="3">
        <f t="shared" si="203"/>
        <v>-4.0999999999999996</v>
      </c>
      <c r="CE366" s="3">
        <f t="shared" si="204"/>
        <v>-4.5999999999999996</v>
      </c>
      <c r="CF366" s="1" t="s">
        <v>218</v>
      </c>
      <c r="CG366" s="3">
        <f t="shared" si="206"/>
        <v>-0.7</v>
      </c>
      <c r="CH366" s="3">
        <f t="shared" si="207"/>
        <v>-0.5</v>
      </c>
      <c r="CI366" s="3">
        <f t="shared" si="208"/>
        <v>-0.2</v>
      </c>
      <c r="CJ366" s="3">
        <f t="shared" si="209"/>
        <v>1.1000000000000001</v>
      </c>
      <c r="CK366" s="27">
        <f t="shared" si="210"/>
        <v>94</v>
      </c>
      <c r="CL366" s="1">
        <f t="shared" si="211"/>
        <v>-2</v>
      </c>
      <c r="CM366" s="1">
        <f t="shared" si="212"/>
        <v>-2.2000000000000002</v>
      </c>
      <c r="CN366" s="1" t="s">
        <v>218</v>
      </c>
      <c r="CO366" s="1">
        <f t="shared" si="214"/>
        <v>-0.6</v>
      </c>
      <c r="CP366" s="1">
        <f t="shared" si="215"/>
        <v>-0.3</v>
      </c>
      <c r="CQ366" s="1">
        <f t="shared" si="216"/>
        <v>0</v>
      </c>
      <c r="CR366" s="1">
        <f t="shared" si="217"/>
        <v>1.3</v>
      </c>
      <c r="CS366" s="2">
        <f t="shared" si="218"/>
        <v>98.4</v>
      </c>
      <c r="CT366" s="1">
        <f t="shared" si="219"/>
        <v>-8.4</v>
      </c>
      <c r="CU366" s="1">
        <f t="shared" si="220"/>
        <v>-10.8</v>
      </c>
      <c r="CV366" s="1" t="s">
        <v>218</v>
      </c>
      <c r="CW366" s="1">
        <f t="shared" si="222"/>
        <v>-1.1000000000000001</v>
      </c>
      <c r="CX366" s="1">
        <f t="shared" si="223"/>
        <v>-0.8</v>
      </c>
      <c r="CY366" s="1">
        <f t="shared" si="224"/>
        <v>-0.4</v>
      </c>
      <c r="CZ366" s="1">
        <f t="shared" si="225"/>
        <v>0.8</v>
      </c>
      <c r="DA366" s="2">
        <f t="shared" si="226"/>
        <v>77.5</v>
      </c>
      <c r="DB366" s="20">
        <f t="shared" si="227"/>
        <v>538</v>
      </c>
      <c r="DC366" s="1">
        <f>ROUND(PPTest!K366,1)</f>
        <v>2.2999999999999998</v>
      </c>
      <c r="DD366" s="17" t="s">
        <v>218</v>
      </c>
      <c r="DE366" s="3">
        <f t="shared" si="228"/>
        <v>3.63</v>
      </c>
      <c r="DF366" s="24">
        <f t="shared" si="229"/>
        <v>0.40899999999999997</v>
      </c>
      <c r="DG366" s="24">
        <f t="shared" si="230"/>
        <v>0.11899999999999999</v>
      </c>
      <c r="DH366" s="17">
        <f t="shared" si="231"/>
        <v>12.75</v>
      </c>
    </row>
    <row r="367" spans="1:112" x14ac:dyDescent="0.2">
      <c r="A367" s="15">
        <f t="shared" si="232"/>
        <v>36886</v>
      </c>
      <c r="B367" s="1">
        <v>361</v>
      </c>
      <c r="C367" s="3">
        <v>0.11600000000000001</v>
      </c>
      <c r="D367" s="3">
        <v>0.19</v>
      </c>
      <c r="E367" s="3">
        <v>-3.24</v>
      </c>
      <c r="F367" s="3">
        <v>108.5</v>
      </c>
      <c r="G367" s="3">
        <v>-3.6110000000000002</v>
      </c>
      <c r="H367" s="3"/>
      <c r="I367" s="3">
        <v>-0.58099999999999996</v>
      </c>
      <c r="L367" s="3">
        <v>-0.40300000000000002</v>
      </c>
      <c r="M367" s="3">
        <v>-0.161</v>
      </c>
      <c r="N367" s="3">
        <v>1.042</v>
      </c>
      <c r="Q367" s="3"/>
      <c r="R367" s="3">
        <v>-2.0950000000000002</v>
      </c>
      <c r="S367" s="3">
        <v>1306</v>
      </c>
      <c r="T367" s="3">
        <v>109.3</v>
      </c>
      <c r="U367" s="3">
        <v>642</v>
      </c>
      <c r="V367" s="3">
        <v>-1.9319999999999999</v>
      </c>
      <c r="W367" s="3"/>
      <c r="X367" s="3">
        <v>-0.495</v>
      </c>
      <c r="Y367" s="3"/>
      <c r="AA367" s="3">
        <v>-0.33200000000000002</v>
      </c>
      <c r="AB367" s="3">
        <v>-0.10100000000000001</v>
      </c>
      <c r="AC367" s="3">
        <v>1.109</v>
      </c>
      <c r="AD367" s="3">
        <v>3.4260000000000002</v>
      </c>
      <c r="AE367" s="3">
        <v>1903</v>
      </c>
      <c r="AF367" s="3">
        <v>-4.024</v>
      </c>
      <c r="AG367" s="3">
        <v>205</v>
      </c>
      <c r="AH367" s="3">
        <v>107.7</v>
      </c>
      <c r="AI367" s="3">
        <v>1315</v>
      </c>
      <c r="AJ367" s="3">
        <v>-4.923</v>
      </c>
      <c r="AK367" s="3"/>
      <c r="AL367" s="3">
        <v>-0.71099999999999997</v>
      </c>
      <c r="AO367" s="3">
        <v>-0.495</v>
      </c>
      <c r="AP367" s="3">
        <v>-0.23100000000000001</v>
      </c>
      <c r="AQ367" s="3">
        <v>0.98</v>
      </c>
      <c r="AR367" s="3"/>
      <c r="AS367" s="3"/>
      <c r="AT367" s="3"/>
      <c r="AU367" s="3"/>
      <c r="AV367" s="3"/>
      <c r="AW367" s="3"/>
      <c r="AX367" s="3"/>
      <c r="AY367" s="3"/>
      <c r="AZ367" s="3">
        <v>-3.4279999999999999</v>
      </c>
      <c r="BA367" s="3">
        <v>2919</v>
      </c>
      <c r="BB367" s="3">
        <v>12.75</v>
      </c>
      <c r="BC367" s="3">
        <v>2876</v>
      </c>
      <c r="BD367" s="3">
        <v>2920</v>
      </c>
      <c r="BE367" s="3">
        <v>2917</v>
      </c>
      <c r="BF367" s="1">
        <f t="shared" si="240"/>
        <v>574</v>
      </c>
      <c r="BG367" s="3">
        <v>-3.3980000000000001</v>
      </c>
      <c r="BH367" s="3">
        <v>-2.226</v>
      </c>
      <c r="BI367" s="3">
        <v>-2.2050000000000001</v>
      </c>
      <c r="BJ367" s="3">
        <v>-4.3550000000000004</v>
      </c>
      <c r="BK367" s="3">
        <v>-4.4939999999999998</v>
      </c>
      <c r="BM367" s="17">
        <v>4.45</v>
      </c>
      <c r="BN367" s="17">
        <f t="shared" si="200"/>
        <v>8.9890000000000008</v>
      </c>
      <c r="BO367" s="18">
        <f t="shared" si="241"/>
        <v>0.11</v>
      </c>
      <c r="BP367" s="18">
        <f t="shared" si="242"/>
        <v>0.21</v>
      </c>
      <c r="BR367" s="1">
        <f t="shared" si="243"/>
        <v>98.1</v>
      </c>
      <c r="BS367" s="1">
        <f t="shared" si="244"/>
        <v>96.8</v>
      </c>
      <c r="BT367" s="1">
        <f t="shared" si="245"/>
        <v>95.5</v>
      </c>
      <c r="BU367" s="60">
        <f t="shared" si="239"/>
        <v>0.5</v>
      </c>
      <c r="BV367" s="60">
        <f t="shared" si="199"/>
        <v>2.4E-2</v>
      </c>
      <c r="CB367" s="17">
        <f t="shared" si="201"/>
        <v>0.11</v>
      </c>
      <c r="CC367" s="17">
        <f t="shared" si="202"/>
        <v>0.21</v>
      </c>
      <c r="CD367" s="3">
        <f t="shared" si="203"/>
        <v>-3.2</v>
      </c>
      <c r="CE367" s="3">
        <f t="shared" si="204"/>
        <v>-3.6</v>
      </c>
      <c r="CF367" s="1" t="s">
        <v>218</v>
      </c>
      <c r="CG367" s="3">
        <f t="shared" si="206"/>
        <v>-0.6</v>
      </c>
      <c r="CH367" s="3">
        <f t="shared" si="207"/>
        <v>-0.4</v>
      </c>
      <c r="CI367" s="3">
        <f t="shared" si="208"/>
        <v>-0.2</v>
      </c>
      <c r="CJ367" s="3">
        <f t="shared" si="209"/>
        <v>1</v>
      </c>
      <c r="CK367" s="27">
        <f t="shared" si="210"/>
        <v>96.8</v>
      </c>
      <c r="CL367" s="1">
        <f t="shared" si="211"/>
        <v>-2.1</v>
      </c>
      <c r="CM367" s="1">
        <f t="shared" si="212"/>
        <v>-1.9</v>
      </c>
      <c r="CN367" s="1" t="s">
        <v>218</v>
      </c>
      <c r="CO367" s="1">
        <f t="shared" si="214"/>
        <v>-0.5</v>
      </c>
      <c r="CP367" s="1">
        <f t="shared" si="215"/>
        <v>-0.3</v>
      </c>
      <c r="CQ367" s="1">
        <f t="shared" si="216"/>
        <v>-0.1</v>
      </c>
      <c r="CR367" s="1">
        <f t="shared" si="217"/>
        <v>1.1000000000000001</v>
      </c>
      <c r="CS367" s="2">
        <f t="shared" si="218"/>
        <v>98.1</v>
      </c>
      <c r="CT367" s="1">
        <f t="shared" si="219"/>
        <v>-4</v>
      </c>
      <c r="CU367" s="1">
        <f t="shared" si="220"/>
        <v>-4.9000000000000004</v>
      </c>
      <c r="CV367" s="1" t="s">
        <v>218</v>
      </c>
      <c r="CW367" s="1">
        <f t="shared" si="222"/>
        <v>-0.7</v>
      </c>
      <c r="CX367" s="1">
        <f t="shared" si="223"/>
        <v>-0.5</v>
      </c>
      <c r="CY367" s="1">
        <f t="shared" si="224"/>
        <v>-0.2</v>
      </c>
      <c r="CZ367" s="1">
        <f t="shared" si="225"/>
        <v>1</v>
      </c>
      <c r="DA367" s="2">
        <f t="shared" si="226"/>
        <v>95.5</v>
      </c>
      <c r="DB367" s="20">
        <f t="shared" si="227"/>
        <v>574</v>
      </c>
      <c r="DC367" s="1">
        <f>ROUND(PPTest!K367,1)</f>
        <v>4.7</v>
      </c>
      <c r="DD367" s="17" t="s">
        <v>218</v>
      </c>
      <c r="DE367" s="3">
        <f t="shared" si="228"/>
        <v>3.43</v>
      </c>
      <c r="DF367" s="24">
        <f t="shared" si="229"/>
        <v>0.5</v>
      </c>
      <c r="DG367" s="24">
        <f t="shared" si="230"/>
        <v>2.4E-2</v>
      </c>
      <c r="DH367" s="17">
        <f t="shared" si="231"/>
        <v>12.75</v>
      </c>
    </row>
    <row r="368" spans="1:112" x14ac:dyDescent="0.2">
      <c r="A368" s="15">
        <f t="shared" si="232"/>
        <v>36887</v>
      </c>
      <c r="B368" s="1">
        <v>362</v>
      </c>
      <c r="C368" s="3">
        <v>0.14699999999999999</v>
      </c>
      <c r="D368" s="3">
        <v>0.23799999999999999</v>
      </c>
      <c r="E368" s="3">
        <v>-4.12</v>
      </c>
      <c r="F368" s="3">
        <v>108.4</v>
      </c>
      <c r="G368" s="3">
        <v>-4.7960000000000003</v>
      </c>
      <c r="H368" s="3"/>
      <c r="I368" s="3">
        <v>-0.64800000000000002</v>
      </c>
      <c r="L368" s="3">
        <v>-0.42499999999999999</v>
      </c>
      <c r="M368" s="3">
        <v>-0.187</v>
      </c>
      <c r="N368" s="3">
        <v>0.99299999999999999</v>
      </c>
      <c r="Q368" s="3"/>
      <c r="R368" s="3">
        <v>-1.804</v>
      </c>
      <c r="S368" s="3">
        <v>622</v>
      </c>
      <c r="T368" s="3">
        <v>109.3</v>
      </c>
      <c r="U368" s="3">
        <v>819</v>
      </c>
      <c r="V368" s="3">
        <v>-2.214</v>
      </c>
      <c r="W368" s="3"/>
      <c r="X368" s="3">
        <v>-0.46600000000000003</v>
      </c>
      <c r="Y368" s="3"/>
      <c r="AA368" s="3">
        <v>-0.318</v>
      </c>
      <c r="AB368" s="3">
        <v>-7.9000000000000001E-2</v>
      </c>
      <c r="AC368" s="3">
        <v>1.089</v>
      </c>
      <c r="AD368" s="3">
        <v>5.4340000000000002</v>
      </c>
      <c r="AE368" s="3">
        <v>716</v>
      </c>
      <c r="AF368" s="3">
        <v>-10.97</v>
      </c>
      <c r="AG368" s="3">
        <v>0</v>
      </c>
      <c r="AH368" s="3">
        <v>105.5</v>
      </c>
      <c r="AI368" s="3">
        <v>2346</v>
      </c>
      <c r="AJ368" s="3">
        <v>-12.38</v>
      </c>
      <c r="AK368" s="3"/>
      <c r="AL368" s="3">
        <v>-0.997</v>
      </c>
      <c r="AO368" s="3">
        <v>-0.81499999999999995</v>
      </c>
      <c r="AP368" s="3">
        <v>-0.54200000000000004</v>
      </c>
      <c r="AQ368" s="3">
        <v>0.627</v>
      </c>
      <c r="AR368" s="3"/>
      <c r="AS368" s="3"/>
      <c r="AT368" s="3"/>
      <c r="AU368" s="3"/>
      <c r="AV368" s="3"/>
      <c r="AW368" s="3"/>
      <c r="AX368" s="3"/>
      <c r="AY368" s="3"/>
      <c r="AZ368" s="3">
        <v>-4.6959999999999997</v>
      </c>
      <c r="BA368" s="3">
        <v>2858</v>
      </c>
      <c r="BB368" s="3">
        <v>12.75</v>
      </c>
      <c r="BC368" s="3">
        <v>2876</v>
      </c>
      <c r="BD368" s="3">
        <v>2861</v>
      </c>
      <c r="BE368" s="3">
        <v>2855</v>
      </c>
      <c r="BF368" s="1">
        <f t="shared" si="240"/>
        <v>635</v>
      </c>
      <c r="BG368" s="3">
        <v>-4.4989999999999997</v>
      </c>
      <c r="BH368" s="3">
        <v>-2.3919999999999999</v>
      </c>
      <c r="BI368" s="3">
        <v>-2.4089999999999998</v>
      </c>
      <c r="BJ368" s="3">
        <v>-12.07</v>
      </c>
      <c r="BK368" s="3">
        <v>-12.56</v>
      </c>
      <c r="BM368" s="17">
        <v>4.47</v>
      </c>
      <c r="BN368" s="17">
        <f t="shared" si="200"/>
        <v>9.029399999999999</v>
      </c>
      <c r="BO368" s="18">
        <f t="shared" si="241"/>
        <v>0.14000000000000001</v>
      </c>
      <c r="BP368" s="18">
        <f t="shared" si="242"/>
        <v>0.26</v>
      </c>
      <c r="BR368" s="1">
        <f t="shared" si="243"/>
        <v>98.1</v>
      </c>
      <c r="BS368" s="1">
        <f t="shared" si="244"/>
        <v>96.7</v>
      </c>
      <c r="BT368" s="1">
        <f t="shared" si="245"/>
        <v>92</v>
      </c>
      <c r="BU368" s="60">
        <f t="shared" si="239"/>
        <v>0.49199999999999999</v>
      </c>
      <c r="BV368" s="60">
        <f t="shared" si="199"/>
        <v>4.2999999999999997E-2</v>
      </c>
      <c r="CB368" s="17">
        <f t="shared" si="201"/>
        <v>0.14000000000000001</v>
      </c>
      <c r="CC368" s="17">
        <f t="shared" si="202"/>
        <v>0.26</v>
      </c>
      <c r="CD368" s="3">
        <f t="shared" si="203"/>
        <v>-4.0999999999999996</v>
      </c>
      <c r="CE368" s="3">
        <f t="shared" si="204"/>
        <v>-4.8</v>
      </c>
      <c r="CF368" s="1" t="s">
        <v>218</v>
      </c>
      <c r="CG368" s="3">
        <f t="shared" si="206"/>
        <v>-0.6</v>
      </c>
      <c r="CH368" s="3">
        <f t="shared" si="207"/>
        <v>-0.4</v>
      </c>
      <c r="CI368" s="3">
        <f t="shared" si="208"/>
        <v>-0.2</v>
      </c>
      <c r="CJ368" s="3">
        <f t="shared" si="209"/>
        <v>1</v>
      </c>
      <c r="CK368" s="27">
        <f t="shared" si="210"/>
        <v>96.7</v>
      </c>
      <c r="CL368" s="1">
        <f t="shared" si="211"/>
        <v>-1.8</v>
      </c>
      <c r="CM368" s="1">
        <f t="shared" si="212"/>
        <v>-2.2000000000000002</v>
      </c>
      <c r="CN368" s="1" t="s">
        <v>218</v>
      </c>
      <c r="CO368" s="1">
        <f t="shared" si="214"/>
        <v>-0.5</v>
      </c>
      <c r="CP368" s="1">
        <f t="shared" si="215"/>
        <v>-0.3</v>
      </c>
      <c r="CQ368" s="1">
        <f t="shared" si="216"/>
        <v>-0.1</v>
      </c>
      <c r="CR368" s="1">
        <f t="shared" si="217"/>
        <v>1.1000000000000001</v>
      </c>
      <c r="CS368" s="2">
        <f t="shared" si="218"/>
        <v>98.1</v>
      </c>
      <c r="CT368" s="1">
        <f t="shared" si="219"/>
        <v>-11</v>
      </c>
      <c r="CU368" s="1">
        <f t="shared" si="220"/>
        <v>-12.4</v>
      </c>
      <c r="CV368" s="1" t="s">
        <v>218</v>
      </c>
      <c r="CW368" s="1">
        <f t="shared" si="222"/>
        <v>-1</v>
      </c>
      <c r="CX368" s="1">
        <f t="shared" si="223"/>
        <v>-0.8</v>
      </c>
      <c r="CY368" s="1">
        <f t="shared" si="224"/>
        <v>-0.5</v>
      </c>
      <c r="CZ368" s="1">
        <f t="shared" si="225"/>
        <v>0.6</v>
      </c>
      <c r="DA368" s="2">
        <f t="shared" si="226"/>
        <v>92</v>
      </c>
      <c r="DB368" s="20">
        <f t="shared" si="227"/>
        <v>635</v>
      </c>
      <c r="DC368" s="1">
        <f>ROUND(PPTest!K368,1)</f>
        <v>7.9</v>
      </c>
      <c r="DD368" s="17" t="s">
        <v>218</v>
      </c>
      <c r="DE368" s="3">
        <f t="shared" si="228"/>
        <v>5.43</v>
      </c>
      <c r="DF368" s="24">
        <f t="shared" si="229"/>
        <v>0.49199999999999999</v>
      </c>
      <c r="DG368" s="24">
        <f t="shared" si="230"/>
        <v>4.2999999999999997E-2</v>
      </c>
      <c r="DH368" s="17">
        <f t="shared" si="231"/>
        <v>12.75</v>
      </c>
    </row>
    <row r="369" spans="1:112" x14ac:dyDescent="0.2">
      <c r="A369" s="15">
        <f t="shared" si="232"/>
        <v>36888</v>
      </c>
      <c r="B369" s="1">
        <v>363</v>
      </c>
      <c r="C369" s="3">
        <v>1.671</v>
      </c>
      <c r="D369" s="3">
        <v>2.149</v>
      </c>
      <c r="E369" s="3">
        <v>-10.18</v>
      </c>
      <c r="F369" s="3">
        <v>104.3</v>
      </c>
      <c r="G369" s="3">
        <v>-11.32</v>
      </c>
      <c r="H369" s="3"/>
      <c r="I369" s="3">
        <v>-1.3480000000000001</v>
      </c>
      <c r="L369" s="3">
        <v>-0.59399999999999997</v>
      </c>
      <c r="M369" s="3">
        <v>-0.19</v>
      </c>
      <c r="N369" s="3">
        <v>1</v>
      </c>
      <c r="Q369" s="3"/>
      <c r="R369" s="3">
        <v>-3.8119999999999998</v>
      </c>
      <c r="S369" s="3">
        <v>1343</v>
      </c>
      <c r="T369" s="3">
        <v>107.2</v>
      </c>
      <c r="U369" s="3">
        <v>1546</v>
      </c>
      <c r="V369" s="3">
        <v>-5.1349999999999998</v>
      </c>
      <c r="W369" s="3"/>
      <c r="X369" s="3">
        <v>-0.89200000000000002</v>
      </c>
      <c r="Y369" s="3"/>
      <c r="AA369" s="3">
        <v>-0.28499999999999998</v>
      </c>
      <c r="AB369" s="3">
        <v>0.13200000000000001</v>
      </c>
      <c r="AC369" s="3">
        <v>1.3360000000000001</v>
      </c>
      <c r="AD369" s="3">
        <v>2.4420000000000002</v>
      </c>
      <c r="AE369" s="3">
        <v>713</v>
      </c>
      <c r="AF369" s="3">
        <v>-16.2</v>
      </c>
      <c r="AG369" s="3">
        <v>753</v>
      </c>
      <c r="AH369" s="3">
        <v>99.5</v>
      </c>
      <c r="AI369" s="3">
        <v>1109</v>
      </c>
      <c r="AJ369" s="3">
        <v>-17.559999999999999</v>
      </c>
      <c r="AK369" s="3"/>
      <c r="AL369" s="3">
        <v>-2.0289999999999999</v>
      </c>
      <c r="AO369" s="3">
        <v>-0.79600000000000004</v>
      </c>
      <c r="AP369" s="3">
        <v>-0.36299999999999999</v>
      </c>
      <c r="AQ369" s="3">
        <v>0.83499999999999996</v>
      </c>
      <c r="AR369" s="3"/>
      <c r="AS369" s="3"/>
      <c r="AT369" s="3"/>
      <c r="AU369" s="3"/>
      <c r="AV369" s="3"/>
      <c r="AW369" s="3"/>
      <c r="AX369" s="3"/>
      <c r="AY369" s="3"/>
      <c r="AZ369" s="3">
        <v>-12.13</v>
      </c>
      <c r="BA369" s="3">
        <v>2863</v>
      </c>
      <c r="BB369" s="3">
        <v>12.75</v>
      </c>
      <c r="BC369" s="3">
        <v>2876</v>
      </c>
      <c r="BD369" s="3">
        <v>2863</v>
      </c>
      <c r="BE369" s="3">
        <v>2863</v>
      </c>
      <c r="BF369" s="1">
        <f t="shared" si="240"/>
        <v>630</v>
      </c>
      <c r="BG369" s="3">
        <v>-12.13</v>
      </c>
      <c r="BH369" s="3">
        <v>-7.6</v>
      </c>
      <c r="BI369" s="3">
        <v>-7.29</v>
      </c>
      <c r="BJ369" s="3">
        <v>-17.28</v>
      </c>
      <c r="BK369" s="3">
        <v>-17.510000000000002</v>
      </c>
      <c r="BM369" s="17">
        <v>4.5</v>
      </c>
      <c r="BN369" s="17">
        <f t="shared" si="200"/>
        <v>9.09</v>
      </c>
      <c r="BO369" s="18">
        <f t="shared" si="241"/>
        <v>1.64</v>
      </c>
      <c r="BP369" s="18">
        <f t="shared" si="242"/>
        <v>2.36</v>
      </c>
      <c r="BR369" s="1">
        <f t="shared" si="243"/>
        <v>94.7</v>
      </c>
      <c r="BS369" s="1">
        <f t="shared" si="244"/>
        <v>90.1</v>
      </c>
      <c r="BT369" s="1">
        <f t="shared" si="245"/>
        <v>82.5</v>
      </c>
      <c r="BU369" s="60">
        <f t="shared" si="239"/>
        <v>0.38</v>
      </c>
      <c r="BV369" s="60">
        <f t="shared" si="199"/>
        <v>8.1000000000000003E-2</v>
      </c>
      <c r="CB369" s="17">
        <f t="shared" si="201"/>
        <v>1.64</v>
      </c>
      <c r="CC369" s="17">
        <f t="shared" si="202"/>
        <v>2.36</v>
      </c>
      <c r="CD369" s="3">
        <f t="shared" si="203"/>
        <v>-10.199999999999999</v>
      </c>
      <c r="CE369" s="3">
        <f t="shared" si="204"/>
        <v>-11.3</v>
      </c>
      <c r="CF369" s="1" t="s">
        <v>218</v>
      </c>
      <c r="CG369" s="3">
        <f t="shared" si="206"/>
        <v>-1.3</v>
      </c>
      <c r="CH369" s="3">
        <f t="shared" si="207"/>
        <v>-0.6</v>
      </c>
      <c r="CI369" s="3">
        <f t="shared" si="208"/>
        <v>-0.2</v>
      </c>
      <c r="CJ369" s="3">
        <f t="shared" si="209"/>
        <v>1</v>
      </c>
      <c r="CK369" s="27">
        <f t="shared" si="210"/>
        <v>90.1</v>
      </c>
      <c r="CL369" s="1">
        <f t="shared" si="211"/>
        <v>-3.8</v>
      </c>
      <c r="CM369" s="1">
        <f t="shared" si="212"/>
        <v>-5.0999999999999996</v>
      </c>
      <c r="CN369" s="1" t="s">
        <v>218</v>
      </c>
      <c r="CO369" s="1">
        <f t="shared" si="214"/>
        <v>-0.9</v>
      </c>
      <c r="CP369" s="1">
        <f t="shared" si="215"/>
        <v>-0.3</v>
      </c>
      <c r="CQ369" s="1">
        <f t="shared" si="216"/>
        <v>0.1</v>
      </c>
      <c r="CR369" s="1">
        <f t="shared" si="217"/>
        <v>1.3</v>
      </c>
      <c r="CS369" s="2">
        <f t="shared" si="218"/>
        <v>94.7</v>
      </c>
      <c r="CT369" s="1">
        <f t="shared" si="219"/>
        <v>-16.2</v>
      </c>
      <c r="CU369" s="1">
        <f t="shared" si="220"/>
        <v>-17.600000000000001</v>
      </c>
      <c r="CV369" s="1" t="s">
        <v>218</v>
      </c>
      <c r="CW369" s="1">
        <f t="shared" si="222"/>
        <v>-2</v>
      </c>
      <c r="CX369" s="1">
        <f t="shared" si="223"/>
        <v>-0.8</v>
      </c>
      <c r="CY369" s="1">
        <f t="shared" si="224"/>
        <v>-0.4</v>
      </c>
      <c r="CZ369" s="1">
        <f t="shared" si="225"/>
        <v>0.8</v>
      </c>
      <c r="DA369" s="2">
        <f t="shared" si="226"/>
        <v>82.5</v>
      </c>
      <c r="DB369" s="20">
        <f t="shared" si="227"/>
        <v>630</v>
      </c>
      <c r="DC369" s="1">
        <f>ROUND(PPTest!K369,1)</f>
        <v>0</v>
      </c>
      <c r="DD369" s="17" t="s">
        <v>218</v>
      </c>
      <c r="DE369" s="3">
        <f t="shared" si="228"/>
        <v>2.44</v>
      </c>
      <c r="DF369" s="24">
        <f t="shared" si="229"/>
        <v>0.38</v>
      </c>
      <c r="DG369" s="24">
        <f t="shared" si="230"/>
        <v>8.1000000000000003E-2</v>
      </c>
      <c r="DH369" s="17">
        <f t="shared" si="231"/>
        <v>12.75</v>
      </c>
    </row>
    <row r="370" spans="1:112" x14ac:dyDescent="0.2">
      <c r="A370" s="15">
        <f t="shared" si="232"/>
        <v>36889</v>
      </c>
      <c r="B370" s="1">
        <v>364</v>
      </c>
      <c r="C370" s="3">
        <v>0.371</v>
      </c>
      <c r="D370" s="3">
        <v>0.65100000000000002</v>
      </c>
      <c r="E370" s="3">
        <v>-5.819</v>
      </c>
      <c r="F370" s="3">
        <v>106.4</v>
      </c>
      <c r="G370" s="3">
        <v>-6.633</v>
      </c>
      <c r="H370" s="3"/>
      <c r="I370" s="3">
        <v>-0.94</v>
      </c>
      <c r="L370" s="3">
        <v>-0.57299999999999995</v>
      </c>
      <c r="M370" s="3">
        <v>-0.23499999999999999</v>
      </c>
      <c r="N370" s="3">
        <v>0.98</v>
      </c>
      <c r="Q370" s="3"/>
      <c r="R370" s="3">
        <v>-3.206</v>
      </c>
      <c r="S370" s="3">
        <v>1400</v>
      </c>
      <c r="T370" s="3">
        <v>108.2</v>
      </c>
      <c r="U370" s="3">
        <v>1834</v>
      </c>
      <c r="V370" s="3">
        <v>-3.9889999999999999</v>
      </c>
      <c r="W370" s="3"/>
      <c r="X370" s="3">
        <v>-0.75800000000000001</v>
      </c>
      <c r="Y370" s="3"/>
      <c r="AA370" s="3">
        <v>-0.42499999999999999</v>
      </c>
      <c r="AB370" s="3">
        <v>-9.6000000000000002E-2</v>
      </c>
      <c r="AC370" s="3">
        <v>1.119</v>
      </c>
      <c r="AD370" s="3">
        <v>2.774</v>
      </c>
      <c r="AE370" s="3">
        <v>609</v>
      </c>
      <c r="AF370" s="3">
        <v>-7.93</v>
      </c>
      <c r="AG370" s="3">
        <v>2337</v>
      </c>
      <c r="AH370" s="3">
        <v>100</v>
      </c>
      <c r="AI370" s="3">
        <v>1240</v>
      </c>
      <c r="AJ370" s="3">
        <v>-9.7799999999999994</v>
      </c>
      <c r="AK370" s="3"/>
      <c r="AL370" s="3">
        <v>-1.216</v>
      </c>
      <c r="AO370" s="3">
        <v>-0.748</v>
      </c>
      <c r="AP370" s="3">
        <v>-0.41899999999999998</v>
      </c>
      <c r="AQ370" s="3">
        <v>0.78500000000000003</v>
      </c>
      <c r="AR370" s="3"/>
      <c r="AS370" s="3"/>
      <c r="AT370" s="3"/>
      <c r="AU370" s="3"/>
      <c r="AV370" s="3"/>
      <c r="AW370" s="3"/>
      <c r="AX370" s="3"/>
      <c r="AY370" s="3"/>
      <c r="AZ370" s="3">
        <v>-6.8029999999999999</v>
      </c>
      <c r="BA370" s="3">
        <v>2887</v>
      </c>
      <c r="BB370" s="3">
        <v>12.75</v>
      </c>
      <c r="BC370" s="3">
        <v>2876</v>
      </c>
      <c r="BD370" s="3">
        <v>2889</v>
      </c>
      <c r="BE370" s="3">
        <v>2886</v>
      </c>
      <c r="BF370" s="1">
        <f t="shared" si="240"/>
        <v>606</v>
      </c>
      <c r="BG370" s="3">
        <v>-6.7249999999999996</v>
      </c>
      <c r="BH370" s="3">
        <v>-4.4180000000000001</v>
      </c>
      <c r="BI370" s="3">
        <v>-4.415</v>
      </c>
      <c r="BJ370" s="3">
        <v>-8.8800000000000008</v>
      </c>
      <c r="BK370" s="3">
        <v>-9.2799999999999994</v>
      </c>
      <c r="BM370" s="17">
        <v>4.53</v>
      </c>
      <c r="BN370" s="17">
        <f t="shared" si="200"/>
        <v>9.1506000000000007</v>
      </c>
      <c r="BO370" s="18">
        <f t="shared" si="241"/>
        <v>0.36</v>
      </c>
      <c r="BP370" s="18">
        <f t="shared" si="242"/>
        <v>0.72</v>
      </c>
      <c r="BR370" s="1">
        <f t="shared" si="243"/>
        <v>96.3</v>
      </c>
      <c r="BS370" s="1">
        <f t="shared" si="244"/>
        <v>93.5</v>
      </c>
      <c r="BT370" s="1">
        <f t="shared" si="245"/>
        <v>83.3</v>
      </c>
      <c r="BU370" s="60">
        <f t="shared" si="239"/>
        <v>0.40100000000000002</v>
      </c>
      <c r="BV370" s="60">
        <f t="shared" si="199"/>
        <v>0.08</v>
      </c>
      <c r="CB370" s="17">
        <f t="shared" si="201"/>
        <v>0.36</v>
      </c>
      <c r="CC370" s="17">
        <f t="shared" si="202"/>
        <v>0.72</v>
      </c>
      <c r="CD370" s="3">
        <f t="shared" si="203"/>
        <v>-5.8</v>
      </c>
      <c r="CE370" s="3">
        <f t="shared" si="204"/>
        <v>-6.6</v>
      </c>
      <c r="CF370" s="1" t="s">
        <v>218</v>
      </c>
      <c r="CG370" s="3">
        <f t="shared" si="206"/>
        <v>-0.9</v>
      </c>
      <c r="CH370" s="3">
        <f t="shared" si="207"/>
        <v>-0.6</v>
      </c>
      <c r="CI370" s="3">
        <f t="shared" si="208"/>
        <v>-0.2</v>
      </c>
      <c r="CJ370" s="3">
        <f t="shared" si="209"/>
        <v>1</v>
      </c>
      <c r="CK370" s="27">
        <f t="shared" si="210"/>
        <v>93.5</v>
      </c>
      <c r="CL370" s="1">
        <f t="shared" si="211"/>
        <v>-3.2</v>
      </c>
      <c r="CM370" s="1">
        <f t="shared" si="212"/>
        <v>-4</v>
      </c>
      <c r="CN370" s="1" t="s">
        <v>218</v>
      </c>
      <c r="CO370" s="1">
        <f t="shared" si="214"/>
        <v>-0.8</v>
      </c>
      <c r="CP370" s="1">
        <f t="shared" si="215"/>
        <v>-0.4</v>
      </c>
      <c r="CQ370" s="1">
        <f t="shared" si="216"/>
        <v>-0.1</v>
      </c>
      <c r="CR370" s="1">
        <f t="shared" si="217"/>
        <v>1.1000000000000001</v>
      </c>
      <c r="CS370" s="2">
        <f t="shared" si="218"/>
        <v>96.3</v>
      </c>
      <c r="CT370" s="1">
        <f t="shared" si="219"/>
        <v>-7.9</v>
      </c>
      <c r="CU370" s="1">
        <f t="shared" si="220"/>
        <v>-9.8000000000000007</v>
      </c>
      <c r="CV370" s="1" t="s">
        <v>218</v>
      </c>
      <c r="CW370" s="1">
        <f t="shared" si="222"/>
        <v>-1.2</v>
      </c>
      <c r="CX370" s="1">
        <f t="shared" si="223"/>
        <v>-0.7</v>
      </c>
      <c r="CY370" s="1">
        <f t="shared" si="224"/>
        <v>-0.4</v>
      </c>
      <c r="CZ370" s="1">
        <f t="shared" si="225"/>
        <v>0.8</v>
      </c>
      <c r="DA370" s="2">
        <f t="shared" si="226"/>
        <v>83.3</v>
      </c>
      <c r="DB370" s="20">
        <f t="shared" si="227"/>
        <v>606</v>
      </c>
      <c r="DC370" s="1">
        <f>ROUND(PPTest!K370,1)</f>
        <v>0</v>
      </c>
      <c r="DD370" s="17" t="s">
        <v>218</v>
      </c>
      <c r="DE370" s="3">
        <f t="shared" si="228"/>
        <v>2.77</v>
      </c>
      <c r="DF370" s="24">
        <f t="shared" si="229"/>
        <v>0.40100000000000002</v>
      </c>
      <c r="DG370" s="24">
        <f t="shared" si="230"/>
        <v>0.08</v>
      </c>
      <c r="DH370" s="17">
        <f t="shared" si="231"/>
        <v>12.75</v>
      </c>
    </row>
    <row r="371" spans="1:112" x14ac:dyDescent="0.2">
      <c r="A371" s="15">
        <f t="shared" si="232"/>
        <v>36890</v>
      </c>
      <c r="B371" s="1">
        <v>365</v>
      </c>
      <c r="C371" s="3">
        <v>3.4820000000000002</v>
      </c>
      <c r="D371" s="3">
        <v>3.8919999999999999</v>
      </c>
      <c r="E371" s="3">
        <v>-5.6859999999999999</v>
      </c>
      <c r="F371" s="3">
        <v>103.9</v>
      </c>
      <c r="G371" s="3">
        <v>-6.7039999999999997</v>
      </c>
      <c r="H371" s="3"/>
      <c r="I371" s="3">
        <v>-0.90500000000000003</v>
      </c>
      <c r="L371" s="3">
        <v>-0.55700000000000005</v>
      </c>
      <c r="M371" s="3">
        <v>-0.23499999999999999</v>
      </c>
      <c r="N371" s="3">
        <v>0.95599999999999996</v>
      </c>
      <c r="Q371" s="3"/>
      <c r="R371" s="3">
        <v>1.006</v>
      </c>
      <c r="S371" s="3">
        <v>1352</v>
      </c>
      <c r="T371" s="3">
        <v>108.9</v>
      </c>
      <c r="U371" s="3">
        <v>1700</v>
      </c>
      <c r="V371" s="3">
        <v>3.5670000000000002</v>
      </c>
      <c r="W371" s="3"/>
      <c r="X371" s="3">
        <v>-0.438</v>
      </c>
      <c r="Y371" s="3"/>
      <c r="AA371" s="3">
        <v>-0.20899999999999999</v>
      </c>
      <c r="AB371" s="3">
        <v>8.4000000000000005E-2</v>
      </c>
      <c r="AC371" s="3">
        <v>1.2749999999999999</v>
      </c>
      <c r="AD371" s="3">
        <v>2.8140000000000001</v>
      </c>
      <c r="AE371" s="3">
        <v>2204</v>
      </c>
      <c r="AF371" s="3">
        <v>-9.36</v>
      </c>
      <c r="AG371" s="3">
        <v>2159</v>
      </c>
      <c r="AH371" s="3">
        <v>81.099999999999994</v>
      </c>
      <c r="AI371" s="3">
        <v>1353</v>
      </c>
      <c r="AJ371" s="3">
        <v>-10.74</v>
      </c>
      <c r="AK371" s="3"/>
      <c r="AL371" s="3">
        <v>-1.1779999999999999</v>
      </c>
      <c r="AO371" s="3">
        <v>-0.93899999999999995</v>
      </c>
      <c r="AP371" s="3">
        <v>-0.59799999999999998</v>
      </c>
      <c r="AQ371" s="3">
        <v>0.58199999999999996</v>
      </c>
      <c r="AR371" s="3"/>
      <c r="AS371" s="3"/>
      <c r="AT371" s="3"/>
      <c r="AU371" s="3"/>
      <c r="AV371" s="3"/>
      <c r="AW371" s="3"/>
      <c r="AX371" s="3"/>
      <c r="AY371" s="3"/>
      <c r="AZ371" s="3">
        <v>-7.39</v>
      </c>
      <c r="BA371" s="3">
        <v>2904</v>
      </c>
      <c r="BB371" s="3">
        <v>12.75</v>
      </c>
      <c r="BC371" s="3">
        <v>2876</v>
      </c>
      <c r="BD371" s="3">
        <v>2905</v>
      </c>
      <c r="BE371" s="3">
        <v>2902</v>
      </c>
      <c r="BF371" s="1">
        <f t="shared" si="240"/>
        <v>589</v>
      </c>
      <c r="BG371" s="3">
        <v>-7.3</v>
      </c>
      <c r="BH371" s="3">
        <v>-1.482</v>
      </c>
      <c r="BI371" s="3">
        <v>-1.5089999999999999</v>
      </c>
      <c r="BJ371" s="3">
        <v>-10.58</v>
      </c>
      <c r="BK371" s="3">
        <v>-10.8</v>
      </c>
      <c r="BM371" s="17">
        <v>4.5599999999999996</v>
      </c>
      <c r="BN371" s="17">
        <f t="shared" si="200"/>
        <v>9.2111999999999998</v>
      </c>
      <c r="BO371" s="18">
        <f t="shared" si="241"/>
        <v>3.41</v>
      </c>
      <c r="BP371" s="18">
        <f t="shared" si="242"/>
        <v>4.28</v>
      </c>
      <c r="BR371" s="1">
        <f t="shared" si="243"/>
        <v>97.5</v>
      </c>
      <c r="BS371" s="1">
        <f t="shared" si="244"/>
        <v>89.5</v>
      </c>
      <c r="BT371" s="1">
        <f t="shared" si="245"/>
        <v>65.400000000000006</v>
      </c>
      <c r="BU371" s="60">
        <f t="shared" si="239"/>
        <v>0.42899999999999999</v>
      </c>
      <c r="BV371" s="60">
        <f t="shared" si="199"/>
        <v>0.22700000000000001</v>
      </c>
      <c r="CB371" s="17">
        <f t="shared" si="201"/>
        <v>3.41</v>
      </c>
      <c r="CC371" s="17">
        <f t="shared" si="202"/>
        <v>4.28</v>
      </c>
      <c r="CD371" s="3">
        <f t="shared" si="203"/>
        <v>-5.7</v>
      </c>
      <c r="CE371" s="3">
        <f t="shared" si="204"/>
        <v>-6.7</v>
      </c>
      <c r="CF371" s="1" t="s">
        <v>218</v>
      </c>
      <c r="CG371" s="3">
        <f t="shared" si="206"/>
        <v>-0.9</v>
      </c>
      <c r="CH371" s="3">
        <f t="shared" si="207"/>
        <v>-0.6</v>
      </c>
      <c r="CI371" s="3">
        <f t="shared" si="208"/>
        <v>-0.2</v>
      </c>
      <c r="CJ371" s="3">
        <f t="shared" si="209"/>
        <v>1</v>
      </c>
      <c r="CK371" s="27">
        <f t="shared" si="210"/>
        <v>89.5</v>
      </c>
      <c r="CL371" s="1">
        <f t="shared" si="211"/>
        <v>1</v>
      </c>
      <c r="CM371" s="1">
        <f t="shared" si="212"/>
        <v>3.6</v>
      </c>
      <c r="CN371" s="1" t="s">
        <v>218</v>
      </c>
      <c r="CO371" s="1">
        <f t="shared" si="214"/>
        <v>-0.4</v>
      </c>
      <c r="CP371" s="1">
        <f t="shared" si="215"/>
        <v>-0.2</v>
      </c>
      <c r="CQ371" s="1">
        <f t="shared" si="216"/>
        <v>0.1</v>
      </c>
      <c r="CR371" s="1">
        <f t="shared" si="217"/>
        <v>1.3</v>
      </c>
      <c r="CS371" s="2">
        <f t="shared" si="218"/>
        <v>97.5</v>
      </c>
      <c r="CT371" s="1">
        <f t="shared" si="219"/>
        <v>-9.4</v>
      </c>
      <c r="CU371" s="1">
        <f t="shared" si="220"/>
        <v>-10.7</v>
      </c>
      <c r="CV371" s="1" t="s">
        <v>218</v>
      </c>
      <c r="CW371" s="1">
        <f t="shared" si="222"/>
        <v>-1.2</v>
      </c>
      <c r="CX371" s="1">
        <f t="shared" si="223"/>
        <v>-0.9</v>
      </c>
      <c r="CY371" s="1">
        <f t="shared" si="224"/>
        <v>-0.6</v>
      </c>
      <c r="CZ371" s="1">
        <f t="shared" si="225"/>
        <v>0.6</v>
      </c>
      <c r="DA371" s="2">
        <f t="shared" si="226"/>
        <v>65.400000000000006</v>
      </c>
      <c r="DB371" s="20">
        <f t="shared" si="227"/>
        <v>589</v>
      </c>
      <c r="DC371" s="1">
        <f>ROUND(PPTest!K371,1)</f>
        <v>0</v>
      </c>
      <c r="DD371" s="17" t="s">
        <v>218</v>
      </c>
      <c r="DE371" s="3">
        <f t="shared" si="228"/>
        <v>2.81</v>
      </c>
      <c r="DF371" s="24">
        <f t="shared" si="229"/>
        <v>0.42899999999999999</v>
      </c>
      <c r="DG371" s="24">
        <f t="shared" si="230"/>
        <v>0.22700000000000001</v>
      </c>
      <c r="DH371" s="17">
        <f t="shared" si="231"/>
        <v>12.75</v>
      </c>
    </row>
    <row r="372" spans="1:112" x14ac:dyDescent="0.2">
      <c r="A372" s="15">
        <f t="shared" si="232"/>
        <v>36891</v>
      </c>
      <c r="B372" s="23">
        <v>366</v>
      </c>
      <c r="C372" s="3">
        <v>0.36099999999999999</v>
      </c>
      <c r="D372" s="3">
        <v>0.73599999999999999</v>
      </c>
      <c r="E372" s="3">
        <v>-5.9939999999999998</v>
      </c>
      <c r="F372" s="3">
        <v>107</v>
      </c>
      <c r="G372" s="3">
        <v>-6.6740000000000004</v>
      </c>
      <c r="H372" s="3"/>
      <c r="I372" s="3">
        <v>-0.91900000000000004</v>
      </c>
      <c r="J372" s="23"/>
      <c r="K372" s="23"/>
      <c r="L372" s="3">
        <v>-0.56299999999999994</v>
      </c>
      <c r="M372" s="3">
        <v>-0.20100000000000001</v>
      </c>
      <c r="N372" s="3">
        <v>0.997</v>
      </c>
      <c r="Q372" s="3"/>
      <c r="R372" s="3">
        <v>-1.4019999999999999</v>
      </c>
      <c r="S372" s="3">
        <v>1431</v>
      </c>
      <c r="T372" s="3">
        <v>109.4</v>
      </c>
      <c r="U372" s="3">
        <v>319</v>
      </c>
      <c r="V372" s="3">
        <v>-2.1259999999999999</v>
      </c>
      <c r="W372" s="3"/>
      <c r="X372" s="3">
        <v>-0.68799999999999994</v>
      </c>
      <c r="Y372" s="3"/>
      <c r="Z372" s="23"/>
      <c r="AA372" s="3">
        <v>-0.40799999999999997</v>
      </c>
      <c r="AB372" s="3">
        <v>-2.7E-2</v>
      </c>
      <c r="AC372" s="3">
        <v>1.1759999999999999</v>
      </c>
      <c r="AD372" s="3">
        <v>2.8940000000000001</v>
      </c>
      <c r="AE372" s="3">
        <v>2212</v>
      </c>
      <c r="AF372" s="3">
        <v>-11.84</v>
      </c>
      <c r="AG372" s="3">
        <v>616</v>
      </c>
      <c r="AH372" s="3">
        <v>102.3</v>
      </c>
      <c r="AI372" s="3">
        <v>709</v>
      </c>
      <c r="AJ372" s="3">
        <v>-13.47</v>
      </c>
      <c r="AK372" s="3"/>
      <c r="AL372" s="3">
        <v>-1.3480000000000001</v>
      </c>
      <c r="AM372" s="23"/>
      <c r="AN372" s="23"/>
      <c r="AO372" s="3">
        <v>-0.76800000000000002</v>
      </c>
      <c r="AP372" s="3">
        <v>-0.35899999999999999</v>
      </c>
      <c r="AQ372" s="3">
        <v>0.83499999999999996</v>
      </c>
      <c r="AR372" s="3"/>
      <c r="AS372" s="3"/>
      <c r="AT372" s="3"/>
      <c r="AU372" s="3"/>
      <c r="AV372" s="3"/>
      <c r="AW372" s="3"/>
      <c r="AX372" s="3"/>
      <c r="AY372" s="3"/>
      <c r="AZ372" s="3">
        <v>-7.25</v>
      </c>
      <c r="BA372" s="3">
        <v>2887</v>
      </c>
      <c r="BB372" s="3">
        <v>12.74</v>
      </c>
      <c r="BC372" s="3">
        <v>2876</v>
      </c>
      <c r="BD372" s="3">
        <v>2887</v>
      </c>
      <c r="BE372" s="3">
        <v>2887</v>
      </c>
      <c r="BF372" s="1">
        <f t="shared" si="240"/>
        <v>606</v>
      </c>
      <c r="BG372" s="3">
        <v>-7.32</v>
      </c>
      <c r="BH372" s="3">
        <v>-2.7210000000000001</v>
      </c>
      <c r="BI372" s="3">
        <v>-2.6869999999999998</v>
      </c>
      <c r="BJ372" s="3">
        <v>-12.95</v>
      </c>
      <c r="BK372" s="3">
        <v>-13.22</v>
      </c>
      <c r="BM372" s="17">
        <v>4.5999999999999996</v>
      </c>
      <c r="BN372" s="17">
        <f t="shared" si="200"/>
        <v>9.2919999999999998</v>
      </c>
      <c r="BO372" s="18">
        <f t="shared" si="241"/>
        <v>0.35</v>
      </c>
      <c r="BP372" s="18">
        <f t="shared" si="242"/>
        <v>0.81</v>
      </c>
      <c r="BR372" s="1">
        <f t="shared" si="243"/>
        <v>98.2</v>
      </c>
      <c r="BS372" s="1">
        <f t="shared" si="244"/>
        <v>94.4</v>
      </c>
      <c r="BT372" s="1">
        <f t="shared" si="245"/>
        <v>87</v>
      </c>
      <c r="BU372" s="60">
        <f t="shared" si="239"/>
        <v>0.47899999999999998</v>
      </c>
      <c r="BV372" s="60">
        <f t="shared" si="199"/>
        <v>7.1999999999999995E-2</v>
      </c>
      <c r="CB372" s="17">
        <f t="shared" ref="CB372" si="246">BO372</f>
        <v>0.35</v>
      </c>
      <c r="CC372" s="17">
        <f t="shared" ref="CC372" si="247">BP372</f>
        <v>0.81</v>
      </c>
      <c r="CD372" s="3">
        <f t="shared" ref="CD372" si="248">ROUND(E372,1)</f>
        <v>-6</v>
      </c>
      <c r="CE372" s="3">
        <f t="shared" ref="CE372" si="249">ROUND(G372,1)</f>
        <v>-6.7</v>
      </c>
      <c r="CF372" s="1" t="s">
        <v>218</v>
      </c>
      <c r="CG372" s="3">
        <f t="shared" ref="CG372" si="250">ROUND(I372,1)</f>
        <v>-0.9</v>
      </c>
      <c r="CH372" s="3">
        <f t="shared" ref="CH372" si="251">ROUND(L372,1)</f>
        <v>-0.6</v>
      </c>
      <c r="CI372" s="3">
        <f t="shared" ref="CI372" si="252">ROUND(M372,1)</f>
        <v>-0.2</v>
      </c>
      <c r="CJ372" s="3">
        <f t="shared" ref="CJ372" si="253">ROUND(N372,1)</f>
        <v>1</v>
      </c>
      <c r="CK372" s="27">
        <f t="shared" ref="CK372" si="254">ROUND(BS372,1)</f>
        <v>94.4</v>
      </c>
      <c r="CL372" s="1">
        <f t="shared" ref="CL372" si="255">ROUND(R372,1)</f>
        <v>-1.4</v>
      </c>
      <c r="CM372" s="1">
        <f t="shared" ref="CM372" si="256">ROUND(V372,1)</f>
        <v>-2.1</v>
      </c>
      <c r="CN372" s="1" t="s">
        <v>218</v>
      </c>
      <c r="CO372" s="1">
        <f t="shared" ref="CO372" si="257">ROUND(X372,1)</f>
        <v>-0.7</v>
      </c>
      <c r="CP372" s="1">
        <f t="shared" ref="CP372" si="258">ROUND(AA372,1)</f>
        <v>-0.4</v>
      </c>
      <c r="CQ372" s="1">
        <f t="shared" ref="CQ372" si="259">ROUND(AB372,1)</f>
        <v>0</v>
      </c>
      <c r="CR372" s="1">
        <f t="shared" ref="CR372" si="260">ROUND(AC372,1)</f>
        <v>1.2</v>
      </c>
      <c r="CS372" s="2">
        <f t="shared" ref="CS372" si="261">ROUND(BR372,1)</f>
        <v>98.2</v>
      </c>
      <c r="CT372" s="1">
        <f t="shared" ref="CT372" si="262">ROUND(AF372,1)</f>
        <v>-11.8</v>
      </c>
      <c r="CU372" s="1">
        <f t="shared" ref="CU372" si="263">ROUND(AJ372,1)</f>
        <v>-13.5</v>
      </c>
      <c r="CV372" s="1" t="s">
        <v>218</v>
      </c>
      <c r="CW372" s="1">
        <f t="shared" ref="CW372" si="264">ROUND(AL372,1)</f>
        <v>-1.3</v>
      </c>
      <c r="CX372" s="1">
        <f t="shared" ref="CX372" si="265">ROUND(AO372,1)</f>
        <v>-0.8</v>
      </c>
      <c r="CY372" s="1">
        <f t="shared" ref="CY372" si="266">ROUND(AP372,1)</f>
        <v>-0.4</v>
      </c>
      <c r="CZ372" s="1">
        <f t="shared" ref="CZ372" si="267">ROUND(AQ372,1)</f>
        <v>0.8</v>
      </c>
      <c r="DA372" s="2">
        <f t="shared" ref="DA372" si="268">ROUND(BT372,1)</f>
        <v>87</v>
      </c>
      <c r="DB372" s="20">
        <f t="shared" ref="DB372" si="269">BF372</f>
        <v>606</v>
      </c>
      <c r="DC372" s="1">
        <f>ROUND(PPTest!K372,1)</f>
        <v>2.2000000000000002</v>
      </c>
      <c r="DD372" s="17" t="s">
        <v>218</v>
      </c>
      <c r="DE372" s="3">
        <f t="shared" ref="DE372" si="270">ROUND(AD372,2)</f>
        <v>2.89</v>
      </c>
      <c r="DF372" s="24">
        <f t="shared" ref="DF372" si="271">BU372</f>
        <v>0.47899999999999998</v>
      </c>
      <c r="DG372" s="24">
        <f t="shared" ref="DG372" si="272">BV372</f>
        <v>7.1999999999999995E-2</v>
      </c>
      <c r="DH372" s="17">
        <f t="shared" ref="DH372" si="273">BB372</f>
        <v>12.74</v>
      </c>
    </row>
    <row r="375" spans="1:112" x14ac:dyDescent="0.2">
      <c r="A375" s="3" t="s">
        <v>80</v>
      </c>
      <c r="C375" s="3" t="s">
        <v>70</v>
      </c>
      <c r="D375" s="6" t="s">
        <v>8</v>
      </c>
      <c r="E375" s="6" t="s">
        <v>9</v>
      </c>
      <c r="F375" s="6" t="s">
        <v>10</v>
      </c>
      <c r="G375" s="6" t="s">
        <v>11</v>
      </c>
      <c r="H375" s="6" t="s">
        <v>12</v>
      </c>
      <c r="I375" s="6" t="s">
        <v>13</v>
      </c>
      <c r="J375" s="6"/>
      <c r="K375" s="6"/>
      <c r="L375" s="6" t="s">
        <v>81</v>
      </c>
      <c r="M375" s="6" t="s">
        <v>82</v>
      </c>
      <c r="N375" s="6" t="s">
        <v>83</v>
      </c>
      <c r="O375" s="6"/>
      <c r="P375" s="6" t="s">
        <v>84</v>
      </c>
      <c r="Q375" s="6" t="s">
        <v>85</v>
      </c>
      <c r="R375" s="6" t="s">
        <v>86</v>
      </c>
      <c r="S375" s="6" t="s">
        <v>87</v>
      </c>
      <c r="T375" s="6"/>
      <c r="U375" s="6"/>
      <c r="V375" s="6" t="s">
        <v>88</v>
      </c>
      <c r="W375" s="6" t="s">
        <v>89</v>
      </c>
      <c r="X375" s="6" t="s">
        <v>90</v>
      </c>
      <c r="Y375" s="6"/>
      <c r="Z375" s="6"/>
      <c r="AA375" s="6" t="s">
        <v>91</v>
      </c>
      <c r="AB375" s="6"/>
      <c r="AC375" s="6"/>
      <c r="AD375" s="6" t="s">
        <v>92</v>
      </c>
      <c r="AE375" s="6" t="s">
        <v>84</v>
      </c>
      <c r="AF375" s="6" t="s">
        <v>9</v>
      </c>
      <c r="AG375" s="6" t="s">
        <v>93</v>
      </c>
      <c r="AH375" s="6" t="s">
        <v>94</v>
      </c>
      <c r="AI375" s="6" t="s">
        <v>95</v>
      </c>
      <c r="AJ375" s="6" t="s">
        <v>11</v>
      </c>
      <c r="AK375" s="6" t="s">
        <v>96</v>
      </c>
      <c r="AL375" s="6" t="s">
        <v>13</v>
      </c>
      <c r="AM375" s="6"/>
      <c r="AN375" s="10"/>
      <c r="AO375" s="6" t="s">
        <v>97</v>
      </c>
      <c r="AP375" s="10"/>
      <c r="AQ375" s="10"/>
      <c r="AR375" s="10"/>
      <c r="AS375" s="10"/>
      <c r="AT375" s="3"/>
      <c r="AU375" s="10"/>
      <c r="AV375" s="10"/>
      <c r="AW375" s="3"/>
      <c r="AX375" s="3"/>
      <c r="AY375" s="3"/>
      <c r="AZ375" s="3"/>
      <c r="BA375" s="3"/>
      <c r="BB375" s="3"/>
      <c r="BC375" s="3"/>
      <c r="BD375" s="24"/>
      <c r="BE375" s="24"/>
      <c r="BF375" s="24" t="s">
        <v>98</v>
      </c>
      <c r="BG375" s="3"/>
      <c r="BH375" s="3"/>
      <c r="BI375" s="3"/>
      <c r="BJ375" s="3"/>
      <c r="BK375" s="3"/>
      <c r="BL375" s="3" t="s">
        <v>100</v>
      </c>
      <c r="BM375" s="3"/>
      <c r="BN375" s="3"/>
      <c r="BO375" s="2" t="s">
        <v>70</v>
      </c>
      <c r="BP375" s="2" t="s">
        <v>8</v>
      </c>
      <c r="BQ375" s="1"/>
      <c r="BR375" s="3"/>
      <c r="BT375" s="6" t="s">
        <v>94</v>
      </c>
      <c r="BU375" s="2" t="s">
        <v>186</v>
      </c>
      <c r="BV375" s="3" t="s">
        <v>99</v>
      </c>
      <c r="BW375" s="6" t="s">
        <v>95</v>
      </c>
      <c r="BX375" s="1" t="s">
        <v>116</v>
      </c>
    </row>
    <row r="376" spans="1:112" x14ac:dyDescent="0.2">
      <c r="A376" s="3" t="s">
        <v>101</v>
      </c>
      <c r="C376" s="16" t="e">
        <f>ROUND(AVERAGE(C7:C37),2)</f>
        <v>#DIV/0!</v>
      </c>
      <c r="D376" s="16" t="e">
        <f>ROUND(AVERAGE(D7:D37),2)</f>
        <v>#DIV/0!</v>
      </c>
      <c r="E376" s="14">
        <f>ROUND(AVERAGE(E7:E37),1)</f>
        <v>-9.5</v>
      </c>
      <c r="F376" s="14" t="e">
        <f>ROUND(AVERAGE(F7:F37),1)</f>
        <v>#DIV/0!</v>
      </c>
      <c r="G376" s="14" t="e">
        <f t="shared" ref="G376:I376" si="274">ROUND(AVERAGE(G7:G37),1)</f>
        <v>#DIV/0!</v>
      </c>
      <c r="H376" s="14" t="e">
        <f t="shared" si="274"/>
        <v>#DIV/0!</v>
      </c>
      <c r="I376" s="14" t="e">
        <f t="shared" si="274"/>
        <v>#DIV/0!</v>
      </c>
      <c r="J376" s="14"/>
      <c r="K376" s="14"/>
      <c r="L376" s="14" t="e">
        <f t="shared" ref="L376:N376" si="275">ROUND(AVERAGE(L7:L37),1)</f>
        <v>#DIV/0!</v>
      </c>
      <c r="M376" s="14" t="e">
        <f t="shared" si="275"/>
        <v>#DIV/0!</v>
      </c>
      <c r="N376" s="14" t="e">
        <f t="shared" si="275"/>
        <v>#DIV/0!</v>
      </c>
      <c r="O376" s="14"/>
      <c r="P376" s="14" t="e">
        <f t="shared" ref="P376" si="276">ROUND(AVERAGE(P7:P37),1)</f>
        <v>#DIV/0!</v>
      </c>
      <c r="Q376" s="14">
        <f>SUM(Q7:Q37)</f>
        <v>0</v>
      </c>
      <c r="R376" s="14">
        <f>ROUND(AVERAGE(R7:R37),1)</f>
        <v>-5.9</v>
      </c>
      <c r="S376" s="14">
        <f>ROUND(MAX(R7:R37),1)</f>
        <v>-4.3</v>
      </c>
      <c r="T376" s="14"/>
      <c r="U376" s="14"/>
      <c r="V376" s="14" t="e">
        <f>ROUND(AVERAGE(V7:V37),1)</f>
        <v>#DIV/0!</v>
      </c>
      <c r="W376" s="14">
        <f>ROUND(MAX(V7:V37),1)</f>
        <v>0</v>
      </c>
      <c r="X376" s="14" t="e">
        <f>ROUND(AVERAGE(X7:X37),1)</f>
        <v>#DIV/0!</v>
      </c>
      <c r="Y376" s="14"/>
      <c r="Z376" s="14"/>
      <c r="AA376" s="14" t="e">
        <f>ROUND(AVERAGE(AA7:AA37),1)</f>
        <v>#DIV/0!</v>
      </c>
      <c r="AB376" s="14"/>
      <c r="AC376" s="14"/>
      <c r="AD376" s="14" t="e">
        <f>ROUND(AVERAGE(AD7:AD37),1)</f>
        <v>#DIV/0!</v>
      </c>
      <c r="AE376" s="14">
        <f>ROUND(MAX(AD7:AD37),1)</f>
        <v>0</v>
      </c>
      <c r="AF376" s="14">
        <f>ROUND(AVERAGE(AF7:AF37),1)</f>
        <v>-13.1</v>
      </c>
      <c r="AG376" s="14">
        <f>ROUND(MIN(AF7:AF37),1)</f>
        <v>-23</v>
      </c>
      <c r="AH376" s="14" t="e">
        <f>ROUND(AVERAGE(AH7:AH37),1)</f>
        <v>#DIV/0!</v>
      </c>
      <c r="AI376" s="14">
        <f>ROUND(MIN(AH7:AH37),1)</f>
        <v>0</v>
      </c>
      <c r="AJ376" s="14" t="e">
        <f>ROUND(AVERAGE(AJ7:AJ37),1)</f>
        <v>#DIV/0!</v>
      </c>
      <c r="AK376" s="14">
        <f>ROUND(MIN(AJ7:AJ37),1)</f>
        <v>0</v>
      </c>
      <c r="AL376" s="14" t="e">
        <f>ROUND(AVERAGE(AL7:AL37),1)</f>
        <v>#DIV/0!</v>
      </c>
      <c r="AM376" s="14"/>
      <c r="AN376" s="14"/>
      <c r="AO376" s="14" t="e">
        <f>ROUND(AVERAGE(AO7:AO37),1)</f>
        <v>#DIV/0!</v>
      </c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21"/>
      <c r="BE376" s="21"/>
      <c r="BF376" s="21">
        <f>BF37</f>
        <v>0</v>
      </c>
      <c r="BG376" s="14"/>
      <c r="BH376" s="16"/>
      <c r="BI376" s="16"/>
      <c r="BJ376" s="14"/>
      <c r="BK376" s="16"/>
      <c r="BL376" s="16">
        <f>ROUND(MAX(BV7:BV37),2)</f>
        <v>0.28000000000000003</v>
      </c>
      <c r="BM376" s="14"/>
      <c r="BN376" s="16"/>
      <c r="BO376" s="16" t="e">
        <f>ROUND(AVERAGE(BO7:BO37),2)</f>
        <v>#DIV/0!</v>
      </c>
      <c r="BP376" s="16" t="e">
        <f>ROUND(AVERAGE(BP7:BP37),2)</f>
        <v>#DIV/0!</v>
      </c>
      <c r="BQ376" s="1"/>
      <c r="BR376" s="3"/>
      <c r="BT376" s="14" t="e">
        <f>ROUND(AVERAGE(BT7:BT37),1)</f>
        <v>#DIV/0!</v>
      </c>
      <c r="BU376" s="16">
        <f>ROUND(AVERAGE(BU7:BU37),2)</f>
        <v>0.23</v>
      </c>
      <c r="BV376" s="16">
        <f>ROUND(AVERAGE(BV7:BV37),2)</f>
        <v>0.16</v>
      </c>
      <c r="BW376" s="14">
        <f>ROUND(MIN(BT7:BT37),1)</f>
        <v>0</v>
      </c>
      <c r="BX376" s="49">
        <f>SUM(BX7:BX37)</f>
        <v>114.38000000000002</v>
      </c>
      <c r="BY376" s="14">
        <f>SUM(BY7:BY37)</f>
        <v>81.12</v>
      </c>
    </row>
    <row r="377" spans="1:112" x14ac:dyDescent="0.2">
      <c r="A377" s="3" t="s">
        <v>102</v>
      </c>
      <c r="C377" s="16" t="e">
        <f>ROUND(AVERAGE(C38:C66),2)</f>
        <v>#DIV/0!</v>
      </c>
      <c r="D377" s="16" t="e">
        <f>ROUND(AVERAGE(D38:D66),2)</f>
        <v>#DIV/0!</v>
      </c>
      <c r="E377" s="14">
        <f>ROUND(AVERAGE(E38:E66),1)</f>
        <v>-7.2</v>
      </c>
      <c r="F377" s="14" t="e">
        <f>ROUND(AVERAGE(F38:F66),1)</f>
        <v>#DIV/0!</v>
      </c>
      <c r="G377" s="14" t="e">
        <f t="shared" ref="G377:I377" si="277">ROUND(AVERAGE(G38:G66),1)</f>
        <v>#DIV/0!</v>
      </c>
      <c r="H377" s="14" t="e">
        <f t="shared" si="277"/>
        <v>#DIV/0!</v>
      </c>
      <c r="I377" s="14" t="e">
        <f t="shared" si="277"/>
        <v>#DIV/0!</v>
      </c>
      <c r="J377" s="14"/>
      <c r="K377" s="14"/>
      <c r="L377" s="14" t="e">
        <f t="shared" ref="L377:N377" si="278">ROUND(AVERAGE(L38:L66),1)</f>
        <v>#DIV/0!</v>
      </c>
      <c r="M377" s="14" t="e">
        <f t="shared" si="278"/>
        <v>#DIV/0!</v>
      </c>
      <c r="N377" s="14" t="e">
        <f t="shared" si="278"/>
        <v>#DIV/0!</v>
      </c>
      <c r="O377" s="14"/>
      <c r="P377" s="14" t="e">
        <f t="shared" ref="P377" si="279">ROUND(AVERAGE(P38:P66),1)</f>
        <v>#DIV/0!</v>
      </c>
      <c r="Q377" s="14">
        <f>SUM(Q38:Q66)</f>
        <v>0</v>
      </c>
      <c r="R377" s="14">
        <f>ROUND(AVERAGE(R38:R66),1)</f>
        <v>-3.1</v>
      </c>
      <c r="S377" s="14">
        <f>ROUND(MAX(R38:R66),1)</f>
        <v>1.2</v>
      </c>
      <c r="T377" s="14"/>
      <c r="U377" s="14"/>
      <c r="V377" s="14" t="e">
        <f>ROUND(AVERAGE(V38:V66),1)</f>
        <v>#DIV/0!</v>
      </c>
      <c r="W377" s="14">
        <f>ROUND(MAX(V38:V66),1)</f>
        <v>0</v>
      </c>
      <c r="X377" s="14" t="e">
        <f>ROUND(AVERAGE(X38:X66),1)</f>
        <v>#DIV/0!</v>
      </c>
      <c r="Y377" s="14"/>
      <c r="Z377" s="14"/>
      <c r="AA377" s="14" t="e">
        <f>ROUND(AVERAGE(AA38:AA66),1)</f>
        <v>#DIV/0!</v>
      </c>
      <c r="AB377" s="14"/>
      <c r="AC377" s="14"/>
      <c r="AD377" s="14" t="e">
        <f>ROUND(AVERAGE(AD38:AD66),1)</f>
        <v>#DIV/0!</v>
      </c>
      <c r="AE377" s="14">
        <f>ROUND(MAX(AD38:AD66),1)</f>
        <v>0</v>
      </c>
      <c r="AF377" s="14">
        <f>ROUND(AVERAGE(AF38:AF66),1)</f>
        <v>-11.4</v>
      </c>
      <c r="AG377" s="14">
        <f>ROUND(MIN(AF38:AF66),1)</f>
        <v>-19.5</v>
      </c>
      <c r="AH377" s="14" t="e">
        <f>ROUND(AVERAGE(AH38:AH66),1)</f>
        <v>#DIV/0!</v>
      </c>
      <c r="AI377" s="14">
        <f>ROUND(MIN(AH38:AH66),1)</f>
        <v>0</v>
      </c>
      <c r="AJ377" s="14" t="e">
        <f>ROUND(AVERAGE(AJ38:AJ66),1)</f>
        <v>#DIV/0!</v>
      </c>
      <c r="AK377" s="14">
        <f>ROUND(MIN(AJ38:AJ66),1)</f>
        <v>0</v>
      </c>
      <c r="AL377" s="14" t="e">
        <f>ROUND(AVERAGE(AL38:AL66),1)</f>
        <v>#DIV/0!</v>
      </c>
      <c r="AM377" s="14"/>
      <c r="AN377" s="14"/>
      <c r="AO377" s="14" t="e">
        <f>ROUND(AVERAGE(AO38:AO66),1)</f>
        <v>#DIV/0!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21"/>
      <c r="BE377" s="21"/>
      <c r="BF377" s="21">
        <f>BF66</f>
        <v>0</v>
      </c>
      <c r="BG377" s="14"/>
      <c r="BH377" s="16"/>
      <c r="BI377" s="16"/>
      <c r="BJ377" s="14"/>
      <c r="BK377" s="16"/>
      <c r="BL377" s="16">
        <f>ROUND(MAX(BV38:BV66),2)</f>
        <v>0.44</v>
      </c>
      <c r="BM377" s="14"/>
      <c r="BN377" s="16"/>
      <c r="BO377" s="16" t="e">
        <f>ROUND(AVERAGE(BO38:BO66),2)</f>
        <v>#DIV/0!</v>
      </c>
      <c r="BP377" s="16" t="e">
        <f>ROUND(AVERAGE(BP38:BP66),2)</f>
        <v>#DIV/0!</v>
      </c>
      <c r="BQ377" s="1"/>
      <c r="BR377" s="3"/>
      <c r="BT377" s="14" t="e">
        <f>ROUND(AVERAGE(BT38:BT66),1)</f>
        <v>#DIV/0!</v>
      </c>
      <c r="BU377" s="16">
        <f>ROUND(AVERAGE(BU38:BU66),2)</f>
        <v>0.26</v>
      </c>
      <c r="BV377" s="16">
        <f>ROUND(AVERAGE(BV38:BV66),2)</f>
        <v>0.23</v>
      </c>
      <c r="BW377" s="14">
        <f>ROUND(MIN(BT38:BT66),1)</f>
        <v>0</v>
      </c>
      <c r="BX377" s="49">
        <f>SUM(BX38:BX66)</f>
        <v>79.800000000000011</v>
      </c>
      <c r="BY377" s="14">
        <f>SUM(BY38:BY66)</f>
        <v>55.050000000000011</v>
      </c>
    </row>
    <row r="378" spans="1:112" x14ac:dyDescent="0.2">
      <c r="A378" s="3" t="s">
        <v>103</v>
      </c>
      <c r="C378" s="16">
        <f>ROUND(AVERAGE(C67:C97),2)</f>
        <v>9</v>
      </c>
      <c r="D378" s="16">
        <f>ROUND(AVERAGE(D67:D97),2)</f>
        <v>15.37</v>
      </c>
      <c r="E378" s="14">
        <f>ROUND(AVERAGE(E67:E97),1)</f>
        <v>-3</v>
      </c>
      <c r="F378" s="14">
        <f>ROUND(AVERAGE(F67:F97),1)</f>
        <v>96.6</v>
      </c>
      <c r="G378" s="14">
        <f t="shared" ref="G378:I378" si="280">ROUND(AVERAGE(G67:G97),1)</f>
        <v>-3.1</v>
      </c>
      <c r="H378" s="14" t="e">
        <f t="shared" si="280"/>
        <v>#DIV/0!</v>
      </c>
      <c r="I378" s="14">
        <f t="shared" si="280"/>
        <v>0</v>
      </c>
      <c r="J378" s="14"/>
      <c r="K378" s="14"/>
      <c r="L378" s="14">
        <f t="shared" ref="L378:N378" si="281">ROUND(AVERAGE(L67:L97),1)</f>
        <v>-0.1</v>
      </c>
      <c r="M378" s="14">
        <f t="shared" si="281"/>
        <v>0.3</v>
      </c>
      <c r="N378" s="14">
        <f t="shared" si="281"/>
        <v>0.9</v>
      </c>
      <c r="O378" s="14"/>
      <c r="P378" s="14">
        <f t="shared" ref="P378" si="282">ROUND(AVERAGE(P67:P97),1)</f>
        <v>1.8</v>
      </c>
      <c r="Q378" s="14">
        <f>SUM(Q67:Q97)</f>
        <v>0</v>
      </c>
      <c r="R378" s="14">
        <f>ROUND(AVERAGE(R67:R97),1)</f>
        <v>1.1000000000000001</v>
      </c>
      <c r="S378" s="14">
        <f>ROUND(MAX(R67:R97),1)</f>
        <v>7.1</v>
      </c>
      <c r="T378" s="14"/>
      <c r="U378" s="14"/>
      <c r="V378" s="14">
        <f>ROUND(AVERAGE(V67:V97),1)</f>
        <v>3.4</v>
      </c>
      <c r="W378" s="14">
        <f>ROUND(MAX(V67:V97),1)</f>
        <v>9.8000000000000007</v>
      </c>
      <c r="X378" s="14">
        <f>ROUND(AVERAGE(X67:X97),1)</f>
        <v>0</v>
      </c>
      <c r="Y378" s="14"/>
      <c r="Z378" s="14"/>
      <c r="AA378" s="14">
        <f>ROUND(AVERAGE(AA67:AA97),1)</f>
        <v>-0.1</v>
      </c>
      <c r="AB378" s="14"/>
      <c r="AC378" s="14"/>
      <c r="AD378" s="14">
        <f>ROUND(AVERAGE(AD67:AD97),1)</f>
        <v>5.3</v>
      </c>
      <c r="AE378" s="14">
        <f>ROUND(MAX(AD67:AD97),1)</f>
        <v>8.5</v>
      </c>
      <c r="AF378" s="14">
        <f>ROUND(AVERAGE(AF67:AF97),1)</f>
        <v>-8.1</v>
      </c>
      <c r="AG378" s="14">
        <f>ROUND(MIN(AF67:AF97),1)</f>
        <v>-18.899999999999999</v>
      </c>
      <c r="AH378" s="14">
        <f>ROUND(AVERAGE(AH67:AH97),1)</f>
        <v>74.8</v>
      </c>
      <c r="AI378" s="14">
        <f>ROUND(MIN(AH67:AH97),1)</f>
        <v>38.9</v>
      </c>
      <c r="AJ378" s="14">
        <f>ROUND(AVERAGE(AJ67:AJ97),1)</f>
        <v>-9.8000000000000007</v>
      </c>
      <c r="AK378" s="14">
        <f>ROUND(MIN(AJ67:AJ97),1)</f>
        <v>-17.600000000000001</v>
      </c>
      <c r="AL378" s="14">
        <f>ROUND(AVERAGE(AL67:AL97),1)</f>
        <v>-0.1</v>
      </c>
      <c r="AM378" s="14"/>
      <c r="AN378" s="14"/>
      <c r="AO378" s="14">
        <f>ROUND(AVERAGE(AO67:AO97),1)</f>
        <v>-0.2</v>
      </c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21"/>
      <c r="BE378" s="21"/>
      <c r="BF378" s="21">
        <f>BF97</f>
        <v>1390</v>
      </c>
      <c r="BG378" s="14"/>
      <c r="BH378" s="16"/>
      <c r="BI378" s="16"/>
      <c r="BJ378" s="14"/>
      <c r="BK378" s="16"/>
      <c r="BL378" s="16">
        <f>ROUND(MAX(BV67:BV97),2)</f>
        <v>0.66</v>
      </c>
      <c r="BM378" s="14"/>
      <c r="BN378" s="16"/>
      <c r="BO378" s="16">
        <f>ROUND(AVERAGE(BO67:BO97),2)</f>
        <v>8.83</v>
      </c>
      <c r="BP378" s="16">
        <f>ROUND(AVERAGE(BP67:BP97),2)</f>
        <v>16.91</v>
      </c>
      <c r="BQ378" s="1"/>
      <c r="BR378" s="3"/>
      <c r="BT378" s="14">
        <f>ROUND(AVERAGE(BT67:BT97),1)</f>
        <v>60.5</v>
      </c>
      <c r="BU378" s="16">
        <f>ROUND(AVERAGE(BU67:BU97),2)</f>
        <v>0.39</v>
      </c>
      <c r="BV378" s="16">
        <f>ROUND(AVERAGE(BV67:BV97),2)</f>
        <v>0.28000000000000003</v>
      </c>
      <c r="BW378" s="14">
        <f>ROUND(MIN(BT67:BT97),1)</f>
        <v>28.2</v>
      </c>
      <c r="BX378" s="49">
        <f>SUM(BX67:BX97)</f>
        <v>105.55999999999999</v>
      </c>
      <c r="BY378" s="14">
        <f>SUM(BY67:BY97)</f>
        <v>59.88</v>
      </c>
    </row>
    <row r="379" spans="1:112" x14ac:dyDescent="0.2">
      <c r="A379" s="3" t="s">
        <v>104</v>
      </c>
      <c r="C379" s="16">
        <f>ROUND(AVERAGE(C98:C127),2)</f>
        <v>16.510000000000002</v>
      </c>
      <c r="D379" s="16">
        <f>ROUND(AVERAGE(D98:D127),2)</f>
        <v>28.17</v>
      </c>
      <c r="E379" s="14">
        <f>ROUND(AVERAGE(E98:E127),1)</f>
        <v>1.2</v>
      </c>
      <c r="F379" s="14">
        <f>ROUND(AVERAGE(F98:F127),1)</f>
        <v>83.1</v>
      </c>
      <c r="G379" s="14">
        <f t="shared" ref="G379:I379" si="283">ROUND(AVERAGE(G98:G127),1)</f>
        <v>0.6</v>
      </c>
      <c r="H379" s="14" t="e">
        <f t="shared" si="283"/>
        <v>#DIV/0!</v>
      </c>
      <c r="I379" s="14">
        <f t="shared" si="283"/>
        <v>0.1</v>
      </c>
      <c r="J379" s="14"/>
      <c r="K379" s="14"/>
      <c r="L379" s="14">
        <f t="shared" ref="L379:N379" si="284">ROUND(AVERAGE(L98:L127),1)</f>
        <v>-0.1</v>
      </c>
      <c r="M379" s="14">
        <f t="shared" si="284"/>
        <v>0.2</v>
      </c>
      <c r="N379" s="14">
        <f t="shared" si="284"/>
        <v>0.6</v>
      </c>
      <c r="O379" s="14"/>
      <c r="P379" s="14">
        <f t="shared" ref="P379" si="285">ROUND(AVERAGE(P98:P127),1)</f>
        <v>1.9</v>
      </c>
      <c r="Q379" s="14">
        <f>SUM(Q98:Q127)</f>
        <v>0</v>
      </c>
      <c r="R379" s="14">
        <f>ROUND(AVERAGE(R98:R127),1)</f>
        <v>7</v>
      </c>
      <c r="S379" s="14">
        <f>ROUND(MAX(R98:R127),1)</f>
        <v>15.9</v>
      </c>
      <c r="T379" s="14"/>
      <c r="U379" s="14"/>
      <c r="V379" s="14">
        <f>ROUND(AVERAGE(V98:V127),1)</f>
        <v>8.1999999999999993</v>
      </c>
      <c r="W379" s="14">
        <f>ROUND(MAX(V98:V127),1)</f>
        <v>17.5</v>
      </c>
      <c r="X379" s="14">
        <f>ROUND(AVERAGE(X98:X127),1)</f>
        <v>0.2</v>
      </c>
      <c r="Y379" s="14"/>
      <c r="Z379" s="14"/>
      <c r="AA379" s="14">
        <f>ROUND(AVERAGE(AA98:AA127),1)</f>
        <v>0</v>
      </c>
      <c r="AB379" s="14"/>
      <c r="AC379" s="14"/>
      <c r="AD379" s="14">
        <f>ROUND(AVERAGE(AD98:AD127),1)</f>
        <v>5.9</v>
      </c>
      <c r="AE379" s="14">
        <f>ROUND(MAX(AD98:AD127),1)</f>
        <v>8.9</v>
      </c>
      <c r="AF379" s="14">
        <f>ROUND(AVERAGE(AF98:AF127),1)</f>
        <v>-5</v>
      </c>
      <c r="AG379" s="14">
        <f>ROUND(MIN(AF98:AF127),1)</f>
        <v>-14.5</v>
      </c>
      <c r="AH379" s="14">
        <f>ROUND(AVERAGE(AH98:AH127),1)</f>
        <v>53</v>
      </c>
      <c r="AI379" s="14">
        <f>ROUND(MIN(AH98:AH127),1)</f>
        <v>26.8</v>
      </c>
      <c r="AJ379" s="14">
        <f>ROUND(AVERAGE(AJ98:AJ127),1)</f>
        <v>-6.2</v>
      </c>
      <c r="AK379" s="14">
        <f>ROUND(MIN(AJ98:AJ127),1)</f>
        <v>-16.100000000000001</v>
      </c>
      <c r="AL379" s="14">
        <f>ROUND(AVERAGE(AL98:AL127),1)</f>
        <v>0</v>
      </c>
      <c r="AM379" s="14"/>
      <c r="AN379" s="14"/>
      <c r="AO379" s="14">
        <f>ROUND(AVERAGE(AO98:AO127),1)</f>
        <v>-0.1</v>
      </c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21"/>
      <c r="BE379" s="21"/>
      <c r="BF379" s="21">
        <f>BF127</f>
        <v>801</v>
      </c>
      <c r="BG379" s="14"/>
      <c r="BH379" s="16"/>
      <c r="BI379" s="16"/>
      <c r="BJ379" s="14"/>
      <c r="BK379" s="16"/>
      <c r="BL379" s="16">
        <f>ROUND(MAX(BV98:BV127),2)</f>
        <v>1.36</v>
      </c>
      <c r="BM379" s="14"/>
      <c r="BN379" s="16"/>
      <c r="BO379" s="16">
        <f>ROUND(AVERAGE(BO98:BO127),2)</f>
        <v>16.190000000000001</v>
      </c>
      <c r="BP379" s="16">
        <f>ROUND(AVERAGE(BP98:BP127),2)</f>
        <v>30.98</v>
      </c>
      <c r="BQ379" s="1"/>
      <c r="BR379" s="3"/>
      <c r="BT379" s="14">
        <f>ROUND(AVERAGE(BT98:BT127),1)</f>
        <v>40.799999999999997</v>
      </c>
      <c r="BU379" s="16">
        <f>ROUND(AVERAGE(BU98:BU127),2)</f>
        <v>0.39</v>
      </c>
      <c r="BV379" s="16">
        <f>ROUND(AVERAGE(BV98:BV127),2)</f>
        <v>0.65</v>
      </c>
      <c r="BW379" s="14">
        <f>ROUND(MIN(BT98:BT127),1)</f>
        <v>17.5</v>
      </c>
      <c r="BX379" s="49">
        <f>SUM(BX98:BX127)</f>
        <v>44.52</v>
      </c>
      <c r="BY379" s="14">
        <f>SUM(BY98:BY127)</f>
        <v>91.460000000000008</v>
      </c>
    </row>
    <row r="380" spans="1:112" x14ac:dyDescent="0.2">
      <c r="A380" s="3" t="s">
        <v>105</v>
      </c>
      <c r="C380" s="16">
        <f>ROUND(AVERAGE(C128:C158),2)</f>
        <v>16.53</v>
      </c>
      <c r="D380" s="16">
        <f>ROUND(AVERAGE(D128:D158),2)</f>
        <v>28.08</v>
      </c>
      <c r="E380" s="14">
        <f>ROUND(AVERAGE(E128:E158),1)</f>
        <v>3</v>
      </c>
      <c r="F380" s="14">
        <f>ROUND(AVERAGE(F128:F158),1)</f>
        <v>88</v>
      </c>
      <c r="G380" s="14">
        <f t="shared" ref="G380:I380" si="286">ROUND(AVERAGE(G128:G158),1)</f>
        <v>2.6</v>
      </c>
      <c r="H380" s="14">
        <f t="shared" si="286"/>
        <v>3.6</v>
      </c>
      <c r="I380" s="14">
        <f t="shared" si="286"/>
        <v>0.2</v>
      </c>
      <c r="J380" s="14"/>
      <c r="K380" s="14"/>
      <c r="L380" s="14">
        <f t="shared" ref="L380:N380" si="287">ROUND(AVERAGE(L128:L158),1)</f>
        <v>0.6</v>
      </c>
      <c r="M380" s="14">
        <f t="shared" si="287"/>
        <v>0.4</v>
      </c>
      <c r="N380" s="14">
        <f t="shared" si="287"/>
        <v>0.4</v>
      </c>
      <c r="O380" s="14"/>
      <c r="P380" s="14">
        <f t="shared" ref="P380" si="288">ROUND(AVERAGE(P128:P158),1)</f>
        <v>1.7</v>
      </c>
      <c r="Q380" s="14">
        <f>SUM(Q128:Q158)</f>
        <v>0</v>
      </c>
      <c r="R380" s="14">
        <f>ROUND(AVERAGE(R128:R158),1)</f>
        <v>8.6999999999999993</v>
      </c>
      <c r="S380" s="14">
        <f>ROUND(MAX(R128:R158),1)</f>
        <v>15.9</v>
      </c>
      <c r="T380" s="14"/>
      <c r="U380" s="14"/>
      <c r="V380" s="14">
        <f>ROUND(AVERAGE(V128:V158),1)</f>
        <v>10.199999999999999</v>
      </c>
      <c r="W380" s="14">
        <f>ROUND(MAX(V128:V158),1)</f>
        <v>17</v>
      </c>
      <c r="X380" s="14">
        <f>ROUND(AVERAGE(X128:X158),1)</f>
        <v>0.4</v>
      </c>
      <c r="Y380" s="14"/>
      <c r="Z380" s="14"/>
      <c r="AA380" s="14">
        <f>ROUND(AVERAGE(AA128:AA158),1)</f>
        <v>1.4</v>
      </c>
      <c r="AB380" s="14"/>
      <c r="AC380" s="14"/>
      <c r="AD380" s="14">
        <f>ROUND(AVERAGE(AD128:AD158),1)</f>
        <v>5.4</v>
      </c>
      <c r="AE380" s="14">
        <f>ROUND(MAX(AD128:AD158),1)</f>
        <v>8.1</v>
      </c>
      <c r="AF380" s="14">
        <f>ROUND(AVERAGE(AF128:AF158),1)</f>
        <v>-2.5</v>
      </c>
      <c r="AG380" s="14">
        <f>ROUND(MIN(AF128:AF158),1)</f>
        <v>-9</v>
      </c>
      <c r="AH380" s="14">
        <f>ROUND(AVERAGE(AH128:AH158),1)</f>
        <v>56.6</v>
      </c>
      <c r="AI380" s="14">
        <f>ROUND(MIN(AH128:AH158),1)</f>
        <v>26.2</v>
      </c>
      <c r="AJ380" s="14">
        <f>ROUND(AVERAGE(AJ128:AJ158),1)</f>
        <v>-3.5</v>
      </c>
      <c r="AK380" s="14">
        <f>ROUND(MIN(AJ128:AJ158),1)</f>
        <v>-9.8000000000000007</v>
      </c>
      <c r="AL380" s="14">
        <f>ROUND(AVERAGE(AL128:AL158),1)</f>
        <v>-0.1</v>
      </c>
      <c r="AM380" s="14"/>
      <c r="AN380" s="14"/>
      <c r="AO380" s="14">
        <f>ROUND(AVERAGE(AO128:AO158),1)</f>
        <v>0.1</v>
      </c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21"/>
      <c r="BE380" s="21"/>
      <c r="BF380" s="21">
        <f>BF158</f>
        <v>0</v>
      </c>
      <c r="BG380" s="14"/>
      <c r="BH380" s="16"/>
      <c r="BI380" s="16"/>
      <c r="BJ380" s="14"/>
      <c r="BK380" s="16"/>
      <c r="BL380" s="16">
        <f>ROUND(MAX(BV128:BV158),2)</f>
        <v>1.3</v>
      </c>
      <c r="BM380" s="14"/>
      <c r="BN380" s="16"/>
      <c r="BO380" s="16">
        <f>ROUND(AVERAGE(BO128:BO158),2)</f>
        <v>16.010000000000002</v>
      </c>
      <c r="BP380" s="16">
        <f>ROUND(AVERAGE(BP128:BP158),2)</f>
        <v>30.89</v>
      </c>
      <c r="BQ380" s="1"/>
      <c r="BR380" s="3"/>
      <c r="BT380" s="14">
        <f>ROUND(AVERAGE(BT128:BT158),1)</f>
        <v>43.8</v>
      </c>
      <c r="BU380" s="16">
        <f>ROUND(AVERAGE(BU128:BU158),2)</f>
        <v>0.48</v>
      </c>
      <c r="BV380" s="16">
        <f>ROUND(AVERAGE(BV128:BV158),2)</f>
        <v>0.66</v>
      </c>
      <c r="BW380" s="14">
        <f>ROUND(MIN(BT128:BT158),1)</f>
        <v>17</v>
      </c>
      <c r="BX380" s="49">
        <f>SUM(BX128:BX158)</f>
        <v>79.739999999999995</v>
      </c>
    </row>
    <row r="381" spans="1:112" x14ac:dyDescent="0.2">
      <c r="A381" s="3" t="s">
        <v>106</v>
      </c>
      <c r="C381" s="16" t="e">
        <f>ROUND(AVERAGE(C159:C188),2)</f>
        <v>#DIV/0!</v>
      </c>
      <c r="D381" s="16" t="e">
        <f>ROUND(AVERAGE(D159:D188),2)</f>
        <v>#DIV/0!</v>
      </c>
      <c r="E381" s="14">
        <f>ROUND(AVERAGE(E159:E188),1)</f>
        <v>7.6</v>
      </c>
      <c r="F381" s="14" t="e">
        <f>ROUND(AVERAGE(F159:F188),1)</f>
        <v>#DIV/0!</v>
      </c>
      <c r="G381" s="14" t="e">
        <f t="shared" ref="G381:I381" si="289">ROUND(AVERAGE(G159:G188),1)</f>
        <v>#DIV/0!</v>
      </c>
      <c r="H381" s="14" t="e">
        <f t="shared" si="289"/>
        <v>#DIV/0!</v>
      </c>
      <c r="I381" s="14" t="e">
        <f t="shared" si="289"/>
        <v>#DIV/0!</v>
      </c>
      <c r="J381" s="14"/>
      <c r="K381" s="14"/>
      <c r="L381" s="14" t="e">
        <f t="shared" ref="L381:N381" si="290">ROUND(AVERAGE(L159:L188),1)</f>
        <v>#DIV/0!</v>
      </c>
      <c r="M381" s="14" t="e">
        <f t="shared" si="290"/>
        <v>#DIV/0!</v>
      </c>
      <c r="N381" s="14" t="e">
        <f t="shared" si="290"/>
        <v>#DIV/0!</v>
      </c>
      <c r="O381" s="14"/>
      <c r="P381" s="14" t="e">
        <f t="shared" ref="P381" si="291">ROUND(AVERAGE(P159:P188),1)</f>
        <v>#DIV/0!</v>
      </c>
      <c r="Q381" s="14">
        <f>SUM(Q159:Q188)</f>
        <v>0</v>
      </c>
      <c r="R381" s="14">
        <f>ROUND(AVERAGE(R159:R188),1)</f>
        <v>13.8</v>
      </c>
      <c r="S381" s="14">
        <f>ROUND(MAX(R159:R188),1)</f>
        <v>22</v>
      </c>
      <c r="T381" s="14"/>
      <c r="U381" s="14"/>
      <c r="V381" s="14" t="e">
        <f>ROUND(AVERAGE(V159:V188),1)</f>
        <v>#DIV/0!</v>
      </c>
      <c r="W381" s="14">
        <f>ROUND(MAX(V159:V188),1)</f>
        <v>0</v>
      </c>
      <c r="X381" s="14" t="e">
        <f>ROUND(AVERAGE(X159:X188),1)</f>
        <v>#DIV/0!</v>
      </c>
      <c r="Y381" s="14"/>
      <c r="Z381" s="14"/>
      <c r="AA381" s="14" t="e">
        <f>ROUND(AVERAGE(AA159:AA188),1)</f>
        <v>#DIV/0!</v>
      </c>
      <c r="AB381" s="14"/>
      <c r="AC381" s="14"/>
      <c r="AD381" s="14" t="e">
        <f>ROUND(AVERAGE(AD159:AD188),1)</f>
        <v>#DIV/0!</v>
      </c>
      <c r="AE381" s="14">
        <f>ROUND(MAX(AD159:AD188),1)</f>
        <v>0</v>
      </c>
      <c r="AF381" s="14">
        <f>ROUND(AVERAGE(AF159:AF188),1)</f>
        <v>1.7</v>
      </c>
      <c r="AG381" s="14">
        <f>ROUND(MIN(AF159:AF188),1)</f>
        <v>-3.6</v>
      </c>
      <c r="AH381" s="14" t="e">
        <f>ROUND(AVERAGE(AH159:AH188),1)</f>
        <v>#DIV/0!</v>
      </c>
      <c r="AI381" s="14">
        <f>ROUND(MIN(AH159:AH188),1)</f>
        <v>0</v>
      </c>
      <c r="AJ381" s="14" t="e">
        <f>ROUND(AVERAGE(AJ159:AJ188),1)</f>
        <v>#DIV/0!</v>
      </c>
      <c r="AK381" s="14">
        <f>ROUND(MIN(AJ159:AJ188),1)</f>
        <v>0</v>
      </c>
      <c r="AL381" s="14" t="e">
        <f>ROUND(AVERAGE(AL159:AL188),1)</f>
        <v>#DIV/0!</v>
      </c>
      <c r="AM381" s="14"/>
      <c r="AN381" s="14"/>
      <c r="AO381" s="14" t="e">
        <f>ROUND(AVERAGE(AO159:AO188),1)</f>
        <v>#DIV/0!</v>
      </c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21"/>
      <c r="BE381" s="21"/>
      <c r="BF381" s="21"/>
      <c r="BG381" s="14"/>
      <c r="BH381" s="16"/>
      <c r="BI381" s="16"/>
      <c r="BJ381" s="14"/>
      <c r="BK381" s="16"/>
      <c r="BL381" s="16">
        <f>ROUND(MAX(BV159:BV188),2)</f>
        <v>2.14</v>
      </c>
      <c r="BM381" s="14"/>
      <c r="BN381" s="16"/>
      <c r="BO381" s="16" t="e">
        <f>ROUND(AVERAGE(BO159:BO188),2)</f>
        <v>#DIV/0!</v>
      </c>
      <c r="BP381" s="16" t="e">
        <f>ROUND(AVERAGE(BP159:BP188),2)</f>
        <v>#DIV/0!</v>
      </c>
      <c r="BQ381" s="1"/>
      <c r="BR381" s="3"/>
      <c r="BT381" s="14">
        <f>ROUND(AVERAGE(BT159:BT188),1)</f>
        <v>43.1</v>
      </c>
      <c r="BU381" s="16">
        <f>ROUND(AVERAGE(BU159:BU188),2)</f>
        <v>0.64</v>
      </c>
      <c r="BV381" s="16">
        <f>ROUND(AVERAGE(BV159:BV188),2)</f>
        <v>0.99</v>
      </c>
      <c r="BW381" s="14">
        <f>ROUND(MIN(BT159:BT188),1)</f>
        <v>19</v>
      </c>
      <c r="BX381" s="14">
        <f>SUM(BX159:BX188)</f>
        <v>85.399999999999977</v>
      </c>
    </row>
    <row r="382" spans="1:112" x14ac:dyDescent="0.2">
      <c r="A382" s="3" t="s">
        <v>107</v>
      </c>
      <c r="C382" s="16" t="e">
        <f>ROUND(AVERAGE(C189:C219),2)</f>
        <v>#DIV/0!</v>
      </c>
      <c r="D382" s="16" t="e">
        <f>ROUND(AVERAGE(D189:D219),2)</f>
        <v>#DIV/0!</v>
      </c>
      <c r="E382" s="14">
        <f>ROUND(AVERAGE(E189:E219),1)</f>
        <v>10.199999999999999</v>
      </c>
      <c r="F382" s="14" t="e">
        <f>ROUND(AVERAGE(F189:F219),1)</f>
        <v>#DIV/0!</v>
      </c>
      <c r="G382" s="14" t="e">
        <f t="shared" ref="G382:I382" si="292">ROUND(AVERAGE(G189:G219),1)</f>
        <v>#DIV/0!</v>
      </c>
      <c r="H382" s="14" t="e">
        <f t="shared" si="292"/>
        <v>#DIV/0!</v>
      </c>
      <c r="I382" s="14" t="e">
        <f t="shared" si="292"/>
        <v>#DIV/0!</v>
      </c>
      <c r="J382" s="14"/>
      <c r="K382" s="14"/>
      <c r="L382" s="14" t="e">
        <f t="shared" ref="L382:N382" si="293">ROUND(AVERAGE(L189:L219),1)</f>
        <v>#DIV/0!</v>
      </c>
      <c r="M382" s="14" t="e">
        <f t="shared" si="293"/>
        <v>#DIV/0!</v>
      </c>
      <c r="N382" s="14" t="e">
        <f t="shared" si="293"/>
        <v>#DIV/0!</v>
      </c>
      <c r="O382" s="14"/>
      <c r="P382" s="14" t="e">
        <f t="shared" ref="P382" si="294">ROUND(AVERAGE(P189:P219),1)</f>
        <v>#DIV/0!</v>
      </c>
      <c r="Q382" s="14">
        <f>SUM(Q189:Q219)</f>
        <v>0</v>
      </c>
      <c r="R382" s="14">
        <f>ROUND(AVERAGE(R189:R219),1)</f>
        <v>16.7</v>
      </c>
      <c r="S382" s="14">
        <f>ROUND(MAX(R189:R219),1)</f>
        <v>23.3</v>
      </c>
      <c r="T382" s="14"/>
      <c r="U382" s="14"/>
      <c r="V382" s="14" t="e">
        <f>ROUND(AVERAGE(V189:V219),1)</f>
        <v>#DIV/0!</v>
      </c>
      <c r="W382" s="14">
        <f>ROUND(MAX(V189:V219),1)</f>
        <v>0</v>
      </c>
      <c r="X382" s="14" t="e">
        <f>ROUND(AVERAGE(X189:X219),1)</f>
        <v>#DIV/0!</v>
      </c>
      <c r="Y382" s="14"/>
      <c r="Z382" s="14"/>
      <c r="AA382" s="14" t="e">
        <f>ROUND(AVERAGE(AA189:AA219),1)</f>
        <v>#DIV/0!</v>
      </c>
      <c r="AB382" s="14"/>
      <c r="AC382" s="14"/>
      <c r="AD382" s="14" t="e">
        <f>ROUND(AVERAGE(AD189:AD219),1)</f>
        <v>#DIV/0!</v>
      </c>
      <c r="AE382" s="14">
        <f>ROUND(MAX(AD189:AD219),1)</f>
        <v>0</v>
      </c>
      <c r="AF382" s="14">
        <f>ROUND(AVERAGE(AF189:AF219),1)</f>
        <v>3.5</v>
      </c>
      <c r="AG382" s="14">
        <f>ROUND(MIN(AF189:AF219),1)</f>
        <v>0.9</v>
      </c>
      <c r="AH382" s="14" t="e">
        <f>ROUND(AVERAGE(AH189:AH219),1)</f>
        <v>#DIV/0!</v>
      </c>
      <c r="AI382" s="14">
        <f>ROUND(MIN(AH189:AH219),1)</f>
        <v>0</v>
      </c>
      <c r="AJ382" s="14" t="e">
        <f>ROUND(AVERAGE(AJ189:AJ219),1)</f>
        <v>#DIV/0!</v>
      </c>
      <c r="AK382" s="14">
        <f>ROUND(MIN(AJ189:AJ219),1)</f>
        <v>0</v>
      </c>
      <c r="AL382" s="14" t="e">
        <f>ROUND(AVERAGE(AL189:AL219),1)</f>
        <v>#DIV/0!</v>
      </c>
      <c r="AM382" s="14"/>
      <c r="AN382" s="14"/>
      <c r="AO382" s="14" t="e">
        <f>ROUND(AVERAGE(AO189:AO219),1)</f>
        <v>#DIV/0!</v>
      </c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21"/>
      <c r="BE382" s="21"/>
      <c r="BF382" s="21"/>
      <c r="BG382" s="14"/>
      <c r="BH382" s="16"/>
      <c r="BI382" s="16"/>
      <c r="BJ382" s="14"/>
      <c r="BK382" s="16"/>
      <c r="BL382" s="16">
        <f>ROUND(MAX(BV189:BV219),2)</f>
        <v>2.12</v>
      </c>
      <c r="BM382" s="14"/>
      <c r="BN382" s="16"/>
      <c r="BO382" s="16" t="e">
        <f>ROUND(AVERAGE(BO189:BO219),2)</f>
        <v>#DIV/0!</v>
      </c>
      <c r="BP382" s="16" t="e">
        <f>ROUND(AVERAGE(BP189:BP219),2)</f>
        <v>#DIV/0!</v>
      </c>
      <c r="BQ382" s="1"/>
      <c r="BR382" s="3"/>
      <c r="BT382" s="14">
        <f>ROUND(AVERAGE(BT189:BT219),1)</f>
        <v>42.5</v>
      </c>
      <c r="BU382" s="16">
        <f>ROUND(AVERAGE(BU189:BU219),2)</f>
        <v>0.78</v>
      </c>
      <c r="BV382" s="16">
        <f>ROUND(AVERAGE(BV189:BV219),2)</f>
        <v>1.17</v>
      </c>
      <c r="BW382" s="14">
        <f>ROUND(MIN(BT189:BT219),1)</f>
        <v>22</v>
      </c>
      <c r="BX382" s="14">
        <f>SUM(BX189:BX219)</f>
        <v>84.59999999999998</v>
      </c>
    </row>
    <row r="383" spans="1:112" x14ac:dyDescent="0.2">
      <c r="A383" s="3" t="s">
        <v>108</v>
      </c>
      <c r="C383" s="16" t="e">
        <f>ROUND(AVERAGE(C220:C250),2)</f>
        <v>#DIV/0!</v>
      </c>
      <c r="D383" s="16" t="e">
        <f>ROUND(AVERAGE(D220:D250),2)</f>
        <v>#DIV/0!</v>
      </c>
      <c r="E383" s="14">
        <f>ROUND(AVERAGE(E220:E250),1)</f>
        <v>10.3</v>
      </c>
      <c r="F383" s="14" t="e">
        <f>ROUND(AVERAGE(F220:F250),1)</f>
        <v>#DIV/0!</v>
      </c>
      <c r="G383" s="14" t="e">
        <f t="shared" ref="G383:I383" si="295">ROUND(AVERAGE(G220:G250),1)</f>
        <v>#DIV/0!</v>
      </c>
      <c r="H383" s="14" t="e">
        <f t="shared" si="295"/>
        <v>#DIV/0!</v>
      </c>
      <c r="I383" s="14" t="e">
        <f t="shared" si="295"/>
        <v>#DIV/0!</v>
      </c>
      <c r="J383" s="14"/>
      <c r="K383" s="14"/>
      <c r="L383" s="14" t="e">
        <f t="shared" ref="L383:N383" si="296">ROUND(AVERAGE(L220:L250),1)</f>
        <v>#DIV/0!</v>
      </c>
      <c r="M383" s="14" t="e">
        <f t="shared" si="296"/>
        <v>#DIV/0!</v>
      </c>
      <c r="N383" s="14" t="e">
        <f t="shared" si="296"/>
        <v>#DIV/0!</v>
      </c>
      <c r="O383" s="14"/>
      <c r="P383" s="14" t="e">
        <f t="shared" ref="P383" si="297">ROUND(AVERAGE(P220:P250),1)</f>
        <v>#DIV/0!</v>
      </c>
      <c r="Q383" s="14">
        <f>SUM(Q220:Q250)</f>
        <v>0</v>
      </c>
      <c r="R383" s="14">
        <f>ROUND(AVERAGE(R220:R250),1)</f>
        <v>16.8</v>
      </c>
      <c r="S383" s="14">
        <f>ROUND(MAX(R220:R250),1)</f>
        <v>23.3</v>
      </c>
      <c r="T383" s="14"/>
      <c r="U383" s="14"/>
      <c r="V383" s="14" t="e">
        <f>ROUND(AVERAGE(V220:V250),1)</f>
        <v>#DIV/0!</v>
      </c>
      <c r="W383" s="14">
        <f>ROUND(MAX(V220:V250),1)</f>
        <v>0</v>
      </c>
      <c r="X383" s="14" t="e">
        <f>ROUND(AVERAGE(X220:X250),1)</f>
        <v>#DIV/0!</v>
      </c>
      <c r="Y383" s="14"/>
      <c r="Z383" s="14"/>
      <c r="AA383" s="14" t="e">
        <f>ROUND(AVERAGE(AA220:AA250),1)</f>
        <v>#DIV/0!</v>
      </c>
      <c r="AB383" s="14"/>
      <c r="AC383" s="14"/>
      <c r="AD383" s="14" t="e">
        <f>ROUND(AVERAGE(AD220:AD250),1)</f>
        <v>#DIV/0!</v>
      </c>
      <c r="AE383" s="14">
        <f>ROUND(MAX(AD220:AD250),1)</f>
        <v>0</v>
      </c>
      <c r="AF383" s="14">
        <f>ROUND(AVERAGE(AF220:AF250),1)</f>
        <v>3.7</v>
      </c>
      <c r="AG383" s="14">
        <f>ROUND(MIN(AF220:AF250),1)</f>
        <v>-0.4</v>
      </c>
      <c r="AH383" s="14" t="e">
        <f>ROUND(AVERAGE(AH220:AH250),1)</f>
        <v>#DIV/0!</v>
      </c>
      <c r="AI383" s="14">
        <f>ROUND(MIN(AH220:AH250),1)</f>
        <v>0</v>
      </c>
      <c r="AJ383" s="14" t="e">
        <f>ROUND(AVERAGE(AJ220:AJ250),1)</f>
        <v>#DIV/0!</v>
      </c>
      <c r="AK383" s="14">
        <f>ROUND(MIN(AJ220:AJ250),1)</f>
        <v>0</v>
      </c>
      <c r="AL383" s="14" t="e">
        <f>ROUND(AVERAGE(AL220:AL250),1)</f>
        <v>#DIV/0!</v>
      </c>
      <c r="AM383" s="14"/>
      <c r="AN383" s="14"/>
      <c r="AO383" s="14" t="e">
        <f>ROUND(AVERAGE(AO220:AO250),1)</f>
        <v>#DIV/0!</v>
      </c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21"/>
      <c r="BE383" s="21"/>
      <c r="BF383" s="21"/>
      <c r="BG383" s="14"/>
      <c r="BH383" s="16"/>
      <c r="BI383" s="16"/>
      <c r="BJ383" s="14"/>
      <c r="BK383" s="16"/>
      <c r="BL383" s="16">
        <f>ROUND(MAX(BV220:BV250),2)</f>
        <v>2</v>
      </c>
      <c r="BM383" s="14"/>
      <c r="BN383" s="16"/>
      <c r="BO383" s="16" t="e">
        <f>ROUND(AVERAGE(BO220:BO250),2)</f>
        <v>#DIV/0!</v>
      </c>
      <c r="BP383" s="16" t="e">
        <f>ROUND(AVERAGE(BP220:BP250),2)</f>
        <v>#DIV/0!</v>
      </c>
      <c r="BQ383" s="1"/>
      <c r="BR383" s="3"/>
      <c r="BT383" s="14">
        <f>ROUND(AVERAGE(BT220:BT250),1)</f>
        <v>36.5</v>
      </c>
      <c r="BU383" s="16">
        <f>ROUND(AVERAGE(BU220:BU250),2)</f>
        <v>0.68</v>
      </c>
      <c r="BV383" s="16">
        <f>ROUND(AVERAGE(BV220:BV250),2)</f>
        <v>1.3</v>
      </c>
      <c r="BW383" s="14">
        <f>ROUND(MIN(BT220:BT250),1)</f>
        <v>20</v>
      </c>
      <c r="BX383" s="14">
        <f>SUM(BX220:BX250)</f>
        <v>53</v>
      </c>
    </row>
    <row r="384" spans="1:112" x14ac:dyDescent="0.2">
      <c r="A384" s="3" t="s">
        <v>109</v>
      </c>
      <c r="C384" s="16">
        <f>ROUND(AVERAGE(C251:C280),2)</f>
        <v>14.3</v>
      </c>
      <c r="D384" s="16">
        <f>ROUND(AVERAGE(D251:D280),2)</f>
        <v>25.68</v>
      </c>
      <c r="E384" s="14">
        <f>ROUND(AVERAGE(E251:E280),1)</f>
        <v>5.9</v>
      </c>
      <c r="F384" s="14">
        <f>ROUND(AVERAGE(F251:F280),1)</f>
        <v>83.8</v>
      </c>
      <c r="G384" s="14">
        <f t="shared" ref="G384:I384" si="298">ROUND(AVERAGE(G251:G280),1)</f>
        <v>4.4000000000000004</v>
      </c>
      <c r="H384" s="14">
        <f t="shared" si="298"/>
        <v>4.2</v>
      </c>
      <c r="I384" s="14">
        <f t="shared" si="298"/>
        <v>4.2</v>
      </c>
      <c r="J384" s="14"/>
      <c r="K384" s="14"/>
      <c r="L384" s="14">
        <f t="shared" ref="L384:N384" si="299">ROUND(AVERAGE(L251:L280),1)</f>
        <v>6.4</v>
      </c>
      <c r="M384" s="14">
        <f t="shared" si="299"/>
        <v>6.7</v>
      </c>
      <c r="N384" s="14">
        <f t="shared" si="299"/>
        <v>7.1</v>
      </c>
      <c r="O384" s="14"/>
      <c r="P384" s="14" t="e">
        <f t="shared" ref="P384" si="300">ROUND(AVERAGE(P251:P280),1)</f>
        <v>#DIV/0!</v>
      </c>
      <c r="Q384" s="14">
        <f>SUM(Q251:Q280)</f>
        <v>0</v>
      </c>
      <c r="R384" s="14">
        <f>ROUND(AVERAGE(R251:R280),1)</f>
        <v>11.7</v>
      </c>
      <c r="S384" s="14">
        <f>ROUND(MAX(R251:R280),1)</f>
        <v>20.6</v>
      </c>
      <c r="T384" s="14"/>
      <c r="U384" s="14"/>
      <c r="V384" s="14">
        <f>ROUND(AVERAGE(V251:V280),1)</f>
        <v>14.3</v>
      </c>
      <c r="W384" s="14">
        <f>ROUND(MAX(V251:V280),1)</f>
        <v>20.6</v>
      </c>
      <c r="X384" s="14">
        <f>ROUND(AVERAGE(X251:X280),1)</f>
        <v>13</v>
      </c>
      <c r="Y384" s="14"/>
      <c r="Z384" s="14"/>
      <c r="AA384" s="14">
        <f>ROUND(AVERAGE(AA251:AA280),1)</f>
        <v>9.3000000000000007</v>
      </c>
      <c r="AB384" s="14"/>
      <c r="AC384" s="14"/>
      <c r="AD384" s="14">
        <f>ROUND(AVERAGE(AD251:AD280),1)</f>
        <v>5</v>
      </c>
      <c r="AE384" s="14">
        <f>ROUND(MAX(AD251:AD280),1)</f>
        <v>9.1</v>
      </c>
      <c r="AF384" s="14">
        <f>ROUND(AVERAGE(AF251:AF280),1)</f>
        <v>0.6</v>
      </c>
      <c r="AG384" s="14">
        <f>ROUND(MIN(AF251:AF280),1)</f>
        <v>-6.4</v>
      </c>
      <c r="AH384" s="14">
        <f>ROUND(AVERAGE(AH251:AH280),1)</f>
        <v>49</v>
      </c>
      <c r="AI384" s="14">
        <f>ROUND(MIN(AH251:AH280),1)</f>
        <v>28.1</v>
      </c>
      <c r="AJ384" s="14">
        <f>ROUND(AVERAGE(AJ251:AJ280),1)</f>
        <v>-2.6</v>
      </c>
      <c r="AK384" s="14">
        <f>ROUND(MIN(AJ251:AJ280),1)</f>
        <v>-7.3</v>
      </c>
      <c r="AL384" s="14">
        <f>ROUND(AVERAGE(AL251:AL280),1)</f>
        <v>-1.3</v>
      </c>
      <c r="AM384" s="14"/>
      <c r="AN384" s="14"/>
      <c r="AO384" s="14">
        <f>ROUND(AVERAGE(AO251:AO280),1)</f>
        <v>4.4000000000000004</v>
      </c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21"/>
      <c r="BE384" s="21"/>
      <c r="BF384" s="21">
        <f>BF280</f>
        <v>0</v>
      </c>
      <c r="BG384" s="14"/>
      <c r="BH384" s="16"/>
      <c r="BI384" s="16"/>
      <c r="BJ384" s="14"/>
      <c r="BK384" s="16"/>
      <c r="BL384" s="16">
        <f>ROUND(MAX(BV251:BV280),2)</f>
        <v>1.7</v>
      </c>
      <c r="BM384" s="14"/>
      <c r="BN384" s="16"/>
      <c r="BO384" s="16">
        <f>ROUND(AVERAGE(BO251:BO280),2)</f>
        <v>14.02</v>
      </c>
      <c r="BP384" s="16">
        <f>ROUND(AVERAGE(BP251:BP280),2)</f>
        <v>28.25</v>
      </c>
      <c r="BQ384" s="1"/>
      <c r="BR384" s="3"/>
      <c r="BT384" s="14">
        <f>ROUND(AVERAGE(BT251:BT280),1)</f>
        <v>48.6</v>
      </c>
      <c r="BU384" s="16">
        <f>ROUND(AVERAGE(BU251:BU280),2)</f>
        <v>0.65</v>
      </c>
      <c r="BV384" s="16">
        <f>ROUND(AVERAGE(BV251:BV280),2)</f>
        <v>0.77</v>
      </c>
      <c r="BW384" s="14">
        <f>ROUND(MIN(BT251:BT280),1)</f>
        <v>18.7</v>
      </c>
      <c r="BX384" s="14">
        <f>SUM(BX251:BX280)</f>
        <v>83.5</v>
      </c>
    </row>
    <row r="385" spans="1:121" x14ac:dyDescent="0.2">
      <c r="A385" s="3" t="s">
        <v>110</v>
      </c>
      <c r="C385" s="16">
        <f>ROUND(AVERAGE(C281:C311),2)</f>
        <v>7.53</v>
      </c>
      <c r="D385" s="16">
        <f>ROUND(AVERAGE(D281:D311),2)</f>
        <v>13.64</v>
      </c>
      <c r="E385" s="14">
        <f>ROUND(AVERAGE(E281:E311),1)</f>
        <v>1.5</v>
      </c>
      <c r="F385" s="14">
        <f>ROUND(AVERAGE(F281:F311),1)</f>
        <v>92.7</v>
      </c>
      <c r="G385" s="14">
        <f t="shared" ref="G385:I385" si="301">ROUND(AVERAGE(G281:G311),1)</f>
        <v>1.3</v>
      </c>
      <c r="H385" s="14">
        <f t="shared" si="301"/>
        <v>1.1000000000000001</v>
      </c>
      <c r="I385" s="14">
        <f t="shared" si="301"/>
        <v>1.4</v>
      </c>
      <c r="J385" s="14"/>
      <c r="K385" s="14"/>
      <c r="L385" s="14">
        <f t="shared" ref="L385:N385" si="302">ROUND(AVERAGE(L281:L311),1)</f>
        <v>3.3</v>
      </c>
      <c r="M385" s="14">
        <f t="shared" si="302"/>
        <v>4.0999999999999996</v>
      </c>
      <c r="N385" s="14">
        <f t="shared" si="302"/>
        <v>4.7</v>
      </c>
      <c r="O385" s="14"/>
      <c r="P385" s="14" t="e">
        <f t="shared" ref="P385" si="303">ROUND(AVERAGE(P281:P311),1)</f>
        <v>#DIV/0!</v>
      </c>
      <c r="Q385" s="14">
        <f>SUM(Q281:Q311)</f>
        <v>0</v>
      </c>
      <c r="R385" s="14">
        <f>ROUND(AVERAGE(R281:R311),1)</f>
        <v>6.7</v>
      </c>
      <c r="S385" s="25">
        <f>ROUND(MAX(R281:R311),1)</f>
        <v>15.9</v>
      </c>
      <c r="T385" s="14"/>
      <c r="U385" s="25"/>
      <c r="V385" s="14">
        <f>ROUND(AVERAGE(V281:V311),1)</f>
        <v>8.5</v>
      </c>
      <c r="W385" s="25">
        <f>ROUND(MAX(V281:V311),1)</f>
        <v>18.5</v>
      </c>
      <c r="X385" s="14">
        <f>ROUND(AVERAGE(X281:X311),1)</f>
        <v>6.8</v>
      </c>
      <c r="Y385" s="14"/>
      <c r="Z385" s="25"/>
      <c r="AA385" s="14">
        <f>ROUND(AVERAGE(AA281:AA311),1)</f>
        <v>4.9000000000000004</v>
      </c>
      <c r="AB385" s="25"/>
      <c r="AC385" s="14"/>
      <c r="AD385" s="14">
        <f>ROUND(AVERAGE(AD281:AD311),1)</f>
        <v>4.2</v>
      </c>
      <c r="AE385" s="25">
        <f>ROUND(MAX(AD281:AD311),1)</f>
        <v>6.7</v>
      </c>
      <c r="AF385" s="14">
        <f>ROUND(AVERAGE(AF281:AF311),1)</f>
        <v>-3.3</v>
      </c>
      <c r="AG385" s="25">
        <f>ROUND(MIN(AF281:AF311),1)</f>
        <v>-10.3</v>
      </c>
      <c r="AH385" s="14">
        <f>ROUND(AVERAGE(AH281:AH311),1)</f>
        <v>65.599999999999994</v>
      </c>
      <c r="AI385" s="25">
        <f>ROUND(MIN(AH281:AH311),1)</f>
        <v>9.1</v>
      </c>
      <c r="AJ385" s="14">
        <f>ROUND(AVERAGE(AJ281:AJ311),1)</f>
        <v>-4.0999999999999996</v>
      </c>
      <c r="AK385" s="25">
        <f>ROUND(MIN(AJ281:AJ311),1)</f>
        <v>-11</v>
      </c>
      <c r="AL385" s="14">
        <f>ROUND(AVERAGE(AL281:AL311),1)</f>
        <v>-2.7</v>
      </c>
      <c r="AM385" s="14"/>
      <c r="AN385" s="25"/>
      <c r="AO385" s="14">
        <f>ROUND(AVERAGE(AO281:AO311),1)</f>
        <v>2.2999999999999998</v>
      </c>
      <c r="AP385" s="25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21"/>
      <c r="BE385" s="21"/>
      <c r="BF385" s="21">
        <f>BF311</f>
        <v>11</v>
      </c>
      <c r="BG385" s="14"/>
      <c r="BH385" s="16"/>
      <c r="BI385" s="26"/>
      <c r="BJ385" s="14"/>
      <c r="BK385" s="16"/>
      <c r="BL385" s="26">
        <f>ROUND(MAX(BV281:BV311),2)</f>
        <v>1.38</v>
      </c>
      <c r="BM385" s="14"/>
      <c r="BN385" s="16"/>
      <c r="BO385" s="16">
        <f>ROUND(AVERAGE(BO281:BO311),2)</f>
        <v>7.38</v>
      </c>
      <c r="BP385" s="16">
        <f>ROUND(AVERAGE(BP281:BP311),2)</f>
        <v>15</v>
      </c>
      <c r="BQ385" s="27"/>
      <c r="BR385" s="3"/>
      <c r="BS385" s="27"/>
      <c r="BT385" s="14">
        <f>ROUND(AVERAGE(BT281:BT311),1)</f>
        <v>53.1</v>
      </c>
      <c r="BU385" s="16">
        <f>ROUND(AVERAGE(BU281:BU311),2)</f>
        <v>0.5</v>
      </c>
      <c r="BV385" s="16">
        <f>ROUND(AVERAGE(BV281:BV311),2)</f>
        <v>0.53</v>
      </c>
      <c r="BW385" s="25">
        <f>ROUND(MIN(BT281:BT311),1)</f>
        <v>23.1</v>
      </c>
      <c r="BX385" s="14">
        <f>SUM(BX281:BX311)</f>
        <v>61.099999999999987</v>
      </c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3"/>
      <c r="DM385" s="3"/>
      <c r="DN385" s="3"/>
      <c r="DO385" s="3"/>
      <c r="DP385" s="3"/>
      <c r="DQ385" s="27"/>
    </row>
    <row r="386" spans="1:121" x14ac:dyDescent="0.2">
      <c r="A386" s="3" t="s">
        <v>111</v>
      </c>
      <c r="C386" s="28">
        <f>ROUND(AVERAGE(C312:C341),2)</f>
        <v>2.44</v>
      </c>
      <c r="D386" s="28">
        <f>ROUND(AVERAGE(D312:D341),2)</f>
        <v>4.04</v>
      </c>
      <c r="E386" s="29">
        <f>ROUND(AVERAGE(E312:E341),1)</f>
        <v>-6</v>
      </c>
      <c r="F386" s="29">
        <f>ROUND(AVERAGE(F312:F341),1)</f>
        <v>104.5</v>
      </c>
      <c r="G386" s="29">
        <f t="shared" ref="G386:I386" si="304">ROUND(AVERAGE(G312:G341),1)</f>
        <v>-6.3</v>
      </c>
      <c r="H386" s="29">
        <f t="shared" si="304"/>
        <v>-6.3</v>
      </c>
      <c r="I386" s="29">
        <f t="shared" si="304"/>
        <v>-1.9</v>
      </c>
      <c r="J386" s="29"/>
      <c r="K386" s="29"/>
      <c r="L386" s="29">
        <f t="shared" ref="L386:N386" si="305">ROUND(AVERAGE(L312:L341),1)</f>
        <v>0</v>
      </c>
      <c r="M386" s="29">
        <f t="shared" si="305"/>
        <v>1</v>
      </c>
      <c r="N386" s="29">
        <f t="shared" si="305"/>
        <v>2.1</v>
      </c>
      <c r="O386" s="29"/>
      <c r="P386" s="29" t="e">
        <f t="shared" ref="P386" si="306">ROUND(AVERAGE(P312:P341),1)</f>
        <v>#DIV/0!</v>
      </c>
      <c r="Q386" s="14">
        <f>SUM(Q312:Q341)</f>
        <v>0</v>
      </c>
      <c r="R386" s="29">
        <f>ROUND(AVERAGE(R312:R341),1)</f>
        <v>-2.4</v>
      </c>
      <c r="S386" s="14">
        <f>ROUND(MAX(R312:R341),1)</f>
        <v>3.1</v>
      </c>
      <c r="T386" s="29"/>
      <c r="U386" s="14"/>
      <c r="V386" s="29">
        <f>ROUND(AVERAGE(V312:V341),1)</f>
        <v>-1.9</v>
      </c>
      <c r="W386" s="14">
        <f>ROUND(MAX(V312:V341),1)</f>
        <v>5.3</v>
      </c>
      <c r="X386" s="29">
        <f>ROUND(AVERAGE(X312:X341),1)</f>
        <v>-0.9</v>
      </c>
      <c r="Y386" s="29"/>
      <c r="Z386" s="14"/>
      <c r="AA386" s="29">
        <f>ROUND(AVERAGE(AA312:AA341),1)</f>
        <v>0.3</v>
      </c>
      <c r="AB386" s="14"/>
      <c r="AC386" s="29"/>
      <c r="AD386" s="29">
        <f>ROUND(AVERAGE(AD312:AD341),1)</f>
        <v>3.2</v>
      </c>
      <c r="AE386" s="14">
        <f>ROUND(MAX(AD312:AD341),1)</f>
        <v>5</v>
      </c>
      <c r="AF386" s="29">
        <f>ROUND(AVERAGE(AF312:AF341),1)</f>
        <v>-9.6</v>
      </c>
      <c r="AG386" s="14">
        <f>ROUND(MIN(AF312:AF341),1)</f>
        <v>-15.6</v>
      </c>
      <c r="AH386" s="29">
        <f>ROUND(AVERAGE(AH312:AH341),1)</f>
        <v>94.4</v>
      </c>
      <c r="AI386" s="14">
        <f>ROUND(MIN(AH312:AH341),1)</f>
        <v>64.599999999999994</v>
      </c>
      <c r="AJ386" s="29">
        <f>ROUND(AVERAGE(AJ312:AJ341),1)</f>
        <v>-10.6</v>
      </c>
      <c r="AK386" s="14">
        <f>ROUND(MIN(AJ312:AJ341),1)</f>
        <v>-16.8</v>
      </c>
      <c r="AL386" s="29">
        <f>ROUND(AVERAGE(AL312:AL341),1)</f>
        <v>-3.6</v>
      </c>
      <c r="AM386" s="29"/>
      <c r="AN386" s="14"/>
      <c r="AO386" s="29">
        <f>ROUND(AVERAGE(AO312:AO341),1)</f>
        <v>-0.2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21"/>
      <c r="BE386" s="21"/>
      <c r="BF386" s="21">
        <f>BF341</f>
        <v>329</v>
      </c>
      <c r="BG386" s="14"/>
      <c r="BH386" s="28"/>
      <c r="BI386" s="16"/>
      <c r="BJ386" s="14"/>
      <c r="BK386" s="28"/>
      <c r="BL386" s="16">
        <f>ROUND(MAX(BV312:BV341),2)</f>
        <v>0.27</v>
      </c>
      <c r="BM386" s="14"/>
      <c r="BN386" s="28"/>
      <c r="BO386" s="28">
        <f>ROUND(AVERAGE(BO312:BO341),2)</f>
        <v>2.4</v>
      </c>
      <c r="BP386" s="28">
        <f>ROUND(AVERAGE(BP312:BP341),2)</f>
        <v>4.4400000000000004</v>
      </c>
      <c r="BQ386" s="27"/>
      <c r="BR386" s="3"/>
      <c r="BS386" s="27"/>
      <c r="BT386" s="29">
        <f>ROUND(AVERAGE(BT312:BT341),1)</f>
        <v>79.099999999999994</v>
      </c>
      <c r="BU386" s="28">
        <f>ROUND(AVERAGE(BU312:BU341),2)</f>
        <v>0.41</v>
      </c>
      <c r="BV386" s="28">
        <f>ROUND(AVERAGE(BV312:BV341),2)</f>
        <v>0.12</v>
      </c>
      <c r="BW386" s="14">
        <f>ROUND(MIN(BT312:BT341),1)</f>
        <v>50.8</v>
      </c>
      <c r="BX386" s="14">
        <f>SUM(BX312:BX341)</f>
        <v>1.4</v>
      </c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3"/>
      <c r="DM386" s="3"/>
      <c r="DN386" s="3"/>
      <c r="DO386" s="3"/>
      <c r="DP386" s="3"/>
      <c r="DQ386" s="27"/>
    </row>
    <row r="387" spans="1:121" x14ac:dyDescent="0.2">
      <c r="A387" s="3" t="s">
        <v>112</v>
      </c>
      <c r="C387" s="16">
        <f>ROUND(AVERAGE(C342:C372),2)</f>
        <v>1.1399999999999999</v>
      </c>
      <c r="D387" s="16">
        <f>ROUND(AVERAGE(D342:D372),2)</f>
        <v>1.37</v>
      </c>
      <c r="E387" s="14">
        <f>ROUND(AVERAGE(E342:E372),1)</f>
        <v>-9.5</v>
      </c>
      <c r="F387" s="14">
        <f>ROUND(AVERAGE(F342:F372),1)</f>
        <v>103.8</v>
      </c>
      <c r="G387" s="14">
        <f t="shared" ref="G387:I387" si="307">ROUND(AVERAGE(G342:G372),1)</f>
        <v>-10.1</v>
      </c>
      <c r="H387" s="14">
        <f t="shared" si="307"/>
        <v>-3.9</v>
      </c>
      <c r="I387" s="14">
        <f t="shared" si="307"/>
        <v>-2.5</v>
      </c>
      <c r="J387" s="14"/>
      <c r="K387" s="14"/>
      <c r="L387" s="14">
        <f t="shared" ref="L387:N387" si="308">ROUND(AVERAGE(L342:L372),1)</f>
        <v>-0.7</v>
      </c>
      <c r="M387" s="14">
        <f t="shared" si="308"/>
        <v>0</v>
      </c>
      <c r="N387" s="14">
        <f t="shared" si="308"/>
        <v>1.2</v>
      </c>
      <c r="O387" s="14"/>
      <c r="P387" s="14" t="e">
        <f t="shared" ref="P387" si="309">ROUND(AVERAGE(P342:P372),1)</f>
        <v>#DIV/0!</v>
      </c>
      <c r="Q387" s="14">
        <f>SUM(Q342:Q372)</f>
        <v>0</v>
      </c>
      <c r="R387" s="14">
        <f>ROUND(AVERAGE(R342:R372),1)</f>
        <v>-4.9000000000000004</v>
      </c>
      <c r="S387" s="14">
        <f>ROUND(MAX(R342:R372),1)</f>
        <v>1.5</v>
      </c>
      <c r="T387" s="14"/>
      <c r="U387" s="14"/>
      <c r="V387" s="14">
        <f>ROUND(AVERAGE(V342:V372),1)</f>
        <v>-5.2</v>
      </c>
      <c r="W387" s="14">
        <f>ROUND(MAX(V342:V372),1)</f>
        <v>3.6</v>
      </c>
      <c r="X387" s="14">
        <f>ROUND(AVERAGE(X342:X372),1)</f>
        <v>-1.6</v>
      </c>
      <c r="Y387" s="14"/>
      <c r="Z387" s="14"/>
      <c r="AA387" s="14">
        <f>ROUND(AVERAGE(AA342:AA372),1)</f>
        <v>-0.4</v>
      </c>
      <c r="AB387" s="14"/>
      <c r="AC387" s="14"/>
      <c r="AD387" s="14">
        <f>ROUND(AVERAGE(AD342:AD372),1)</f>
        <v>3.2</v>
      </c>
      <c r="AE387" s="14">
        <f>ROUND(MAX(AD342:AD372),1)</f>
        <v>5.9</v>
      </c>
      <c r="AF387" s="14">
        <f>ROUND(AVERAGE(AF342:AF372),1)</f>
        <v>-14.5</v>
      </c>
      <c r="AG387" s="14">
        <f>ROUND(MIN(AF342:AF372),1)</f>
        <v>-28.2</v>
      </c>
      <c r="AH387" s="14">
        <f>ROUND(AVERAGE(AH342:AH372),1)</f>
        <v>95.9</v>
      </c>
      <c r="AI387" s="14">
        <f>ROUND(MIN(AH342:AH372),1)</f>
        <v>81.099999999999994</v>
      </c>
      <c r="AJ387" s="14">
        <f>ROUND(AVERAGE(AJ342:AJ372),1)</f>
        <v>-15.9</v>
      </c>
      <c r="AK387" s="14">
        <f>ROUND(MIN(AJ342:AJ372),1)</f>
        <v>-29.6</v>
      </c>
      <c r="AL387" s="14">
        <f>ROUND(AVERAGE(AL342:AL372),1)</f>
        <v>-3.7</v>
      </c>
      <c r="AM387" s="14"/>
      <c r="AN387" s="14"/>
      <c r="AO387" s="14">
        <f>ROUND(AVERAGE(AO342:AO372),1)</f>
        <v>-1</v>
      </c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21"/>
      <c r="BE387" s="21"/>
      <c r="BF387" s="21">
        <f>BF372</f>
        <v>606</v>
      </c>
      <c r="BG387" s="14"/>
      <c r="BH387" s="16"/>
      <c r="BI387" s="16"/>
      <c r="BJ387" s="14"/>
      <c r="BK387" s="16"/>
      <c r="BL387" s="16">
        <f>ROUND(MAX(BV342:BV372),2)</f>
        <v>0.23</v>
      </c>
      <c r="BM387" s="14"/>
      <c r="BN387" s="16"/>
      <c r="BO387" s="16">
        <f>ROUND(AVERAGE(BO342:BO372),2)</f>
        <v>1.02</v>
      </c>
      <c r="BP387" s="16">
        <f>ROUND(AVERAGE(BP342:BP372),2)</f>
        <v>1.62</v>
      </c>
      <c r="BQ387" s="27"/>
      <c r="BR387" s="3"/>
      <c r="BS387" s="27"/>
      <c r="BT387" s="14">
        <f>ROUND(AVERAGE(BT342:BT372),1)</f>
        <v>79.8</v>
      </c>
      <c r="BU387" s="16">
        <f>ROUND(AVERAGE(BU342:BU372),2)</f>
        <v>0.35</v>
      </c>
      <c r="BV387" s="16">
        <f>ROUND(AVERAGE(BV342:BV372),2)</f>
        <v>0.09</v>
      </c>
      <c r="BW387" s="14">
        <f>ROUND(MIN(BT342:BT372),1)</f>
        <v>65.400000000000006</v>
      </c>
      <c r="BX387" s="14">
        <f>SUM(BX342:BX372)</f>
        <v>0</v>
      </c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3"/>
      <c r="DM387" s="3"/>
      <c r="DN387" s="3"/>
      <c r="DO387" s="3"/>
      <c r="DP387" s="3"/>
      <c r="DQ387" s="27"/>
    </row>
    <row r="388" spans="1:121" x14ac:dyDescent="0.2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21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1"/>
      <c r="BR388" s="3"/>
      <c r="BU388" s="3"/>
      <c r="BV388" s="3"/>
    </row>
    <row r="389" spans="1:121" x14ac:dyDescent="0.2">
      <c r="A389" s="21" t="s">
        <v>113</v>
      </c>
      <c r="C389" s="21">
        <f>COUNT(C7:C37)</f>
        <v>0</v>
      </c>
      <c r="D389" s="21">
        <f>COUNT(D7:D37)</f>
        <v>0</v>
      </c>
      <c r="E389" s="21">
        <f>COUNT(E7:E37)</f>
        <v>31</v>
      </c>
      <c r="F389" s="21">
        <f>COUNT(F7:F37)</f>
        <v>0</v>
      </c>
      <c r="G389" s="21">
        <f t="shared" ref="G389:AQ389" si="310">COUNT(G7:G37)</f>
        <v>0</v>
      </c>
      <c r="H389" s="21">
        <f t="shared" si="310"/>
        <v>0</v>
      </c>
      <c r="I389" s="21">
        <f t="shared" si="310"/>
        <v>0</v>
      </c>
      <c r="J389" s="21"/>
      <c r="K389" s="21"/>
      <c r="L389" s="21">
        <f t="shared" si="310"/>
        <v>0</v>
      </c>
      <c r="M389" s="21">
        <f t="shared" si="310"/>
        <v>0</v>
      </c>
      <c r="N389" s="21">
        <f t="shared" si="310"/>
        <v>0</v>
      </c>
      <c r="O389" s="21"/>
      <c r="P389" s="21">
        <f t="shared" ref="P389" si="311">COUNT(P7:P37)</f>
        <v>0</v>
      </c>
      <c r="Q389" s="21">
        <f t="shared" si="310"/>
        <v>0</v>
      </c>
      <c r="R389" s="21">
        <f t="shared" si="310"/>
        <v>31</v>
      </c>
      <c r="S389" s="21">
        <f t="shared" si="310"/>
        <v>0</v>
      </c>
      <c r="T389" s="21">
        <f t="shared" si="310"/>
        <v>0</v>
      </c>
      <c r="U389" s="21">
        <f t="shared" si="310"/>
        <v>0</v>
      </c>
      <c r="V389" s="21">
        <f t="shared" si="310"/>
        <v>0</v>
      </c>
      <c r="W389" s="21">
        <f t="shared" si="310"/>
        <v>0</v>
      </c>
      <c r="X389" s="21">
        <f t="shared" si="310"/>
        <v>0</v>
      </c>
      <c r="Y389" s="21"/>
      <c r="Z389" s="21"/>
      <c r="AA389" s="21">
        <f t="shared" si="310"/>
        <v>0</v>
      </c>
      <c r="AB389" s="21"/>
      <c r="AC389" s="21"/>
      <c r="AD389" s="21">
        <f t="shared" si="310"/>
        <v>0</v>
      </c>
      <c r="AE389" s="21">
        <f t="shared" si="310"/>
        <v>0</v>
      </c>
      <c r="AF389" s="21">
        <f>COUNT(AF7:AF37)</f>
        <v>31</v>
      </c>
      <c r="AG389" s="21">
        <f t="shared" si="310"/>
        <v>0</v>
      </c>
      <c r="AH389" s="21">
        <f t="shared" si="310"/>
        <v>0</v>
      </c>
      <c r="AI389" s="21">
        <f t="shared" si="310"/>
        <v>0</v>
      </c>
      <c r="AJ389" s="21">
        <f t="shared" si="310"/>
        <v>0</v>
      </c>
      <c r="AK389" s="21">
        <f t="shared" si="310"/>
        <v>0</v>
      </c>
      <c r="AL389" s="21">
        <f t="shared" si="310"/>
        <v>0</v>
      </c>
      <c r="AM389" s="21"/>
      <c r="AN389" s="21"/>
      <c r="AO389" s="21">
        <f t="shared" si="310"/>
        <v>0</v>
      </c>
      <c r="AP389" s="21">
        <f t="shared" si="310"/>
        <v>0</v>
      </c>
      <c r="AQ389" s="21">
        <f t="shared" si="310"/>
        <v>0</v>
      </c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>
        <f t="shared" ref="BF389" si="312">COUNT(BF7:BF37)</f>
        <v>0</v>
      </c>
      <c r="BG389" s="21"/>
      <c r="BH389" s="21"/>
      <c r="BI389" s="21"/>
      <c r="BJ389" s="21"/>
      <c r="BK389" s="21"/>
      <c r="BL389" s="21"/>
      <c r="BM389" s="21"/>
      <c r="BN389" s="21"/>
      <c r="BO389" s="21">
        <f t="shared" ref="BO389:BP389" si="313">COUNT(BO7:BO37)</f>
        <v>0</v>
      </c>
      <c r="BP389" s="21">
        <f t="shared" si="313"/>
        <v>0</v>
      </c>
      <c r="BQ389" s="1"/>
      <c r="BR389" s="3"/>
      <c r="BT389" s="21">
        <f t="shared" ref="BT389" si="314">COUNT(BT7:BT37)</f>
        <v>0</v>
      </c>
      <c r="BU389" s="21"/>
      <c r="BV389" s="21">
        <f t="shared" ref="BV389" si="315">COUNT(BV7:BV37)</f>
        <v>31</v>
      </c>
      <c r="BX389" s="21">
        <f t="shared" ref="BX389" si="316">COUNT(BX7:BX37)</f>
        <v>31</v>
      </c>
    </row>
    <row r="390" spans="1:121" x14ac:dyDescent="0.2">
      <c r="A390" s="21" t="s">
        <v>114</v>
      </c>
      <c r="C390" s="21">
        <f t="shared" ref="C390:AQ390" si="317">COUNT(C38:C66)</f>
        <v>0</v>
      </c>
      <c r="D390" s="21">
        <f t="shared" si="317"/>
        <v>0</v>
      </c>
      <c r="E390" s="21">
        <f t="shared" si="317"/>
        <v>29</v>
      </c>
      <c r="F390" s="21">
        <f t="shared" si="317"/>
        <v>0</v>
      </c>
      <c r="G390" s="21">
        <f t="shared" si="317"/>
        <v>0</v>
      </c>
      <c r="H390" s="21">
        <f t="shared" si="317"/>
        <v>0</v>
      </c>
      <c r="I390" s="21">
        <f t="shared" si="317"/>
        <v>0</v>
      </c>
      <c r="J390" s="21"/>
      <c r="K390" s="21"/>
      <c r="L390" s="21">
        <f t="shared" si="317"/>
        <v>0</v>
      </c>
      <c r="M390" s="21">
        <f t="shared" si="317"/>
        <v>0</v>
      </c>
      <c r="N390" s="21">
        <f t="shared" si="317"/>
        <v>0</v>
      </c>
      <c r="O390" s="21"/>
      <c r="P390" s="21">
        <f t="shared" ref="P390" si="318">COUNT(P38:P66)</f>
        <v>0</v>
      </c>
      <c r="Q390" s="21">
        <f t="shared" si="317"/>
        <v>0</v>
      </c>
      <c r="R390" s="21">
        <f t="shared" si="317"/>
        <v>29</v>
      </c>
      <c r="S390" s="21">
        <f t="shared" si="317"/>
        <v>0</v>
      </c>
      <c r="T390" s="21">
        <f t="shared" si="317"/>
        <v>0</v>
      </c>
      <c r="U390" s="21">
        <f t="shared" si="317"/>
        <v>0</v>
      </c>
      <c r="V390" s="21">
        <f t="shared" si="317"/>
        <v>0</v>
      </c>
      <c r="W390" s="21">
        <f t="shared" si="317"/>
        <v>0</v>
      </c>
      <c r="X390" s="21">
        <f t="shared" si="317"/>
        <v>0</v>
      </c>
      <c r="Y390" s="21"/>
      <c r="Z390" s="21"/>
      <c r="AA390" s="21">
        <f t="shared" si="317"/>
        <v>0</v>
      </c>
      <c r="AB390" s="21"/>
      <c r="AC390" s="21"/>
      <c r="AD390" s="21">
        <f t="shared" si="317"/>
        <v>0</v>
      </c>
      <c r="AE390" s="21">
        <f t="shared" si="317"/>
        <v>0</v>
      </c>
      <c r="AF390" s="21">
        <f t="shared" si="317"/>
        <v>29</v>
      </c>
      <c r="AG390" s="21">
        <f t="shared" si="317"/>
        <v>0</v>
      </c>
      <c r="AH390" s="21">
        <f t="shared" si="317"/>
        <v>0</v>
      </c>
      <c r="AI390" s="21">
        <f t="shared" si="317"/>
        <v>0</v>
      </c>
      <c r="AJ390" s="21">
        <f t="shared" si="317"/>
        <v>0</v>
      </c>
      <c r="AK390" s="21">
        <f t="shared" si="317"/>
        <v>0</v>
      </c>
      <c r="AL390" s="21">
        <f t="shared" si="317"/>
        <v>0</v>
      </c>
      <c r="AM390" s="21"/>
      <c r="AN390" s="21"/>
      <c r="AO390" s="21">
        <f t="shared" si="317"/>
        <v>0</v>
      </c>
      <c r="AP390" s="21">
        <f t="shared" si="317"/>
        <v>0</v>
      </c>
      <c r="AQ390" s="21">
        <f t="shared" si="317"/>
        <v>0</v>
      </c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>
        <f t="shared" ref="BF390" si="319">COUNT(BF38:BF66)</f>
        <v>0</v>
      </c>
      <c r="BG390" s="21"/>
      <c r="BH390" s="21"/>
      <c r="BI390" s="21"/>
      <c r="BJ390" s="21"/>
      <c r="BK390" s="21"/>
      <c r="BL390" s="21"/>
      <c r="BM390" s="21"/>
      <c r="BN390" s="21"/>
      <c r="BO390" s="21">
        <f t="shared" ref="BO390:BP390" si="320">COUNT(BO38:BO66)</f>
        <v>0</v>
      </c>
      <c r="BP390" s="21">
        <f t="shared" si="320"/>
        <v>0</v>
      </c>
      <c r="BQ390" s="1"/>
      <c r="BR390" s="3"/>
      <c r="BT390" s="21">
        <f t="shared" ref="BT390" si="321">COUNT(BT38:BT66)</f>
        <v>0</v>
      </c>
      <c r="BU390" s="21"/>
      <c r="BV390" s="21">
        <f t="shared" ref="BV390" si="322">COUNT(BV38:BV66)</f>
        <v>29</v>
      </c>
      <c r="BX390" s="21">
        <f t="shared" ref="BX390" si="323">COUNT(BX38:BX66)</f>
        <v>29</v>
      </c>
    </row>
    <row r="391" spans="1:121" x14ac:dyDescent="0.2">
      <c r="A391" s="21" t="s">
        <v>115</v>
      </c>
      <c r="C391" s="21">
        <f>COUNT(C67:C97)</f>
        <v>30</v>
      </c>
      <c r="D391" s="21">
        <f>COUNT(D67:D97)</f>
        <v>30</v>
      </c>
      <c r="E391" s="21">
        <f>COUNT(E67:E97)</f>
        <v>31</v>
      </c>
      <c r="F391" s="21">
        <f>COUNT(F67:F97)</f>
        <v>30</v>
      </c>
      <c r="G391" s="21">
        <f t="shared" ref="G391:AQ391" si="324">COUNT(G67:G97)</f>
        <v>16</v>
      </c>
      <c r="H391" s="21">
        <f t="shared" si="324"/>
        <v>0</v>
      </c>
      <c r="I391" s="21">
        <f t="shared" si="324"/>
        <v>30</v>
      </c>
      <c r="J391" s="21"/>
      <c r="K391" s="21"/>
      <c r="L391" s="21">
        <f t="shared" si="324"/>
        <v>30</v>
      </c>
      <c r="M391" s="21">
        <f t="shared" si="324"/>
        <v>30</v>
      </c>
      <c r="N391" s="21">
        <f t="shared" si="324"/>
        <v>30</v>
      </c>
      <c r="O391" s="21"/>
      <c r="P391" s="21">
        <f t="shared" ref="P391" si="325">COUNT(P67:P97)</f>
        <v>30</v>
      </c>
      <c r="Q391" s="21">
        <f t="shared" si="324"/>
        <v>0</v>
      </c>
      <c r="R391" s="21">
        <f t="shared" si="324"/>
        <v>31</v>
      </c>
      <c r="S391" s="21">
        <f t="shared" si="324"/>
        <v>30</v>
      </c>
      <c r="T391" s="21">
        <f t="shared" si="324"/>
        <v>30</v>
      </c>
      <c r="U391" s="21">
        <f t="shared" si="324"/>
        <v>30</v>
      </c>
      <c r="V391" s="21">
        <f t="shared" si="324"/>
        <v>16</v>
      </c>
      <c r="W391" s="21">
        <f t="shared" si="324"/>
        <v>0</v>
      </c>
      <c r="X391" s="21">
        <f t="shared" si="324"/>
        <v>30</v>
      </c>
      <c r="Y391" s="21"/>
      <c r="Z391" s="21"/>
      <c r="AA391" s="21">
        <f t="shared" si="324"/>
        <v>30</v>
      </c>
      <c r="AB391" s="21"/>
      <c r="AC391" s="21"/>
      <c r="AD391" s="21">
        <f t="shared" si="324"/>
        <v>30</v>
      </c>
      <c r="AE391" s="21">
        <f t="shared" si="324"/>
        <v>30</v>
      </c>
      <c r="AF391" s="21">
        <f t="shared" si="324"/>
        <v>31</v>
      </c>
      <c r="AG391" s="21">
        <f t="shared" si="324"/>
        <v>30</v>
      </c>
      <c r="AH391" s="21">
        <f t="shared" si="324"/>
        <v>30</v>
      </c>
      <c r="AI391" s="21">
        <f t="shared" si="324"/>
        <v>30</v>
      </c>
      <c r="AJ391" s="21">
        <f t="shared" si="324"/>
        <v>16</v>
      </c>
      <c r="AK391" s="21">
        <f t="shared" si="324"/>
        <v>0</v>
      </c>
      <c r="AL391" s="21">
        <f t="shared" si="324"/>
        <v>30</v>
      </c>
      <c r="AM391" s="21"/>
      <c r="AN391" s="21"/>
      <c r="AO391" s="21">
        <f t="shared" si="324"/>
        <v>30</v>
      </c>
      <c r="AP391" s="21">
        <f t="shared" si="324"/>
        <v>30</v>
      </c>
      <c r="AQ391" s="21">
        <f t="shared" si="324"/>
        <v>30</v>
      </c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>
        <f t="shared" ref="BF391" si="326">COUNT(BF67:BF97)</f>
        <v>30</v>
      </c>
      <c r="BG391" s="21"/>
      <c r="BH391" s="21"/>
      <c r="BI391" s="21"/>
      <c r="BJ391" s="21"/>
      <c r="BK391" s="21"/>
      <c r="BL391" s="21"/>
      <c r="BM391" s="21"/>
      <c r="BN391" s="21"/>
      <c r="BO391" s="21">
        <f t="shared" ref="BO391:BP391" si="327">COUNT(BO67:BO97)</f>
        <v>30</v>
      </c>
      <c r="BP391" s="21">
        <f t="shared" si="327"/>
        <v>30</v>
      </c>
      <c r="BQ391" s="1"/>
      <c r="BR391" s="3"/>
      <c r="BT391" s="21">
        <f t="shared" ref="BT391" si="328">COUNT(BT67:BT97)</f>
        <v>30</v>
      </c>
      <c r="BU391" s="21"/>
      <c r="BV391" s="21">
        <f t="shared" ref="BV391" si="329">COUNT(BV67:BV97)</f>
        <v>31</v>
      </c>
      <c r="BX391" s="21">
        <f t="shared" ref="BX391" si="330">COUNT(BX67:BX97)</f>
        <v>31</v>
      </c>
    </row>
    <row r="392" spans="1:121" x14ac:dyDescent="0.2">
      <c r="A392" s="21" t="s">
        <v>104</v>
      </c>
      <c r="C392" s="21">
        <f>COUNT(C98:C127)</f>
        <v>30</v>
      </c>
      <c r="D392" s="21">
        <f>COUNT(D98:D127)</f>
        <v>30</v>
      </c>
      <c r="E392" s="21">
        <f>COUNT(E98:E127)</f>
        <v>30</v>
      </c>
      <c r="F392" s="21">
        <f>COUNT(F98:F127)</f>
        <v>30</v>
      </c>
      <c r="G392" s="21">
        <f t="shared" ref="G392:AQ392" si="331">COUNT(G98:G127)</f>
        <v>30</v>
      </c>
      <c r="H392" s="21">
        <f t="shared" si="331"/>
        <v>0</v>
      </c>
      <c r="I392" s="21">
        <f t="shared" si="331"/>
        <v>30</v>
      </c>
      <c r="J392" s="21"/>
      <c r="K392" s="21"/>
      <c r="L392" s="21">
        <f t="shared" si="331"/>
        <v>30</v>
      </c>
      <c r="M392" s="21">
        <f t="shared" si="331"/>
        <v>30</v>
      </c>
      <c r="N392" s="21">
        <f t="shared" si="331"/>
        <v>30</v>
      </c>
      <c r="O392" s="21"/>
      <c r="P392" s="21">
        <f t="shared" ref="P392" si="332">COUNT(P98:P127)</f>
        <v>30</v>
      </c>
      <c r="Q392" s="21">
        <f t="shared" si="331"/>
        <v>0</v>
      </c>
      <c r="R392" s="21">
        <f t="shared" si="331"/>
        <v>30</v>
      </c>
      <c r="S392" s="21">
        <f t="shared" si="331"/>
        <v>30</v>
      </c>
      <c r="T392" s="21">
        <f t="shared" si="331"/>
        <v>30</v>
      </c>
      <c r="U392" s="21">
        <f t="shared" si="331"/>
        <v>30</v>
      </c>
      <c r="V392" s="21">
        <f t="shared" si="331"/>
        <v>30</v>
      </c>
      <c r="W392" s="21">
        <f t="shared" si="331"/>
        <v>0</v>
      </c>
      <c r="X392" s="21">
        <f t="shared" si="331"/>
        <v>30</v>
      </c>
      <c r="Y392" s="21"/>
      <c r="Z392" s="21"/>
      <c r="AA392" s="21">
        <f t="shared" si="331"/>
        <v>30</v>
      </c>
      <c r="AB392" s="21"/>
      <c r="AC392" s="21"/>
      <c r="AD392" s="21">
        <f t="shared" si="331"/>
        <v>30</v>
      </c>
      <c r="AE392" s="21">
        <f t="shared" si="331"/>
        <v>30</v>
      </c>
      <c r="AF392" s="21">
        <f t="shared" si="331"/>
        <v>30</v>
      </c>
      <c r="AG392" s="21">
        <f t="shared" si="331"/>
        <v>30</v>
      </c>
      <c r="AH392" s="21">
        <f t="shared" si="331"/>
        <v>30</v>
      </c>
      <c r="AI392" s="21">
        <f t="shared" si="331"/>
        <v>30</v>
      </c>
      <c r="AJ392" s="21">
        <f t="shared" si="331"/>
        <v>30</v>
      </c>
      <c r="AK392" s="21">
        <f t="shared" si="331"/>
        <v>0</v>
      </c>
      <c r="AL392" s="21">
        <f t="shared" si="331"/>
        <v>30</v>
      </c>
      <c r="AM392" s="21"/>
      <c r="AN392" s="21"/>
      <c r="AO392" s="21">
        <f t="shared" si="331"/>
        <v>30</v>
      </c>
      <c r="AP392" s="21">
        <f t="shared" si="331"/>
        <v>30</v>
      </c>
      <c r="AQ392" s="21">
        <f t="shared" si="331"/>
        <v>30</v>
      </c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>
        <f t="shared" ref="BF392" si="333">COUNT(BF98:BF127)</f>
        <v>30</v>
      </c>
      <c r="BG392" s="21"/>
      <c r="BH392" s="21"/>
      <c r="BI392" s="21"/>
      <c r="BJ392" s="21"/>
      <c r="BK392" s="21"/>
      <c r="BL392" s="21"/>
      <c r="BM392" s="21"/>
      <c r="BN392" s="21"/>
      <c r="BO392" s="21">
        <f t="shared" ref="BO392:BP392" si="334">COUNT(BO98:BO127)</f>
        <v>30</v>
      </c>
      <c r="BP392" s="21">
        <f t="shared" si="334"/>
        <v>30</v>
      </c>
      <c r="BQ392" s="1"/>
      <c r="BR392" s="3"/>
      <c r="BT392" s="21">
        <f t="shared" ref="BT392" si="335">COUNT(BT98:BT127)</f>
        <v>30</v>
      </c>
      <c r="BU392" s="21"/>
      <c r="BV392" s="21">
        <f t="shared" ref="BV392" si="336">COUNT(BV98:BV127)</f>
        <v>30</v>
      </c>
      <c r="BX392" s="21">
        <f t="shared" ref="BX392" si="337">COUNT(BX98:BX127)</f>
        <v>30</v>
      </c>
    </row>
    <row r="393" spans="1:121" x14ac:dyDescent="0.2">
      <c r="A393" s="21" t="s">
        <v>105</v>
      </c>
      <c r="C393" s="21">
        <f>COUNT(C128:C158)</f>
        <v>30</v>
      </c>
      <c r="D393" s="21">
        <f>COUNT(D128:D158)</f>
        <v>31</v>
      </c>
      <c r="E393" s="21">
        <f>COUNT(E128:E158)</f>
        <v>31</v>
      </c>
      <c r="F393" s="21">
        <f>COUNT(F128:F158)</f>
        <v>31</v>
      </c>
      <c r="G393" s="21">
        <f t="shared" ref="G393:AQ393" si="338">COUNT(G128:G158)</f>
        <v>31</v>
      </c>
      <c r="H393" s="21">
        <f t="shared" si="338"/>
        <v>4</v>
      </c>
      <c r="I393" s="21">
        <f t="shared" si="338"/>
        <v>31</v>
      </c>
      <c r="J393" s="21"/>
      <c r="K393" s="21"/>
      <c r="L393" s="21">
        <f t="shared" si="338"/>
        <v>31</v>
      </c>
      <c r="M393" s="21">
        <f t="shared" si="338"/>
        <v>31</v>
      </c>
      <c r="N393" s="21">
        <f t="shared" si="338"/>
        <v>31</v>
      </c>
      <c r="O393" s="21"/>
      <c r="P393" s="21">
        <f t="shared" ref="P393" si="339">COUNT(P128:P158)</f>
        <v>31</v>
      </c>
      <c r="Q393" s="21">
        <f t="shared" si="338"/>
        <v>0</v>
      </c>
      <c r="R393" s="21">
        <f t="shared" si="338"/>
        <v>31</v>
      </c>
      <c r="S393" s="21">
        <f t="shared" si="338"/>
        <v>31</v>
      </c>
      <c r="T393" s="21">
        <f t="shared" si="338"/>
        <v>31</v>
      </c>
      <c r="U393" s="21">
        <f t="shared" si="338"/>
        <v>31</v>
      </c>
      <c r="V393" s="21">
        <f t="shared" si="338"/>
        <v>31</v>
      </c>
      <c r="W393" s="21">
        <f t="shared" si="338"/>
        <v>4</v>
      </c>
      <c r="X393" s="21">
        <f t="shared" si="338"/>
        <v>31</v>
      </c>
      <c r="Y393" s="21"/>
      <c r="Z393" s="21"/>
      <c r="AA393" s="21">
        <f t="shared" si="338"/>
        <v>31</v>
      </c>
      <c r="AB393" s="21"/>
      <c r="AC393" s="21"/>
      <c r="AD393" s="21">
        <f t="shared" si="338"/>
        <v>31</v>
      </c>
      <c r="AE393" s="21">
        <f t="shared" si="338"/>
        <v>31</v>
      </c>
      <c r="AF393" s="21">
        <f t="shared" si="338"/>
        <v>31</v>
      </c>
      <c r="AG393" s="21">
        <f t="shared" si="338"/>
        <v>31</v>
      </c>
      <c r="AH393" s="21">
        <f t="shared" si="338"/>
        <v>31</v>
      </c>
      <c r="AI393" s="21">
        <f t="shared" si="338"/>
        <v>31</v>
      </c>
      <c r="AJ393" s="21">
        <f t="shared" si="338"/>
        <v>31</v>
      </c>
      <c r="AK393" s="21">
        <f t="shared" si="338"/>
        <v>4</v>
      </c>
      <c r="AL393" s="21">
        <f t="shared" si="338"/>
        <v>31</v>
      </c>
      <c r="AM393" s="21"/>
      <c r="AN393" s="21"/>
      <c r="AO393" s="21">
        <f t="shared" si="338"/>
        <v>31</v>
      </c>
      <c r="AP393" s="21">
        <f t="shared" si="338"/>
        <v>31</v>
      </c>
      <c r="AQ393" s="21">
        <f t="shared" si="338"/>
        <v>31</v>
      </c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>
        <f t="shared" ref="BF393" si="340">COUNT(BF128:BF158)</f>
        <v>31</v>
      </c>
      <c r="BG393" s="21"/>
      <c r="BH393" s="21"/>
      <c r="BI393" s="21"/>
      <c r="BJ393" s="21"/>
      <c r="BK393" s="21"/>
      <c r="BL393" s="21"/>
      <c r="BM393" s="21"/>
      <c r="BN393" s="21"/>
      <c r="BO393" s="21">
        <f t="shared" ref="BO393:BP393" si="341">COUNT(BO128:BO158)</f>
        <v>31</v>
      </c>
      <c r="BP393" s="21">
        <f t="shared" si="341"/>
        <v>31</v>
      </c>
      <c r="BQ393" s="1"/>
      <c r="BR393" s="3"/>
      <c r="BT393" s="21">
        <f t="shared" ref="BT393" si="342">COUNT(BT128:BT158)</f>
        <v>31</v>
      </c>
      <c r="BU393" s="21"/>
      <c r="BV393" s="21">
        <f t="shared" ref="BV393" si="343">COUNT(BV128:BV158)</f>
        <v>31</v>
      </c>
      <c r="BX393" s="21">
        <f t="shared" ref="BX393" si="344">COUNT(BX128:BX158)</f>
        <v>31</v>
      </c>
    </row>
    <row r="394" spans="1:121" x14ac:dyDescent="0.2">
      <c r="A394" s="21" t="s">
        <v>106</v>
      </c>
      <c r="C394" s="21">
        <f>COUNT(C159:C188)</f>
        <v>0</v>
      </c>
      <c r="D394" s="21">
        <f>COUNT(D159:D188)</f>
        <v>0</v>
      </c>
      <c r="E394" s="21">
        <f>COUNT(E159:E188)</f>
        <v>30</v>
      </c>
      <c r="F394" s="21">
        <f>COUNT(F159:F188)</f>
        <v>0</v>
      </c>
      <c r="G394" s="21">
        <f t="shared" ref="G394:AQ394" si="345">COUNT(G159:G188)</f>
        <v>0</v>
      </c>
      <c r="H394" s="21">
        <f t="shared" si="345"/>
        <v>0</v>
      </c>
      <c r="I394" s="21">
        <f t="shared" si="345"/>
        <v>0</v>
      </c>
      <c r="J394" s="21"/>
      <c r="K394" s="21"/>
      <c r="L394" s="21">
        <f t="shared" si="345"/>
        <v>0</v>
      </c>
      <c r="M394" s="21">
        <f t="shared" si="345"/>
        <v>0</v>
      </c>
      <c r="N394" s="21">
        <f t="shared" si="345"/>
        <v>0</v>
      </c>
      <c r="O394" s="21"/>
      <c r="P394" s="21">
        <f t="shared" ref="P394" si="346">COUNT(P159:P188)</f>
        <v>0</v>
      </c>
      <c r="Q394" s="21">
        <f t="shared" si="345"/>
        <v>0</v>
      </c>
      <c r="R394" s="21">
        <f t="shared" si="345"/>
        <v>30</v>
      </c>
      <c r="S394" s="21">
        <f t="shared" si="345"/>
        <v>0</v>
      </c>
      <c r="T394" s="21">
        <f t="shared" si="345"/>
        <v>0</v>
      </c>
      <c r="U394" s="21">
        <f t="shared" si="345"/>
        <v>0</v>
      </c>
      <c r="V394" s="21">
        <f t="shared" si="345"/>
        <v>0</v>
      </c>
      <c r="W394" s="21">
        <f t="shared" si="345"/>
        <v>0</v>
      </c>
      <c r="X394" s="21">
        <f t="shared" si="345"/>
        <v>0</v>
      </c>
      <c r="Y394" s="21"/>
      <c r="Z394" s="21"/>
      <c r="AA394" s="21">
        <f t="shared" si="345"/>
        <v>0</v>
      </c>
      <c r="AB394" s="21"/>
      <c r="AC394" s="21"/>
      <c r="AD394" s="21">
        <f t="shared" si="345"/>
        <v>0</v>
      </c>
      <c r="AE394" s="21">
        <f t="shared" si="345"/>
        <v>0</v>
      </c>
      <c r="AF394" s="21">
        <f t="shared" si="345"/>
        <v>30</v>
      </c>
      <c r="AG394" s="21">
        <f t="shared" si="345"/>
        <v>0</v>
      </c>
      <c r="AH394" s="21">
        <f t="shared" si="345"/>
        <v>0</v>
      </c>
      <c r="AI394" s="21">
        <f t="shared" si="345"/>
        <v>0</v>
      </c>
      <c r="AJ394" s="21">
        <f t="shared" si="345"/>
        <v>0</v>
      </c>
      <c r="AK394" s="21">
        <f t="shared" si="345"/>
        <v>0</v>
      </c>
      <c r="AL394" s="21">
        <f t="shared" si="345"/>
        <v>0</v>
      </c>
      <c r="AM394" s="21"/>
      <c r="AN394" s="21"/>
      <c r="AO394" s="21">
        <f t="shared" si="345"/>
        <v>0</v>
      </c>
      <c r="AP394" s="21">
        <f t="shared" si="345"/>
        <v>0</v>
      </c>
      <c r="AQ394" s="21">
        <f t="shared" si="345"/>
        <v>0</v>
      </c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>
        <f t="shared" ref="BF394" si="347">COUNT(BF159:BF188)</f>
        <v>0</v>
      </c>
      <c r="BG394" s="21"/>
      <c r="BH394" s="21"/>
      <c r="BI394" s="21"/>
      <c r="BJ394" s="21"/>
      <c r="BK394" s="21"/>
      <c r="BL394" s="21"/>
      <c r="BM394" s="21"/>
      <c r="BN394" s="21"/>
      <c r="BO394" s="21">
        <f t="shared" ref="BO394:BP394" si="348">COUNT(BO159:BO188)</f>
        <v>0</v>
      </c>
      <c r="BP394" s="21">
        <f t="shared" si="348"/>
        <v>0</v>
      </c>
      <c r="BQ394" s="1"/>
      <c r="BR394" s="3"/>
      <c r="BT394" s="21">
        <f t="shared" ref="BT394" si="349">COUNT(BT159:BT188)</f>
        <v>24</v>
      </c>
      <c r="BU394" s="21"/>
      <c r="BV394" s="21">
        <f t="shared" ref="BV394" si="350">COUNT(BV159:BV188)</f>
        <v>30</v>
      </c>
      <c r="BX394" s="21">
        <f t="shared" ref="BX394" si="351">COUNT(BX159:BX188)</f>
        <v>30</v>
      </c>
    </row>
    <row r="395" spans="1:121" x14ac:dyDescent="0.2">
      <c r="A395" s="21" t="s">
        <v>107</v>
      </c>
      <c r="C395" s="21">
        <f>COUNT(C189:C219)</f>
        <v>0</v>
      </c>
      <c r="D395" s="21">
        <f>COUNT(D189:D219)</f>
        <v>0</v>
      </c>
      <c r="E395" s="21">
        <f>COUNT(E189:E219)</f>
        <v>31</v>
      </c>
      <c r="F395" s="21">
        <f>COUNT(F189:F219)</f>
        <v>0</v>
      </c>
      <c r="G395" s="21">
        <f t="shared" ref="G395:AQ395" si="352">COUNT(G189:G219)</f>
        <v>0</v>
      </c>
      <c r="H395" s="21">
        <f t="shared" si="352"/>
        <v>0</v>
      </c>
      <c r="I395" s="21">
        <f t="shared" si="352"/>
        <v>0</v>
      </c>
      <c r="J395" s="21"/>
      <c r="K395" s="21"/>
      <c r="L395" s="21">
        <f t="shared" si="352"/>
        <v>0</v>
      </c>
      <c r="M395" s="21">
        <f t="shared" si="352"/>
        <v>0</v>
      </c>
      <c r="N395" s="21">
        <f t="shared" si="352"/>
        <v>0</v>
      </c>
      <c r="O395" s="21"/>
      <c r="P395" s="21">
        <f t="shared" ref="P395" si="353">COUNT(P189:P219)</f>
        <v>0</v>
      </c>
      <c r="Q395" s="21">
        <f t="shared" si="352"/>
        <v>0</v>
      </c>
      <c r="R395" s="21">
        <f t="shared" si="352"/>
        <v>31</v>
      </c>
      <c r="S395" s="21">
        <f t="shared" si="352"/>
        <v>0</v>
      </c>
      <c r="T395" s="21">
        <f t="shared" si="352"/>
        <v>0</v>
      </c>
      <c r="U395" s="21">
        <f t="shared" si="352"/>
        <v>0</v>
      </c>
      <c r="V395" s="21">
        <f t="shared" si="352"/>
        <v>0</v>
      </c>
      <c r="W395" s="21">
        <f t="shared" si="352"/>
        <v>0</v>
      </c>
      <c r="X395" s="21">
        <f t="shared" si="352"/>
        <v>0</v>
      </c>
      <c r="Y395" s="21"/>
      <c r="Z395" s="21"/>
      <c r="AA395" s="21">
        <f t="shared" si="352"/>
        <v>0</v>
      </c>
      <c r="AB395" s="21"/>
      <c r="AC395" s="21"/>
      <c r="AD395" s="21">
        <f t="shared" si="352"/>
        <v>0</v>
      </c>
      <c r="AE395" s="21">
        <f t="shared" si="352"/>
        <v>0</v>
      </c>
      <c r="AF395" s="21">
        <f t="shared" si="352"/>
        <v>31</v>
      </c>
      <c r="AG395" s="21">
        <f t="shared" si="352"/>
        <v>0</v>
      </c>
      <c r="AH395" s="21">
        <f t="shared" si="352"/>
        <v>0</v>
      </c>
      <c r="AI395" s="21">
        <f t="shared" si="352"/>
        <v>0</v>
      </c>
      <c r="AJ395" s="21">
        <f t="shared" si="352"/>
        <v>0</v>
      </c>
      <c r="AK395" s="21">
        <f t="shared" si="352"/>
        <v>0</v>
      </c>
      <c r="AL395" s="21">
        <f t="shared" si="352"/>
        <v>0</v>
      </c>
      <c r="AM395" s="21"/>
      <c r="AN395" s="21"/>
      <c r="AO395" s="21">
        <f t="shared" si="352"/>
        <v>0</v>
      </c>
      <c r="AP395" s="21">
        <f t="shared" si="352"/>
        <v>0</v>
      </c>
      <c r="AQ395" s="21">
        <f t="shared" si="352"/>
        <v>0</v>
      </c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>
        <f t="shared" ref="BF395" si="354">COUNT(BF189:BF219)</f>
        <v>0</v>
      </c>
      <c r="BG395" s="21"/>
      <c r="BH395" s="21"/>
      <c r="BI395" s="21"/>
      <c r="BJ395" s="21"/>
      <c r="BK395" s="21"/>
      <c r="BL395" s="21"/>
      <c r="BM395" s="21"/>
      <c r="BN395" s="21"/>
      <c r="BO395" s="21">
        <f t="shared" ref="BO395:BP395" si="355">COUNT(BO189:BO219)</f>
        <v>0</v>
      </c>
      <c r="BP395" s="21">
        <f t="shared" si="355"/>
        <v>0</v>
      </c>
      <c r="BQ395" s="1"/>
      <c r="BR395" s="3"/>
      <c r="BT395" s="21">
        <f t="shared" ref="BT395" si="356">COUNT(BT189:BT219)</f>
        <v>31</v>
      </c>
      <c r="BU395" s="21"/>
      <c r="BV395" s="21">
        <f t="shared" ref="BV395" si="357">COUNT(BV189:BV219)</f>
        <v>31</v>
      </c>
      <c r="BX395" s="21">
        <f t="shared" ref="BX395" si="358">COUNT(BX189:BX219)</f>
        <v>31</v>
      </c>
    </row>
    <row r="396" spans="1:121" x14ac:dyDescent="0.2">
      <c r="A396" s="21" t="s">
        <v>108</v>
      </c>
      <c r="C396" s="21">
        <f>COUNT(C220:C250)</f>
        <v>0</v>
      </c>
      <c r="D396" s="21">
        <f>COUNT(D220:D250)</f>
        <v>0</v>
      </c>
      <c r="E396" s="21">
        <f>COUNT(E220:E250)</f>
        <v>31</v>
      </c>
      <c r="F396" s="21">
        <f>COUNT(F220:F250)</f>
        <v>0</v>
      </c>
      <c r="G396" s="21">
        <f t="shared" ref="G396:AQ396" si="359">COUNT(G220:G250)</f>
        <v>0</v>
      </c>
      <c r="H396" s="21">
        <f t="shared" si="359"/>
        <v>0</v>
      </c>
      <c r="I396" s="21">
        <f t="shared" si="359"/>
        <v>0</v>
      </c>
      <c r="J396" s="21"/>
      <c r="K396" s="21"/>
      <c r="L396" s="21">
        <f t="shared" si="359"/>
        <v>0</v>
      </c>
      <c r="M396" s="21">
        <f t="shared" si="359"/>
        <v>0</v>
      </c>
      <c r="N396" s="21">
        <f t="shared" si="359"/>
        <v>0</v>
      </c>
      <c r="O396" s="21"/>
      <c r="P396" s="21">
        <f t="shared" ref="P396" si="360">COUNT(P220:P250)</f>
        <v>0</v>
      </c>
      <c r="Q396" s="21">
        <f t="shared" si="359"/>
        <v>0</v>
      </c>
      <c r="R396" s="21">
        <f t="shared" si="359"/>
        <v>31</v>
      </c>
      <c r="S396" s="21">
        <f t="shared" si="359"/>
        <v>0</v>
      </c>
      <c r="T396" s="21">
        <f t="shared" si="359"/>
        <v>0</v>
      </c>
      <c r="U396" s="21">
        <f t="shared" si="359"/>
        <v>0</v>
      </c>
      <c r="V396" s="21">
        <f t="shared" si="359"/>
        <v>0</v>
      </c>
      <c r="W396" s="21">
        <f t="shared" si="359"/>
        <v>0</v>
      </c>
      <c r="X396" s="21">
        <f t="shared" si="359"/>
        <v>0</v>
      </c>
      <c r="Y396" s="21"/>
      <c r="Z396" s="21"/>
      <c r="AA396" s="21">
        <f t="shared" si="359"/>
        <v>0</v>
      </c>
      <c r="AB396" s="21"/>
      <c r="AC396" s="21"/>
      <c r="AD396" s="21">
        <f t="shared" si="359"/>
        <v>0</v>
      </c>
      <c r="AE396" s="21">
        <f t="shared" si="359"/>
        <v>0</v>
      </c>
      <c r="AF396" s="21">
        <f t="shared" si="359"/>
        <v>31</v>
      </c>
      <c r="AG396" s="21">
        <f t="shared" si="359"/>
        <v>0</v>
      </c>
      <c r="AH396" s="21">
        <f t="shared" si="359"/>
        <v>0</v>
      </c>
      <c r="AI396" s="21">
        <f t="shared" si="359"/>
        <v>0</v>
      </c>
      <c r="AJ396" s="21">
        <f t="shared" si="359"/>
        <v>0</v>
      </c>
      <c r="AK396" s="21">
        <f t="shared" si="359"/>
        <v>0</v>
      </c>
      <c r="AL396" s="21">
        <f t="shared" si="359"/>
        <v>0</v>
      </c>
      <c r="AM396" s="21"/>
      <c r="AN396" s="21"/>
      <c r="AO396" s="21">
        <f t="shared" si="359"/>
        <v>0</v>
      </c>
      <c r="AP396" s="21">
        <f t="shared" si="359"/>
        <v>0</v>
      </c>
      <c r="AQ396" s="21">
        <f t="shared" si="359"/>
        <v>0</v>
      </c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>
        <f t="shared" ref="BF396" si="361">COUNT(BF220:BF250)</f>
        <v>0</v>
      </c>
      <c r="BG396" s="21"/>
      <c r="BH396" s="21"/>
      <c r="BI396" s="21"/>
      <c r="BJ396" s="21"/>
      <c r="BK396" s="21"/>
      <c r="BL396" s="21"/>
      <c r="BM396" s="21"/>
      <c r="BN396" s="21"/>
      <c r="BO396" s="21">
        <f t="shared" ref="BO396:BP396" si="362">COUNT(BO220:BO250)</f>
        <v>0</v>
      </c>
      <c r="BP396" s="21">
        <f t="shared" si="362"/>
        <v>0</v>
      </c>
      <c r="BQ396" s="1"/>
      <c r="BR396" s="3"/>
      <c r="BT396" s="21">
        <f t="shared" ref="BT396" si="363">COUNT(BT220:BT250)</f>
        <v>31</v>
      </c>
      <c r="BU396" s="21"/>
      <c r="BV396" s="21">
        <f t="shared" ref="BV396" si="364">COUNT(BV220:BV250)</f>
        <v>31</v>
      </c>
      <c r="BX396" s="21">
        <f t="shared" ref="BX396" si="365">COUNT(BX220:BX250)</f>
        <v>31</v>
      </c>
    </row>
    <row r="397" spans="1:121" x14ac:dyDescent="0.2">
      <c r="A397" s="21" t="s">
        <v>109</v>
      </c>
      <c r="C397" s="21">
        <f>COUNT(C251:C280)</f>
        <v>12</v>
      </c>
      <c r="D397" s="21">
        <f>COUNT(D251:D280)</f>
        <v>12</v>
      </c>
      <c r="E397" s="21">
        <f>COUNT(E251:E280)</f>
        <v>30</v>
      </c>
      <c r="F397" s="21">
        <f>COUNT(F251:F280)</f>
        <v>12</v>
      </c>
      <c r="G397" s="21">
        <f t="shared" ref="G397:AQ397" si="366">COUNT(G251:G280)</f>
        <v>12</v>
      </c>
      <c r="H397" s="21">
        <f t="shared" si="366"/>
        <v>12</v>
      </c>
      <c r="I397" s="21">
        <f t="shared" si="366"/>
        <v>12</v>
      </c>
      <c r="J397" s="21"/>
      <c r="K397" s="21"/>
      <c r="L397" s="21">
        <f t="shared" si="366"/>
        <v>12</v>
      </c>
      <c r="M397" s="21">
        <f t="shared" si="366"/>
        <v>12</v>
      </c>
      <c r="N397" s="21">
        <f t="shared" si="366"/>
        <v>12</v>
      </c>
      <c r="O397" s="21"/>
      <c r="P397" s="21">
        <f t="shared" ref="P397" si="367">COUNT(P251:P280)</f>
        <v>0</v>
      </c>
      <c r="Q397" s="21">
        <f t="shared" si="366"/>
        <v>0</v>
      </c>
      <c r="R397" s="21">
        <f t="shared" si="366"/>
        <v>30</v>
      </c>
      <c r="S397" s="21">
        <f t="shared" si="366"/>
        <v>12</v>
      </c>
      <c r="T397" s="21">
        <f t="shared" si="366"/>
        <v>12</v>
      </c>
      <c r="U397" s="21">
        <f t="shared" si="366"/>
        <v>12</v>
      </c>
      <c r="V397" s="21">
        <f t="shared" si="366"/>
        <v>12</v>
      </c>
      <c r="W397" s="21">
        <f t="shared" si="366"/>
        <v>12</v>
      </c>
      <c r="X397" s="21">
        <f t="shared" si="366"/>
        <v>12</v>
      </c>
      <c r="Y397" s="21"/>
      <c r="Z397" s="21"/>
      <c r="AA397" s="21">
        <f t="shared" si="366"/>
        <v>12</v>
      </c>
      <c r="AB397" s="21"/>
      <c r="AC397" s="21"/>
      <c r="AD397" s="21">
        <f t="shared" si="366"/>
        <v>12</v>
      </c>
      <c r="AE397" s="21">
        <f t="shared" si="366"/>
        <v>12</v>
      </c>
      <c r="AF397" s="21">
        <f t="shared" si="366"/>
        <v>30</v>
      </c>
      <c r="AG397" s="21">
        <f t="shared" si="366"/>
        <v>12</v>
      </c>
      <c r="AH397" s="21">
        <f t="shared" si="366"/>
        <v>12</v>
      </c>
      <c r="AI397" s="21">
        <f t="shared" si="366"/>
        <v>12</v>
      </c>
      <c r="AJ397" s="21">
        <f t="shared" si="366"/>
        <v>12</v>
      </c>
      <c r="AK397" s="21">
        <f t="shared" si="366"/>
        <v>12</v>
      </c>
      <c r="AL397" s="21">
        <f t="shared" si="366"/>
        <v>12</v>
      </c>
      <c r="AM397" s="21"/>
      <c r="AN397" s="21"/>
      <c r="AO397" s="21">
        <f t="shared" si="366"/>
        <v>12</v>
      </c>
      <c r="AP397" s="21">
        <f t="shared" si="366"/>
        <v>12</v>
      </c>
      <c r="AQ397" s="21">
        <f t="shared" si="366"/>
        <v>12</v>
      </c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>
        <f t="shared" ref="BF397" si="368">COUNT(BF251:BF280)</f>
        <v>0</v>
      </c>
      <c r="BG397" s="21"/>
      <c r="BH397" s="21"/>
      <c r="BI397" s="21"/>
      <c r="BJ397" s="21"/>
      <c r="BK397" s="21"/>
      <c r="BL397" s="21"/>
      <c r="BM397" s="21"/>
      <c r="BN397" s="21"/>
      <c r="BO397" s="21">
        <f t="shared" ref="BO397:BP397" si="369">COUNT(BO251:BO280)</f>
        <v>12</v>
      </c>
      <c r="BP397" s="21">
        <f t="shared" si="369"/>
        <v>12</v>
      </c>
      <c r="BQ397" s="1"/>
      <c r="BR397" s="3"/>
      <c r="BT397" s="21">
        <f t="shared" ref="BT397" si="370">COUNT(BT251:BT280)</f>
        <v>30</v>
      </c>
      <c r="BU397" s="21"/>
      <c r="BV397" s="21">
        <f t="shared" ref="BV397" si="371">COUNT(BV251:BV280)</f>
        <v>30</v>
      </c>
      <c r="BX397" s="21">
        <f t="shared" ref="BX397" si="372">COUNT(BX251:BX280)</f>
        <v>30</v>
      </c>
    </row>
    <row r="398" spans="1:121" x14ac:dyDescent="0.2">
      <c r="A398" s="21" t="s">
        <v>110</v>
      </c>
      <c r="C398" s="21">
        <f>COUNT(C281:C311)</f>
        <v>31</v>
      </c>
      <c r="D398" s="21">
        <f>COUNT(D281:D311)</f>
        <v>31</v>
      </c>
      <c r="E398" s="21">
        <f>COUNT(E281:E311)</f>
        <v>31</v>
      </c>
      <c r="F398" s="21">
        <f>COUNT(F281:F311)</f>
        <v>31</v>
      </c>
      <c r="G398" s="21">
        <f t="shared" ref="G398:AQ398" si="373">COUNT(G281:G311)</f>
        <v>31</v>
      </c>
      <c r="H398" s="21">
        <f t="shared" si="373"/>
        <v>31</v>
      </c>
      <c r="I398" s="21">
        <f t="shared" si="373"/>
        <v>31</v>
      </c>
      <c r="J398" s="21"/>
      <c r="K398" s="21"/>
      <c r="L398" s="21">
        <f t="shared" si="373"/>
        <v>31</v>
      </c>
      <c r="M398" s="21">
        <f t="shared" si="373"/>
        <v>31</v>
      </c>
      <c r="N398" s="21">
        <f t="shared" si="373"/>
        <v>31</v>
      </c>
      <c r="O398" s="21"/>
      <c r="P398" s="21">
        <f t="shared" ref="P398" si="374">COUNT(P281:P311)</f>
        <v>0</v>
      </c>
      <c r="Q398" s="21">
        <f t="shared" si="373"/>
        <v>0</v>
      </c>
      <c r="R398" s="21">
        <f t="shared" si="373"/>
        <v>31</v>
      </c>
      <c r="S398" s="21">
        <f t="shared" si="373"/>
        <v>31</v>
      </c>
      <c r="T398" s="21">
        <f t="shared" si="373"/>
        <v>31</v>
      </c>
      <c r="U398" s="21">
        <f t="shared" si="373"/>
        <v>31</v>
      </c>
      <c r="V398" s="21">
        <f t="shared" si="373"/>
        <v>31</v>
      </c>
      <c r="W398" s="21">
        <f t="shared" si="373"/>
        <v>31</v>
      </c>
      <c r="X398" s="21">
        <f t="shared" si="373"/>
        <v>31</v>
      </c>
      <c r="Y398" s="21"/>
      <c r="Z398" s="21"/>
      <c r="AA398" s="21">
        <f t="shared" si="373"/>
        <v>31</v>
      </c>
      <c r="AB398" s="21"/>
      <c r="AC398" s="21"/>
      <c r="AD398" s="21">
        <f t="shared" si="373"/>
        <v>31</v>
      </c>
      <c r="AE398" s="21">
        <f t="shared" si="373"/>
        <v>31</v>
      </c>
      <c r="AF398" s="21">
        <f t="shared" si="373"/>
        <v>31</v>
      </c>
      <c r="AG398" s="21">
        <f t="shared" si="373"/>
        <v>31</v>
      </c>
      <c r="AH398" s="21">
        <f t="shared" si="373"/>
        <v>31</v>
      </c>
      <c r="AI398" s="21">
        <f t="shared" si="373"/>
        <v>31</v>
      </c>
      <c r="AJ398" s="21">
        <f t="shared" si="373"/>
        <v>31</v>
      </c>
      <c r="AK398" s="21">
        <f t="shared" si="373"/>
        <v>31</v>
      </c>
      <c r="AL398" s="21">
        <f t="shared" si="373"/>
        <v>31</v>
      </c>
      <c r="AM398" s="21"/>
      <c r="AN398" s="21"/>
      <c r="AO398" s="21">
        <f t="shared" si="373"/>
        <v>31</v>
      </c>
      <c r="AP398" s="21">
        <f t="shared" si="373"/>
        <v>31</v>
      </c>
      <c r="AQ398" s="21">
        <f t="shared" si="373"/>
        <v>31</v>
      </c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>
        <f t="shared" ref="BF398" si="375">COUNT(BF281:BF311)</f>
        <v>3</v>
      </c>
      <c r="BG398" s="21"/>
      <c r="BH398" s="21"/>
      <c r="BI398" s="21"/>
      <c r="BJ398" s="21"/>
      <c r="BK398" s="21"/>
      <c r="BL398" s="21"/>
      <c r="BM398" s="21"/>
      <c r="BN398" s="21"/>
      <c r="BO398" s="21">
        <f t="shared" ref="BO398:BP398" si="376">COUNT(BO281:BO311)</f>
        <v>31</v>
      </c>
      <c r="BP398" s="21">
        <f t="shared" si="376"/>
        <v>31</v>
      </c>
      <c r="BQ398" s="1"/>
      <c r="BR398" s="3"/>
      <c r="BT398" s="21">
        <f t="shared" ref="BT398" si="377">COUNT(BT281:BT311)</f>
        <v>31</v>
      </c>
      <c r="BU398" s="21"/>
      <c r="BV398" s="21">
        <f t="shared" ref="BV398" si="378">COUNT(BV281:BV311)</f>
        <v>31</v>
      </c>
      <c r="BX398" s="21">
        <f t="shared" ref="BX398" si="379">COUNT(BX281:BX311)</f>
        <v>31</v>
      </c>
    </row>
    <row r="399" spans="1:121" x14ac:dyDescent="0.2">
      <c r="A399" s="21" t="s">
        <v>111</v>
      </c>
      <c r="C399" s="21">
        <f>COUNT(C312:C341)</f>
        <v>30</v>
      </c>
      <c r="D399" s="21">
        <f>COUNT(D312:D341)</f>
        <v>30</v>
      </c>
      <c r="E399" s="21">
        <f>COUNT(E312:E341)</f>
        <v>30</v>
      </c>
      <c r="F399" s="21">
        <f>COUNT(F312:F341)</f>
        <v>30</v>
      </c>
      <c r="G399" s="21">
        <f t="shared" ref="G399:AQ399" si="380">COUNT(G312:G341)</f>
        <v>30</v>
      </c>
      <c r="H399" s="21">
        <f t="shared" si="380"/>
        <v>30</v>
      </c>
      <c r="I399" s="21">
        <f t="shared" si="380"/>
        <v>30</v>
      </c>
      <c r="J399" s="21"/>
      <c r="K399" s="21"/>
      <c r="L399" s="21">
        <f t="shared" si="380"/>
        <v>30</v>
      </c>
      <c r="M399" s="21">
        <f t="shared" si="380"/>
        <v>30</v>
      </c>
      <c r="N399" s="21">
        <f t="shared" si="380"/>
        <v>30</v>
      </c>
      <c r="O399" s="21"/>
      <c r="P399" s="21">
        <f t="shared" ref="P399" si="381">COUNT(P312:P341)</f>
        <v>0</v>
      </c>
      <c r="Q399" s="21">
        <f t="shared" si="380"/>
        <v>0</v>
      </c>
      <c r="R399" s="21">
        <f t="shared" si="380"/>
        <v>30</v>
      </c>
      <c r="S399" s="21">
        <f t="shared" si="380"/>
        <v>30</v>
      </c>
      <c r="T399" s="21">
        <f t="shared" si="380"/>
        <v>30</v>
      </c>
      <c r="U399" s="21">
        <f t="shared" si="380"/>
        <v>30</v>
      </c>
      <c r="V399" s="21">
        <f t="shared" si="380"/>
        <v>30</v>
      </c>
      <c r="W399" s="21">
        <f t="shared" si="380"/>
        <v>30</v>
      </c>
      <c r="X399" s="21">
        <f t="shared" si="380"/>
        <v>30</v>
      </c>
      <c r="Y399" s="21"/>
      <c r="Z399" s="21"/>
      <c r="AA399" s="21">
        <f t="shared" si="380"/>
        <v>30</v>
      </c>
      <c r="AB399" s="21"/>
      <c r="AC399" s="21"/>
      <c r="AD399" s="21">
        <f t="shared" si="380"/>
        <v>30</v>
      </c>
      <c r="AE399" s="21">
        <f t="shared" si="380"/>
        <v>30</v>
      </c>
      <c r="AF399" s="21">
        <f t="shared" si="380"/>
        <v>30</v>
      </c>
      <c r="AG399" s="21">
        <f t="shared" si="380"/>
        <v>30</v>
      </c>
      <c r="AH399" s="21">
        <f t="shared" si="380"/>
        <v>30</v>
      </c>
      <c r="AI399" s="21">
        <f t="shared" si="380"/>
        <v>30</v>
      </c>
      <c r="AJ399" s="21">
        <f t="shared" si="380"/>
        <v>30</v>
      </c>
      <c r="AK399" s="21">
        <f t="shared" si="380"/>
        <v>30</v>
      </c>
      <c r="AL399" s="21">
        <f t="shared" si="380"/>
        <v>30</v>
      </c>
      <c r="AM399" s="21"/>
      <c r="AN399" s="21"/>
      <c r="AO399" s="21">
        <f t="shared" si="380"/>
        <v>30</v>
      </c>
      <c r="AP399" s="21">
        <f t="shared" si="380"/>
        <v>30</v>
      </c>
      <c r="AQ399" s="21">
        <f t="shared" si="380"/>
        <v>30</v>
      </c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>
        <f t="shared" ref="BF399" si="382">COUNT(BF312:BF341)</f>
        <v>30</v>
      </c>
      <c r="BG399" s="21"/>
      <c r="BH399" s="21"/>
      <c r="BI399" s="21"/>
      <c r="BJ399" s="21"/>
      <c r="BK399" s="21"/>
      <c r="BL399" s="21"/>
      <c r="BM399" s="21"/>
      <c r="BN399" s="21"/>
      <c r="BO399" s="21">
        <f t="shared" ref="BO399:BP399" si="383">COUNT(BO312:BO341)</f>
        <v>30</v>
      </c>
      <c r="BP399" s="21">
        <f t="shared" si="383"/>
        <v>30</v>
      </c>
      <c r="BQ399" s="1"/>
      <c r="BR399" s="3"/>
      <c r="BT399" s="21">
        <f t="shared" ref="BT399" si="384">COUNT(BT312:BT341)</f>
        <v>30</v>
      </c>
      <c r="BU399" s="21"/>
      <c r="BV399" s="21">
        <f t="shared" ref="BV399" si="385">COUNT(BV312:BV341)</f>
        <v>30</v>
      </c>
      <c r="BX399" s="21">
        <f t="shared" ref="BX399" si="386">COUNT(BX312:BX341)</f>
        <v>2</v>
      </c>
    </row>
    <row r="400" spans="1:121" x14ac:dyDescent="0.2">
      <c r="A400" s="21" t="s">
        <v>112</v>
      </c>
      <c r="C400" s="21">
        <f>COUNT(C342:C372)</f>
        <v>31</v>
      </c>
      <c r="D400" s="21">
        <f>COUNT(D342:D372)</f>
        <v>31</v>
      </c>
      <c r="E400" s="21">
        <f>COUNT(E342:E372)</f>
        <v>31</v>
      </c>
      <c r="F400" s="21">
        <f>COUNT(F342:F372)</f>
        <v>31</v>
      </c>
      <c r="G400" s="21">
        <f t="shared" ref="G400:AQ400" si="387">COUNT(G342:G372)</f>
        <v>31</v>
      </c>
      <c r="H400" s="21">
        <f t="shared" si="387"/>
        <v>3</v>
      </c>
      <c r="I400" s="21">
        <f t="shared" si="387"/>
        <v>31</v>
      </c>
      <c r="J400" s="21"/>
      <c r="K400" s="21"/>
      <c r="L400" s="21">
        <f t="shared" si="387"/>
        <v>31</v>
      </c>
      <c r="M400" s="21">
        <f t="shared" si="387"/>
        <v>31</v>
      </c>
      <c r="N400" s="21">
        <f t="shared" si="387"/>
        <v>31</v>
      </c>
      <c r="O400" s="21"/>
      <c r="P400" s="21">
        <f t="shared" ref="P400" si="388">COUNT(P342:P372)</f>
        <v>0</v>
      </c>
      <c r="Q400" s="21">
        <f t="shared" si="387"/>
        <v>0</v>
      </c>
      <c r="R400" s="21">
        <f t="shared" si="387"/>
        <v>31</v>
      </c>
      <c r="S400" s="21">
        <f t="shared" si="387"/>
        <v>31</v>
      </c>
      <c r="T400" s="21">
        <f t="shared" si="387"/>
        <v>31</v>
      </c>
      <c r="U400" s="21">
        <f t="shared" si="387"/>
        <v>31</v>
      </c>
      <c r="V400" s="21">
        <f t="shared" si="387"/>
        <v>31</v>
      </c>
      <c r="W400" s="21">
        <f t="shared" si="387"/>
        <v>3</v>
      </c>
      <c r="X400" s="21">
        <f t="shared" si="387"/>
        <v>31</v>
      </c>
      <c r="Y400" s="21"/>
      <c r="Z400" s="21"/>
      <c r="AA400" s="21">
        <f t="shared" si="387"/>
        <v>31</v>
      </c>
      <c r="AB400" s="21"/>
      <c r="AC400" s="21"/>
      <c r="AD400" s="21">
        <f t="shared" si="387"/>
        <v>31</v>
      </c>
      <c r="AE400" s="21">
        <f t="shared" si="387"/>
        <v>31</v>
      </c>
      <c r="AF400" s="21">
        <f t="shared" si="387"/>
        <v>31</v>
      </c>
      <c r="AG400" s="21">
        <f t="shared" si="387"/>
        <v>31</v>
      </c>
      <c r="AH400" s="21">
        <f t="shared" si="387"/>
        <v>31</v>
      </c>
      <c r="AI400" s="21">
        <f t="shared" si="387"/>
        <v>31</v>
      </c>
      <c r="AJ400" s="21">
        <f t="shared" si="387"/>
        <v>31</v>
      </c>
      <c r="AK400" s="21">
        <f t="shared" si="387"/>
        <v>3</v>
      </c>
      <c r="AL400" s="21">
        <f t="shared" si="387"/>
        <v>31</v>
      </c>
      <c r="AM400" s="21"/>
      <c r="AN400" s="21"/>
      <c r="AO400" s="21">
        <f t="shared" si="387"/>
        <v>31</v>
      </c>
      <c r="AP400" s="21">
        <f t="shared" si="387"/>
        <v>31</v>
      </c>
      <c r="AQ400" s="21">
        <f t="shared" si="387"/>
        <v>31</v>
      </c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>
        <f t="shared" ref="BF400" si="389">COUNT(BF342:BF372)</f>
        <v>31</v>
      </c>
      <c r="BG400" s="21"/>
      <c r="BH400" s="21"/>
      <c r="BI400" s="21"/>
      <c r="BJ400" s="21"/>
      <c r="BK400" s="21"/>
      <c r="BL400" s="21"/>
      <c r="BM400" s="21"/>
      <c r="BN400" s="21"/>
      <c r="BO400" s="21">
        <f t="shared" ref="BO400:BP400" si="390">COUNT(BO342:BO372)</f>
        <v>31</v>
      </c>
      <c r="BP400" s="21">
        <f t="shared" si="390"/>
        <v>31</v>
      </c>
      <c r="BQ400" s="1"/>
      <c r="BR400" s="3"/>
      <c r="BT400" s="21">
        <f t="shared" ref="BT400" si="391">COUNT(BT342:BT372)</f>
        <v>31</v>
      </c>
      <c r="BU400" s="21"/>
      <c r="BV400" s="21">
        <f t="shared" ref="BV400" si="392">COUNT(BV342:BV372)</f>
        <v>31</v>
      </c>
      <c r="BX400" s="21">
        <f t="shared" ref="BX400" si="393">COUNT(BX342:BX372)</f>
        <v>0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176</v>
      </c>
      <c r="P5" s="3"/>
    </row>
    <row r="6" spans="1:16" x14ac:dyDescent="0.2">
      <c r="A6" s="9" t="s">
        <v>43</v>
      </c>
      <c r="B6" s="6" t="s">
        <v>132</v>
      </c>
      <c r="C6" s="3" t="s">
        <v>177</v>
      </c>
      <c r="D6" s="3" t="s">
        <v>178</v>
      </c>
      <c r="E6" s="3" t="s">
        <v>179</v>
      </c>
      <c r="F6" s="3"/>
      <c r="H6" s="59" t="s">
        <v>180</v>
      </c>
      <c r="I6" t="s">
        <v>181</v>
      </c>
      <c r="J6" t="s">
        <v>182</v>
      </c>
      <c r="K6" s="3"/>
      <c r="L6" s="3" t="s">
        <v>177</v>
      </c>
      <c r="M6" s="3" t="s">
        <v>178</v>
      </c>
      <c r="N6" s="3" t="s">
        <v>179</v>
      </c>
      <c r="O6" s="3" t="s">
        <v>178</v>
      </c>
      <c r="P6" s="3" t="s">
        <v>179</v>
      </c>
    </row>
    <row r="7" spans="1:16" x14ac:dyDescent="0.2">
      <c r="A7" s="15">
        <v>36526</v>
      </c>
      <c r="B7" s="1">
        <v>1</v>
      </c>
      <c r="C7" s="3">
        <v>200001</v>
      </c>
      <c r="D7" s="3">
        <f>ROUND(IF(Data!E7&lt;0,0-Data!E7,0),1)</f>
        <v>9.1</v>
      </c>
      <c r="E7" s="3">
        <f>ROUND(IF(Data!E7&gt;5,Data!E7-5,0),1)</f>
        <v>0</v>
      </c>
      <c r="F7" s="3"/>
      <c r="H7" s="57">
        <v>200001</v>
      </c>
      <c r="I7" s="58">
        <v>295.7</v>
      </c>
      <c r="J7" s="58">
        <v>0</v>
      </c>
      <c r="K7" s="3"/>
      <c r="L7" s="3">
        <f>H7</f>
        <v>200001</v>
      </c>
      <c r="M7" s="3">
        <f t="shared" ref="M7:N10" si="0">I7</f>
        <v>295.7</v>
      </c>
      <c r="N7" s="3">
        <f t="shared" si="0"/>
        <v>0</v>
      </c>
      <c r="O7" s="3">
        <f>M7</f>
        <v>295.7</v>
      </c>
      <c r="P7" s="3">
        <f>N7</f>
        <v>0</v>
      </c>
    </row>
    <row r="8" spans="1:16" x14ac:dyDescent="0.2">
      <c r="A8" s="15">
        <f t="shared" ref="A8:A71" si="1">A7+1</f>
        <v>36527</v>
      </c>
      <c r="B8" s="1">
        <v>2</v>
      </c>
      <c r="C8" s="3">
        <v>200001</v>
      </c>
      <c r="D8" s="3">
        <f>ROUND(IF(Data!E8&lt;0,0-Data!E8,0),1)</f>
        <v>7.6</v>
      </c>
      <c r="E8" s="3">
        <f>ROUND(IF(Data!E8&gt;5,Data!E8-5,0),1)</f>
        <v>0</v>
      </c>
      <c r="F8" s="3"/>
      <c r="H8" s="57">
        <v>200002</v>
      </c>
      <c r="I8" s="58">
        <v>210</v>
      </c>
      <c r="J8" s="58">
        <v>0</v>
      </c>
      <c r="K8" s="3"/>
      <c r="L8" s="3">
        <f t="shared" ref="L8:N18" si="2">H8</f>
        <v>200002</v>
      </c>
      <c r="M8" s="3">
        <f t="shared" si="0"/>
        <v>210</v>
      </c>
      <c r="N8" s="3">
        <f t="shared" si="0"/>
        <v>0</v>
      </c>
      <c r="O8" s="3">
        <f>M8+O7</f>
        <v>505.7</v>
      </c>
      <c r="P8" s="3">
        <f t="shared" ref="P8:P18" si="3">N8+P7</f>
        <v>0</v>
      </c>
    </row>
    <row r="9" spans="1:16" x14ac:dyDescent="0.2">
      <c r="A9" s="15">
        <f t="shared" si="1"/>
        <v>36528</v>
      </c>
      <c r="B9" s="1">
        <v>3</v>
      </c>
      <c r="C9" s="3">
        <v>200001</v>
      </c>
      <c r="D9" s="3">
        <f>ROUND(IF(Data!E9&lt;0,0-Data!E9,0),1)</f>
        <v>7.4</v>
      </c>
      <c r="E9" s="3">
        <f>ROUND(IF(Data!E9&gt;5,Data!E9-5,0),1)</f>
        <v>0</v>
      </c>
      <c r="F9" s="3"/>
      <c r="H9" s="57">
        <v>200003</v>
      </c>
      <c r="I9" s="58">
        <v>94.699999999999989</v>
      </c>
      <c r="J9" s="58">
        <v>0</v>
      </c>
      <c r="K9" s="3"/>
      <c r="L9" s="3">
        <f t="shared" si="2"/>
        <v>200003</v>
      </c>
      <c r="M9" s="3">
        <f t="shared" si="0"/>
        <v>94.699999999999989</v>
      </c>
      <c r="N9" s="3">
        <f t="shared" si="0"/>
        <v>0</v>
      </c>
      <c r="O9" s="3">
        <f t="shared" ref="O9:O18" si="4">M9+O8</f>
        <v>600.4</v>
      </c>
      <c r="P9" s="3">
        <f t="shared" si="3"/>
        <v>0</v>
      </c>
    </row>
    <row r="10" spans="1:16" x14ac:dyDescent="0.2">
      <c r="A10" s="15">
        <f t="shared" si="1"/>
        <v>36529</v>
      </c>
      <c r="B10" s="1">
        <v>4</v>
      </c>
      <c r="C10" s="3">
        <v>200001</v>
      </c>
      <c r="D10" s="3">
        <f>ROUND(IF(Data!E10&lt;0,0-Data!E10,0),1)</f>
        <v>7</v>
      </c>
      <c r="E10" s="3">
        <f>ROUND(IF(Data!E10&gt;5,Data!E10-5,0),1)</f>
        <v>0</v>
      </c>
      <c r="F10" s="3"/>
      <c r="H10" s="57">
        <v>200004</v>
      </c>
      <c r="I10" s="58">
        <v>19.599999999999998</v>
      </c>
      <c r="J10" s="58">
        <v>5.5</v>
      </c>
      <c r="K10" s="3"/>
      <c r="L10" s="3">
        <f t="shared" si="2"/>
        <v>200004</v>
      </c>
      <c r="M10" s="3">
        <f t="shared" si="0"/>
        <v>19.599999999999998</v>
      </c>
      <c r="N10" s="3">
        <f t="shared" si="0"/>
        <v>5.5</v>
      </c>
      <c r="O10" s="3">
        <f t="shared" si="4"/>
        <v>620</v>
      </c>
      <c r="P10" s="3">
        <f t="shared" si="3"/>
        <v>5.5</v>
      </c>
    </row>
    <row r="11" spans="1:16" x14ac:dyDescent="0.2">
      <c r="A11" s="15">
        <f t="shared" si="1"/>
        <v>36530</v>
      </c>
      <c r="B11" s="1">
        <v>5</v>
      </c>
      <c r="C11" s="3">
        <v>200001</v>
      </c>
      <c r="D11" s="3">
        <f>ROUND(IF(Data!E11&lt;0,0-Data!E11,0),1)</f>
        <v>7.2</v>
      </c>
      <c r="E11" s="3">
        <f>ROUND(IF(Data!E11&gt;5,Data!E11-5,0),1)</f>
        <v>0</v>
      </c>
      <c r="F11" s="3"/>
      <c r="H11" s="57">
        <v>200005</v>
      </c>
      <c r="I11" s="58">
        <v>5.8</v>
      </c>
      <c r="J11" s="58">
        <v>6.8</v>
      </c>
      <c r="K11" s="3"/>
      <c r="L11" s="3">
        <f t="shared" si="2"/>
        <v>200005</v>
      </c>
      <c r="M11" s="3">
        <f t="shared" si="2"/>
        <v>5.8</v>
      </c>
      <c r="N11" s="3">
        <f t="shared" si="2"/>
        <v>6.8</v>
      </c>
      <c r="O11" s="3">
        <f t="shared" si="4"/>
        <v>625.79999999999995</v>
      </c>
      <c r="P11" s="3">
        <f t="shared" si="3"/>
        <v>12.3</v>
      </c>
    </row>
    <row r="12" spans="1:16" x14ac:dyDescent="0.2">
      <c r="A12" s="15">
        <f t="shared" si="1"/>
        <v>36531</v>
      </c>
      <c r="B12" s="1">
        <v>6</v>
      </c>
      <c r="C12" s="3">
        <v>200001</v>
      </c>
      <c r="D12" s="3">
        <f>ROUND(IF(Data!E12&lt;0,0-Data!E12,0),1)</f>
        <v>7.5</v>
      </c>
      <c r="E12" s="3">
        <f>ROUND(IF(Data!E12&gt;5,Data!E12-5,0),1)</f>
        <v>0</v>
      </c>
      <c r="F12" s="3"/>
      <c r="H12" s="57">
        <v>200006</v>
      </c>
      <c r="I12" s="58">
        <v>0</v>
      </c>
      <c r="J12" s="58">
        <v>86.699999999999989</v>
      </c>
      <c r="K12" s="3"/>
      <c r="L12" s="3">
        <f t="shared" si="2"/>
        <v>200006</v>
      </c>
      <c r="M12" s="3">
        <f t="shared" si="2"/>
        <v>0</v>
      </c>
      <c r="N12" s="3">
        <f t="shared" si="2"/>
        <v>86.699999999999989</v>
      </c>
      <c r="O12" s="3">
        <f t="shared" si="4"/>
        <v>625.79999999999995</v>
      </c>
      <c r="P12" s="3">
        <f t="shared" si="3"/>
        <v>98.999999999999986</v>
      </c>
    </row>
    <row r="13" spans="1:16" x14ac:dyDescent="0.2">
      <c r="A13" s="15">
        <f t="shared" si="1"/>
        <v>36532</v>
      </c>
      <c r="B13" s="1">
        <v>7</v>
      </c>
      <c r="C13" s="3">
        <v>200001</v>
      </c>
      <c r="D13" s="3">
        <f>ROUND(IF(Data!E13&lt;0,0-Data!E13,0),1)</f>
        <v>6.8</v>
      </c>
      <c r="E13" s="3">
        <f>ROUND(IF(Data!E13&gt;5,Data!E13-5,0),1)</f>
        <v>0</v>
      </c>
      <c r="F13" s="3"/>
      <c r="H13" s="57">
        <v>200007</v>
      </c>
      <c r="I13" s="58">
        <v>0</v>
      </c>
      <c r="J13" s="58">
        <v>161.49999999999994</v>
      </c>
      <c r="K13" s="3"/>
      <c r="L13" s="3">
        <f t="shared" si="2"/>
        <v>200007</v>
      </c>
      <c r="M13" s="3">
        <f t="shared" si="2"/>
        <v>0</v>
      </c>
      <c r="N13" s="3">
        <f t="shared" si="2"/>
        <v>161.49999999999994</v>
      </c>
      <c r="O13" s="3">
        <f t="shared" si="4"/>
        <v>625.79999999999995</v>
      </c>
      <c r="P13" s="3">
        <f t="shared" si="3"/>
        <v>260.49999999999994</v>
      </c>
    </row>
    <row r="14" spans="1:16" x14ac:dyDescent="0.2">
      <c r="A14" s="15">
        <f t="shared" si="1"/>
        <v>36533</v>
      </c>
      <c r="B14" s="1">
        <v>8</v>
      </c>
      <c r="C14" s="3">
        <v>200001</v>
      </c>
      <c r="D14" s="3">
        <f>ROUND(IF(Data!E14&lt;0,0-Data!E14,0),1)</f>
        <v>6.4</v>
      </c>
      <c r="E14" s="3">
        <f>ROUND(IF(Data!E14&gt;5,Data!E14-5,0),1)</f>
        <v>0</v>
      </c>
      <c r="F14" s="3"/>
      <c r="H14" s="57">
        <v>200008</v>
      </c>
      <c r="I14" s="58">
        <v>0</v>
      </c>
      <c r="J14" s="58">
        <v>165.89999999999998</v>
      </c>
      <c r="K14" s="3"/>
      <c r="L14" s="3">
        <f t="shared" si="2"/>
        <v>200008</v>
      </c>
      <c r="M14" s="3">
        <f t="shared" si="2"/>
        <v>0</v>
      </c>
      <c r="N14" s="3">
        <f t="shared" si="2"/>
        <v>165.89999999999998</v>
      </c>
      <c r="O14" s="3">
        <f t="shared" si="4"/>
        <v>625.79999999999995</v>
      </c>
      <c r="P14" s="3">
        <f t="shared" si="3"/>
        <v>426.39999999999992</v>
      </c>
    </row>
    <row r="15" spans="1:16" x14ac:dyDescent="0.2">
      <c r="A15" s="15">
        <f t="shared" si="1"/>
        <v>36534</v>
      </c>
      <c r="B15" s="1">
        <v>9</v>
      </c>
      <c r="C15" s="3">
        <v>200001</v>
      </c>
      <c r="D15" s="3">
        <f>ROUND(IF(Data!E15&lt;0,0-Data!E15,0),1)</f>
        <v>6.9</v>
      </c>
      <c r="E15" s="3">
        <f>ROUND(IF(Data!E15&gt;5,Data!E15-5,0),1)</f>
        <v>0</v>
      </c>
      <c r="F15" s="3"/>
      <c r="H15" s="57">
        <v>200009</v>
      </c>
      <c r="I15" s="58">
        <v>0.6</v>
      </c>
      <c r="J15" s="58">
        <v>50.000000000000007</v>
      </c>
      <c r="K15" s="3"/>
      <c r="L15" s="3">
        <f t="shared" si="2"/>
        <v>200009</v>
      </c>
      <c r="M15" s="3">
        <f t="shared" si="2"/>
        <v>0.6</v>
      </c>
      <c r="N15" s="3">
        <f t="shared" si="2"/>
        <v>50.000000000000007</v>
      </c>
      <c r="O15" s="3">
        <f t="shared" si="4"/>
        <v>626.4</v>
      </c>
      <c r="P15" s="3">
        <f t="shared" si="3"/>
        <v>476.39999999999992</v>
      </c>
    </row>
    <row r="16" spans="1:16" x14ac:dyDescent="0.2">
      <c r="A16" s="15">
        <f t="shared" si="1"/>
        <v>36535</v>
      </c>
      <c r="B16" s="1">
        <v>10</v>
      </c>
      <c r="C16" s="3">
        <v>200001</v>
      </c>
      <c r="D16" s="3">
        <f>ROUND(IF(Data!E16&lt;0,0-Data!E16,0),1)</f>
        <v>10</v>
      </c>
      <c r="E16" s="3">
        <f>ROUND(IF(Data!E16&gt;5,Data!E16-5,0),1)</f>
        <v>0</v>
      </c>
      <c r="F16" s="3"/>
      <c r="H16" s="57">
        <v>200010</v>
      </c>
      <c r="I16" s="58">
        <v>13.899999999999999</v>
      </c>
      <c r="J16" s="58">
        <v>4.4000000000000004</v>
      </c>
      <c r="K16" s="3"/>
      <c r="L16" s="3">
        <f t="shared" si="2"/>
        <v>200010</v>
      </c>
      <c r="M16" s="3">
        <f t="shared" si="2"/>
        <v>13.899999999999999</v>
      </c>
      <c r="N16" s="3">
        <f t="shared" si="2"/>
        <v>4.4000000000000004</v>
      </c>
      <c r="O16" s="3">
        <f t="shared" si="4"/>
        <v>640.29999999999995</v>
      </c>
      <c r="P16" s="3">
        <f t="shared" si="3"/>
        <v>480.7999999999999</v>
      </c>
    </row>
    <row r="17" spans="1:16" x14ac:dyDescent="0.2">
      <c r="A17" s="15">
        <f t="shared" si="1"/>
        <v>36536</v>
      </c>
      <c r="B17" s="1">
        <v>11</v>
      </c>
      <c r="C17" s="3">
        <v>200001</v>
      </c>
      <c r="D17" s="3">
        <f>ROUND(IF(Data!E17&lt;0,0-Data!E17,0),1)</f>
        <v>11</v>
      </c>
      <c r="E17" s="3">
        <f>ROUND(IF(Data!E17&gt;5,Data!E17-5,0),1)</f>
        <v>0</v>
      </c>
      <c r="F17" s="3"/>
      <c r="H17" s="57">
        <v>200011</v>
      </c>
      <c r="I17" s="58">
        <v>180.10000000000002</v>
      </c>
      <c r="J17" s="58">
        <v>0</v>
      </c>
      <c r="K17" s="3"/>
      <c r="L17" s="3">
        <f t="shared" si="2"/>
        <v>200011</v>
      </c>
      <c r="M17" s="3">
        <f t="shared" si="2"/>
        <v>180.10000000000002</v>
      </c>
      <c r="N17" s="3">
        <f t="shared" si="2"/>
        <v>0</v>
      </c>
      <c r="O17" s="3">
        <f t="shared" si="4"/>
        <v>820.4</v>
      </c>
      <c r="P17" s="3">
        <f t="shared" si="3"/>
        <v>480.7999999999999</v>
      </c>
    </row>
    <row r="18" spans="1:16" x14ac:dyDescent="0.2">
      <c r="A18" s="15">
        <f t="shared" si="1"/>
        <v>36537</v>
      </c>
      <c r="B18" s="1">
        <v>12</v>
      </c>
      <c r="C18" s="3">
        <v>200001</v>
      </c>
      <c r="D18" s="3">
        <f>ROUND(IF(Data!E18&lt;0,0-Data!E18,0),1)</f>
        <v>10.1</v>
      </c>
      <c r="E18" s="3">
        <f>ROUND(IF(Data!E18&gt;5,Data!E18-5,0),1)</f>
        <v>0</v>
      </c>
      <c r="F18" s="3"/>
      <c r="H18" s="57">
        <v>200012</v>
      </c>
      <c r="I18" s="58">
        <v>294.09999999999997</v>
      </c>
      <c r="J18" s="58">
        <v>0</v>
      </c>
      <c r="K18" s="3"/>
      <c r="L18" s="3">
        <f t="shared" si="2"/>
        <v>200012</v>
      </c>
      <c r="M18" s="3">
        <f t="shared" si="2"/>
        <v>294.09999999999997</v>
      </c>
      <c r="N18" s="3">
        <f t="shared" si="2"/>
        <v>0</v>
      </c>
      <c r="O18" s="3">
        <f t="shared" si="4"/>
        <v>1114.5</v>
      </c>
      <c r="P18" s="3">
        <f t="shared" si="3"/>
        <v>480.7999999999999</v>
      </c>
    </row>
    <row r="19" spans="1:16" x14ac:dyDescent="0.2">
      <c r="A19" s="15">
        <f t="shared" si="1"/>
        <v>36538</v>
      </c>
      <c r="B19" s="1">
        <v>13</v>
      </c>
      <c r="C19" s="3">
        <v>200001</v>
      </c>
      <c r="D19" s="3">
        <f>ROUND(IF(Data!E19&lt;0,0-Data!E19,0),1)</f>
        <v>9.8000000000000007</v>
      </c>
      <c r="E19" s="3">
        <f>ROUND(IF(Data!E19&gt;5,Data!E19-5,0),1)</f>
        <v>0</v>
      </c>
      <c r="F19" s="3"/>
      <c r="H19" s="57" t="s">
        <v>183</v>
      </c>
      <c r="I19" s="58">
        <v>1114.5</v>
      </c>
      <c r="J19" s="58">
        <v>480.7999999999999</v>
      </c>
      <c r="K19" s="3"/>
      <c r="L19" s="3"/>
      <c r="M19" s="3"/>
      <c r="N19" s="3"/>
      <c r="O19" s="3"/>
      <c r="P19" s="3"/>
    </row>
    <row r="20" spans="1:16" x14ac:dyDescent="0.2">
      <c r="A20" s="15">
        <f t="shared" si="1"/>
        <v>36539</v>
      </c>
      <c r="B20" s="1">
        <v>14</v>
      </c>
      <c r="C20" s="3">
        <v>200001</v>
      </c>
      <c r="D20" s="3">
        <f>ROUND(IF(Data!E20&lt;0,0-Data!E20,0),1)</f>
        <v>9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f t="shared" si="1"/>
        <v>36540</v>
      </c>
      <c r="B21" s="1">
        <v>15</v>
      </c>
      <c r="C21" s="3">
        <v>200001</v>
      </c>
      <c r="D21" s="3">
        <f>ROUND(IF(Data!E21&lt;0,0-Data!E21,0),1)</f>
        <v>9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f t="shared" si="1"/>
        <v>36541</v>
      </c>
      <c r="B22" s="1">
        <v>16</v>
      </c>
      <c r="C22" s="3">
        <v>200001</v>
      </c>
      <c r="D22" s="3">
        <f>ROUND(IF(Data!E22&lt;0,0-Data!E22,0),1)</f>
        <v>10.8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f t="shared" si="1"/>
        <v>36542</v>
      </c>
      <c r="B23" s="1">
        <v>17</v>
      </c>
      <c r="C23" s="3">
        <v>200001</v>
      </c>
      <c r="D23" s="3">
        <f>ROUND(IF(Data!E23&lt;0,0-Data!E23,0),1)</f>
        <v>7.6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f t="shared" si="1"/>
        <v>36543</v>
      </c>
      <c r="B24" s="1">
        <v>18</v>
      </c>
      <c r="C24" s="3">
        <v>200001</v>
      </c>
      <c r="D24" s="3">
        <f>ROUND(IF(Data!E24&lt;0,0-Data!E24,0),1)</f>
        <v>9.8000000000000007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f t="shared" si="1"/>
        <v>36544</v>
      </c>
      <c r="B25" s="1">
        <v>19</v>
      </c>
      <c r="C25" s="3">
        <v>200001</v>
      </c>
      <c r="D25" s="3">
        <f>ROUND(IF(Data!E25&lt;0,0-Data!E25,0),1)</f>
        <v>13.9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f t="shared" si="1"/>
        <v>36545</v>
      </c>
      <c r="B26" s="1">
        <v>20</v>
      </c>
      <c r="C26" s="3">
        <v>200001</v>
      </c>
      <c r="D26" s="3">
        <f>ROUND(IF(Data!E26&lt;0,0-Data!E26,0),1)</f>
        <v>17.2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f t="shared" si="1"/>
        <v>36546</v>
      </c>
      <c r="B27" s="1">
        <v>21</v>
      </c>
      <c r="C27" s="3">
        <v>200001</v>
      </c>
      <c r="D27" s="3">
        <f>ROUND(IF(Data!E27&lt;0,0-Data!E27,0),1)</f>
        <v>11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f t="shared" si="1"/>
        <v>36547</v>
      </c>
      <c r="B28" s="1">
        <v>22</v>
      </c>
      <c r="C28" s="3">
        <v>200001</v>
      </c>
      <c r="D28" s="3">
        <f>ROUND(IF(Data!E28&lt;0,0-Data!E28,0),1)</f>
        <v>8.4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f t="shared" si="1"/>
        <v>36548</v>
      </c>
      <c r="B29" s="1">
        <v>23</v>
      </c>
      <c r="C29" s="3">
        <v>200001</v>
      </c>
      <c r="D29" s="3">
        <f>ROUND(IF(Data!E29&lt;0,0-Data!E29,0),1)</f>
        <v>8.4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f t="shared" si="1"/>
        <v>36549</v>
      </c>
      <c r="B30" s="1">
        <v>24</v>
      </c>
      <c r="C30" s="3">
        <v>200001</v>
      </c>
      <c r="D30" s="3">
        <f>ROUND(IF(Data!E30&lt;0,0-Data!E30,0),1)</f>
        <v>10.1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f t="shared" si="1"/>
        <v>36550</v>
      </c>
      <c r="B31" s="1">
        <v>25</v>
      </c>
      <c r="C31" s="3">
        <v>200001</v>
      </c>
      <c r="D31" s="3">
        <f>ROUND(IF(Data!E31&lt;0,0-Data!E31,0),1)</f>
        <v>12.9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f t="shared" si="1"/>
        <v>36551</v>
      </c>
      <c r="B32" s="1">
        <v>26</v>
      </c>
      <c r="C32" s="3">
        <v>200001</v>
      </c>
      <c r="D32" s="3">
        <f>ROUND(IF(Data!E32&lt;0,0-Data!E32,0),1)</f>
        <v>8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f t="shared" si="1"/>
        <v>36552</v>
      </c>
      <c r="B33" s="1">
        <v>27</v>
      </c>
      <c r="C33" s="3">
        <v>200001</v>
      </c>
      <c r="D33" s="3">
        <f>ROUND(IF(Data!E33&lt;0,0-Data!E33,0),1)</f>
        <v>6.8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f t="shared" si="1"/>
        <v>36553</v>
      </c>
      <c r="B34" s="1">
        <v>28</v>
      </c>
      <c r="C34" s="3">
        <v>200001</v>
      </c>
      <c r="D34" s="3">
        <f>ROUND(IF(Data!E34&lt;0,0-Data!E34,0),1)</f>
        <v>10.3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f t="shared" si="1"/>
        <v>36554</v>
      </c>
      <c r="B35" s="1">
        <v>29</v>
      </c>
      <c r="C35" s="3">
        <v>200001</v>
      </c>
      <c r="D35" s="3">
        <f>ROUND(IF(Data!E35&lt;0,0-Data!E35,0),1)</f>
        <v>10.6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f t="shared" si="1"/>
        <v>36555</v>
      </c>
      <c r="B36" s="1">
        <v>30</v>
      </c>
      <c r="C36" s="3">
        <v>200001</v>
      </c>
      <c r="D36" s="3">
        <f>ROUND(IF(Data!E36&lt;0,0-Data!E36,0),1)</f>
        <v>13.7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f t="shared" si="1"/>
        <v>36556</v>
      </c>
      <c r="B37" s="1">
        <v>31</v>
      </c>
      <c r="C37" s="3">
        <v>200001</v>
      </c>
      <c r="D37" s="3">
        <f>ROUND(IF(Data!E37&lt;0,0-Data!E37,0),1)</f>
        <v>11.4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f t="shared" si="1"/>
        <v>36557</v>
      </c>
      <c r="B38" s="1">
        <v>32</v>
      </c>
      <c r="C38" s="3">
        <v>200002</v>
      </c>
      <c r="D38" s="3">
        <f>ROUND(IF(Data!E38&lt;0,0-Data!E38,0),1)</f>
        <v>8.4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f t="shared" si="1"/>
        <v>36558</v>
      </c>
      <c r="B39" s="1">
        <v>33</v>
      </c>
      <c r="C39" s="3">
        <v>200002</v>
      </c>
      <c r="D39" s="3">
        <f>ROUND(IF(Data!E39&lt;0,0-Data!E39,0),1)</f>
        <v>6.3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f t="shared" si="1"/>
        <v>36559</v>
      </c>
      <c r="B40" s="1">
        <v>34</v>
      </c>
      <c r="C40" s="3">
        <v>200002</v>
      </c>
      <c r="D40" s="3">
        <f>ROUND(IF(Data!E40&lt;0,0-Data!E40,0),1)</f>
        <v>6.8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f t="shared" si="1"/>
        <v>36560</v>
      </c>
      <c r="B41" s="1">
        <v>35</v>
      </c>
      <c r="C41" s="3">
        <v>200002</v>
      </c>
      <c r="D41" s="3">
        <f>ROUND(IF(Data!E41&lt;0,0-Data!E41,0),1)</f>
        <v>9.4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f t="shared" si="1"/>
        <v>36561</v>
      </c>
      <c r="B42" s="1">
        <v>36</v>
      </c>
      <c r="C42" s="3">
        <v>200002</v>
      </c>
      <c r="D42" s="3">
        <f>ROUND(IF(Data!E42&lt;0,0-Data!E42,0),1)</f>
        <v>7.7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f t="shared" si="1"/>
        <v>36562</v>
      </c>
      <c r="B43" s="1">
        <v>37</v>
      </c>
      <c r="C43" s="3">
        <v>200002</v>
      </c>
      <c r="D43" s="3">
        <f>ROUND(IF(Data!E43&lt;0,0-Data!E43,0),1)</f>
        <v>7.8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f t="shared" si="1"/>
        <v>36563</v>
      </c>
      <c r="B44" s="1">
        <v>38</v>
      </c>
      <c r="C44" s="3">
        <v>200002</v>
      </c>
      <c r="D44" s="3">
        <f>ROUND(IF(Data!E44&lt;0,0-Data!E44,0),1)</f>
        <v>6.8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f t="shared" si="1"/>
        <v>36564</v>
      </c>
      <c r="B45" s="1">
        <v>39</v>
      </c>
      <c r="C45" s="3">
        <v>200002</v>
      </c>
      <c r="D45" s="3">
        <f>ROUND(IF(Data!E45&lt;0,0-Data!E45,0),1)</f>
        <v>6.3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f t="shared" si="1"/>
        <v>36565</v>
      </c>
      <c r="B46" s="1">
        <v>40</v>
      </c>
      <c r="C46" s="3">
        <v>200002</v>
      </c>
      <c r="D46" s="3">
        <f>ROUND(IF(Data!E46&lt;0,0-Data!E46,0),1)</f>
        <v>5.9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f t="shared" si="1"/>
        <v>36566</v>
      </c>
      <c r="B47" s="1">
        <v>41</v>
      </c>
      <c r="C47" s="3">
        <v>200002</v>
      </c>
      <c r="D47" s="3">
        <f>ROUND(IF(Data!E47&lt;0,0-Data!E47,0),1)</f>
        <v>5.0999999999999996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f t="shared" si="1"/>
        <v>36567</v>
      </c>
      <c r="B48" s="1">
        <v>42</v>
      </c>
      <c r="C48" s="3">
        <v>200002</v>
      </c>
      <c r="D48" s="3">
        <f>ROUND(IF(Data!E48&lt;0,0-Data!E48,0),1)</f>
        <v>6.3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f t="shared" si="1"/>
        <v>36568</v>
      </c>
      <c r="B49" s="1">
        <v>43</v>
      </c>
      <c r="C49" s="3">
        <v>200002</v>
      </c>
      <c r="D49" s="3">
        <f>ROUND(IF(Data!E49&lt;0,0-Data!E49,0),1)</f>
        <v>6.4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f t="shared" si="1"/>
        <v>36569</v>
      </c>
      <c r="B50" s="1">
        <v>44</v>
      </c>
      <c r="C50" s="3">
        <v>200002</v>
      </c>
      <c r="D50" s="3">
        <f>ROUND(IF(Data!E50&lt;0,0-Data!E50,0),1)</f>
        <v>8.1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f t="shared" si="1"/>
        <v>36570</v>
      </c>
      <c r="B51" s="1">
        <v>45</v>
      </c>
      <c r="C51" s="3">
        <v>200002</v>
      </c>
      <c r="D51" s="3">
        <f>ROUND(IF(Data!E51&lt;0,0-Data!E51,0),1)</f>
        <v>13.1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f t="shared" si="1"/>
        <v>36571</v>
      </c>
      <c r="B52" s="1">
        <v>46</v>
      </c>
      <c r="C52" s="3">
        <v>200002</v>
      </c>
      <c r="D52" s="3">
        <f>ROUND(IF(Data!E52&lt;0,0-Data!E52,0),1)</f>
        <v>7.8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f t="shared" si="1"/>
        <v>36572</v>
      </c>
      <c r="B53" s="1">
        <v>47</v>
      </c>
      <c r="C53" s="3">
        <v>200002</v>
      </c>
      <c r="D53" s="3">
        <f>ROUND(IF(Data!E53&lt;0,0-Data!E53,0),1)</f>
        <v>8.6999999999999993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f t="shared" si="1"/>
        <v>36573</v>
      </c>
      <c r="B54" s="1">
        <v>48</v>
      </c>
      <c r="C54" s="3">
        <v>200002</v>
      </c>
      <c r="D54" s="3">
        <f>ROUND(IF(Data!E54&lt;0,0-Data!E54,0),1)</f>
        <v>11.3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f t="shared" si="1"/>
        <v>36574</v>
      </c>
      <c r="B55" s="1">
        <v>49</v>
      </c>
      <c r="C55" s="3">
        <v>200002</v>
      </c>
      <c r="D55" s="3">
        <f>ROUND(IF(Data!E55&lt;0,0-Data!E55,0),1)</f>
        <v>11.6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f t="shared" si="1"/>
        <v>36575</v>
      </c>
      <c r="B56" s="1">
        <v>50</v>
      </c>
      <c r="C56" s="3">
        <v>200002</v>
      </c>
      <c r="D56" s="3">
        <f>ROUND(IF(Data!E56&lt;0,0-Data!E56,0),1)</f>
        <v>9.4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f t="shared" si="1"/>
        <v>36576</v>
      </c>
      <c r="B57" s="1">
        <v>51</v>
      </c>
      <c r="C57" s="3">
        <v>200002</v>
      </c>
      <c r="D57" s="3">
        <f>ROUND(IF(Data!E57&lt;0,0-Data!E57,0),1)</f>
        <v>9.1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f t="shared" si="1"/>
        <v>36577</v>
      </c>
      <c r="B58" s="1">
        <v>52</v>
      </c>
      <c r="C58" s="3">
        <v>200002</v>
      </c>
      <c r="D58" s="3">
        <f>ROUND(IF(Data!E58&lt;0,0-Data!E58,0),1)</f>
        <v>7.4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f t="shared" si="1"/>
        <v>36578</v>
      </c>
      <c r="B59" s="1">
        <v>53</v>
      </c>
      <c r="C59" s="3">
        <v>200002</v>
      </c>
      <c r="D59" s="3">
        <f>ROUND(IF(Data!E59&lt;0,0-Data!E59,0),1)</f>
        <v>5.7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f t="shared" si="1"/>
        <v>36579</v>
      </c>
      <c r="B60" s="1">
        <v>54</v>
      </c>
      <c r="C60" s="3">
        <v>200002</v>
      </c>
      <c r="D60" s="3">
        <f>ROUND(IF(Data!E60&lt;0,0-Data!E60,0),1)</f>
        <v>3.9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f t="shared" si="1"/>
        <v>36580</v>
      </c>
      <c r="B61" s="1">
        <v>55</v>
      </c>
      <c r="C61" s="3">
        <v>200002</v>
      </c>
      <c r="D61" s="3">
        <f>ROUND(IF(Data!E61&lt;0,0-Data!E61,0),1)</f>
        <v>4.4000000000000004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f t="shared" si="1"/>
        <v>36581</v>
      </c>
      <c r="B62" s="1">
        <v>56</v>
      </c>
      <c r="C62" s="3">
        <v>200002</v>
      </c>
      <c r="D62" s="3">
        <f>ROUND(IF(Data!E62&lt;0,0-Data!E62,0),1)</f>
        <v>5.4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f t="shared" si="1"/>
        <v>36582</v>
      </c>
      <c r="B63" s="1">
        <v>57</v>
      </c>
      <c r="C63" s="3">
        <v>200002</v>
      </c>
      <c r="D63" s="3">
        <f>ROUND(IF(Data!E63&lt;0,0-Data!E63,0),1)</f>
        <v>5.5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f t="shared" si="1"/>
        <v>36583</v>
      </c>
      <c r="B64" s="1">
        <v>58</v>
      </c>
      <c r="C64" s="3">
        <v>200002</v>
      </c>
      <c r="D64" s="3">
        <f>ROUND(IF(Data!E64&lt;0,0-Data!E64,0),1)</f>
        <v>7.1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f t="shared" si="1"/>
        <v>36584</v>
      </c>
      <c r="B65" s="1">
        <v>59</v>
      </c>
      <c r="C65" s="3">
        <v>200002</v>
      </c>
      <c r="D65" s="3">
        <f>ROUND(IF(Data!E65&lt;0,0-Data!E65,0),1)</f>
        <v>3.9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f t="shared" si="1"/>
        <v>36585</v>
      </c>
      <c r="B66" s="1">
        <v>60</v>
      </c>
      <c r="C66" s="3">
        <v>200002</v>
      </c>
      <c r="D66" s="3">
        <f>ROUND(IF(Data!E66&lt;0,0-Data!E66,0),1)</f>
        <v>4.4000000000000004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f t="shared" si="1"/>
        <v>36586</v>
      </c>
      <c r="B67" s="1">
        <v>61</v>
      </c>
      <c r="C67" s="3">
        <v>200003</v>
      </c>
      <c r="D67" s="3">
        <f>ROUND(IF(Data!E67&lt;0,0-Data!E67,0),1)</f>
        <v>3.6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f t="shared" si="1"/>
        <v>36587</v>
      </c>
      <c r="B68" s="1">
        <v>62</v>
      </c>
      <c r="C68" s="3">
        <v>200003</v>
      </c>
      <c r="D68" s="3">
        <f>ROUND(IF(Data!E68&lt;0,0-Data!E68,0),1)</f>
        <v>1.7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f t="shared" si="1"/>
        <v>36588</v>
      </c>
      <c r="B69" s="1">
        <v>63</v>
      </c>
      <c r="C69" s="3">
        <v>200003</v>
      </c>
      <c r="D69" s="3">
        <f>ROUND(IF(Data!E69&lt;0,0-Data!E69,0),1)</f>
        <v>2.1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f t="shared" si="1"/>
        <v>36589</v>
      </c>
      <c r="B70" s="1">
        <v>64</v>
      </c>
      <c r="C70" s="3">
        <v>200003</v>
      </c>
      <c r="D70" s="3">
        <f>ROUND(IF(Data!E70&lt;0,0-Data!E70,0),1)</f>
        <v>3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f t="shared" si="1"/>
        <v>36590</v>
      </c>
      <c r="B71" s="1">
        <v>65</v>
      </c>
      <c r="C71" s="3">
        <v>200003</v>
      </c>
      <c r="D71" s="3">
        <f>ROUND(IF(Data!E71&lt;0,0-Data!E71,0),1)</f>
        <v>6.6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f t="shared" ref="A72:A135" si="5">A71+1</f>
        <v>36591</v>
      </c>
      <c r="B72" s="1">
        <v>66</v>
      </c>
      <c r="C72" s="3">
        <v>200003</v>
      </c>
      <c r="D72" s="3">
        <f>ROUND(IF(Data!E72&lt;0,0-Data!E72,0),1)</f>
        <v>7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f t="shared" si="5"/>
        <v>36592</v>
      </c>
      <c r="B73" s="1">
        <v>67</v>
      </c>
      <c r="C73" s="3">
        <v>200003</v>
      </c>
      <c r="D73" s="3">
        <f>ROUND(IF(Data!E73&lt;0,0-Data!E73,0),1)</f>
        <v>8.9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f t="shared" si="5"/>
        <v>36593</v>
      </c>
      <c r="B74" s="1">
        <v>68</v>
      </c>
      <c r="C74" s="3">
        <v>200003</v>
      </c>
      <c r="D74" s="3">
        <f>ROUND(IF(Data!E74&lt;0,0-Data!E74,0),1)</f>
        <v>3.4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f t="shared" si="5"/>
        <v>36594</v>
      </c>
      <c r="B75" s="1">
        <v>69</v>
      </c>
      <c r="C75" s="3">
        <v>200003</v>
      </c>
      <c r="D75" s="3">
        <f>ROUND(IF(Data!E75&lt;0,0-Data!E75,0),1)</f>
        <v>1.5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f t="shared" si="5"/>
        <v>36595</v>
      </c>
      <c r="B76" s="1">
        <v>70</v>
      </c>
      <c r="C76" s="3">
        <v>200003</v>
      </c>
      <c r="D76" s="3">
        <f>ROUND(IF(Data!E76&lt;0,0-Data!E76,0),1)</f>
        <v>0.8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f t="shared" si="5"/>
        <v>36596</v>
      </c>
      <c r="B77" s="1">
        <v>71</v>
      </c>
      <c r="C77" s="3">
        <v>200003</v>
      </c>
      <c r="D77" s="3">
        <f>ROUND(IF(Data!E77&lt;0,0-Data!E77,0),1)</f>
        <v>1.6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f t="shared" si="5"/>
        <v>36597</v>
      </c>
      <c r="B78" s="1">
        <v>72</v>
      </c>
      <c r="C78" s="3">
        <v>200003</v>
      </c>
      <c r="D78" s="3">
        <f>ROUND(IF(Data!E78&lt;0,0-Data!E78,0),1)</f>
        <v>3.8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f t="shared" si="5"/>
        <v>36598</v>
      </c>
      <c r="B79" s="1">
        <v>73</v>
      </c>
      <c r="C79" s="3">
        <v>200003</v>
      </c>
      <c r="D79" s="3">
        <f>ROUND(IF(Data!E79&lt;0,0-Data!E79,0),1)</f>
        <v>2.2999999999999998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f t="shared" si="5"/>
        <v>36599</v>
      </c>
      <c r="B80" s="1">
        <v>74</v>
      </c>
      <c r="C80" s="3">
        <v>200003</v>
      </c>
      <c r="D80" s="3">
        <f>ROUND(IF(Data!E80&lt;0,0-Data!E80,0),1)</f>
        <v>2.8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f t="shared" si="5"/>
        <v>36600</v>
      </c>
      <c r="B81" s="1">
        <v>75</v>
      </c>
      <c r="C81" s="3">
        <v>200003</v>
      </c>
      <c r="D81" s="3">
        <f>ROUND(IF(Data!E81&lt;0,0-Data!E81,0),1)</f>
        <v>3.5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f t="shared" si="5"/>
        <v>36601</v>
      </c>
      <c r="B82" s="1">
        <v>76</v>
      </c>
      <c r="C82" s="3">
        <v>200003</v>
      </c>
      <c r="D82" s="3">
        <f>ROUND(IF(Data!E82&lt;0,0-Data!E82,0),1)</f>
        <v>2.2999999999999998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f t="shared" si="5"/>
        <v>36602</v>
      </c>
      <c r="B83" s="1">
        <v>77</v>
      </c>
      <c r="C83" s="3">
        <v>200003</v>
      </c>
      <c r="D83" s="3">
        <f>ROUND(IF(Data!E83&lt;0,0-Data!E83,0),1)</f>
        <v>4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f t="shared" si="5"/>
        <v>36603</v>
      </c>
      <c r="B84" s="1">
        <v>78</v>
      </c>
      <c r="C84" s="3">
        <v>200003</v>
      </c>
      <c r="D84" s="3">
        <f>ROUND(IF(Data!E84&lt;0,0-Data!E84,0),1)</f>
        <v>2.7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f t="shared" si="5"/>
        <v>36604</v>
      </c>
      <c r="B85" s="1">
        <v>79</v>
      </c>
      <c r="C85" s="3">
        <v>200003</v>
      </c>
      <c r="D85" s="3">
        <f>ROUND(IF(Data!E85&lt;0,0-Data!E85,0),1)</f>
        <v>5.0999999999999996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f t="shared" si="5"/>
        <v>36605</v>
      </c>
      <c r="B86" s="1">
        <v>80</v>
      </c>
      <c r="C86" s="3">
        <v>200003</v>
      </c>
      <c r="D86" s="3">
        <f>ROUND(IF(Data!E86&lt;0,0-Data!E86,0),1)</f>
        <v>6.8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f t="shared" si="5"/>
        <v>36606</v>
      </c>
      <c r="B87" s="1">
        <v>81</v>
      </c>
      <c r="C87" s="3">
        <v>200003</v>
      </c>
      <c r="D87" s="3">
        <f>ROUND(IF(Data!E87&lt;0,0-Data!E87,0),1)</f>
        <v>0.6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f t="shared" si="5"/>
        <v>36607</v>
      </c>
      <c r="B88" s="1">
        <v>82</v>
      </c>
      <c r="C88" s="3">
        <v>200003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f t="shared" si="5"/>
        <v>36608</v>
      </c>
      <c r="B89" s="1">
        <v>83</v>
      </c>
      <c r="C89" s="3">
        <v>200003</v>
      </c>
      <c r="D89" s="3">
        <f>ROUND(IF(Data!E89&lt;0,0-Data!E89,0),1)</f>
        <v>2.8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f t="shared" si="5"/>
        <v>36609</v>
      </c>
      <c r="B90" s="1">
        <v>84</v>
      </c>
      <c r="C90" s="3">
        <v>200003</v>
      </c>
      <c r="D90" s="3">
        <f>ROUND(IF(Data!E90&lt;0,0-Data!E90,0),1)</f>
        <v>2.2999999999999998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f t="shared" si="5"/>
        <v>36610</v>
      </c>
      <c r="B91" s="1">
        <v>85</v>
      </c>
      <c r="C91" s="3">
        <v>200003</v>
      </c>
      <c r="D91" s="3">
        <f>ROUND(IF(Data!E91&lt;0,0-Data!E91,0),1)</f>
        <v>2.9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f t="shared" si="5"/>
        <v>36611</v>
      </c>
      <c r="B92" s="1">
        <v>86</v>
      </c>
      <c r="C92" s="3">
        <v>200003</v>
      </c>
      <c r="D92" s="3">
        <f>ROUND(IF(Data!E92&lt;0,0-Data!E92,0),1)</f>
        <v>1.4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f t="shared" si="5"/>
        <v>36612</v>
      </c>
      <c r="B93" s="1">
        <v>87</v>
      </c>
      <c r="C93" s="3">
        <v>200003</v>
      </c>
      <c r="D93" s="3">
        <f>ROUND(IF(Data!E93&lt;0,0-Data!E93,0),1)</f>
        <v>0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f t="shared" si="5"/>
        <v>36613</v>
      </c>
      <c r="B94" s="1">
        <v>88</v>
      </c>
      <c r="C94" s="3">
        <v>200003</v>
      </c>
      <c r="D94" s="3">
        <f>ROUND(IF(Data!E94&lt;0,0-Data!E94,0),1)</f>
        <v>2.5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f t="shared" si="5"/>
        <v>36614</v>
      </c>
      <c r="B95" s="1">
        <v>89</v>
      </c>
      <c r="C95" s="3">
        <v>200003</v>
      </c>
      <c r="D95" s="3">
        <f>ROUND(IF(Data!E95&lt;0,0-Data!E95,0),1)</f>
        <v>3.9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f t="shared" si="5"/>
        <v>36615</v>
      </c>
      <c r="B96" s="1">
        <v>90</v>
      </c>
      <c r="C96" s="3">
        <v>200003</v>
      </c>
      <c r="D96" s="3">
        <f>ROUND(IF(Data!E96&lt;0,0-Data!E96,0),1)</f>
        <v>4.3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f t="shared" si="5"/>
        <v>36616</v>
      </c>
      <c r="B97" s="1">
        <v>91</v>
      </c>
      <c r="C97" s="3">
        <v>200003</v>
      </c>
      <c r="D97" s="3">
        <f>ROUND(IF(Data!E97&lt;0,0-Data!E97,0),1)</f>
        <v>0.5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f t="shared" si="5"/>
        <v>36617</v>
      </c>
      <c r="B98" s="1">
        <v>92</v>
      </c>
      <c r="C98" s="3">
        <v>200004</v>
      </c>
      <c r="D98" s="3">
        <f>ROUND(IF(Data!E98&lt;0,0-Data!E98,0),1)</f>
        <v>0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f t="shared" si="5"/>
        <v>36618</v>
      </c>
      <c r="B99" s="1">
        <v>93</v>
      </c>
      <c r="C99" s="3">
        <v>200004</v>
      </c>
      <c r="D99" s="3">
        <f>ROUND(IF(Data!E99&lt;0,0-Data!E99,0),1)</f>
        <v>0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f t="shared" si="5"/>
        <v>36619</v>
      </c>
      <c r="B100" s="1">
        <v>94</v>
      </c>
      <c r="C100" s="3">
        <v>200004</v>
      </c>
      <c r="D100" s="3">
        <f>ROUND(IF(Data!E100&lt;0,0-Data!E100,0),1)</f>
        <v>0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f t="shared" si="5"/>
        <v>36620</v>
      </c>
      <c r="B101" s="1">
        <v>95</v>
      </c>
      <c r="C101" s="3">
        <v>200004</v>
      </c>
      <c r="D101" s="3">
        <f>ROUND(IF(Data!E101&lt;0,0-Data!E101,0),1)</f>
        <v>0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f t="shared" si="5"/>
        <v>36621</v>
      </c>
      <c r="B102" s="1">
        <v>96</v>
      </c>
      <c r="C102" s="3">
        <v>200004</v>
      </c>
      <c r="D102" s="3">
        <f>ROUND(IF(Data!E102&lt;0,0-Data!E102,0),1)</f>
        <v>2.9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f t="shared" si="5"/>
        <v>36622</v>
      </c>
      <c r="B103" s="1">
        <v>97</v>
      </c>
      <c r="C103" s="3">
        <v>200004</v>
      </c>
      <c r="D103" s="3">
        <f>ROUND(IF(Data!E103&lt;0,0-Data!E103,0),1)</f>
        <v>5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f t="shared" si="5"/>
        <v>36623</v>
      </c>
      <c r="B104" s="1">
        <v>98</v>
      </c>
      <c r="C104" s="3">
        <v>200004</v>
      </c>
      <c r="D104" s="3">
        <f>ROUND(IF(Data!E104&lt;0,0-Data!E104,0),1)</f>
        <v>3.8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f t="shared" si="5"/>
        <v>36624</v>
      </c>
      <c r="B105" s="1">
        <v>99</v>
      </c>
      <c r="C105" s="3">
        <v>200004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f t="shared" si="5"/>
        <v>36625</v>
      </c>
      <c r="B106" s="1">
        <v>100</v>
      </c>
      <c r="C106" s="3">
        <v>200004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f t="shared" si="5"/>
        <v>36626</v>
      </c>
      <c r="B107" s="1">
        <v>101</v>
      </c>
      <c r="C107" s="3">
        <v>200004</v>
      </c>
      <c r="D107" s="3">
        <f>ROUND(IF(Data!E107&lt;0,0-Data!E107,0),1)</f>
        <v>0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f t="shared" si="5"/>
        <v>36627</v>
      </c>
      <c r="B108" s="1">
        <v>102</v>
      </c>
      <c r="C108" s="3">
        <v>200004</v>
      </c>
      <c r="D108" s="3">
        <f>ROUND(IF(Data!E108&lt;0,0-Data!E108,0),1)</f>
        <v>0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f t="shared" si="5"/>
        <v>36628</v>
      </c>
      <c r="B109" s="1">
        <v>103</v>
      </c>
      <c r="C109" s="3">
        <v>200004</v>
      </c>
      <c r="D109" s="3">
        <f>ROUND(IF(Data!E109&lt;0,0-Data!E109,0),1)</f>
        <v>0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f t="shared" si="5"/>
        <v>36629</v>
      </c>
      <c r="B110" s="1">
        <v>104</v>
      </c>
      <c r="C110" s="3">
        <v>200004</v>
      </c>
      <c r="D110" s="3">
        <f>ROUND(IF(Data!E110&lt;0,0-Data!E110,0),1)</f>
        <v>0.2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f t="shared" si="5"/>
        <v>36630</v>
      </c>
      <c r="B111" s="1">
        <v>105</v>
      </c>
      <c r="C111" s="3">
        <v>200004</v>
      </c>
      <c r="D111" s="3">
        <f>ROUND(IF(Data!E111&lt;0,0-Data!E111,0),1)</f>
        <v>2.9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f t="shared" si="5"/>
        <v>36631</v>
      </c>
      <c r="B112" s="1">
        <v>106</v>
      </c>
      <c r="C112" s="3">
        <v>200004</v>
      </c>
      <c r="D112" s="3">
        <f>ROUND(IF(Data!E112&lt;0,0-Data!E112,0),1)</f>
        <v>0.1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f t="shared" si="5"/>
        <v>36632</v>
      </c>
      <c r="B113" s="1">
        <v>107</v>
      </c>
      <c r="C113" s="3">
        <v>200004</v>
      </c>
      <c r="D113" s="3">
        <f>ROUND(IF(Data!E113&lt;0,0-Data!E113,0),1)</f>
        <v>0.1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f t="shared" si="5"/>
        <v>36633</v>
      </c>
      <c r="B114" s="1">
        <v>108</v>
      </c>
      <c r="C114" s="3">
        <v>200004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f t="shared" si="5"/>
        <v>36634</v>
      </c>
      <c r="B115" s="1">
        <v>109</v>
      </c>
      <c r="C115" s="3">
        <v>200004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f t="shared" si="5"/>
        <v>36635</v>
      </c>
      <c r="B116" s="1">
        <v>110</v>
      </c>
      <c r="C116" s="3">
        <v>200004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f t="shared" si="5"/>
        <v>36636</v>
      </c>
      <c r="B117" s="1">
        <v>111</v>
      </c>
      <c r="C117" s="3">
        <v>200004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f t="shared" si="5"/>
        <v>36637</v>
      </c>
      <c r="B118" s="1">
        <v>112</v>
      </c>
      <c r="C118" s="3">
        <v>200004</v>
      </c>
      <c r="D118" s="3">
        <f>ROUND(IF(Data!E118&lt;0,0-Data!E118,0),1)</f>
        <v>0</v>
      </c>
      <c r="E118" s="3">
        <f>ROUND(IF(Data!E118&gt;5,Data!E118-5,0),1)</f>
        <v>1.4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f t="shared" si="5"/>
        <v>36638</v>
      </c>
      <c r="B119" s="1">
        <v>113</v>
      </c>
      <c r="C119" s="3">
        <v>200004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f t="shared" si="5"/>
        <v>36639</v>
      </c>
      <c r="B120" s="1">
        <v>114</v>
      </c>
      <c r="C120" s="3">
        <v>200004</v>
      </c>
      <c r="D120" s="3">
        <f>ROUND(IF(Data!E120&lt;0,0-Data!E120,0),1)</f>
        <v>0.2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f t="shared" si="5"/>
        <v>36640</v>
      </c>
      <c r="B121" s="1">
        <v>115</v>
      </c>
      <c r="C121" s="3">
        <v>200004</v>
      </c>
      <c r="D121" s="3">
        <f>ROUND(IF(Data!E121&lt;0,0-Data!E121,0),1)</f>
        <v>3.2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f t="shared" si="5"/>
        <v>36641</v>
      </c>
      <c r="B122" s="1">
        <v>116</v>
      </c>
      <c r="C122" s="3">
        <v>200004</v>
      </c>
      <c r="D122" s="3">
        <f>ROUND(IF(Data!E122&lt;0,0-Data!E122,0),1)</f>
        <v>1.2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f t="shared" si="5"/>
        <v>36642</v>
      </c>
      <c r="B123" s="1">
        <v>117</v>
      </c>
      <c r="C123" s="3">
        <v>200004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f t="shared" si="5"/>
        <v>36643</v>
      </c>
      <c r="B124" s="1">
        <v>118</v>
      </c>
      <c r="C124" s="3">
        <v>200004</v>
      </c>
      <c r="D124" s="3">
        <f>ROUND(IF(Data!E124&lt;0,0-Data!E124,0),1)</f>
        <v>0</v>
      </c>
      <c r="E124" s="3">
        <f>ROUND(IF(Data!E124&gt;5,Data!E124-5,0),1)</f>
        <v>4.0999999999999996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f t="shared" si="5"/>
        <v>36644</v>
      </c>
      <c r="B125" s="1">
        <v>119</v>
      </c>
      <c r="C125" s="3">
        <v>200004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f t="shared" si="5"/>
        <v>36645</v>
      </c>
      <c r="B126" s="1">
        <v>120</v>
      </c>
      <c r="C126" s="3">
        <v>200004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f t="shared" si="5"/>
        <v>36646</v>
      </c>
      <c r="B127" s="1">
        <v>121</v>
      </c>
      <c r="C127" s="3">
        <v>200004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f t="shared" si="5"/>
        <v>36647</v>
      </c>
      <c r="B128" s="1">
        <v>122</v>
      </c>
      <c r="C128" s="3">
        <v>200005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f t="shared" si="5"/>
        <v>36648</v>
      </c>
      <c r="B129" s="1">
        <v>123</v>
      </c>
      <c r="C129" s="3">
        <v>200005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f t="shared" si="5"/>
        <v>36649</v>
      </c>
      <c r="B130" s="1">
        <v>124</v>
      </c>
      <c r="C130" s="3">
        <v>200005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f t="shared" si="5"/>
        <v>36650</v>
      </c>
      <c r="B131" s="1">
        <v>125</v>
      </c>
      <c r="C131" s="3">
        <v>200005</v>
      </c>
      <c r="D131" s="3">
        <f>ROUND(IF(Data!E131&lt;0,0-Data!E131,0),1)</f>
        <v>1.3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f t="shared" si="5"/>
        <v>36651</v>
      </c>
      <c r="B132" s="1">
        <v>126</v>
      </c>
      <c r="C132" s="3">
        <v>200005</v>
      </c>
      <c r="D132" s="3">
        <f>ROUND(IF(Data!E132&lt;0,0-Data!E132,0),1)</f>
        <v>1.5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f t="shared" si="5"/>
        <v>36652</v>
      </c>
      <c r="B133" s="1">
        <v>127</v>
      </c>
      <c r="C133" s="3">
        <v>200005</v>
      </c>
      <c r="D133" s="3">
        <f>ROUND(IF(Data!E133&lt;0,0-Data!E133,0),1)</f>
        <v>1.8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f t="shared" si="5"/>
        <v>36653</v>
      </c>
      <c r="B134" s="1">
        <v>128</v>
      </c>
      <c r="C134" s="3">
        <v>200005</v>
      </c>
      <c r="D134" s="3">
        <f>ROUND(IF(Data!E134&lt;0,0-Data!E134,0),1)</f>
        <v>1.2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f t="shared" si="5"/>
        <v>36654</v>
      </c>
      <c r="B135" s="1">
        <v>129</v>
      </c>
      <c r="C135" s="3">
        <v>200005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f t="shared" ref="A136:A199" si="6">A135+1</f>
        <v>36655</v>
      </c>
      <c r="B136" s="1">
        <v>130</v>
      </c>
      <c r="C136" s="3">
        <v>200005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f t="shared" si="6"/>
        <v>36656</v>
      </c>
      <c r="B137" s="1">
        <v>131</v>
      </c>
      <c r="C137" s="3">
        <v>200005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f t="shared" si="6"/>
        <v>36657</v>
      </c>
      <c r="B138" s="1">
        <v>132</v>
      </c>
      <c r="C138" s="3">
        <v>200005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f t="shared" si="6"/>
        <v>36658</v>
      </c>
      <c r="B139" s="1">
        <v>133</v>
      </c>
      <c r="C139" s="3">
        <v>200005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f t="shared" si="6"/>
        <v>36659</v>
      </c>
      <c r="B140" s="1">
        <v>134</v>
      </c>
      <c r="C140" s="3">
        <v>200005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f t="shared" si="6"/>
        <v>36660</v>
      </c>
      <c r="B141" s="1">
        <v>135</v>
      </c>
      <c r="C141" s="3">
        <v>200005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f t="shared" si="6"/>
        <v>36661</v>
      </c>
      <c r="B142" s="1">
        <v>136</v>
      </c>
      <c r="C142" s="3">
        <v>200005</v>
      </c>
      <c r="D142" s="3">
        <f>ROUND(IF(Data!E142&lt;0,0-Data!E142,0),1)</f>
        <v>0</v>
      </c>
      <c r="E142" s="3">
        <f>ROUND(IF(Data!E142&gt;5,Data!E142-5,0),1)</f>
        <v>1.3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f t="shared" si="6"/>
        <v>36662</v>
      </c>
      <c r="B143" s="1">
        <v>137</v>
      </c>
      <c r="C143" s="3">
        <v>200005</v>
      </c>
      <c r="D143" s="3">
        <f>ROUND(IF(Data!E143&lt;0,0-Data!E143,0),1)</f>
        <v>0</v>
      </c>
      <c r="E143" s="3">
        <f>ROUND(IF(Data!E143&gt;5,Data!E143-5,0),1)</f>
        <v>2.4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f t="shared" si="6"/>
        <v>36663</v>
      </c>
      <c r="B144" s="1">
        <v>138</v>
      </c>
      <c r="C144" s="3">
        <v>200005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f t="shared" si="6"/>
        <v>36664</v>
      </c>
      <c r="B145" s="1">
        <v>139</v>
      </c>
      <c r="C145" s="3">
        <v>200005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f t="shared" si="6"/>
        <v>36665</v>
      </c>
      <c r="B146" s="1">
        <v>140</v>
      </c>
      <c r="C146" s="3">
        <v>200005</v>
      </c>
      <c r="D146" s="3">
        <f>ROUND(IF(Data!E146&lt;0,0-Data!E146,0),1)</f>
        <v>0</v>
      </c>
      <c r="E146" s="3">
        <f>ROUND(IF(Data!E146&gt;5,Data!E146-5,0),1)</f>
        <v>0.6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f t="shared" si="6"/>
        <v>36666</v>
      </c>
      <c r="B147" s="1">
        <v>141</v>
      </c>
      <c r="C147" s="3">
        <v>200005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f t="shared" si="6"/>
        <v>36667</v>
      </c>
      <c r="B148" s="1">
        <v>142</v>
      </c>
      <c r="C148" s="3">
        <v>200005</v>
      </c>
      <c r="D148" s="3">
        <f>ROUND(IF(Data!E148&lt;0,0-Data!E148,0),1)</f>
        <v>0</v>
      </c>
      <c r="E148" s="3">
        <f>ROUND(IF(Data!E148&gt;5,Data!E148-5,0),1)</f>
        <v>2.5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f t="shared" si="6"/>
        <v>36668</v>
      </c>
      <c r="B149" s="1">
        <v>143</v>
      </c>
      <c r="C149" s="3">
        <v>200005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f t="shared" si="6"/>
        <v>36669</v>
      </c>
      <c r="B150" s="1">
        <v>144</v>
      </c>
      <c r="C150" s="3">
        <v>200005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f t="shared" si="6"/>
        <v>36670</v>
      </c>
      <c r="B151" s="1">
        <v>145</v>
      </c>
      <c r="C151" s="3">
        <v>200005</v>
      </c>
      <c r="D151" s="3">
        <f>ROUND(IF(Data!E151&lt;0,0-Data!E151,0),1)</f>
        <v>0</v>
      </c>
      <c r="E151" s="3">
        <f>ROUND(IF(Data!E151&gt;5,Data!E151-5,0),1)</f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f t="shared" si="6"/>
        <v>36671</v>
      </c>
      <c r="B152" s="1">
        <v>146</v>
      </c>
      <c r="C152" s="3">
        <v>200005</v>
      </c>
      <c r="D152" s="3">
        <f>ROUND(IF(Data!E152&lt;0,0-Data!E152,0),1)</f>
        <v>0</v>
      </c>
      <c r="E152" s="3">
        <f>ROUND(IF(Data!E152&gt;5,Data!E152-5,0),1)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f t="shared" si="6"/>
        <v>36672</v>
      </c>
      <c r="B153" s="1">
        <v>147</v>
      </c>
      <c r="C153" s="3">
        <v>200005</v>
      </c>
      <c r="D153" s="3">
        <f>ROUND(IF(Data!E153&lt;0,0-Data!E153,0),1)</f>
        <v>0</v>
      </c>
      <c r="E153" s="3">
        <f>ROUND(IF(Data!E153&gt;5,Data!E153-5,0),1)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f t="shared" si="6"/>
        <v>36673</v>
      </c>
      <c r="B154" s="1">
        <v>148</v>
      </c>
      <c r="C154" s="3">
        <v>200005</v>
      </c>
      <c r="D154" s="3">
        <f>ROUND(IF(Data!E154&lt;0,0-Data!E154,0),1)</f>
        <v>0</v>
      </c>
      <c r="E154" s="3">
        <f>ROUND(IF(Data!E154&gt;5,Data!E154-5,0),1)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f t="shared" si="6"/>
        <v>36674</v>
      </c>
      <c r="B155" s="1">
        <v>149</v>
      </c>
      <c r="C155" s="3">
        <v>200005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f t="shared" si="6"/>
        <v>36675</v>
      </c>
      <c r="B156" s="1">
        <v>150</v>
      </c>
      <c r="C156" s="3">
        <v>200005</v>
      </c>
      <c r="D156" s="3">
        <f>ROUND(IF(Data!E156&lt;0,0-Data!E156,0),1)</f>
        <v>0</v>
      </c>
      <c r="E156" s="3">
        <f>ROUND(IF(Data!E156&gt;5,Data!E156-5,0),1)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f t="shared" si="6"/>
        <v>36676</v>
      </c>
      <c r="B157" s="1">
        <v>151</v>
      </c>
      <c r="C157" s="3">
        <v>200005</v>
      </c>
      <c r="D157" s="3">
        <f>ROUND(IF(Data!E157&lt;0,0-Data!E157,0),1)</f>
        <v>0</v>
      </c>
      <c r="E157" s="3">
        <f>ROUND(IF(Data!E157&gt;5,Data!E157-5,0),1)</f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f t="shared" si="6"/>
        <v>36677</v>
      </c>
      <c r="B158" s="1">
        <v>152</v>
      </c>
      <c r="C158" s="3">
        <v>200005</v>
      </c>
      <c r="D158" s="3">
        <f>ROUND(IF(Data!E158&lt;0,0-Data!E158,0),1)</f>
        <v>0</v>
      </c>
      <c r="E158" s="3">
        <f>ROUND(IF(Data!E158&gt;5,Data!E158-5,0),1)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f t="shared" si="6"/>
        <v>36678</v>
      </c>
      <c r="B159" s="1">
        <v>153</v>
      </c>
      <c r="C159" s="3">
        <v>200006</v>
      </c>
      <c r="D159" s="3">
        <f>ROUND(IF(Data!E159&lt;0,0-Data!E159,0),1)</f>
        <v>0</v>
      </c>
      <c r="E159" s="3">
        <f>ROUND(IF(Data!E159&gt;5,Data!E159-5,0),1)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f t="shared" si="6"/>
        <v>36679</v>
      </c>
      <c r="B160" s="1">
        <v>154</v>
      </c>
      <c r="C160" s="3">
        <v>200006</v>
      </c>
      <c r="D160" s="3">
        <f>ROUND(IF(Data!E160&lt;0,0-Data!E160,0),1)</f>
        <v>0</v>
      </c>
      <c r="E160" s="3">
        <f>ROUND(IF(Data!E160&gt;5,Data!E160-5,0),1)</f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f t="shared" si="6"/>
        <v>36680</v>
      </c>
      <c r="B161" s="1">
        <v>155</v>
      </c>
      <c r="C161" s="3">
        <v>200006</v>
      </c>
      <c r="D161" s="3">
        <f>ROUND(IF(Data!E161&lt;0,0-Data!E161,0),1)</f>
        <v>0</v>
      </c>
      <c r="E161" s="3">
        <f>ROUND(IF(Data!E161&gt;5,Data!E161-5,0),1)</f>
        <v>1.5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f t="shared" si="6"/>
        <v>36681</v>
      </c>
      <c r="B162" s="1">
        <v>156</v>
      </c>
      <c r="C162" s="3">
        <v>200006</v>
      </c>
      <c r="D162" s="3">
        <f>ROUND(IF(Data!E162&lt;0,0-Data!E162,0),1)</f>
        <v>0</v>
      </c>
      <c r="E162" s="3">
        <f>ROUND(IF(Data!E162&gt;5,Data!E162-5,0),1)</f>
        <v>2.5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f t="shared" si="6"/>
        <v>36682</v>
      </c>
      <c r="B163" s="1">
        <v>157</v>
      </c>
      <c r="C163" s="3">
        <v>200006</v>
      </c>
      <c r="D163" s="3">
        <f>ROUND(IF(Data!E163&lt;0,0-Data!E163,0),1)</f>
        <v>0</v>
      </c>
      <c r="E163" s="3">
        <f>ROUND(IF(Data!E163&gt;5,Data!E163-5,0),1)</f>
        <v>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f t="shared" si="6"/>
        <v>36683</v>
      </c>
      <c r="B164" s="1">
        <v>158</v>
      </c>
      <c r="C164" s="3">
        <v>200006</v>
      </c>
      <c r="D164" s="3">
        <f>ROUND(IF(Data!E164&lt;0,0-Data!E164,0),1)</f>
        <v>0</v>
      </c>
      <c r="E164" s="3">
        <f>ROUND(IF(Data!E164&gt;5,Data!E164-5,0),1)</f>
        <v>2.1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f t="shared" si="6"/>
        <v>36684</v>
      </c>
      <c r="B165" s="1">
        <v>159</v>
      </c>
      <c r="C165" s="3">
        <v>200006</v>
      </c>
      <c r="D165" s="3">
        <f>ROUND(IF(Data!E165&lt;0,0-Data!E165,0),1)</f>
        <v>0</v>
      </c>
      <c r="E165" s="3">
        <f>ROUND(IF(Data!E165&gt;5,Data!E165-5,0),1)</f>
        <v>3.1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f t="shared" si="6"/>
        <v>36685</v>
      </c>
      <c r="B166" s="1">
        <v>160</v>
      </c>
      <c r="C166" s="3">
        <v>200006</v>
      </c>
      <c r="D166" s="3">
        <f>ROUND(IF(Data!E166&lt;0,0-Data!E166,0),1)</f>
        <v>0</v>
      </c>
      <c r="E166" s="3">
        <f>ROUND(IF(Data!E166&gt;5,Data!E166-5,0),1)</f>
        <v>1.3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f t="shared" si="6"/>
        <v>36686</v>
      </c>
      <c r="B167" s="1">
        <v>161</v>
      </c>
      <c r="C167" s="3">
        <v>200006</v>
      </c>
      <c r="D167" s="3">
        <f>ROUND(IF(Data!E167&lt;0,0-Data!E167,0),1)</f>
        <v>0</v>
      </c>
      <c r="E167" s="3">
        <f>ROUND(IF(Data!E167&gt;5,Data!E167-5,0),1)</f>
        <v>0.5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f t="shared" si="6"/>
        <v>36687</v>
      </c>
      <c r="B168" s="1">
        <v>162</v>
      </c>
      <c r="C168" s="3">
        <v>200006</v>
      </c>
      <c r="D168" s="3">
        <f>ROUND(IF(Data!E168&lt;0,0-Data!E168,0),1)</f>
        <v>0</v>
      </c>
      <c r="E168" s="3">
        <f>ROUND(IF(Data!E168&gt;5,Data!E168-5,0),1)</f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f t="shared" si="6"/>
        <v>36688</v>
      </c>
      <c r="B169" s="1">
        <v>163</v>
      </c>
      <c r="C169" s="3">
        <v>200006</v>
      </c>
      <c r="D169" s="3">
        <f>ROUND(IF(Data!E169&lt;0,0-Data!E169,0),1)</f>
        <v>0</v>
      </c>
      <c r="E169" s="3">
        <f>ROUND(IF(Data!E169&gt;5,Data!E169-5,0),1)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f t="shared" si="6"/>
        <v>36689</v>
      </c>
      <c r="B170" s="1">
        <v>164</v>
      </c>
      <c r="C170" s="3">
        <v>200006</v>
      </c>
      <c r="D170" s="3">
        <f>ROUND(IF(Data!E170&lt;0,0-Data!E170,0),1)</f>
        <v>0</v>
      </c>
      <c r="E170" s="3">
        <f>ROUND(IF(Data!E170&gt;5,Data!E170-5,0),1)</f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f t="shared" si="6"/>
        <v>36690</v>
      </c>
      <c r="B171" s="1">
        <v>165</v>
      </c>
      <c r="C171" s="3">
        <v>200006</v>
      </c>
      <c r="D171" s="3">
        <f>ROUND(IF(Data!E171&lt;0,0-Data!E171,0),1)</f>
        <v>0</v>
      </c>
      <c r="E171" s="3">
        <f>ROUND(IF(Data!E171&gt;5,Data!E171-5,0),1)</f>
        <v>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f t="shared" si="6"/>
        <v>36691</v>
      </c>
      <c r="B172" s="1">
        <v>166</v>
      </c>
      <c r="C172" s="3">
        <v>200006</v>
      </c>
      <c r="D172" s="3">
        <f>ROUND(IF(Data!E172&lt;0,0-Data!E172,0),1)</f>
        <v>0</v>
      </c>
      <c r="E172" s="3">
        <f>ROUND(IF(Data!E172&gt;5,Data!E172-5,0),1)</f>
        <v>0.6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f t="shared" si="6"/>
        <v>36692</v>
      </c>
      <c r="B173" s="1">
        <v>167</v>
      </c>
      <c r="C173" s="3">
        <v>200006</v>
      </c>
      <c r="D173" s="3">
        <f>ROUND(IF(Data!E173&lt;0,0-Data!E173,0),1)</f>
        <v>0</v>
      </c>
      <c r="E173" s="3">
        <f>ROUND(IF(Data!E173&gt;5,Data!E173-5,0),1)</f>
        <v>0.1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f t="shared" si="6"/>
        <v>36693</v>
      </c>
      <c r="B174" s="1">
        <v>168</v>
      </c>
      <c r="C174" s="3">
        <v>200006</v>
      </c>
      <c r="D174" s="3">
        <f>ROUND(IF(Data!E174&lt;0,0-Data!E174,0),1)</f>
        <v>0</v>
      </c>
      <c r="E174" s="3">
        <f>ROUND(IF(Data!E174&gt;5,Data!E174-5,0),1)</f>
        <v>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f t="shared" si="6"/>
        <v>36694</v>
      </c>
      <c r="B175" s="1">
        <v>169</v>
      </c>
      <c r="C175" s="3">
        <v>200006</v>
      </c>
      <c r="D175" s="3">
        <f>ROUND(IF(Data!E175&lt;0,0-Data!E175,0),1)</f>
        <v>0</v>
      </c>
      <c r="E175" s="3">
        <f>ROUND(IF(Data!E175&gt;5,Data!E175-5,0),1)</f>
        <v>5.0999999999999996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f t="shared" si="6"/>
        <v>36695</v>
      </c>
      <c r="B176" s="1">
        <v>170</v>
      </c>
      <c r="C176" s="3">
        <v>200006</v>
      </c>
      <c r="D176" s="3">
        <f>ROUND(IF(Data!E176&lt;0,0-Data!E176,0),1)</f>
        <v>0</v>
      </c>
      <c r="E176" s="3">
        <f>ROUND(IF(Data!E176&gt;5,Data!E176-5,0),1)</f>
        <v>1.8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f t="shared" si="6"/>
        <v>36696</v>
      </c>
      <c r="B177" s="1">
        <v>171</v>
      </c>
      <c r="C177" s="3">
        <v>200006</v>
      </c>
      <c r="D177" s="3">
        <f>ROUND(IF(Data!E177&lt;0,0-Data!E177,0),1)</f>
        <v>0</v>
      </c>
      <c r="E177" s="3">
        <f>ROUND(IF(Data!E177&gt;5,Data!E177-5,0),1)</f>
        <v>2.4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f t="shared" si="6"/>
        <v>36697</v>
      </c>
      <c r="B178" s="1">
        <v>172</v>
      </c>
      <c r="C178" s="3">
        <v>200006</v>
      </c>
      <c r="D178" s="3">
        <f>ROUND(IF(Data!E178&lt;0,0-Data!E178,0),1)</f>
        <v>0</v>
      </c>
      <c r="E178" s="3">
        <f>ROUND(IF(Data!E178&gt;5,Data!E178-5,0),1)</f>
        <v>3.4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f t="shared" si="6"/>
        <v>36698</v>
      </c>
      <c r="B179" s="1">
        <v>173</v>
      </c>
      <c r="C179" s="3">
        <v>200006</v>
      </c>
      <c r="D179" s="3">
        <f>ROUND(IF(Data!E179&lt;0,0-Data!E179,0),1)</f>
        <v>0</v>
      </c>
      <c r="E179" s="3">
        <f>ROUND(IF(Data!E179&gt;5,Data!E179-5,0),1)</f>
        <v>2.8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f t="shared" si="6"/>
        <v>36699</v>
      </c>
      <c r="B180" s="1">
        <v>174</v>
      </c>
      <c r="C180" s="3">
        <v>200006</v>
      </c>
      <c r="D180" s="3">
        <f>ROUND(IF(Data!E180&lt;0,0-Data!E180,0),1)</f>
        <v>0</v>
      </c>
      <c r="E180" s="3">
        <f>ROUND(IF(Data!E180&gt;5,Data!E180-5,0),1)</f>
        <v>2.9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f t="shared" si="6"/>
        <v>36700</v>
      </c>
      <c r="B181" s="1">
        <v>175</v>
      </c>
      <c r="C181" s="3">
        <v>200006</v>
      </c>
      <c r="D181" s="3">
        <f>ROUND(IF(Data!E181&lt;0,0-Data!E181,0),1)</f>
        <v>0</v>
      </c>
      <c r="E181" s="3">
        <f>ROUND(IF(Data!E181&gt;5,Data!E181-5,0),1)</f>
        <v>4.2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f t="shared" si="6"/>
        <v>36701</v>
      </c>
      <c r="B182" s="1">
        <v>176</v>
      </c>
      <c r="C182" s="3">
        <v>200006</v>
      </c>
      <c r="D182" s="3">
        <f>ROUND(IF(Data!E182&lt;0,0-Data!E182,0),1)</f>
        <v>0</v>
      </c>
      <c r="E182" s="3">
        <f>ROUND(IF(Data!E182&gt;5,Data!E182-5,0),1)</f>
        <v>1.8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f t="shared" si="6"/>
        <v>36702</v>
      </c>
      <c r="B183" s="1">
        <v>177</v>
      </c>
      <c r="C183" s="3">
        <v>200006</v>
      </c>
      <c r="D183" s="3">
        <f>ROUND(IF(Data!E183&lt;0,0-Data!E183,0),1)</f>
        <v>0</v>
      </c>
      <c r="E183" s="3">
        <f>ROUND(IF(Data!E183&gt;5,Data!E183-5,0),1)</f>
        <v>5.6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f t="shared" si="6"/>
        <v>36703</v>
      </c>
      <c r="B184" s="1">
        <v>178</v>
      </c>
      <c r="C184" s="3">
        <v>200006</v>
      </c>
      <c r="D184" s="3">
        <f>ROUND(IF(Data!E184&lt;0,0-Data!E184,0),1)</f>
        <v>0</v>
      </c>
      <c r="E184" s="3">
        <f>ROUND(IF(Data!E184&gt;5,Data!E184-5,0),1)</f>
        <v>7.8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f t="shared" si="6"/>
        <v>36704</v>
      </c>
      <c r="B185" s="1">
        <v>179</v>
      </c>
      <c r="C185" s="3">
        <v>200006</v>
      </c>
      <c r="D185" s="3">
        <f>ROUND(IF(Data!E185&lt;0,0-Data!E185,0),1)</f>
        <v>0</v>
      </c>
      <c r="E185" s="3">
        <f>ROUND(IF(Data!E185&gt;5,Data!E185-5,0),1)</f>
        <v>9.1999999999999993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f t="shared" si="6"/>
        <v>36705</v>
      </c>
      <c r="B186" s="1">
        <v>180</v>
      </c>
      <c r="C186" s="3">
        <v>200006</v>
      </c>
      <c r="D186" s="3">
        <f>ROUND(IF(Data!E186&lt;0,0-Data!E186,0),1)</f>
        <v>0</v>
      </c>
      <c r="E186" s="3">
        <f>ROUND(IF(Data!E186&gt;5,Data!E186-5,0),1)</f>
        <v>8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f t="shared" si="6"/>
        <v>36706</v>
      </c>
      <c r="B187" s="1">
        <v>181</v>
      </c>
      <c r="C187" s="3">
        <v>200006</v>
      </c>
      <c r="D187" s="3">
        <f>ROUND(IF(Data!E187&lt;0,0-Data!E187,0),1)</f>
        <v>0</v>
      </c>
      <c r="E187" s="3">
        <f>ROUND(IF(Data!E187&gt;5,Data!E187-5,0),1)</f>
        <v>7.3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f t="shared" si="6"/>
        <v>36707</v>
      </c>
      <c r="B188" s="1">
        <v>182</v>
      </c>
      <c r="C188" s="3">
        <v>200006</v>
      </c>
      <c r="D188" s="3">
        <f>ROUND(IF(Data!E188&lt;0,0-Data!E188,0),1)</f>
        <v>0</v>
      </c>
      <c r="E188" s="3">
        <f>ROUND(IF(Data!E188&gt;5,Data!E188-5,0),1)</f>
        <v>5.7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f t="shared" si="6"/>
        <v>36708</v>
      </c>
      <c r="B189" s="1">
        <v>183</v>
      </c>
      <c r="C189" s="3">
        <v>200007</v>
      </c>
      <c r="D189" s="3">
        <f>ROUND(IF(Data!E189&lt;0,0-Data!E189,0),1)</f>
        <v>0</v>
      </c>
      <c r="E189" s="3">
        <f>ROUND(IF(Data!E189&gt;5,Data!E189-5,0),1)</f>
        <v>3.2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f t="shared" si="6"/>
        <v>36709</v>
      </c>
      <c r="B190" s="1">
        <v>184</v>
      </c>
      <c r="C190" s="3">
        <v>200007</v>
      </c>
      <c r="D190" s="3">
        <f>ROUND(IF(Data!E190&lt;0,0-Data!E190,0),1)</f>
        <v>0</v>
      </c>
      <c r="E190" s="3">
        <f>ROUND(IF(Data!E190&gt;5,Data!E190-5,0),1)</f>
        <v>0.1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f t="shared" si="6"/>
        <v>36710</v>
      </c>
      <c r="B191" s="1">
        <v>185</v>
      </c>
      <c r="C191" s="3">
        <v>200007</v>
      </c>
      <c r="D191" s="3">
        <f>ROUND(IF(Data!E191&lt;0,0-Data!E191,0),1)</f>
        <v>0</v>
      </c>
      <c r="E191" s="3">
        <f>ROUND(IF(Data!E191&gt;5,Data!E191-5,0),1)</f>
        <v>1.7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f t="shared" si="6"/>
        <v>36711</v>
      </c>
      <c r="B192" s="1">
        <v>186</v>
      </c>
      <c r="C192" s="3">
        <v>200007</v>
      </c>
      <c r="D192" s="3">
        <f>ROUND(IF(Data!E192&lt;0,0-Data!E192,0),1)</f>
        <v>0</v>
      </c>
      <c r="E192" s="3">
        <f>ROUND(IF(Data!E192&gt;5,Data!E192-5,0),1)</f>
        <v>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f t="shared" si="6"/>
        <v>36712</v>
      </c>
      <c r="B193" s="1">
        <v>187</v>
      </c>
      <c r="C193" s="3">
        <v>200007</v>
      </c>
      <c r="D193" s="3">
        <f>ROUND(IF(Data!E193&lt;0,0-Data!E193,0),1)</f>
        <v>0</v>
      </c>
      <c r="E193" s="3">
        <f>ROUND(IF(Data!E193&gt;5,Data!E193-5,0),1)</f>
        <v>2.1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f t="shared" si="6"/>
        <v>36713</v>
      </c>
      <c r="B194" s="1">
        <v>188</v>
      </c>
      <c r="C194" s="3">
        <v>200007</v>
      </c>
      <c r="D194" s="3">
        <f>ROUND(IF(Data!E194&lt;0,0-Data!E194,0),1)</f>
        <v>0</v>
      </c>
      <c r="E194" s="3">
        <f>ROUND(IF(Data!E194&gt;5,Data!E194-5,0),1)</f>
        <v>3.5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f t="shared" si="6"/>
        <v>36714</v>
      </c>
      <c r="B195" s="1">
        <v>189</v>
      </c>
      <c r="C195" s="3">
        <v>200007</v>
      </c>
      <c r="D195" s="3">
        <f>ROUND(IF(Data!E195&lt;0,0-Data!E195,0),1)</f>
        <v>0</v>
      </c>
      <c r="E195" s="3">
        <f>ROUND(IF(Data!E195&gt;5,Data!E195-5,0),1)</f>
        <v>4.4000000000000004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f t="shared" si="6"/>
        <v>36715</v>
      </c>
      <c r="B196" s="1">
        <v>190</v>
      </c>
      <c r="C196" s="3">
        <v>200007</v>
      </c>
      <c r="D196" s="3">
        <f>ROUND(IF(Data!E196&lt;0,0-Data!E196,0),1)</f>
        <v>0</v>
      </c>
      <c r="E196" s="3">
        <f>ROUND(IF(Data!E196&gt;5,Data!E196-5,0),1)</f>
        <v>4.5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f t="shared" si="6"/>
        <v>36716</v>
      </c>
      <c r="B197" s="1">
        <v>191</v>
      </c>
      <c r="C197" s="3">
        <v>200007</v>
      </c>
      <c r="D197" s="3">
        <f>ROUND(IF(Data!E197&lt;0,0-Data!E197,0),1)</f>
        <v>0</v>
      </c>
      <c r="E197" s="3">
        <f>ROUND(IF(Data!E197&gt;5,Data!E197-5,0),1)</f>
        <v>2.5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f t="shared" si="6"/>
        <v>36717</v>
      </c>
      <c r="B198" s="1">
        <v>192</v>
      </c>
      <c r="C198" s="3">
        <v>200007</v>
      </c>
      <c r="D198" s="3">
        <f>ROUND(IF(Data!E198&lt;0,0-Data!E198,0),1)</f>
        <v>0</v>
      </c>
      <c r="E198" s="3">
        <f>ROUND(IF(Data!E198&gt;5,Data!E198-5,0),1)</f>
        <v>3.3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f t="shared" si="6"/>
        <v>36718</v>
      </c>
      <c r="B199" s="1">
        <v>193</v>
      </c>
      <c r="C199" s="3">
        <v>200007</v>
      </c>
      <c r="D199" s="3">
        <f>ROUND(IF(Data!E199&lt;0,0-Data!E199,0),1)</f>
        <v>0</v>
      </c>
      <c r="E199" s="3">
        <f>ROUND(IF(Data!E199&gt;5,Data!E199-5,0),1)</f>
        <v>6.2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f t="shared" ref="A200:A263" si="7">A199+1</f>
        <v>36719</v>
      </c>
      <c r="B200" s="1">
        <v>194</v>
      </c>
      <c r="C200" s="3">
        <v>200007</v>
      </c>
      <c r="D200" s="3">
        <f>ROUND(IF(Data!E200&lt;0,0-Data!E200,0),1)</f>
        <v>0</v>
      </c>
      <c r="E200" s="3">
        <f>ROUND(IF(Data!E200&gt;5,Data!E200-5,0),1)</f>
        <v>7.7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f t="shared" si="7"/>
        <v>36720</v>
      </c>
      <c r="B201" s="1">
        <v>195</v>
      </c>
      <c r="C201" s="3">
        <v>200007</v>
      </c>
      <c r="D201" s="3">
        <f>ROUND(IF(Data!E201&lt;0,0-Data!E201,0),1)</f>
        <v>0</v>
      </c>
      <c r="E201" s="3">
        <f>ROUND(IF(Data!E201&gt;5,Data!E201-5,0),1)</f>
        <v>7.8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f t="shared" si="7"/>
        <v>36721</v>
      </c>
      <c r="B202" s="1">
        <v>196</v>
      </c>
      <c r="C202" s="3">
        <v>200007</v>
      </c>
      <c r="D202" s="3">
        <f>ROUND(IF(Data!E202&lt;0,0-Data!E202,0),1)</f>
        <v>0</v>
      </c>
      <c r="E202" s="3">
        <f>ROUND(IF(Data!E202&gt;5,Data!E202-5,0),1)</f>
        <v>4.0999999999999996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f t="shared" si="7"/>
        <v>36722</v>
      </c>
      <c r="B203" s="1">
        <v>197</v>
      </c>
      <c r="C203" s="3">
        <v>200007</v>
      </c>
      <c r="D203" s="3">
        <f>ROUND(IF(Data!E203&lt;0,0-Data!E203,0),1)</f>
        <v>0</v>
      </c>
      <c r="E203" s="3">
        <f>ROUND(IF(Data!E203&gt;5,Data!E203-5,0),1)</f>
        <v>2.4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f t="shared" si="7"/>
        <v>36723</v>
      </c>
      <c r="B204" s="1">
        <v>198</v>
      </c>
      <c r="C204" s="3">
        <v>200007</v>
      </c>
      <c r="D204" s="3">
        <f>ROUND(IF(Data!E204&lt;0,0-Data!E204,0),1)</f>
        <v>0</v>
      </c>
      <c r="E204" s="3">
        <f>ROUND(IF(Data!E204&gt;5,Data!E204-5,0),1)</f>
        <v>5.5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f t="shared" si="7"/>
        <v>36724</v>
      </c>
      <c r="B205" s="1">
        <v>199</v>
      </c>
      <c r="C205" s="3">
        <v>200007</v>
      </c>
      <c r="D205" s="3">
        <f>ROUND(IF(Data!E205&lt;0,0-Data!E205,0),1)</f>
        <v>0</v>
      </c>
      <c r="E205" s="3">
        <f>ROUND(IF(Data!E205&gt;5,Data!E205-5,0),1)</f>
        <v>8.4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f t="shared" si="7"/>
        <v>36725</v>
      </c>
      <c r="B206" s="1">
        <v>200</v>
      </c>
      <c r="C206" s="3">
        <v>200007</v>
      </c>
      <c r="D206" s="3">
        <f>ROUND(IF(Data!E206&lt;0,0-Data!E206,0),1)</f>
        <v>0</v>
      </c>
      <c r="E206" s="3">
        <f>ROUND(IF(Data!E206&gt;5,Data!E206-5,0),1)</f>
        <v>9.3000000000000007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f t="shared" si="7"/>
        <v>36726</v>
      </c>
      <c r="B207" s="1">
        <v>201</v>
      </c>
      <c r="C207" s="3">
        <v>200007</v>
      </c>
      <c r="D207" s="3">
        <f>ROUND(IF(Data!E207&lt;0,0-Data!E207,0),1)</f>
        <v>0</v>
      </c>
      <c r="E207" s="3">
        <f>ROUND(IF(Data!E207&gt;5,Data!E207-5,0),1)</f>
        <v>9.6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f t="shared" si="7"/>
        <v>36727</v>
      </c>
      <c r="B208" s="1">
        <v>202</v>
      </c>
      <c r="C208" s="3">
        <v>200007</v>
      </c>
      <c r="D208" s="3">
        <f>ROUND(IF(Data!E208&lt;0,0-Data!E208,0),1)</f>
        <v>0</v>
      </c>
      <c r="E208" s="3">
        <f>ROUND(IF(Data!E208&gt;5,Data!E208-5,0),1)</f>
        <v>8.5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f t="shared" si="7"/>
        <v>36728</v>
      </c>
      <c r="B209" s="1">
        <v>203</v>
      </c>
      <c r="C209" s="3">
        <v>200007</v>
      </c>
      <c r="D209" s="3">
        <f>ROUND(IF(Data!E209&lt;0,0-Data!E209,0),1)</f>
        <v>0</v>
      </c>
      <c r="E209" s="3">
        <f>ROUND(IF(Data!E209&gt;5,Data!E209-5,0),1)</f>
        <v>10.1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f t="shared" si="7"/>
        <v>36729</v>
      </c>
      <c r="B210" s="1">
        <v>204</v>
      </c>
      <c r="C210" s="3">
        <v>200007</v>
      </c>
      <c r="D210" s="3">
        <f>ROUND(IF(Data!E210&lt;0,0-Data!E210,0),1)</f>
        <v>0</v>
      </c>
      <c r="E210" s="3">
        <f>ROUND(IF(Data!E210&gt;5,Data!E210-5,0),1)</f>
        <v>8.6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f t="shared" si="7"/>
        <v>36730</v>
      </c>
      <c r="B211" s="1">
        <v>205</v>
      </c>
      <c r="C211" s="3">
        <v>200007</v>
      </c>
      <c r="D211" s="3">
        <f>ROUND(IF(Data!E211&lt;0,0-Data!E211,0),1)</f>
        <v>0</v>
      </c>
      <c r="E211" s="3">
        <f>ROUND(IF(Data!E211&gt;5,Data!E211-5,0),1)</f>
        <v>3.2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f t="shared" si="7"/>
        <v>36731</v>
      </c>
      <c r="B212" s="1">
        <v>206</v>
      </c>
      <c r="C212" s="3">
        <v>200007</v>
      </c>
      <c r="D212" s="3">
        <f>ROUND(IF(Data!E212&lt;0,0-Data!E212,0),1)</f>
        <v>0</v>
      </c>
      <c r="E212" s="3">
        <f>ROUND(IF(Data!E212&gt;5,Data!E212-5,0),1)</f>
        <v>6.1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f t="shared" si="7"/>
        <v>36732</v>
      </c>
      <c r="B213" s="1">
        <v>207</v>
      </c>
      <c r="C213" s="3">
        <v>200007</v>
      </c>
      <c r="D213" s="3">
        <f>ROUND(IF(Data!E213&lt;0,0-Data!E213,0),1)</f>
        <v>0</v>
      </c>
      <c r="E213" s="3">
        <f>ROUND(IF(Data!E213&gt;5,Data!E213-5,0),1)</f>
        <v>5.5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f t="shared" si="7"/>
        <v>36733</v>
      </c>
      <c r="B214" s="1">
        <v>208</v>
      </c>
      <c r="C214" s="3">
        <v>200007</v>
      </c>
      <c r="D214" s="3">
        <f>ROUND(IF(Data!E214&lt;0,0-Data!E214,0),1)</f>
        <v>0</v>
      </c>
      <c r="E214" s="3">
        <f>ROUND(IF(Data!E214&gt;5,Data!E214-5,0),1)</f>
        <v>5.7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f t="shared" si="7"/>
        <v>36734</v>
      </c>
      <c r="B215" s="1">
        <v>209</v>
      </c>
      <c r="C215" s="3">
        <v>200007</v>
      </c>
      <c r="D215" s="3">
        <f>ROUND(IF(Data!E215&lt;0,0-Data!E215,0),1)</f>
        <v>0</v>
      </c>
      <c r="E215" s="3">
        <f>ROUND(IF(Data!E215&gt;5,Data!E215-5,0),1)</f>
        <v>5.0999999999999996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f t="shared" si="7"/>
        <v>36735</v>
      </c>
      <c r="B216" s="1">
        <v>210</v>
      </c>
      <c r="C216" s="3">
        <v>200007</v>
      </c>
      <c r="D216" s="3">
        <f>ROUND(IF(Data!E216&lt;0,0-Data!E216,0),1)</f>
        <v>0</v>
      </c>
      <c r="E216" s="3">
        <f>ROUND(IF(Data!E216&gt;5,Data!E216-5,0),1)</f>
        <v>4.5999999999999996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f t="shared" si="7"/>
        <v>36736</v>
      </c>
      <c r="B217" s="1">
        <v>211</v>
      </c>
      <c r="C217" s="3">
        <v>200007</v>
      </c>
      <c r="D217" s="3">
        <f>ROUND(IF(Data!E217&lt;0,0-Data!E217,0),1)</f>
        <v>0</v>
      </c>
      <c r="E217" s="3">
        <f>ROUND(IF(Data!E217&gt;5,Data!E217-5,0),1)</f>
        <v>5.6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f t="shared" si="7"/>
        <v>36737</v>
      </c>
      <c r="B218" s="1">
        <v>212</v>
      </c>
      <c r="C218" s="3">
        <v>200007</v>
      </c>
      <c r="D218" s="3">
        <f>ROUND(IF(Data!E218&lt;0,0-Data!E218,0),1)</f>
        <v>0</v>
      </c>
      <c r="E218" s="3">
        <f>ROUND(IF(Data!E218&gt;5,Data!E218-5,0),1)</f>
        <v>5.7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f t="shared" si="7"/>
        <v>36738</v>
      </c>
      <c r="B219" s="1">
        <v>213</v>
      </c>
      <c r="C219" s="3">
        <v>200007</v>
      </c>
      <c r="D219" s="3">
        <f>ROUND(IF(Data!E219&lt;0,0-Data!E219,0),1)</f>
        <v>0</v>
      </c>
      <c r="E219" s="3">
        <f>ROUND(IF(Data!E219&gt;5,Data!E219-5,0),1)</f>
        <v>6.5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f t="shared" si="7"/>
        <v>36739</v>
      </c>
      <c r="B220" s="1">
        <v>214</v>
      </c>
      <c r="C220" s="3">
        <v>200008</v>
      </c>
      <c r="D220" s="3">
        <f>ROUND(IF(Data!E220&lt;0,0-Data!E220,0),1)</f>
        <v>0</v>
      </c>
      <c r="E220" s="3">
        <f>ROUND(IF(Data!E220&gt;5,Data!E220-5,0),1)</f>
        <v>7.3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f t="shared" si="7"/>
        <v>36740</v>
      </c>
      <c r="B221" s="1">
        <v>215</v>
      </c>
      <c r="C221" s="3">
        <v>200008</v>
      </c>
      <c r="D221" s="3">
        <f>ROUND(IF(Data!E221&lt;0,0-Data!E221,0),1)</f>
        <v>0</v>
      </c>
      <c r="E221" s="3">
        <f>ROUND(IF(Data!E221&gt;5,Data!E221-5,0),1)</f>
        <v>7.5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f t="shared" si="7"/>
        <v>36741</v>
      </c>
      <c r="B222" s="1">
        <v>216</v>
      </c>
      <c r="C222" s="3">
        <v>200008</v>
      </c>
      <c r="D222" s="3">
        <f>ROUND(IF(Data!E222&lt;0,0-Data!E222,0),1)</f>
        <v>0</v>
      </c>
      <c r="E222" s="3">
        <f>ROUND(IF(Data!E222&gt;5,Data!E222-5,0),1)</f>
        <v>7.4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f t="shared" si="7"/>
        <v>36742</v>
      </c>
      <c r="B223" s="1">
        <v>217</v>
      </c>
      <c r="C223" s="3">
        <v>200008</v>
      </c>
      <c r="D223" s="3">
        <f>ROUND(IF(Data!E223&lt;0,0-Data!E223,0),1)</f>
        <v>0</v>
      </c>
      <c r="E223" s="3">
        <f>ROUND(IF(Data!E223&gt;5,Data!E223-5,0),1)</f>
        <v>8.9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f t="shared" si="7"/>
        <v>36743</v>
      </c>
      <c r="B224" s="1">
        <v>218</v>
      </c>
      <c r="C224" s="3">
        <v>200008</v>
      </c>
      <c r="D224" s="3">
        <f>ROUND(IF(Data!E224&lt;0,0-Data!E224,0),1)</f>
        <v>0</v>
      </c>
      <c r="E224" s="3">
        <f>ROUND(IF(Data!E224&gt;5,Data!E224-5,0),1)</f>
        <v>10.5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f t="shared" si="7"/>
        <v>36744</v>
      </c>
      <c r="B225" s="1">
        <v>219</v>
      </c>
      <c r="C225" s="3">
        <v>200008</v>
      </c>
      <c r="D225" s="3">
        <f>ROUND(IF(Data!E225&lt;0,0-Data!E225,0),1)</f>
        <v>0</v>
      </c>
      <c r="E225" s="3">
        <f>ROUND(IF(Data!E225&gt;5,Data!E225-5,0),1)</f>
        <v>9.4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f t="shared" si="7"/>
        <v>36745</v>
      </c>
      <c r="B226" s="1">
        <v>220</v>
      </c>
      <c r="C226" s="3">
        <v>200008</v>
      </c>
      <c r="D226" s="3">
        <f>ROUND(IF(Data!E226&lt;0,0-Data!E226,0),1)</f>
        <v>0</v>
      </c>
      <c r="E226" s="3">
        <f>ROUND(IF(Data!E226&gt;5,Data!E226-5,0),1)</f>
        <v>8.6999999999999993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f t="shared" si="7"/>
        <v>36746</v>
      </c>
      <c r="B227" s="1">
        <v>221</v>
      </c>
      <c r="C227" s="3">
        <v>200008</v>
      </c>
      <c r="D227" s="3">
        <f>ROUND(IF(Data!E227&lt;0,0-Data!E227,0),1)</f>
        <v>0</v>
      </c>
      <c r="E227" s="3">
        <f>ROUND(IF(Data!E227&gt;5,Data!E227-5,0),1)</f>
        <v>10.199999999999999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f t="shared" si="7"/>
        <v>36747</v>
      </c>
      <c r="B228" s="1">
        <v>222</v>
      </c>
      <c r="C228" s="3">
        <v>200008</v>
      </c>
      <c r="D228" s="3">
        <f>ROUND(IF(Data!E228&lt;0,0-Data!E228,0),1)</f>
        <v>0</v>
      </c>
      <c r="E228" s="3">
        <f>ROUND(IF(Data!E228&gt;5,Data!E228-5,0),1)</f>
        <v>9.1999999999999993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f t="shared" si="7"/>
        <v>36748</v>
      </c>
      <c r="B229" s="1">
        <v>223</v>
      </c>
      <c r="C229" s="3">
        <v>200008</v>
      </c>
      <c r="D229" s="3">
        <f>ROUND(IF(Data!E229&lt;0,0-Data!E229,0),1)</f>
        <v>0</v>
      </c>
      <c r="E229" s="3">
        <f>ROUND(IF(Data!E229&gt;5,Data!E229-5,0),1)</f>
        <v>7.9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f t="shared" si="7"/>
        <v>36749</v>
      </c>
      <c r="B230" s="1">
        <v>224</v>
      </c>
      <c r="C230" s="3">
        <v>200008</v>
      </c>
      <c r="D230" s="3">
        <f>ROUND(IF(Data!E230&lt;0,0-Data!E230,0),1)</f>
        <v>0</v>
      </c>
      <c r="E230" s="3">
        <f>ROUND(IF(Data!E230&gt;5,Data!E230-5,0),1)</f>
        <v>5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f t="shared" si="7"/>
        <v>36750</v>
      </c>
      <c r="B231" s="1">
        <v>225</v>
      </c>
      <c r="C231" s="3">
        <v>200008</v>
      </c>
      <c r="D231" s="3">
        <f>ROUND(IF(Data!E231&lt;0,0-Data!E231,0),1)</f>
        <v>0</v>
      </c>
      <c r="E231" s="3">
        <f>ROUND(IF(Data!E231&gt;5,Data!E231-5,0),1)</f>
        <v>4.5999999999999996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f t="shared" si="7"/>
        <v>36751</v>
      </c>
      <c r="B232" s="1">
        <v>226</v>
      </c>
      <c r="C232" s="3">
        <v>200008</v>
      </c>
      <c r="D232" s="3">
        <f>ROUND(IF(Data!E232&lt;0,0-Data!E232,0),1)</f>
        <v>0</v>
      </c>
      <c r="E232" s="3">
        <f>ROUND(IF(Data!E232&gt;5,Data!E232-5,0),1)</f>
        <v>3.2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f t="shared" si="7"/>
        <v>36752</v>
      </c>
      <c r="B233" s="1">
        <v>227</v>
      </c>
      <c r="C233" s="3">
        <v>200008</v>
      </c>
      <c r="D233" s="3">
        <f>ROUND(IF(Data!E233&lt;0,0-Data!E233,0),1)</f>
        <v>0</v>
      </c>
      <c r="E233" s="3">
        <f>ROUND(IF(Data!E233&gt;5,Data!E233-5,0),1)</f>
        <v>4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f t="shared" si="7"/>
        <v>36753</v>
      </c>
      <c r="B234" s="1">
        <v>228</v>
      </c>
      <c r="C234" s="3">
        <v>200008</v>
      </c>
      <c r="D234" s="3">
        <f>ROUND(IF(Data!E234&lt;0,0-Data!E234,0),1)</f>
        <v>0</v>
      </c>
      <c r="E234" s="3">
        <f>ROUND(IF(Data!E234&gt;5,Data!E234-5,0),1)</f>
        <v>4.4000000000000004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f t="shared" si="7"/>
        <v>36754</v>
      </c>
      <c r="B235" s="1">
        <v>229</v>
      </c>
      <c r="C235" s="3">
        <v>200008</v>
      </c>
      <c r="D235" s="3">
        <f>ROUND(IF(Data!E235&lt;0,0-Data!E235,0),1)</f>
        <v>0</v>
      </c>
      <c r="E235" s="3">
        <f>ROUND(IF(Data!E235&gt;5,Data!E235-5,0),1)</f>
        <v>6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f t="shared" si="7"/>
        <v>36755</v>
      </c>
      <c r="B236" s="1">
        <v>230</v>
      </c>
      <c r="C236" s="3">
        <v>200008</v>
      </c>
      <c r="D236" s="3">
        <f>ROUND(IF(Data!E236&lt;0,0-Data!E236,0),1)</f>
        <v>0</v>
      </c>
      <c r="E236" s="3">
        <f>ROUND(IF(Data!E236&gt;5,Data!E236-5,0),1)</f>
        <v>7.8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f t="shared" si="7"/>
        <v>36756</v>
      </c>
      <c r="B237" s="1">
        <v>231</v>
      </c>
      <c r="C237" s="3">
        <v>200008</v>
      </c>
      <c r="D237" s="3">
        <f>ROUND(IF(Data!E237&lt;0,0-Data!E237,0),1)</f>
        <v>0</v>
      </c>
      <c r="E237" s="3">
        <f>ROUND(IF(Data!E237&gt;5,Data!E237-5,0),1)</f>
        <v>3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f t="shared" si="7"/>
        <v>36757</v>
      </c>
      <c r="B238" s="1">
        <v>232</v>
      </c>
      <c r="C238" s="3">
        <v>200008</v>
      </c>
      <c r="D238" s="3">
        <f>ROUND(IF(Data!E238&lt;0,0-Data!E238,0),1)</f>
        <v>0</v>
      </c>
      <c r="E238" s="3">
        <f>ROUND(IF(Data!E238&gt;5,Data!E238-5,0),1)</f>
        <v>0.5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f t="shared" si="7"/>
        <v>36758</v>
      </c>
      <c r="B239" s="1">
        <v>233</v>
      </c>
      <c r="C239" s="3">
        <v>200008</v>
      </c>
      <c r="D239" s="3">
        <f>ROUND(IF(Data!E239&lt;0,0-Data!E239,0),1)</f>
        <v>0</v>
      </c>
      <c r="E239" s="3">
        <f>ROUND(IF(Data!E239&gt;5,Data!E239-5,0),1)</f>
        <v>0.6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f t="shared" si="7"/>
        <v>36759</v>
      </c>
      <c r="B240" s="1">
        <v>234</v>
      </c>
      <c r="C240" s="3">
        <v>200008</v>
      </c>
      <c r="D240" s="3">
        <f>ROUND(IF(Data!E240&lt;0,0-Data!E240,0),1)</f>
        <v>0</v>
      </c>
      <c r="E240" s="3">
        <f>ROUND(IF(Data!E240&gt;5,Data!E240-5,0),1)</f>
        <v>3.4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f t="shared" si="7"/>
        <v>36760</v>
      </c>
      <c r="B241" s="1">
        <v>235</v>
      </c>
      <c r="C241" s="3">
        <v>200008</v>
      </c>
      <c r="D241" s="3">
        <f>ROUND(IF(Data!E241&lt;0,0-Data!E241,0),1)</f>
        <v>0</v>
      </c>
      <c r="E241" s="3">
        <f>ROUND(IF(Data!E241&gt;5,Data!E241-5,0),1)</f>
        <v>7.3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f t="shared" si="7"/>
        <v>36761</v>
      </c>
      <c r="B242" s="1">
        <v>236</v>
      </c>
      <c r="C242" s="3">
        <v>200008</v>
      </c>
      <c r="D242" s="3">
        <f>ROUND(IF(Data!E242&lt;0,0-Data!E242,0),1)</f>
        <v>0</v>
      </c>
      <c r="E242" s="3">
        <f>ROUND(IF(Data!E242&gt;5,Data!E242-5,0),1)</f>
        <v>9.5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f t="shared" si="7"/>
        <v>36762</v>
      </c>
      <c r="B243" s="1">
        <v>237</v>
      </c>
      <c r="C243" s="3">
        <v>200008</v>
      </c>
      <c r="D243" s="3">
        <f>ROUND(IF(Data!E243&lt;0,0-Data!E243,0),1)</f>
        <v>0</v>
      </c>
      <c r="E243" s="3">
        <f>ROUND(IF(Data!E243&gt;5,Data!E243-5,0),1)</f>
        <v>7.6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f t="shared" si="7"/>
        <v>36763</v>
      </c>
      <c r="B244" s="1">
        <v>238</v>
      </c>
      <c r="C244" s="3">
        <v>200008</v>
      </c>
      <c r="D244" s="3">
        <f>ROUND(IF(Data!E244&lt;0,0-Data!E244,0),1)</f>
        <v>0</v>
      </c>
      <c r="E244" s="3">
        <f>ROUND(IF(Data!E244&gt;5,Data!E244-5,0),1)</f>
        <v>6.6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f t="shared" si="7"/>
        <v>36764</v>
      </c>
      <c r="B245" s="1">
        <v>239</v>
      </c>
      <c r="C245" s="3">
        <v>200008</v>
      </c>
      <c r="D245" s="3">
        <f>ROUND(IF(Data!E245&lt;0,0-Data!E245,0),1)</f>
        <v>0</v>
      </c>
      <c r="E245" s="3">
        <f>ROUND(IF(Data!E245&gt;5,Data!E245-5,0),1)</f>
        <v>0.7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f t="shared" si="7"/>
        <v>36765</v>
      </c>
      <c r="B246" s="1">
        <v>240</v>
      </c>
      <c r="C246" s="3">
        <v>200008</v>
      </c>
      <c r="D246" s="3">
        <f>ROUND(IF(Data!E246&lt;0,0-Data!E246,0),1)</f>
        <v>0</v>
      </c>
      <c r="E246" s="3">
        <f>ROUND(IF(Data!E246&gt;5,Data!E246-5,0),1)</f>
        <v>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f t="shared" si="7"/>
        <v>36766</v>
      </c>
      <c r="B247" s="1">
        <v>241</v>
      </c>
      <c r="C247" s="3">
        <v>200008</v>
      </c>
      <c r="D247" s="3">
        <f>ROUND(IF(Data!E247&lt;0,0-Data!E247,0),1)</f>
        <v>0</v>
      </c>
      <c r="E247" s="3">
        <f>ROUND(IF(Data!E247&gt;5,Data!E247-5,0),1)</f>
        <v>0.5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f t="shared" si="7"/>
        <v>36767</v>
      </c>
      <c r="B248" s="1">
        <v>242</v>
      </c>
      <c r="C248" s="3">
        <v>200008</v>
      </c>
      <c r="D248" s="3">
        <f>ROUND(IF(Data!E248&lt;0,0-Data!E248,0),1)</f>
        <v>0</v>
      </c>
      <c r="E248" s="3">
        <f>ROUND(IF(Data!E248&gt;5,Data!E248-5,0),1)</f>
        <v>0.5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f t="shared" si="7"/>
        <v>36768</v>
      </c>
      <c r="B249" s="1">
        <v>243</v>
      </c>
      <c r="C249" s="3">
        <v>200008</v>
      </c>
      <c r="D249" s="3">
        <f>ROUND(IF(Data!E249&lt;0,0-Data!E249,0),1)</f>
        <v>0</v>
      </c>
      <c r="E249" s="3">
        <f>ROUND(IF(Data!E249&gt;5,Data!E249-5,0),1)</f>
        <v>1.6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f t="shared" si="7"/>
        <v>36769</v>
      </c>
      <c r="B250" s="1">
        <v>244</v>
      </c>
      <c r="C250" s="3">
        <v>200008</v>
      </c>
      <c r="D250" s="3">
        <f>ROUND(IF(Data!E250&lt;0,0-Data!E250,0),1)</f>
        <v>0</v>
      </c>
      <c r="E250" s="3">
        <f>ROUND(IF(Data!E250&gt;5,Data!E250-5,0),1)</f>
        <v>2.1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f t="shared" si="7"/>
        <v>36770</v>
      </c>
      <c r="B251" s="1">
        <v>245</v>
      </c>
      <c r="C251" s="3">
        <v>200009</v>
      </c>
      <c r="D251" s="3">
        <f>ROUND(IF(Data!E251&lt;0,0-Data!E251,0),1)</f>
        <v>0</v>
      </c>
      <c r="E251" s="3">
        <f>ROUND(IF(Data!E251&gt;5,Data!E251-5,0),1)</f>
        <v>1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f t="shared" si="7"/>
        <v>36771</v>
      </c>
      <c r="B252" s="1">
        <v>246</v>
      </c>
      <c r="C252" s="3">
        <v>200009</v>
      </c>
      <c r="D252" s="3">
        <f>ROUND(IF(Data!E252&lt;0,0-Data!E252,0),1)</f>
        <v>0</v>
      </c>
      <c r="E252" s="3">
        <f>ROUND(IF(Data!E252&gt;5,Data!E252-5,0),1)</f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f t="shared" si="7"/>
        <v>36772</v>
      </c>
      <c r="B253" s="1">
        <v>247</v>
      </c>
      <c r="C253" s="3">
        <v>200009</v>
      </c>
      <c r="D253" s="3">
        <f>ROUND(IF(Data!E253&lt;0,0-Data!E253,0),1)</f>
        <v>0</v>
      </c>
      <c r="E253" s="3">
        <f>ROUND(IF(Data!E253&gt;5,Data!E253-5,0),1)</f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f t="shared" si="7"/>
        <v>36773</v>
      </c>
      <c r="B254" s="1">
        <v>248</v>
      </c>
      <c r="C254" s="3">
        <v>200009</v>
      </c>
      <c r="D254" s="3">
        <f>ROUND(IF(Data!E254&lt;0,0-Data!E254,0),1)</f>
        <v>0</v>
      </c>
      <c r="E254" s="3">
        <f>ROUND(IF(Data!E254&gt;5,Data!E254-5,0),1)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f t="shared" si="7"/>
        <v>36774</v>
      </c>
      <c r="B255" s="1">
        <v>249</v>
      </c>
      <c r="C255" s="3">
        <v>200009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f t="shared" si="7"/>
        <v>36775</v>
      </c>
      <c r="B256" s="1">
        <v>250</v>
      </c>
      <c r="C256" s="3">
        <v>200009</v>
      </c>
      <c r="D256" s="3">
        <f>ROUND(IF(Data!E256&lt;0,0-Data!E256,0),1)</f>
        <v>0</v>
      </c>
      <c r="E256" s="3">
        <f>ROUND(IF(Data!E256&gt;5,Data!E256-5,0),1)</f>
        <v>2.1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f t="shared" si="7"/>
        <v>36776</v>
      </c>
      <c r="B257" s="1">
        <v>251</v>
      </c>
      <c r="C257" s="3">
        <v>200009</v>
      </c>
      <c r="D257" s="3">
        <f>ROUND(IF(Data!E257&lt;0,0-Data!E257,0),1)</f>
        <v>0</v>
      </c>
      <c r="E257" s="3">
        <f>ROUND(IF(Data!E257&gt;5,Data!E257-5,0),1)</f>
        <v>1.5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f t="shared" si="7"/>
        <v>36777</v>
      </c>
      <c r="B258" s="1">
        <v>252</v>
      </c>
      <c r="C258" s="3">
        <v>200009</v>
      </c>
      <c r="D258" s="3">
        <f>ROUND(IF(Data!E258&lt;0,0-Data!E258,0),1)</f>
        <v>0</v>
      </c>
      <c r="E258" s="3">
        <f>ROUND(IF(Data!E258&gt;5,Data!E258-5,0),1)</f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f t="shared" si="7"/>
        <v>36778</v>
      </c>
      <c r="B259" s="1">
        <v>253</v>
      </c>
      <c r="C259" s="3">
        <v>200009</v>
      </c>
      <c r="D259" s="3">
        <f>ROUND(IF(Data!E259&lt;0,0-Data!E259,0),1)</f>
        <v>0</v>
      </c>
      <c r="E259" s="3">
        <f>ROUND(IF(Data!E259&gt;5,Data!E259-5,0),1)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f t="shared" si="7"/>
        <v>36779</v>
      </c>
      <c r="B260" s="1">
        <v>254</v>
      </c>
      <c r="C260" s="3">
        <v>200009</v>
      </c>
      <c r="D260" s="3">
        <f>ROUND(IF(Data!E260&lt;0,0-Data!E260,0),1)</f>
        <v>0</v>
      </c>
      <c r="E260" s="3">
        <f>ROUND(IF(Data!E260&gt;5,Data!E260-5,0),1)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f t="shared" si="7"/>
        <v>36780</v>
      </c>
      <c r="B261" s="1">
        <v>255</v>
      </c>
      <c r="C261" s="3">
        <v>200009</v>
      </c>
      <c r="D261" s="3">
        <f>ROUND(IF(Data!E261&lt;0,0-Data!E261,0),1)</f>
        <v>0</v>
      </c>
      <c r="E261" s="3">
        <f>ROUND(IF(Data!E261&gt;5,Data!E261-5,0),1)</f>
        <v>0.5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f t="shared" si="7"/>
        <v>36781</v>
      </c>
      <c r="B262" s="1">
        <v>256</v>
      </c>
      <c r="C262" s="3">
        <v>200009</v>
      </c>
      <c r="D262" s="3">
        <f>ROUND(IF(Data!E262&lt;0,0-Data!E262,0),1)</f>
        <v>0</v>
      </c>
      <c r="E262" s="3">
        <f>ROUND(IF(Data!E262&gt;5,Data!E262-5,0),1)</f>
        <v>2.5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f t="shared" si="7"/>
        <v>36782</v>
      </c>
      <c r="B263" s="1">
        <v>257</v>
      </c>
      <c r="C263" s="3">
        <v>200009</v>
      </c>
      <c r="D263" s="3">
        <f>ROUND(IF(Data!E263&lt;0,0-Data!E263,0),1)</f>
        <v>0</v>
      </c>
      <c r="E263" s="3">
        <f>ROUND(IF(Data!E263&gt;5,Data!E263-5,0),1)</f>
        <v>4.2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f t="shared" ref="A264:A327" si="8">A263+1</f>
        <v>36783</v>
      </c>
      <c r="B264" s="1">
        <v>258</v>
      </c>
      <c r="C264" s="3">
        <v>200009</v>
      </c>
      <c r="D264" s="3">
        <f>ROUND(IF(Data!E264&lt;0,0-Data!E264,0),1)</f>
        <v>0</v>
      </c>
      <c r="E264" s="3">
        <f>ROUND(IF(Data!E264&gt;5,Data!E264-5,0),1)</f>
        <v>6.8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f t="shared" si="8"/>
        <v>36784</v>
      </c>
      <c r="B265" s="1">
        <v>259</v>
      </c>
      <c r="C265" s="3">
        <v>200009</v>
      </c>
      <c r="D265" s="3">
        <f>ROUND(IF(Data!E265&lt;0,0-Data!E265,0),1)</f>
        <v>0</v>
      </c>
      <c r="E265" s="3">
        <f>ROUND(IF(Data!E265&gt;5,Data!E265-5,0),1)</f>
        <v>6.9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f t="shared" si="8"/>
        <v>36785</v>
      </c>
      <c r="B266" s="1">
        <v>260</v>
      </c>
      <c r="C266" s="3">
        <v>200009</v>
      </c>
      <c r="D266" s="3">
        <f>ROUND(IF(Data!E266&lt;0,0-Data!E266,0),1)</f>
        <v>0</v>
      </c>
      <c r="E266" s="3">
        <f>ROUND(IF(Data!E266&gt;5,Data!E266-5,0),1)</f>
        <v>6.3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f t="shared" si="8"/>
        <v>36786</v>
      </c>
      <c r="B267" s="1">
        <v>261</v>
      </c>
      <c r="C267" s="3">
        <v>200009</v>
      </c>
      <c r="D267" s="3">
        <f>ROUND(IF(Data!E267&lt;0,0-Data!E267,0),1)</f>
        <v>0</v>
      </c>
      <c r="E267" s="3">
        <f>ROUND(IF(Data!E267&gt;5,Data!E267-5,0),1)</f>
        <v>5.4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f t="shared" si="8"/>
        <v>36787</v>
      </c>
      <c r="B268" s="1">
        <v>262</v>
      </c>
      <c r="C268" s="3">
        <v>200009</v>
      </c>
      <c r="D268" s="3">
        <f>ROUND(IF(Data!E268&lt;0,0-Data!E268,0),1)</f>
        <v>0</v>
      </c>
      <c r="E268" s="3">
        <f>ROUND(IF(Data!E268&gt;5,Data!E268-5,0),1)</f>
        <v>1.8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f t="shared" si="8"/>
        <v>36788</v>
      </c>
      <c r="B269" s="1">
        <v>263</v>
      </c>
      <c r="C269" s="3">
        <v>200009</v>
      </c>
      <c r="D269" s="3">
        <f>ROUND(IF(Data!E269&lt;0,0-Data!E269,0),1)</f>
        <v>0</v>
      </c>
      <c r="E269" s="3">
        <f>ROUND(IF(Data!E269&gt;5,Data!E269-5,0),1)</f>
        <v>0.4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f t="shared" si="8"/>
        <v>36789</v>
      </c>
      <c r="B270" s="1">
        <v>264</v>
      </c>
      <c r="C270" s="3">
        <v>200009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f t="shared" si="8"/>
        <v>36790</v>
      </c>
      <c r="B271" s="1">
        <v>265</v>
      </c>
      <c r="C271" s="3">
        <v>200009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f t="shared" si="8"/>
        <v>36791</v>
      </c>
      <c r="B272" s="1">
        <v>266</v>
      </c>
      <c r="C272" s="3">
        <v>200009</v>
      </c>
      <c r="D272" s="3">
        <f>ROUND(IF(Data!E272&lt;0,0-Data!E272,0),1)</f>
        <v>0.6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f t="shared" si="8"/>
        <v>36792</v>
      </c>
      <c r="B273" s="1">
        <v>267</v>
      </c>
      <c r="C273" s="3">
        <v>200009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f t="shared" si="8"/>
        <v>36793</v>
      </c>
      <c r="B274" s="1">
        <v>268</v>
      </c>
      <c r="C274" s="3">
        <v>200009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f t="shared" si="8"/>
        <v>36794</v>
      </c>
      <c r="B275" s="1">
        <v>269</v>
      </c>
      <c r="C275" s="3">
        <v>200009</v>
      </c>
      <c r="D275" s="3">
        <f>ROUND(IF(Data!E275&lt;0,0-Data!E275,0),1)</f>
        <v>0</v>
      </c>
      <c r="E275" s="3">
        <f>ROUND(IF(Data!E275&gt;5,Data!E275-5,0),1)</f>
        <v>0.2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f t="shared" si="8"/>
        <v>36795</v>
      </c>
      <c r="B276" s="1">
        <v>270</v>
      </c>
      <c r="C276" s="3">
        <v>200009</v>
      </c>
      <c r="D276" s="3">
        <f>ROUND(IF(Data!E276&lt;0,0-Data!E276,0),1)</f>
        <v>0</v>
      </c>
      <c r="E276" s="3">
        <f>ROUND(IF(Data!E276&gt;5,Data!E276-5,0),1)</f>
        <v>0.9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f t="shared" si="8"/>
        <v>36796</v>
      </c>
      <c r="B277" s="1">
        <v>271</v>
      </c>
      <c r="C277" s="3">
        <v>200009</v>
      </c>
      <c r="D277" s="3">
        <f>ROUND(IF(Data!E277&lt;0,0-Data!E277,0),1)</f>
        <v>0</v>
      </c>
      <c r="E277" s="3">
        <f>ROUND(IF(Data!E277&gt;5,Data!E277-5,0),1)</f>
        <v>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f t="shared" si="8"/>
        <v>36797</v>
      </c>
      <c r="B278" s="1">
        <v>272</v>
      </c>
      <c r="C278" s="3">
        <v>200009</v>
      </c>
      <c r="D278" s="3">
        <f>ROUND(IF(Data!E278&lt;0,0-Data!E278,0),1)</f>
        <v>0</v>
      </c>
      <c r="E278" s="3">
        <f>ROUND(IF(Data!E278&gt;5,Data!E278-5,0),1)</f>
        <v>3.7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f t="shared" si="8"/>
        <v>36798</v>
      </c>
      <c r="B279" s="1">
        <v>273</v>
      </c>
      <c r="C279" s="3">
        <v>200009</v>
      </c>
      <c r="D279" s="3">
        <f>ROUND(IF(Data!E279&lt;0,0-Data!E279,0),1)</f>
        <v>0</v>
      </c>
      <c r="E279" s="3">
        <f>ROUND(IF(Data!E279&gt;5,Data!E279-5,0),1)</f>
        <v>2.1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f t="shared" si="8"/>
        <v>36799</v>
      </c>
      <c r="B280" s="1">
        <v>274</v>
      </c>
      <c r="C280" s="3">
        <v>200009</v>
      </c>
      <c r="D280" s="3">
        <f>ROUND(IF(Data!E280&lt;0,0-Data!E280,0),1)</f>
        <v>0</v>
      </c>
      <c r="E280" s="3">
        <f>ROUND(IF(Data!E280&gt;5,Data!E280-5,0),1)</f>
        <v>1.7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f t="shared" si="8"/>
        <v>36800</v>
      </c>
      <c r="B281" s="1">
        <v>275</v>
      </c>
      <c r="C281" s="3">
        <v>200010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f t="shared" si="8"/>
        <v>36801</v>
      </c>
      <c r="B282" s="1">
        <v>276</v>
      </c>
      <c r="C282" s="3">
        <v>200010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f t="shared" si="8"/>
        <v>36802</v>
      </c>
      <c r="B283" s="1">
        <v>277</v>
      </c>
      <c r="C283" s="3">
        <v>200010</v>
      </c>
      <c r="D283" s="3">
        <f>ROUND(IF(Data!E283&lt;0,0-Data!E283,0),1)</f>
        <v>1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f t="shared" si="8"/>
        <v>36803</v>
      </c>
      <c r="B284" s="1">
        <v>278</v>
      </c>
      <c r="C284" s="3">
        <v>200010</v>
      </c>
      <c r="D284" s="3">
        <f>ROUND(IF(Data!E284&lt;0,0-Data!E284,0),1)</f>
        <v>1.2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f t="shared" si="8"/>
        <v>36804</v>
      </c>
      <c r="B285" s="1">
        <v>279</v>
      </c>
      <c r="C285" s="3">
        <v>200010</v>
      </c>
      <c r="D285" s="3">
        <f>ROUND(IF(Data!E285&lt;0,0-Data!E285,0),1)</f>
        <v>4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f t="shared" si="8"/>
        <v>36805</v>
      </c>
      <c r="B286" s="1">
        <v>280</v>
      </c>
      <c r="C286" s="3">
        <v>200010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f t="shared" si="8"/>
        <v>36806</v>
      </c>
      <c r="B287" s="1">
        <v>281</v>
      </c>
      <c r="C287" s="3">
        <v>200010</v>
      </c>
      <c r="D287" s="3">
        <f>ROUND(IF(Data!E287&lt;0,0-Data!E287,0),1)</f>
        <v>0</v>
      </c>
      <c r="E287" s="3">
        <f>ROUND(IF(Data!E287&gt;5,Data!E287-5,0),1)</f>
        <v>0.3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f t="shared" si="8"/>
        <v>36807</v>
      </c>
      <c r="B288" s="1">
        <v>282</v>
      </c>
      <c r="C288" s="3">
        <v>200010</v>
      </c>
      <c r="D288" s="3">
        <f>ROUND(IF(Data!E288&lt;0,0-Data!E288,0),1)</f>
        <v>0</v>
      </c>
      <c r="E288" s="3">
        <f>ROUND(IF(Data!E288&gt;5,Data!E288-5,0),1)</f>
        <v>0.3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f t="shared" si="8"/>
        <v>36808</v>
      </c>
      <c r="B289" s="1">
        <v>283</v>
      </c>
      <c r="C289" s="3">
        <v>200010</v>
      </c>
      <c r="D289" s="3">
        <f>ROUND(IF(Data!E289&lt;0,0-Data!E289,0),1)</f>
        <v>0</v>
      </c>
      <c r="E289" s="3">
        <f>ROUND(IF(Data!E289&gt;5,Data!E289-5,0),1)</f>
        <v>3.1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f t="shared" si="8"/>
        <v>36809</v>
      </c>
      <c r="B290" s="1">
        <v>284</v>
      </c>
      <c r="C290" s="3">
        <v>200010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f t="shared" si="8"/>
        <v>36810</v>
      </c>
      <c r="B291" s="1">
        <v>285</v>
      </c>
      <c r="C291" s="3">
        <v>200010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f t="shared" si="8"/>
        <v>36811</v>
      </c>
      <c r="B292" s="1">
        <v>286</v>
      </c>
      <c r="C292" s="3">
        <v>200010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f t="shared" si="8"/>
        <v>36812</v>
      </c>
      <c r="B293" s="1">
        <v>287</v>
      </c>
      <c r="C293" s="3">
        <v>200010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f t="shared" si="8"/>
        <v>36813</v>
      </c>
      <c r="B294" s="1">
        <v>288</v>
      </c>
      <c r="C294" s="3">
        <v>200010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f t="shared" si="8"/>
        <v>36814</v>
      </c>
      <c r="B295" s="1">
        <v>289</v>
      </c>
      <c r="C295" s="3">
        <v>200010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f t="shared" si="8"/>
        <v>36815</v>
      </c>
      <c r="B296" s="1">
        <v>290</v>
      </c>
      <c r="C296" s="3">
        <v>200010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f t="shared" si="8"/>
        <v>36816</v>
      </c>
      <c r="B297" s="1">
        <v>291</v>
      </c>
      <c r="C297" s="3">
        <v>200010</v>
      </c>
      <c r="D297" s="3">
        <f>ROUND(IF(Data!E297&lt;0,0-Data!E297,0),1)</f>
        <v>0</v>
      </c>
      <c r="E297" s="3">
        <f>ROUND(IF(Data!E297&gt;5,Data!E297-5,0),1)</f>
        <v>0.7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f t="shared" si="8"/>
        <v>36817</v>
      </c>
      <c r="B298" s="1">
        <v>292</v>
      </c>
      <c r="C298" s="3">
        <v>200010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f t="shared" si="8"/>
        <v>36818</v>
      </c>
      <c r="B299" s="1">
        <v>293</v>
      </c>
      <c r="C299" s="3">
        <v>200010</v>
      </c>
      <c r="D299" s="3">
        <f>ROUND(IF(Data!E299&lt;0,0-Data!E299,0),1)</f>
        <v>0.1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f t="shared" si="8"/>
        <v>36819</v>
      </c>
      <c r="B300" s="1">
        <v>294</v>
      </c>
      <c r="C300" s="3">
        <v>200010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f t="shared" si="8"/>
        <v>36820</v>
      </c>
      <c r="B301" s="1">
        <v>295</v>
      </c>
      <c r="C301" s="3">
        <v>200010</v>
      </c>
      <c r="D301" s="3">
        <f>ROUND(IF(Data!E301&lt;0,0-Data!E301,0),1)</f>
        <v>3.3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f t="shared" si="8"/>
        <v>36821</v>
      </c>
      <c r="B302" s="1">
        <v>296</v>
      </c>
      <c r="C302" s="3">
        <v>200010</v>
      </c>
      <c r="D302" s="3">
        <f>ROUND(IF(Data!E302&lt;0,0-Data!E302,0),1)</f>
        <v>1.5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f t="shared" si="8"/>
        <v>36822</v>
      </c>
      <c r="B303" s="1">
        <v>297</v>
      </c>
      <c r="C303" s="3">
        <v>200010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f t="shared" si="8"/>
        <v>36823</v>
      </c>
      <c r="B304" s="1">
        <v>298</v>
      </c>
      <c r="C304" s="3">
        <v>200010</v>
      </c>
      <c r="D304" s="3">
        <f>ROUND(IF(Data!E304&lt;0,0-Data!E304,0),1)</f>
        <v>0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f t="shared" si="8"/>
        <v>36824</v>
      </c>
      <c r="B305" s="1">
        <v>299</v>
      </c>
      <c r="C305" s="3">
        <v>200010</v>
      </c>
      <c r="D305" s="3">
        <f>ROUND(IF(Data!E305&lt;0,0-Data!E305,0),1)</f>
        <v>0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f t="shared" si="8"/>
        <v>36825</v>
      </c>
      <c r="B306" s="1">
        <v>300</v>
      </c>
      <c r="C306" s="3">
        <v>200010</v>
      </c>
      <c r="D306" s="3">
        <f>ROUND(IF(Data!E306&lt;0,0-Data!E306,0),1)</f>
        <v>0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f t="shared" si="8"/>
        <v>36826</v>
      </c>
      <c r="B307" s="1">
        <v>301</v>
      </c>
      <c r="C307" s="3">
        <v>200010</v>
      </c>
      <c r="D307" s="3">
        <f>ROUND(IF(Data!E307&lt;0,0-Data!E307,0),1)</f>
        <v>0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f t="shared" si="8"/>
        <v>36827</v>
      </c>
      <c r="B308" s="1">
        <v>302</v>
      </c>
      <c r="C308" s="3">
        <v>200010</v>
      </c>
      <c r="D308" s="3">
        <f>ROUND(IF(Data!E308&lt;0,0-Data!E308,0),1)</f>
        <v>0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f t="shared" si="8"/>
        <v>36828</v>
      </c>
      <c r="B309" s="1">
        <v>303</v>
      </c>
      <c r="C309" s="3">
        <v>200010</v>
      </c>
      <c r="D309" s="3">
        <f>ROUND(IF(Data!E309&lt;0,0-Data!E309,0),1)</f>
        <v>1.1000000000000001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f t="shared" si="8"/>
        <v>36829</v>
      </c>
      <c r="B310" s="1">
        <v>304</v>
      </c>
      <c r="C310" s="3">
        <v>200010</v>
      </c>
      <c r="D310" s="3">
        <f>ROUND(IF(Data!E310&lt;0,0-Data!E310,0),1)</f>
        <v>0.7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f t="shared" si="8"/>
        <v>36830</v>
      </c>
      <c r="B311" s="1">
        <v>305</v>
      </c>
      <c r="C311" s="3">
        <v>200010</v>
      </c>
      <c r="D311" s="3">
        <f>ROUND(IF(Data!E311&lt;0,0-Data!E311,0),1)</f>
        <v>1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f t="shared" si="8"/>
        <v>36831</v>
      </c>
      <c r="B312" s="1">
        <v>306</v>
      </c>
      <c r="C312" s="3">
        <v>200011</v>
      </c>
      <c r="D312" s="3">
        <f>ROUND(IF(Data!E312&lt;0,0-Data!E312,0),1)</f>
        <v>4.3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f t="shared" si="8"/>
        <v>36832</v>
      </c>
      <c r="B313" s="1">
        <v>307</v>
      </c>
      <c r="C313" s="3">
        <v>200011</v>
      </c>
      <c r="D313" s="3">
        <f>ROUND(IF(Data!E313&lt;0,0-Data!E313,0),1)</f>
        <v>4.0999999999999996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f t="shared" si="8"/>
        <v>36833</v>
      </c>
      <c r="B314" s="1">
        <v>308</v>
      </c>
      <c r="C314" s="3">
        <v>200011</v>
      </c>
      <c r="D314" s="3">
        <f>ROUND(IF(Data!E314&lt;0,0-Data!E314,0),1)</f>
        <v>0.4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f t="shared" si="8"/>
        <v>36834</v>
      </c>
      <c r="B315" s="1">
        <v>309</v>
      </c>
      <c r="C315" s="3">
        <v>200011</v>
      </c>
      <c r="D315" s="3">
        <f>ROUND(IF(Data!E315&lt;0,0-Data!E315,0),1)</f>
        <v>0.5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f t="shared" si="8"/>
        <v>36835</v>
      </c>
      <c r="B316" s="1">
        <v>310</v>
      </c>
      <c r="C316" s="3">
        <v>200011</v>
      </c>
      <c r="D316" s="3">
        <f>ROUND(IF(Data!E316&lt;0,0-Data!E316,0),1)</f>
        <v>5.7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f t="shared" si="8"/>
        <v>36836</v>
      </c>
      <c r="B317" s="1">
        <v>311</v>
      </c>
      <c r="C317" s="3">
        <v>200011</v>
      </c>
      <c r="D317" s="3">
        <f>ROUND(IF(Data!E317&lt;0,0-Data!E317,0),1)</f>
        <v>6.3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f t="shared" si="8"/>
        <v>36837</v>
      </c>
      <c r="B318" s="1">
        <v>312</v>
      </c>
      <c r="C318" s="3">
        <v>200011</v>
      </c>
      <c r="D318" s="3">
        <f>ROUND(IF(Data!E318&lt;0,0-Data!E318,0),1)</f>
        <v>4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f t="shared" si="8"/>
        <v>36838</v>
      </c>
      <c r="B319" s="1">
        <v>313</v>
      </c>
      <c r="C319" s="3">
        <v>200011</v>
      </c>
      <c r="D319" s="3">
        <f>ROUND(IF(Data!E319&lt;0,0-Data!E319,0),1)</f>
        <v>3.8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f t="shared" si="8"/>
        <v>36839</v>
      </c>
      <c r="B320" s="1">
        <v>314</v>
      </c>
      <c r="C320" s="3">
        <v>200011</v>
      </c>
      <c r="D320" s="3">
        <f>ROUND(IF(Data!E320&lt;0,0-Data!E320,0),1)</f>
        <v>5.7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f t="shared" si="8"/>
        <v>36840</v>
      </c>
      <c r="B321" s="1">
        <v>315</v>
      </c>
      <c r="C321" s="3">
        <v>200011</v>
      </c>
      <c r="D321" s="3">
        <f>ROUND(IF(Data!E321&lt;0,0-Data!E321,0),1)</f>
        <v>9.6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f t="shared" si="8"/>
        <v>36841</v>
      </c>
      <c r="B322" s="1">
        <v>316</v>
      </c>
      <c r="C322" s="3">
        <v>200011</v>
      </c>
      <c r="D322" s="3">
        <f>ROUND(IF(Data!E322&lt;0,0-Data!E322,0),1)</f>
        <v>9.6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f t="shared" si="8"/>
        <v>36842</v>
      </c>
      <c r="B323" s="1">
        <v>317</v>
      </c>
      <c r="C323" s="3">
        <v>200011</v>
      </c>
      <c r="D323" s="3">
        <f>ROUND(IF(Data!E323&lt;0,0-Data!E323,0),1)</f>
        <v>7.9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f t="shared" si="8"/>
        <v>36843</v>
      </c>
      <c r="B324" s="1">
        <v>318</v>
      </c>
      <c r="C324" s="3">
        <v>200011</v>
      </c>
      <c r="D324" s="3">
        <f>ROUND(IF(Data!E324&lt;0,0-Data!E324,0),1)</f>
        <v>8.6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f t="shared" si="8"/>
        <v>36844</v>
      </c>
      <c r="B325" s="1">
        <v>319</v>
      </c>
      <c r="C325" s="3">
        <v>200011</v>
      </c>
      <c r="D325" s="3">
        <f>ROUND(IF(Data!E325&lt;0,0-Data!E325,0),1)</f>
        <v>10.3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f t="shared" si="8"/>
        <v>36845</v>
      </c>
      <c r="B326" s="1">
        <v>320</v>
      </c>
      <c r="C326" s="3">
        <v>200011</v>
      </c>
      <c r="D326" s="3">
        <f>ROUND(IF(Data!E326&lt;0,0-Data!E326,0),1)</f>
        <v>8.6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f t="shared" si="8"/>
        <v>36846</v>
      </c>
      <c r="B327" s="1">
        <v>321</v>
      </c>
      <c r="C327" s="3">
        <v>200011</v>
      </c>
      <c r="D327" s="3">
        <f>ROUND(IF(Data!E327&lt;0,0-Data!E327,0),1)</f>
        <v>9.3000000000000007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f t="shared" ref="A328:A372" si="9">A327+1</f>
        <v>36847</v>
      </c>
      <c r="B328" s="1">
        <v>322</v>
      </c>
      <c r="C328" s="3">
        <v>200011</v>
      </c>
      <c r="D328" s="3">
        <f>ROUND(IF(Data!E328&lt;0,0-Data!E328,0),1)</f>
        <v>8.9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f t="shared" si="9"/>
        <v>36848</v>
      </c>
      <c r="B329" s="1">
        <v>323</v>
      </c>
      <c r="C329" s="3">
        <v>200011</v>
      </c>
      <c r="D329" s="3">
        <f>ROUND(IF(Data!E329&lt;0,0-Data!E329,0),1)</f>
        <v>6.4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f t="shared" si="9"/>
        <v>36849</v>
      </c>
      <c r="B330" s="1">
        <v>324</v>
      </c>
      <c r="C330" s="3">
        <v>200011</v>
      </c>
      <c r="D330" s="3">
        <f>ROUND(IF(Data!E330&lt;0,0-Data!E330,0),1)</f>
        <v>5.7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f t="shared" si="9"/>
        <v>36850</v>
      </c>
      <c r="B331" s="1">
        <v>325</v>
      </c>
      <c r="C331" s="3">
        <v>200011</v>
      </c>
      <c r="D331" s="3">
        <f>ROUND(IF(Data!E331&lt;0,0-Data!E331,0),1)</f>
        <v>6.9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f t="shared" si="9"/>
        <v>36851</v>
      </c>
      <c r="B332" s="1">
        <v>326</v>
      </c>
      <c r="C332" s="3">
        <v>200011</v>
      </c>
      <c r="D332" s="3">
        <f>ROUND(IF(Data!E332&lt;0,0-Data!E332,0),1)</f>
        <v>6.2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f t="shared" si="9"/>
        <v>36852</v>
      </c>
      <c r="B333" s="1">
        <v>327</v>
      </c>
      <c r="C333" s="3">
        <v>200011</v>
      </c>
      <c r="D333" s="3">
        <f>ROUND(IF(Data!E333&lt;0,0-Data!E333,0),1)</f>
        <v>8.4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f t="shared" si="9"/>
        <v>36853</v>
      </c>
      <c r="B334" s="1">
        <v>328</v>
      </c>
      <c r="C334" s="3">
        <v>200011</v>
      </c>
      <c r="D334" s="3">
        <f>ROUND(IF(Data!E334&lt;0,0-Data!E334,0),1)</f>
        <v>7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f t="shared" si="9"/>
        <v>36854</v>
      </c>
      <c r="B335" s="1">
        <v>329</v>
      </c>
      <c r="C335" s="3">
        <v>200011</v>
      </c>
      <c r="D335" s="3">
        <f>ROUND(IF(Data!E335&lt;0,0-Data!E335,0),1)</f>
        <v>3.1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f t="shared" si="9"/>
        <v>36855</v>
      </c>
      <c r="B336" s="1">
        <v>330</v>
      </c>
      <c r="C336" s="3">
        <v>200011</v>
      </c>
      <c r="D336" s="3">
        <f>ROUND(IF(Data!E336&lt;0,0-Data!E336,0),1)</f>
        <v>3.3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f t="shared" si="9"/>
        <v>36856</v>
      </c>
      <c r="B337" s="1">
        <v>331</v>
      </c>
      <c r="C337" s="3">
        <v>200011</v>
      </c>
      <c r="D337" s="3">
        <f>ROUND(IF(Data!E337&lt;0,0-Data!E337,0),1)</f>
        <v>3.6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f t="shared" si="9"/>
        <v>36857</v>
      </c>
      <c r="B338" s="1">
        <v>332</v>
      </c>
      <c r="C338" s="3">
        <v>200011</v>
      </c>
      <c r="D338" s="3">
        <f>ROUND(IF(Data!E338&lt;0,0-Data!E338,0),1)</f>
        <v>5.3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f t="shared" si="9"/>
        <v>36858</v>
      </c>
      <c r="B339" s="1">
        <v>333</v>
      </c>
      <c r="C339" s="3">
        <v>200011</v>
      </c>
      <c r="D339" s="3">
        <f>ROUND(IF(Data!E339&lt;0,0-Data!E339,0),1)</f>
        <v>7.2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f t="shared" si="9"/>
        <v>36859</v>
      </c>
      <c r="B340" s="1">
        <v>334</v>
      </c>
      <c r="C340" s="3">
        <v>200011</v>
      </c>
      <c r="D340" s="3">
        <f>ROUND(IF(Data!E340&lt;0,0-Data!E340,0),1)</f>
        <v>4.9000000000000004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f t="shared" si="9"/>
        <v>36860</v>
      </c>
      <c r="B341" s="1">
        <v>335</v>
      </c>
      <c r="C341" s="3">
        <v>200011</v>
      </c>
      <c r="D341" s="3">
        <f>ROUND(IF(Data!E341&lt;0,0-Data!E341,0),1)</f>
        <v>4.5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f t="shared" si="9"/>
        <v>36861</v>
      </c>
      <c r="B342" s="1">
        <v>336</v>
      </c>
      <c r="C342" s="3">
        <v>200012</v>
      </c>
      <c r="D342" s="3">
        <f>ROUND(IF(Data!E342&lt;0,0-Data!E342,0),1)</f>
        <v>1.6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f t="shared" si="9"/>
        <v>36862</v>
      </c>
      <c r="B343" s="1">
        <v>337</v>
      </c>
      <c r="C343" s="3">
        <v>200012</v>
      </c>
      <c r="D343" s="3">
        <f>ROUND(IF(Data!E343&lt;0,0-Data!E343,0),1)</f>
        <v>1.7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f t="shared" si="9"/>
        <v>36863</v>
      </c>
      <c r="B344" s="1">
        <v>338</v>
      </c>
      <c r="C344" s="3">
        <v>200012</v>
      </c>
      <c r="D344" s="3">
        <f>ROUND(IF(Data!E344&lt;0,0-Data!E344,0),1)</f>
        <v>6.3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f t="shared" si="9"/>
        <v>36864</v>
      </c>
      <c r="B345" s="1">
        <v>339</v>
      </c>
      <c r="C345" s="3">
        <v>200012</v>
      </c>
      <c r="D345" s="3">
        <f>ROUND(IF(Data!E345&lt;0,0-Data!E345,0),1)</f>
        <v>9.5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f t="shared" si="9"/>
        <v>36865</v>
      </c>
      <c r="B346" s="1">
        <v>340</v>
      </c>
      <c r="C346" s="3">
        <v>200012</v>
      </c>
      <c r="D346" s="3">
        <f>ROUND(IF(Data!E346&lt;0,0-Data!E346,0),1)</f>
        <v>6.2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f t="shared" si="9"/>
        <v>36866</v>
      </c>
      <c r="B347" s="1">
        <v>341</v>
      </c>
      <c r="C347" s="3">
        <v>200012</v>
      </c>
      <c r="D347" s="3">
        <f>ROUND(IF(Data!E347&lt;0,0-Data!E347,0),1)</f>
        <v>4.5999999999999996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f t="shared" si="9"/>
        <v>36867</v>
      </c>
      <c r="B348" s="1">
        <v>342</v>
      </c>
      <c r="C348" s="3">
        <v>200012</v>
      </c>
      <c r="D348" s="3">
        <f>ROUND(IF(Data!E348&lt;0,0-Data!E348,0),1)</f>
        <v>8.1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f t="shared" si="9"/>
        <v>36868</v>
      </c>
      <c r="B349" s="1">
        <v>343</v>
      </c>
      <c r="C349" s="3">
        <v>200012</v>
      </c>
      <c r="D349" s="3">
        <f>ROUND(IF(Data!E349&lt;0,0-Data!E349,0),1)</f>
        <v>9.1999999999999993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f t="shared" si="9"/>
        <v>36869</v>
      </c>
      <c r="B350" s="1">
        <v>344</v>
      </c>
      <c r="C350" s="3">
        <v>200012</v>
      </c>
      <c r="D350" s="3">
        <f>ROUND(IF(Data!E350&lt;0,0-Data!E350,0),1)</f>
        <v>10.6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f t="shared" si="9"/>
        <v>36870</v>
      </c>
      <c r="B351" s="1">
        <v>345</v>
      </c>
      <c r="C351" s="3">
        <v>200012</v>
      </c>
      <c r="D351" s="3">
        <f>ROUND(IF(Data!E351&lt;0,0-Data!E351,0),1)</f>
        <v>15.9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f t="shared" si="9"/>
        <v>36871</v>
      </c>
      <c r="B352" s="1">
        <v>346</v>
      </c>
      <c r="C352" s="3">
        <v>200012</v>
      </c>
      <c r="D352" s="3">
        <f>ROUND(IF(Data!E352&lt;0,0-Data!E352,0),1)</f>
        <v>20.3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f t="shared" si="9"/>
        <v>36872</v>
      </c>
      <c r="B353" s="1">
        <v>347</v>
      </c>
      <c r="C353" s="3">
        <v>200012</v>
      </c>
      <c r="D353" s="3">
        <f>ROUND(IF(Data!E353&lt;0,0-Data!E353,0),1)</f>
        <v>20.6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f t="shared" si="9"/>
        <v>36873</v>
      </c>
      <c r="B354" s="1">
        <v>348</v>
      </c>
      <c r="C354" s="3">
        <v>200012</v>
      </c>
      <c r="D354" s="3">
        <f>ROUND(IF(Data!E354&lt;0,0-Data!E354,0),1)</f>
        <v>19.899999999999999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f t="shared" si="9"/>
        <v>36874</v>
      </c>
      <c r="B355" s="1">
        <v>349</v>
      </c>
      <c r="C355" s="3">
        <v>200012</v>
      </c>
      <c r="D355" s="3">
        <f>ROUND(IF(Data!E355&lt;0,0-Data!E355,0),1)</f>
        <v>16.8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f t="shared" si="9"/>
        <v>36875</v>
      </c>
      <c r="B356" s="1">
        <v>350</v>
      </c>
      <c r="C356" s="3">
        <v>200012</v>
      </c>
      <c r="D356" s="3">
        <f>ROUND(IF(Data!E356&lt;0,0-Data!E356,0),1)</f>
        <v>22.2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f t="shared" si="9"/>
        <v>36876</v>
      </c>
      <c r="B357" s="1">
        <v>351</v>
      </c>
      <c r="C357" s="3">
        <v>200012</v>
      </c>
      <c r="D357" s="3">
        <f>ROUND(IF(Data!E357&lt;0,0-Data!E357,0),1)</f>
        <v>13.6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f t="shared" si="9"/>
        <v>36877</v>
      </c>
      <c r="B358" s="1">
        <v>352</v>
      </c>
      <c r="C358" s="3">
        <v>200012</v>
      </c>
      <c r="D358" s="3">
        <f>ROUND(IF(Data!E358&lt;0,0-Data!E358,0),1)</f>
        <v>8.3000000000000007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f t="shared" si="9"/>
        <v>36878</v>
      </c>
      <c r="B359" s="1">
        <v>353</v>
      </c>
      <c r="C359" s="3">
        <v>200012</v>
      </c>
      <c r="D359" s="3">
        <f>ROUND(IF(Data!E359&lt;0,0-Data!E359,0),1)</f>
        <v>9.6999999999999993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f t="shared" si="9"/>
        <v>36879</v>
      </c>
      <c r="B360" s="1">
        <v>354</v>
      </c>
      <c r="C360" s="3">
        <v>200012</v>
      </c>
      <c r="D360" s="3">
        <f>ROUND(IF(Data!E360&lt;0,0-Data!E360,0),1)</f>
        <v>8.6999999999999993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f t="shared" si="9"/>
        <v>36880</v>
      </c>
      <c r="B361" s="1">
        <v>355</v>
      </c>
      <c r="C361" s="3">
        <v>200012</v>
      </c>
      <c r="D361" s="3">
        <f>ROUND(IF(Data!E361&lt;0,0-Data!E361,0),1)</f>
        <v>16.600000000000001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f t="shared" si="9"/>
        <v>36881</v>
      </c>
      <c r="B362" s="1">
        <v>356</v>
      </c>
      <c r="C362" s="3">
        <v>200012</v>
      </c>
      <c r="D362" s="3">
        <f>ROUND(IF(Data!E362&lt;0,0-Data!E362,0),1)</f>
        <v>11.7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f t="shared" si="9"/>
        <v>36882</v>
      </c>
      <c r="B363" s="1">
        <v>357</v>
      </c>
      <c r="C363" s="3">
        <v>200012</v>
      </c>
      <c r="D363" s="3">
        <f>ROUND(IF(Data!E363&lt;0,0-Data!E363,0),1)</f>
        <v>5.2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f t="shared" si="9"/>
        <v>36883</v>
      </c>
      <c r="B364" s="1">
        <v>358</v>
      </c>
      <c r="C364" s="3">
        <v>200012</v>
      </c>
      <c r="D364" s="3">
        <f>ROUND(IF(Data!E364&lt;0,0-Data!E364,0),1)</f>
        <v>3.7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f t="shared" si="9"/>
        <v>36884</v>
      </c>
      <c r="B365" s="1">
        <v>359</v>
      </c>
      <c r="C365" s="3">
        <v>200012</v>
      </c>
      <c r="D365" s="3">
        <f>ROUND(IF(Data!E365&lt;0,0-Data!E365,0),1)</f>
        <v>4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f t="shared" si="9"/>
        <v>36885</v>
      </c>
      <c r="B366" s="1">
        <v>360</v>
      </c>
      <c r="C366" s="3">
        <v>200012</v>
      </c>
      <c r="D366" s="3">
        <f>ROUND(IF(Data!E366&lt;0,0-Data!E366,0),1)</f>
        <v>4.0999999999999996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f t="shared" si="9"/>
        <v>36886</v>
      </c>
      <c r="B367" s="1">
        <v>361</v>
      </c>
      <c r="C367" s="3">
        <v>200012</v>
      </c>
      <c r="D367" s="3">
        <f>ROUND(IF(Data!E367&lt;0,0-Data!E367,0),1)</f>
        <v>3.2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f t="shared" si="9"/>
        <v>36887</v>
      </c>
      <c r="B368" s="1">
        <v>362</v>
      </c>
      <c r="C368" s="3">
        <v>200012</v>
      </c>
      <c r="D368" s="3">
        <f>ROUND(IF(Data!E368&lt;0,0-Data!E368,0),1)</f>
        <v>4.0999999999999996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f t="shared" si="9"/>
        <v>36888</v>
      </c>
      <c r="B369" s="1">
        <v>363</v>
      </c>
      <c r="C369" s="3">
        <v>200012</v>
      </c>
      <c r="D369" s="3">
        <f>ROUND(IF(Data!E369&lt;0,0-Data!E369,0),1)</f>
        <v>10.199999999999999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f t="shared" si="9"/>
        <v>36889</v>
      </c>
      <c r="B370" s="1">
        <v>364</v>
      </c>
      <c r="C370" s="3">
        <v>200012</v>
      </c>
      <c r="D370" s="3">
        <f>ROUND(IF(Data!E370&lt;0,0-Data!E370,0),1)</f>
        <v>5.8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f t="shared" si="9"/>
        <v>36890</v>
      </c>
      <c r="B371" s="1">
        <v>365</v>
      </c>
      <c r="C371" s="3">
        <v>200012</v>
      </c>
      <c r="D371" s="3">
        <f>ROUND(IF(Data!E371&lt;0,0-Data!E371,0),1)</f>
        <v>5.7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A372" s="15">
        <f t="shared" si="9"/>
        <v>36891</v>
      </c>
      <c r="B372" s="23">
        <v>366</v>
      </c>
      <c r="C372" s="3">
        <v>200012</v>
      </c>
      <c r="D372" s="3">
        <f>ROUND(IF(Data!E372&lt;0,0-Data!E372,0),1)</f>
        <v>6</v>
      </c>
      <c r="E372" s="3">
        <f>ROUND(IF(Data!E372&gt;5,Data!E372-5,0),1)</f>
        <v>0</v>
      </c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Ta25m</vt:lpstr>
      <vt:lpstr>Rh</vt:lpstr>
      <vt:lpstr>RhCor</vt:lpstr>
      <vt:lpstr>Tduff</vt:lpstr>
      <vt:lpstr>Soil15</vt:lpstr>
      <vt:lpstr>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2025-04-21T22:32:07Z</dcterms:modified>
</cp:coreProperties>
</file>